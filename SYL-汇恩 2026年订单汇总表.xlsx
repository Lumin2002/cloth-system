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theme/theme1.xml" ContentType="application/vnd.openxmlformats-officedocument.theme+xml"/>
  <Override PartName="/xl/comments/comment1.xml" ContentType="application/vnd.openxmlformats-officedocument.spreadsheetml.comments+xml"/>
  <Override PartName="/xl/drawings/commentsDrawing1.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5"/>
    <sheet name="工作表2" sheetId="2" state="visible" r:id="rId6"/>
  </sheets>
  <definedNames>
    <definedName name="_xlnm._FilterDatabase" localSheetId="0" hidden="1">'汇总表'!$A$1:$AH$539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/>
</file>

<file path=xl/sharedStrings.xml><?xml version="1.0" encoding="utf-8"?>
<sst xmlns="http://schemas.openxmlformats.org/spreadsheetml/2006/main">
  <si>
    <t>序号</t>
  </si>
  <si>
    <t>下单日期</t>
  </si>
  <si>
    <t>订单类型</t>
  </si>
  <si>
    <t>订单号</t>
  </si>
  <si>
    <t>款号</t>
  </si>
  <si>
    <t>昇奕隆编号</t>
  </si>
  <si>
    <t>纺织类型</t>
  </si>
  <si>
    <t>档口</t>
  </si>
  <si>
    <t>档口编号</t>
  </si>
  <si>
    <t>颜色</t>
  </si>
  <si>
    <t>色号</t>
  </si>
  <si>
    <t>成份</t>
  </si>
  <si>
    <t>幅宽</t>
  </si>
  <si>
    <t>克重</t>
  </si>
  <si>
    <t>订单数量</t>
  </si>
  <si>
    <t>单位</t>
  </si>
  <si>
    <t>针织订单数量</t>
  </si>
  <si>
    <t>针织订单单位</t>
  </si>
  <si>
    <t>总金额</t>
  </si>
  <si>
    <t>成品成本价格</t>
  </si>
  <si>
    <t>出货总数量</t>
  </si>
  <si>
    <t>针织布出货公斤数</t>
  </si>
  <si>
    <t>成品出货时间</t>
  </si>
  <si>
    <t>成品出货数量</t>
  </si>
  <si>
    <t>地址</t>
  </si>
  <si>
    <t>备注</t>
  </si>
  <si>
    <t>大货订单</t>
  </si>
  <si>
    <t>TUS0502</t>
  </si>
  <si>
    <t>SY25544</t>
  </si>
  <si>
    <t>梭织布</t>
  </si>
  <si>
    <t>32#蓝色</t>
  </si>
  <si>
    <t>米</t>
  </si>
  <si>
    <t>元/米</t>
  </si>
  <si>
    <t>98#墨绿</t>
  </si>
  <si>
    <t>SY252789</t>
  </si>
  <si>
    <t>45#黑色</t>
  </si>
  <si>
    <t>32#</t>
  </si>
  <si>
    <t>KAT17834C</t>
  </si>
  <si>
    <t>SY251429</t>
  </si>
  <si>
    <t>针织布</t>
  </si>
  <si>
    <t>13#白/咖条纹</t>
  </si>
  <si>
    <t>1#白/黑条纹</t>
  </si>
  <si>
    <t>KAT17826C</t>
  </si>
  <si>
    <t>SY251093</t>
  </si>
  <si>
    <t>2#黑色</t>
  </si>
  <si>
    <t>WAATO03427
WAATO03433</t>
  </si>
  <si>
    <t>KAT17835
KAT17836</t>
  </si>
  <si>
    <t>SY251117</t>
  </si>
  <si>
    <t>3#黑色</t>
  </si>
  <si>
    <t>WAATO03427
WAATO03433
WAATO03476</t>
  </si>
  <si>
    <t>KAT17835
KAT17836
KAT16090</t>
  </si>
  <si>
    <t>102#巧克力色</t>
  </si>
  <si>
    <t>WAATO03427</t>
  </si>
  <si>
    <t>KAT17835</t>
  </si>
  <si>
    <t>1#白色</t>
  </si>
  <si>
    <t>WAATO03433</t>
  </si>
  <si>
    <t>KAT17836</t>
  </si>
  <si>
    <t>105#灰蓝色</t>
  </si>
  <si>
    <t>WAATO03476</t>
  </si>
  <si>
    <t>KAT16090</t>
  </si>
  <si>
    <t>122#宝蓝色</t>
  </si>
  <si>
    <t>样板单</t>
  </si>
  <si>
    <t>米白色</t>
  </si>
  <si>
    <t>SN25002</t>
  </si>
  <si>
    <t>155#</t>
  </si>
  <si>
    <t>KAT17827</t>
  </si>
  <si>
    <t>SY253113</t>
  </si>
  <si>
    <t>8#</t>
  </si>
  <si>
    <t>黑色</t>
  </si>
  <si>
    <t>SY252953</t>
  </si>
  <si>
    <t>红色</t>
  </si>
  <si>
    <t>SY26001</t>
  </si>
  <si>
    <t>11#黑底白纹</t>
  </si>
  <si>
    <t>SY26026</t>
  </si>
  <si>
    <t>SY252907</t>
  </si>
  <si>
    <t>SY252906</t>
  </si>
  <si>
    <t>1898#（始祖鸟系列）</t>
  </si>
  <si>
    <t>SY26053</t>
  </si>
  <si>
    <t>31#</t>
  </si>
  <si>
    <t>38#</t>
  </si>
  <si>
    <t>40#</t>
  </si>
  <si>
    <t>1899#（始祖鸟系列）</t>
  </si>
  <si>
    <t>SY26054</t>
  </si>
  <si>
    <t>3#</t>
  </si>
  <si>
    <t>10#</t>
  </si>
  <si>
    <t>11#</t>
  </si>
  <si>
    <t>1731# 长城条登山布（毛巾底）</t>
  </si>
  <si>
    <t>SY26055</t>
  </si>
  <si>
    <t>26#</t>
  </si>
  <si>
    <t>36#</t>
  </si>
  <si>
    <t>41#</t>
  </si>
  <si>
    <t>224S</t>
  </si>
  <si>
    <t>25C65#清枫皱</t>
  </si>
  <si>
    <t>创展</t>
  </si>
  <si>
    <t>72#黑色</t>
  </si>
  <si>
    <t>225B</t>
  </si>
  <si>
    <t>SY251112</t>
  </si>
  <si>
    <t>槟海布业</t>
  </si>
  <si>
    <t>精品牛奶丝双磨210g*172cm</t>
  </si>
  <si>
    <t>2#白色</t>
  </si>
  <si>
    <t>KG</t>
  </si>
  <si>
    <t>元/公斤</t>
  </si>
  <si>
    <t>226B</t>
  </si>
  <si>
    <t>1#黑色</t>
  </si>
  <si>
    <t>227B</t>
  </si>
  <si>
    <t>37#棕色</t>
  </si>
  <si>
    <t>228B</t>
  </si>
  <si>
    <t>35#红色</t>
  </si>
  <si>
    <t>DAW10075</t>
  </si>
  <si>
    <t>SY251409</t>
  </si>
  <si>
    <t>佳鸿布行</t>
  </si>
  <si>
    <t>密根日本棉</t>
  </si>
  <si>
    <t>11#紫色</t>
  </si>
  <si>
    <t>86#蓝色</t>
  </si>
  <si>
    <t>15#白色</t>
  </si>
  <si>
    <t>88#深灰色</t>
  </si>
  <si>
    <t>天利达</t>
  </si>
  <si>
    <t>E1816#双面乱麻</t>
  </si>
  <si>
    <t>2#本白</t>
  </si>
  <si>
    <t>汇恩布行</t>
  </si>
  <si>
    <t>E1927  双面乱麻</t>
  </si>
  <si>
    <t>SY253146</t>
  </si>
  <si>
    <t>E221</t>
  </si>
  <si>
    <t>38#黑色</t>
  </si>
  <si>
    <t>1#本白色</t>
  </si>
  <si>
    <t>杏色</t>
  </si>
  <si>
    <t>SY253140</t>
  </si>
  <si>
    <t>E701</t>
  </si>
  <si>
    <t>本白</t>
  </si>
  <si>
    <t>18#浅粉色</t>
  </si>
  <si>
    <t>60#棕色</t>
  </si>
  <si>
    <t>33#深蓝色</t>
  </si>
  <si>
    <t>5#酒红色</t>
  </si>
  <si>
    <t>69#花灰色</t>
  </si>
  <si>
    <t>79#杏色</t>
  </si>
  <si>
    <t>华越纺织</t>
  </si>
  <si>
    <t>乐丽丝双层</t>
  </si>
  <si>
    <t>5#浅杏</t>
  </si>
  <si>
    <t>35# 深灰</t>
  </si>
  <si>
    <t>40#军绿</t>
  </si>
  <si>
    <t>14#黑色</t>
  </si>
  <si>
    <t>14#绿</t>
  </si>
  <si>
    <t>36#灰</t>
  </si>
  <si>
    <t>SY253098</t>
  </si>
  <si>
    <t>E2061  细斜消光登山布</t>
  </si>
  <si>
    <t>21#绿</t>
  </si>
  <si>
    <t>35#灰</t>
  </si>
  <si>
    <t>防水黑色</t>
  </si>
  <si>
    <t>29#豆沙红</t>
  </si>
  <si>
    <t>23#卡其</t>
  </si>
  <si>
    <t>33#咖色</t>
  </si>
  <si>
    <t>SY253147</t>
  </si>
  <si>
    <t>E222</t>
  </si>
  <si>
    <t>19#米杏色</t>
  </si>
  <si>
    <t>366B</t>
  </si>
  <si>
    <t>3C1103</t>
  </si>
  <si>
    <t>11#黑底白条</t>
  </si>
  <si>
    <t>E1816 双面乱麻</t>
  </si>
  <si>
    <t>E981 228T消光塔丝隆（防水）</t>
  </si>
  <si>
    <t>155#卡其</t>
  </si>
  <si>
    <t>6#</t>
  </si>
  <si>
    <t>SP25031</t>
  </si>
  <si>
    <t>凯盛亨</t>
  </si>
  <si>
    <t>262#</t>
  </si>
  <si>
    <t>15#浅蓝色</t>
  </si>
  <si>
    <t>1#</t>
  </si>
  <si>
    <t>35#</t>
  </si>
  <si>
    <t>90% 锦纶10%氨纶</t>
  </si>
  <si>
    <t>14#绿色</t>
  </si>
  <si>
    <t>36#灰色</t>
  </si>
  <si>
    <t>21#绿色</t>
  </si>
  <si>
    <t>90%锦纶10%氨纶</t>
  </si>
  <si>
    <t>35#灰色</t>
  </si>
  <si>
    <t>SY251479</t>
  </si>
  <si>
    <t>星海纺织</t>
  </si>
  <si>
    <t>1L1010 酷丝绵罗纹</t>
  </si>
  <si>
    <t>7#褐色/白色</t>
  </si>
  <si>
    <t>95%涤纶 5%氨纶</t>
  </si>
  <si>
    <t>KAT17862</t>
  </si>
  <si>
    <t>SY252741</t>
  </si>
  <si>
    <t>广州旺佳纺织</t>
  </si>
  <si>
    <t>美人条</t>
  </si>
  <si>
    <t>29#巧克力色</t>
  </si>
  <si>
    <t>KAT17963</t>
  </si>
  <si>
    <t>织造司17</t>
  </si>
  <si>
    <t>SYB26031</t>
  </si>
  <si>
    <t>提花布</t>
  </si>
  <si>
    <t>100%POLY</t>
  </si>
  <si>
    <t>织造司18</t>
  </si>
  <si>
    <t>12#</t>
  </si>
  <si>
    <t>织造司19</t>
  </si>
  <si>
    <t>织造司20</t>
  </si>
  <si>
    <t>2#</t>
  </si>
  <si>
    <t>织造司21</t>
  </si>
  <si>
    <t>SYB26033</t>
  </si>
  <si>
    <t>14#</t>
  </si>
  <si>
    <t>8%莱赛尔55%粘纤33%涤4%氨纶</t>
  </si>
  <si>
    <t>织造司22</t>
  </si>
  <si>
    <t>21#</t>
  </si>
  <si>
    <t>SY25016</t>
  </si>
  <si>
    <t>光大纺织</t>
  </si>
  <si>
    <t>C580</t>
  </si>
  <si>
    <t>91#咖啡色</t>
  </si>
  <si>
    <t>100%棉</t>
  </si>
  <si>
    <t>32#橙色</t>
  </si>
  <si>
    <t>501B</t>
  </si>
  <si>
    <t>02#黑色</t>
  </si>
  <si>
    <t>502B</t>
  </si>
  <si>
    <t>40#巧克力色</t>
  </si>
  <si>
    <t>505B</t>
  </si>
  <si>
    <t>96%涤纶 4%氨纶</t>
  </si>
  <si>
    <t>507B</t>
  </si>
  <si>
    <t>14#军绿色</t>
  </si>
  <si>
    <t>508B</t>
  </si>
  <si>
    <t>39#咖色</t>
  </si>
  <si>
    <t>织造司23</t>
  </si>
  <si>
    <t>SYB26350</t>
  </si>
  <si>
    <t>汇恩</t>
  </si>
  <si>
    <t>4#</t>
  </si>
  <si>
    <t>152#蓝色</t>
  </si>
  <si>
    <t>杏色/7号色</t>
  </si>
  <si>
    <t>2#奶油色</t>
  </si>
  <si>
    <t>504B</t>
  </si>
  <si>
    <t>7#卡色</t>
  </si>
  <si>
    <t>506B</t>
  </si>
  <si>
    <t>31#酒红</t>
  </si>
  <si>
    <t>SY252960</t>
  </si>
  <si>
    <t>100%锦纶</t>
  </si>
  <si>
    <t>KAT17888</t>
  </si>
  <si>
    <t>E1816双面乱麻</t>
  </si>
  <si>
    <t>公斤</t>
  </si>
  <si>
    <t>178#深灰</t>
  </si>
  <si>
    <t>织造司24</t>
  </si>
  <si>
    <t>21#杏色</t>
  </si>
  <si>
    <t>89#朱古力色</t>
  </si>
  <si>
    <t>2#米白色</t>
  </si>
  <si>
    <t>K28</t>
  </si>
  <si>
    <t>212#军绿</t>
  </si>
  <si>
    <t>33#深橙</t>
  </si>
  <si>
    <t>95%涤纶5%氨纶</t>
  </si>
  <si>
    <t>22#</t>
  </si>
  <si>
    <t>91#巧克力色</t>
  </si>
  <si>
    <t>WAAT003851/WAAT003855/WAAT003923/WAAT003775/WAAT003776/WACY001179</t>
  </si>
  <si>
    <t>WAT21906/WAT21983/WAT21653/WAT21981/WAT21986/WAT218980</t>
  </si>
  <si>
    <t>SY251062</t>
  </si>
  <si>
    <t>万顺纺织</t>
  </si>
  <si>
    <t>A8784</t>
  </si>
  <si>
    <t>50#黑色</t>
  </si>
  <si>
    <t>100%涤纶</t>
  </si>
  <si>
    <t>WAAT003775/WAAT003862/WAAT003895/WACN000650</t>
  </si>
  <si>
    <t>WAT21981/WAT21979/WAT21985/CHA0140</t>
  </si>
  <si>
    <t>58#巧克力色</t>
  </si>
  <si>
    <t>WAAT003776/WAAT003923/WAAT003895</t>
  </si>
  <si>
    <t>WAT21986/WAT21653/WAT21985</t>
  </si>
  <si>
    <t>136#米杏色</t>
  </si>
  <si>
    <t>WAAT003862</t>
  </si>
  <si>
    <t>WAT21979</t>
  </si>
  <si>
    <t>9#浅蓝色</t>
  </si>
  <si>
    <t>WACY001179</t>
  </si>
  <si>
    <t>WAT21898C</t>
  </si>
  <si>
    <t>122#酒红色</t>
  </si>
  <si>
    <t>58#棕色</t>
  </si>
  <si>
    <t>9#浅蓝</t>
  </si>
  <si>
    <t>2#米白</t>
  </si>
  <si>
    <t>WAT21552C  B</t>
  </si>
  <si>
    <t>9#蓝色</t>
  </si>
  <si>
    <t>WAATO03899</t>
  </si>
  <si>
    <t>WAT22008</t>
  </si>
  <si>
    <t>SY251663</t>
  </si>
  <si>
    <t>千姿纺织</t>
  </si>
  <si>
    <t>豆绿色#5</t>
  </si>
  <si>
    <t>宏正达</t>
  </si>
  <si>
    <t>19507无氟防水</t>
  </si>
  <si>
    <t>7#色</t>
  </si>
  <si>
    <t>WAAT003899/WAAT003900</t>
  </si>
  <si>
    <t>WAT22008/WAT22007</t>
  </si>
  <si>
    <t>米杏色#2</t>
  </si>
  <si>
    <t>WAAT003778</t>
  </si>
  <si>
    <t>WAT22009</t>
  </si>
  <si>
    <t>WAT21971</t>
  </si>
  <si>
    <t>39#棕色</t>
  </si>
  <si>
    <t>96%涤纶4%氨纶</t>
  </si>
  <si>
    <t>WAT22078</t>
  </si>
  <si>
    <t>WAT22054/WAT22051/WAT22050</t>
  </si>
  <si>
    <t>95%乐丽丝5%氨纶</t>
  </si>
  <si>
    <t>126#蓝色</t>
  </si>
  <si>
    <t>135#米色</t>
  </si>
  <si>
    <t>22#蓝色</t>
  </si>
  <si>
    <t>WAAT003857</t>
  </si>
  <si>
    <t>WAT22010</t>
  </si>
  <si>
    <t>巧克力色#37</t>
  </si>
  <si>
    <t>90#</t>
  </si>
  <si>
    <t>54#</t>
  </si>
  <si>
    <t>CAL0562</t>
  </si>
  <si>
    <t>WACA001006</t>
  </si>
  <si>
    <t>32#橙红色</t>
  </si>
  <si>
    <t>97%涤纶3%氨纶</t>
  </si>
  <si>
    <t>154#黑色</t>
  </si>
  <si>
    <t>05-20-26</t>
  </si>
  <si>
    <t>16#棕色</t>
  </si>
  <si>
    <t>24#灰色</t>
  </si>
  <si>
    <t>WACA001637</t>
  </si>
  <si>
    <t>42#粉色</t>
  </si>
  <si>
    <t>CAL0536</t>
  </si>
  <si>
    <t>40#粉色</t>
  </si>
  <si>
    <t>3#浅杏</t>
  </si>
  <si>
    <t>CAL0540</t>
  </si>
  <si>
    <t>91#巧克力</t>
  </si>
  <si>
    <t>9#黄油色</t>
  </si>
  <si>
    <t>32#橙红</t>
  </si>
  <si>
    <t>91#</t>
  </si>
  <si>
    <t>织造司27</t>
  </si>
  <si>
    <t>SY25772</t>
  </si>
  <si>
    <t>宝诚纺织</t>
  </si>
  <si>
    <t>精品珍珠</t>
  </si>
  <si>
    <t>9#</t>
  </si>
  <si>
    <t>广州市番禺区石碁镇亚运大道895号合劲嘉福创新城(E栋） 二楼18820036135 谭彩琼</t>
  </si>
  <si>
    <t>打印名字”彩琼“上去</t>
  </si>
  <si>
    <t>SY26813</t>
  </si>
  <si>
    <t>E7019#德绒牙签条</t>
  </si>
  <si>
    <t>57#咖色</t>
  </si>
  <si>
    <t>63%粘纤13.5%棉13.5%晴纶10%氨纶</t>
  </si>
  <si>
    <t>SY26442</t>
  </si>
  <si>
    <t>X816麻棉梳织</t>
  </si>
  <si>
    <t>10#玫红</t>
  </si>
  <si>
    <t>60%棉40%亚麻</t>
  </si>
  <si>
    <t>WADA003179</t>
  </si>
  <si>
    <t>DAW9687/DAW9688</t>
  </si>
  <si>
    <t>SY25738</t>
  </si>
  <si>
    <t>新嘉彩</t>
  </si>
  <si>
    <t>120#棕色</t>
  </si>
  <si>
    <t>TFA0591</t>
  </si>
  <si>
    <t>TFA0484-2</t>
  </si>
  <si>
    <t>9#黄色</t>
  </si>
  <si>
    <t>元/KG</t>
  </si>
  <si>
    <t>汇恩纺织</t>
  </si>
  <si>
    <t>50%聚酯纤维50%再生纤维</t>
  </si>
  <si>
    <t>DAW9846/DAW9813</t>
  </si>
  <si>
    <t>21#粉色</t>
  </si>
  <si>
    <t>77#蓝色</t>
  </si>
  <si>
    <t>3#白色</t>
  </si>
  <si>
    <t>120#咖色</t>
  </si>
  <si>
    <t>WAT21550C  翻单B</t>
  </si>
  <si>
    <t>WAT22055/WAT22052</t>
  </si>
  <si>
    <t>95%乐力丝 5%氨纶</t>
  </si>
  <si>
    <t>WAT22055</t>
  </si>
  <si>
    <t>139#驼色</t>
  </si>
  <si>
    <t>WAT22141/WAT22177/WAT22140/WAT22303/WAT22143/WAT22143/WAT22303</t>
  </si>
  <si>
    <t>WAT22177/WAT22140</t>
  </si>
  <si>
    <t>16#蓝色</t>
  </si>
  <si>
    <t>WAT22303</t>
  </si>
  <si>
    <t>23#驼色</t>
  </si>
  <si>
    <t>WAT22143</t>
  </si>
  <si>
    <t>5#燕麦色</t>
  </si>
  <si>
    <t>WAT22143+WAT22303</t>
  </si>
  <si>
    <t>32#咖色</t>
  </si>
  <si>
    <t>DAW10675</t>
  </si>
  <si>
    <t>86#浅蓝色</t>
  </si>
  <si>
    <t>65%涤纶 30%人棉 5%氨纶</t>
  </si>
  <si>
    <t>WAT21975</t>
  </si>
  <si>
    <t>97%涤纶 3%氨纶</t>
  </si>
  <si>
    <t>织造司28</t>
  </si>
  <si>
    <t>2#米色</t>
  </si>
  <si>
    <t>WACN000660</t>
  </si>
  <si>
    <t>CHA0140  翻单B</t>
  </si>
  <si>
    <t>14#粉色</t>
  </si>
  <si>
    <t>CHA0211</t>
  </si>
  <si>
    <t>大货样寄GFG批色</t>
  </si>
  <si>
    <t>DJ26DRZE1398</t>
  </si>
  <si>
    <t>备注名字”霜霜“</t>
  </si>
  <si>
    <t>无锡市惠山区惠山大道绿地世纪城456号601，乐嵘服饰有限公司，唐先生收，电话13916932355</t>
  </si>
  <si>
    <t>39#</t>
  </si>
  <si>
    <t>WAT22077</t>
  </si>
  <si>
    <t>7#米色</t>
  </si>
  <si>
    <t>发安徽六安凯米工厂</t>
  </si>
  <si>
    <t>扑喜</t>
  </si>
  <si>
    <t>DJ26DRDMS9899</t>
  </si>
  <si>
    <t>备注名字潇潇</t>
  </si>
  <si>
    <t>39#色</t>
  </si>
  <si>
    <t>7#卡其</t>
  </si>
  <si>
    <t>CAL0532</t>
  </si>
  <si>
    <t>32#橘红</t>
  </si>
  <si>
    <t>东莞市虎门镇镇口第一工业区B46栋5楼 俊雅服饰  兰兰：13713357220</t>
  </si>
  <si>
    <t>DJ26DRZE4032</t>
  </si>
  <si>
    <t>白色</t>
  </si>
  <si>
    <t>WAT22080/C#</t>
  </si>
  <si>
    <t>WAT22080#</t>
  </si>
  <si>
    <t>16#,蘑菇色</t>
  </si>
  <si>
    <t>广州市番禺区石碁镇亚运大道895号合劲嘉福创新城(E栋） 二楼13622255651 彩琼</t>
  </si>
  <si>
    <t>15#蓝色</t>
  </si>
  <si>
    <t>287#巧克力色</t>
  </si>
  <si>
    <t>版布同大货一起送出</t>
  </si>
  <si>
    <t>WAT22141/WAAT004045</t>
  </si>
  <si>
    <t>1#米色</t>
  </si>
  <si>
    <t>DJ26SKZE7116</t>
  </si>
  <si>
    <t>3#浅杏色</t>
  </si>
  <si>
    <t>DJ26TPZJY4616</t>
  </si>
  <si>
    <t>白色2#米白</t>
  </si>
  <si>
    <t>DJ26SKZJY8620</t>
  </si>
  <si>
    <t>DJ26TPZJY1022</t>
  </si>
  <si>
    <t>DJ26DRZJY8578</t>
  </si>
  <si>
    <t>17#色</t>
  </si>
  <si>
    <t>18#色</t>
  </si>
  <si>
    <t>25#色</t>
  </si>
  <si>
    <t>SY252210</t>
  </si>
  <si>
    <t>荣盛 金品</t>
  </si>
  <si>
    <t>精梳10X10洗水 H2492</t>
  </si>
  <si>
    <t>C132 咖色</t>
  </si>
  <si>
    <t>19#宝蓝</t>
  </si>
  <si>
    <t>24#水蓝</t>
  </si>
  <si>
    <t>SY251463</t>
  </si>
  <si>
    <t>190-200g精品水晶麻 1304#</t>
  </si>
  <si>
    <t>68#梅紫</t>
  </si>
  <si>
    <t>SY261177</t>
  </si>
  <si>
    <t>永成发</t>
  </si>
  <si>
    <t>白底褐色条纹改啡底印白色条纹</t>
  </si>
  <si>
    <t>SY25773</t>
  </si>
  <si>
    <t>新合盛布业</t>
  </si>
  <si>
    <t>1#米白色</t>
  </si>
  <si>
    <t>9#兰色</t>
  </si>
  <si>
    <t>织造司样板29</t>
  </si>
  <si>
    <t>大货单</t>
  </si>
  <si>
    <t>DJ26SKZJY7237</t>
  </si>
  <si>
    <t>DJ26TPZJY0645</t>
  </si>
  <si>
    <t>DJ26SKZE7527</t>
  </si>
  <si>
    <t>76#蓝色</t>
  </si>
  <si>
    <t>75#灰蓝</t>
  </si>
  <si>
    <t>83#黄色</t>
  </si>
  <si>
    <t>1#白底褐色条纹换棕底白线</t>
  </si>
  <si>
    <t>06-25-26</t>
  </si>
  <si>
    <t>39%咖啡色</t>
  </si>
  <si>
    <t>TFA0594</t>
  </si>
  <si>
    <t>DAW10554</t>
  </si>
  <si>
    <t>DAW10661</t>
  </si>
  <si>
    <t>34#棕色</t>
  </si>
  <si>
    <t>DAW10664</t>
  </si>
  <si>
    <t>DAW10721</t>
  </si>
  <si>
    <t>取消</t>
  </si>
  <si>
    <t>YB26144</t>
  </si>
  <si>
    <t>39#粉色</t>
  </si>
  <si>
    <t>寄BTC-刘小姐</t>
  </si>
  <si>
    <t>82#绿色</t>
  </si>
  <si>
    <t>SYB26147</t>
  </si>
  <si>
    <t>硫化黑</t>
  </si>
  <si>
    <t>44.2%莱赛尔54%涤1.8%氨纶</t>
  </si>
  <si>
    <t>3咖啡色</t>
  </si>
  <si>
    <t>WAT22728/WAT22729/WAT22730</t>
  </si>
  <si>
    <t>SY251081</t>
  </si>
  <si>
    <t>布林</t>
  </si>
  <si>
    <t>2309#</t>
  </si>
  <si>
    <t>12#灰色</t>
  </si>
  <si>
    <t>寄上海扑喜</t>
  </si>
  <si>
    <t>WAT22725/WAT22727/WAT22733</t>
  </si>
  <si>
    <t>7#杏色</t>
  </si>
  <si>
    <t>WAT22784/WAT22785/WAT22786</t>
  </si>
  <si>
    <t>39#藏青色</t>
  </si>
  <si>
    <t>SP25050</t>
  </si>
  <si>
    <t>TR439</t>
  </si>
  <si>
    <t>34#深咖色</t>
  </si>
  <si>
    <t>WAT22760</t>
  </si>
  <si>
    <t>41#红色</t>
  </si>
  <si>
    <t>WAT22735</t>
  </si>
  <si>
    <t>WADA003517</t>
  </si>
  <si>
    <t>DAW9688  返单G</t>
  </si>
  <si>
    <t>备注BTC大货样寄广州GFG，验好后送亮发</t>
  </si>
  <si>
    <t>WADA003518</t>
  </si>
  <si>
    <t>WADA003516</t>
  </si>
  <si>
    <t>DAW9687  返单I</t>
  </si>
  <si>
    <t>77#天蓝色</t>
  </si>
  <si>
    <t>75#蓝色</t>
  </si>
  <si>
    <t>WAT21653  翻单C</t>
  </si>
  <si>
    <t>备注BTC大货样寄广州GFG批色</t>
  </si>
  <si>
    <t>DJ26KWDRYSQ6544</t>
  </si>
  <si>
    <t>66#深红色</t>
  </si>
  <si>
    <t>SY262906</t>
  </si>
  <si>
    <t>28#深咖</t>
  </si>
  <si>
    <t>寄无锡乐嵘-唐先生</t>
  </si>
  <si>
    <t>SY25780</t>
  </si>
  <si>
    <t>逢发纺织</t>
  </si>
  <si>
    <t>亮丝皱</t>
  </si>
  <si>
    <t>41#天蓝色</t>
  </si>
  <si>
    <t>寄BTC-苗锅</t>
  </si>
  <si>
    <t>56#酒红</t>
  </si>
  <si>
    <t>SP25119</t>
  </si>
  <si>
    <t>绘理纺织</t>
  </si>
  <si>
    <t>H1028</t>
  </si>
  <si>
    <t>26#蓝色</t>
  </si>
  <si>
    <t>CHA0179</t>
  </si>
  <si>
    <t>66#色</t>
  </si>
  <si>
    <t>4#柠檬黄</t>
  </si>
  <si>
    <t>DJ26KWTPYSQ6896</t>
  </si>
  <si>
    <t>DJ26KWTPYSQ4765</t>
  </si>
  <si>
    <t>2#本白色</t>
  </si>
  <si>
    <t>DJ26KWTPYSQ5630</t>
  </si>
  <si>
    <t>24#蓝色</t>
  </si>
  <si>
    <t>DJ26KWTPYSQ5911</t>
  </si>
  <si>
    <t>DJ26KWTPYSQ3177</t>
  </si>
  <si>
    <t>周五寄BTC-苗锅</t>
  </si>
  <si>
    <t>不需要大货样，按留底对色，验完后多邦物流到安徽六安凯米服饰，城南宝小路59号，舒慧15801838137</t>
  </si>
  <si>
    <t>ARW9088</t>
  </si>
  <si>
    <t>SY261196</t>
  </si>
  <si>
    <t>元发</t>
  </si>
  <si>
    <t>4#白</t>
  </si>
  <si>
    <t>ARW9089</t>
  </si>
  <si>
    <t>7#蓝</t>
  </si>
  <si>
    <t>ARW9090</t>
  </si>
  <si>
    <t>30#红</t>
  </si>
  <si>
    <t>CHA0311，CHA0323</t>
  </si>
  <si>
    <t>86号粉</t>
  </si>
  <si>
    <t>TFA0768,TFA0769,TFA0770</t>
  </si>
  <si>
    <t>92号杏黄</t>
  </si>
  <si>
    <t>TFA0769</t>
  </si>
  <si>
    <t>SP25028</t>
  </si>
  <si>
    <t>153色奶油</t>
  </si>
  <si>
    <t>100%Recycle涤纶</t>
  </si>
  <si>
    <t>DJ26DRZJY2414</t>
  </si>
  <si>
    <t>DJ26TPZE3601</t>
  </si>
  <si>
    <t>DAW11391</t>
  </si>
  <si>
    <t>#4浅杏色</t>
  </si>
  <si>
    <t>WAT22177</t>
  </si>
  <si>
    <t>17#灰蓝色</t>
  </si>
  <si>
    <t>码</t>
  </si>
  <si>
    <t>元/码</t>
  </si>
  <si>
    <t>货前</t>
  </si>
  <si>
    <t>货后</t>
  </si>
  <si>
    <t>美金/码</t>
  </si>
  <si>
    <t>美金/米</t>
  </si>
</sst>
</file>

<file path=xl/styles.xml><?xml version="1.0" encoding="utf-8"?>
<styleSheet xmlns="http://schemas.openxmlformats.org/spreadsheetml/2006/main">
  <numFmts count="3">
    <numFmt numFmtId="166" formatCode="YYYY/M/d"/>
    <numFmt numFmtId="165" formatCode="yyyy/M/d"/>
    <numFmt numFmtId="164" formatCode="0_);[Red]\(0\)"/>
  </numFmts>
  <fonts count="15">
    <font>
      <name val="Arial"/>
      <sz val="10"/>
      <scheme val="minor"/>
    </font>
    <font>
      <sz val="8"/>
    </font>
    <font>
      <sz val="8"/>
      <color rgb="FFFF0000"/>
    </font>
    <font>
      <b val="1"/>
      <sz val="8"/>
    </font>
    <font>
      <name val="宋体"/>
      <b val="1"/>
      <sz val="8"/>
    </font>
    <font>
      <b val="1"/>
      <sz val="8"/>
      <color rgb="FFFF0000"/>
    </font>
    <font>
      <sz val="8"/>
    </font>
    <font>
      <name val="Arial"/>
      <sz val="8"/>
    </font>
    <font>
      <sz val="10"/>
    </font>
    <font>
      <name val="SimSun"/>
      <b val="1"/>
      <sz val="8"/>
    </font>
    <font>
      <name val="Arial"/>
      <sz val="8"/>
      <color rgb="FF000000"/>
    </font>
    <font>
      <sz val="8"/>
      <color rgb="FFFF0000"/>
    </font>
    <font>
      <name val="Arial"/>
      <strike val="1"/>
      <sz val="8"/>
    </font>
    <font>
      <strike val="1"/>
      <sz val="8"/>
    </font>
    <font>
      <sz val="8"/>
      <color rgb="FF000000"/>
    </font>
  </fonts>
  <fills count="6">
    <fill>
      <patternFill/>
    </fill>
    <fill>
      <patternFill patternType="gray125"/>
    </fill>
    <fill>
      <patternFill patternType="solid">
        <fgColor rgb="FFCAE7D4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2F9D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74">
    <xf numFmtId="0" fontId="0" fillId="0" borderId="0" quotePrefix="0" xfId="0" applyAlignment="0"/>
    <xf numFmtId="0" fontId="1" fillId="2" borderId="1" quotePrefix="0" xfId="0" applyAlignment="1">
      <alignment horizontal="left" vertical="center"/>
    </xf>
    <xf numFmtId="0" fontId="1" fillId="3" borderId="0" quotePrefix="0" xfId="0" applyAlignment="1">
      <alignment horizontal="left" vertical="center"/>
    </xf>
    <xf numFmtId="14" fontId="1" fillId="3" borderId="1" quotePrefix="0" xfId="0" applyAlignment="1">
      <alignment horizontal="left" vertical="center"/>
    </xf>
    <xf numFmtId="0" fontId="2" fillId="3" borderId="1" quotePrefix="0" xfId="0" applyAlignment="1">
      <alignment horizontal="left" vertical="center"/>
    </xf>
    <xf numFmtId="0" fontId="1" fillId="0" borderId="0" quotePrefix="0" xfId="0" applyAlignment="1">
      <alignment horizontal="left" vertical="center"/>
    </xf>
    <xf numFmtId="0" fontId="3" fillId="2" borderId="1" quotePrefix="0" xfId="0" applyAlignment="1">
      <alignment horizontal="left" vertical="center"/>
    </xf>
    <xf numFmtId="0" fontId="4" fillId="3" borderId="2" quotePrefix="0" xfId="0" applyAlignment="1">
      <alignment horizontal="left" vertical="center" wrapText="1"/>
    </xf>
    <xf numFmtId="0" fontId="3" fillId="3" borderId="1" quotePrefix="0" xfId="0" applyAlignment="1">
      <alignment horizontal="left" vertical="center" wrapText="1"/>
    </xf>
    <xf numFmtId="0" fontId="3" fillId="3" borderId="3" quotePrefix="0" xfId="0" applyAlignment="1">
      <alignment horizontal="left" vertical="center" wrapText="1"/>
    </xf>
    <xf numFmtId="0" fontId="5" fillId="3" borderId="1" quotePrefix="0" xfId="0" applyAlignment="1">
      <alignment horizontal="left" vertical="center" wrapText="1"/>
    </xf>
    <xf numFmtId="14" fontId="1" fillId="2" borderId="1" quotePrefix="0" xfId="0" applyAlignment="1">
      <alignment horizontal="left" vertical="center" wrapText="1"/>
    </xf>
    <xf numFmtId="0" fontId="1" fillId="2" borderId="1" quotePrefix="0" xfId="0" applyAlignment="1">
      <alignment horizontal="left" vertical="center" wrapText="1"/>
    </xf>
    <xf numFmtId="164" fontId="1" fillId="2" borderId="1" quotePrefix="0" xfId="0" applyAlignment="1">
      <alignment horizontal="left" vertical="center" wrapText="1"/>
    </xf>
    <xf numFmtId="1" fontId="1" fillId="3" borderId="2" quotePrefix="0" xfId="0" applyAlignment="1">
      <alignment horizontal="left" vertical="center"/>
    </xf>
    <xf numFmtId="0" fontId="6" fillId="3" borderId="1" quotePrefix="0" xfId="0" applyAlignment="1">
      <alignment horizontal="left" vertical="center"/>
    </xf>
    <xf numFmtId="0" fontId="1" fillId="3" borderId="1" quotePrefix="0" xfId="0" applyAlignment="1">
      <alignment horizontal="left" vertical="center"/>
    </xf>
    <xf numFmtId="0" fontId="1" fillId="3" borderId="3" quotePrefix="0" xfId="0" applyAlignment="1">
      <alignment horizontal="left" vertical="center"/>
    </xf>
    <xf numFmtId="0" fontId="2" fillId="3" borderId="1" quotePrefix="0" xfId="0" applyAlignment="1">
      <alignment horizontal="left" vertical="center" wrapText="1"/>
    </xf>
    <xf numFmtId="0" fontId="1" fillId="3" borderId="2" quotePrefix="0" xfId="0" applyAlignment="1">
      <alignment horizontal="left" vertical="center"/>
    </xf>
    <xf numFmtId="0" fontId="6" fillId="3" borderId="1" quotePrefix="0" xfId="0" applyAlignment="1">
      <alignment horizontal="left" vertical="center" wrapText="1"/>
    </xf>
    <xf numFmtId="1" fontId="2" fillId="3" borderId="2" quotePrefix="0" xfId="0" applyAlignment="1">
      <alignment horizontal="left" vertical="center"/>
    </xf>
    <xf numFmtId="0" fontId="2" fillId="3" borderId="2" quotePrefix="0" xfId="0" applyAlignment="1">
      <alignment horizontal="left" vertical="center"/>
    </xf>
    <xf numFmtId="0" fontId="6" fillId="3" borderId="3" quotePrefix="0" xfId="0" applyAlignment="1">
      <alignment horizontal="left" vertical="center"/>
    </xf>
    <xf numFmtId="0" fontId="7" fillId="2" borderId="1" quotePrefix="0" xfId="0" applyAlignment="1">
      <alignment horizontal="left" vertical="center"/>
    </xf>
    <xf numFmtId="0" fontId="7" fillId="2" borderId="2" quotePrefix="0" xfId="0" applyAlignment="1">
      <alignment horizontal="left" vertical="center"/>
    </xf>
    <xf numFmtId="165" fontId="3" fillId="2" borderId="1" quotePrefix="0" xfId="0" applyAlignment="1">
      <alignment horizontal="left" vertical="center"/>
    </xf>
    <xf numFmtId="165" fontId="1" fillId="2" borderId="1" quotePrefix="0" xfId="0" applyAlignment="1">
      <alignment horizontal="left" vertical="center" wrapText="1"/>
    </xf>
    <xf numFmtId="165" fontId="1" fillId="2" borderId="1" quotePrefix="0" xfId="0" applyAlignment="1">
      <alignment horizontal="left" vertical="center"/>
    </xf>
    <xf numFmtId="166" fontId="7" fillId="2" borderId="2" quotePrefix="0" xfId="0" applyAlignment="1">
      <alignment horizontal="left" vertical="center"/>
    </xf>
    <xf numFmtId="0" fontId="0" fillId="0" borderId="0" quotePrefix="0" xfId="0" applyAlignment="1">
      <alignment vertical="center"/>
    </xf>
    <xf numFmtId="0" fontId="8" fillId="0" borderId="0" quotePrefix="0" xfId="0" applyAlignment="1">
      <alignment vertical="center"/>
    </xf>
    <xf numFmtId="0" fontId="9" fillId="3" borderId="2" quotePrefix="0" xfId="0" applyAlignment="1">
      <alignment horizontal="left" vertical="center" wrapText="1"/>
    </xf>
    <xf numFmtId="166" fontId="7" fillId="2" borderId="1" quotePrefix="0" xfId="0" applyAlignment="1">
      <alignment horizontal="left" vertical="center"/>
    </xf>
    <xf numFmtId="166" fontId="7" fillId="2" borderId="4" quotePrefix="0" xfId="0" applyAlignment="1">
      <alignment horizontal="left" vertical="center"/>
    </xf>
    <xf numFmtId="0" fontId="7" fillId="2" borderId="4" quotePrefix="0" xfId="0" applyAlignment="1">
      <alignment horizontal="left" vertical="center"/>
    </xf>
    <xf numFmtId="0" fontId="7" fillId="2" borderId="5" quotePrefix="0" xfId="0" applyAlignment="1">
      <alignment horizontal="left" vertical="center"/>
    </xf>
    <xf numFmtId="166" fontId="7" fillId="2" borderId="5" quotePrefix="0" xfId="0" applyAlignment="1">
      <alignment horizontal="left" vertical="center"/>
    </xf>
    <xf numFmtId="0" fontId="1" fillId="4" borderId="1" quotePrefix="0" xfId="0" applyAlignment="1">
      <alignment horizontal="left" vertical="center"/>
    </xf>
    <xf numFmtId="0" fontId="1" fillId="3" borderId="6" quotePrefix="0" xfId="0" applyAlignment="1">
      <alignment horizontal="left" vertical="center"/>
    </xf>
    <xf numFmtId="0" fontId="1" fillId="4" borderId="2" quotePrefix="0" xfId="0" applyAlignment="1">
      <alignment horizontal="left" vertical="center"/>
    </xf>
    <xf numFmtId="0" fontId="1" fillId="3" borderId="4" quotePrefix="0" xfId="0" applyAlignment="1">
      <alignment horizontal="left" vertical="center"/>
    </xf>
    <xf numFmtId="0" fontId="1" fillId="3" borderId="7" quotePrefix="0" xfId="0" applyAlignment="1">
      <alignment horizontal="left" vertical="center"/>
    </xf>
    <xf numFmtId="0" fontId="1" fillId="3" borderId="8" quotePrefix="0" xfId="0" applyAlignment="1">
      <alignment horizontal="left" vertical="center"/>
    </xf>
    <xf numFmtId="0" fontId="10" fillId="2" borderId="2" quotePrefix="0" xfId="0" applyAlignment="1">
      <alignment horizontal="left" vertical="center"/>
    </xf>
    <xf numFmtId="0" fontId="1" fillId="4" borderId="6" quotePrefix="0" xfId="0" applyAlignment="1">
      <alignment horizontal="left" vertical="center"/>
    </xf>
    <xf numFmtId="0" fontId="11" fillId="3" borderId="2" quotePrefix="0" xfId="0" applyAlignment="1">
      <alignment horizontal="left" vertical="center"/>
    </xf>
    <xf numFmtId="0" fontId="10" fillId="2" borderId="9" quotePrefix="0" xfId="0" applyAlignment="1">
      <alignment horizontal="left" vertical="center" wrapText="1"/>
    </xf>
    <xf numFmtId="0" fontId="12" fillId="2" borderId="4" quotePrefix="0" xfId="0" applyAlignment="1">
      <alignment horizontal="left" vertical="center"/>
    </xf>
    <xf numFmtId="165" fontId="13" fillId="2" borderId="1" quotePrefix="0" xfId="0" applyAlignment="1">
      <alignment horizontal="left" vertical="center"/>
    </xf>
    <xf numFmtId="0" fontId="13" fillId="2" borderId="1" quotePrefix="0" xfId="0" applyAlignment="1">
      <alignment horizontal="left" vertical="center"/>
    </xf>
    <xf numFmtId="0" fontId="12" fillId="2" borderId="5" quotePrefix="0" xfId="0" applyAlignment="1">
      <alignment horizontal="left" vertical="center"/>
    </xf>
    <xf numFmtId="0" fontId="13" fillId="3" borderId="2" quotePrefix="0" xfId="0" applyAlignment="1">
      <alignment horizontal="left" vertical="center"/>
    </xf>
    <xf numFmtId="0" fontId="13" fillId="3" borderId="1" quotePrefix="0" xfId="0" applyAlignment="1">
      <alignment horizontal="left" vertical="center"/>
    </xf>
    <xf numFmtId="14" fontId="13" fillId="3" borderId="1" quotePrefix="0" xfId="0" applyAlignment="1">
      <alignment horizontal="left" vertical="center"/>
    </xf>
    <xf numFmtId="0" fontId="13" fillId="0" borderId="0" quotePrefix="0" xfId="0" applyAlignment="1">
      <alignment horizontal="left" vertical="center"/>
    </xf>
    <xf numFmtId="166" fontId="1" fillId="2" borderId="1" quotePrefix="0" xfId="0" applyAlignment="1">
      <alignment horizontal="left" vertical="center"/>
    </xf>
    <xf numFmtId="0" fontId="10" fillId="2" borderId="1" quotePrefix="0" xfId="0" applyAlignment="1">
      <alignment horizontal="left" vertical="center"/>
    </xf>
    <xf numFmtId="0" fontId="10" fillId="2" borderId="10" quotePrefix="0" xfId="0" applyAlignment="1">
      <alignment horizontal="left" vertical="center" wrapText="1"/>
    </xf>
    <xf numFmtId="0" fontId="10" fillId="2" borderId="4" quotePrefix="0" xfId="0" applyAlignment="1">
      <alignment horizontal="left" vertical="center"/>
    </xf>
    <xf numFmtId="0" fontId="14" fillId="2" borderId="1" quotePrefix="0" xfId="0" applyAlignment="1">
      <alignment horizontal="left" vertical="center"/>
    </xf>
    <xf numFmtId="0" fontId="1" fillId="2" borderId="2" quotePrefix="0" xfId="0" applyAlignment="1">
      <alignment horizontal="left" vertical="center"/>
    </xf>
    <xf numFmtId="0" fontId="1" fillId="2" borderId="4" quotePrefix="0" xfId="0" applyAlignment="1">
      <alignment horizontal="left" vertical="center"/>
    </xf>
    <xf numFmtId="0" fontId="1" fillId="2" borderId="5" quotePrefix="0" xfId="0" applyAlignment="1">
      <alignment horizontal="left" vertical="center"/>
    </xf>
    <xf numFmtId="166" fontId="13" fillId="2" borderId="1" quotePrefix="0" xfId="0" applyAlignment="1">
      <alignment horizontal="left" vertical="center"/>
    </xf>
    <xf numFmtId="0" fontId="13" fillId="3" borderId="3" quotePrefix="0" xfId="0" applyAlignment="1">
      <alignment horizontal="left" vertical="center"/>
    </xf>
    <xf numFmtId="166" fontId="3" fillId="3" borderId="1" quotePrefix="0" xfId="0" applyAlignment="1">
      <alignment horizontal="left" vertical="center" wrapText="1"/>
    </xf>
    <xf numFmtId="166" fontId="1" fillId="3" borderId="1" quotePrefix="0" xfId="0" applyAlignment="1">
      <alignment horizontal="left" vertical="center"/>
    </xf>
    <xf numFmtId="166" fontId="13" fillId="3" borderId="1" quotePrefix="0" xfId="0" applyAlignment="1">
      <alignment horizontal="left" vertical="center"/>
    </xf>
    <xf numFmtId="0" fontId="11" fillId="2" borderId="1" quotePrefix="0" xfId="0" applyAlignment="1">
      <alignment horizontal="left" vertical="center"/>
    </xf>
    <xf numFmtId="0" fontId="10" fillId="5" borderId="2" quotePrefix="0" xfId="0" applyAlignment="1">
      <alignment horizontal="left" vertical="center"/>
    </xf>
    <xf numFmtId="0" fontId="10" fillId="5" borderId="5" quotePrefix="0" xfId="0" applyAlignment="1">
      <alignment horizontal="left" vertical="center"/>
    </xf>
    <xf numFmtId="0" fontId="10" fillId="3" borderId="1" quotePrefix="0" xfId="0" applyAlignment="1">
      <alignment horizontal="left" vertical="center"/>
    </xf>
    <xf numFmtId="0" fontId="10" fillId="3" borderId="2" quotePrefix="0" xfId="0" applyAlignment="1">
      <alignment horizontal="left" vertic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sheetMetadata" Target="metadata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omments/comment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>
      <text>
        <t>348#</t>
      </text>
    </comment>
    <comment ref="B3" authorId="0" shapeId="0">
      <text>
        <t>349#</t>
      </text>
    </comment>
    <comment ref="S3" authorId="0" shapeId="0">
      <text>
        <t>1.26黄：按218.5米算的</t>
      </text>
    </comment>
    <comment ref="B4" authorId="0" shapeId="0">
      <text>
        <t>2025的344#</t>
      </text>
    </comment>
    <comment ref="S4" authorId="0" shapeId="0">
      <text>
        <t>1.27黄：四舍五入9229</t>
      </text>
    </comment>
    <comment ref="B5" authorId="0" shapeId="0">
      <text>
        <t>dell:
</t>
      </text>
    </comment>
    <comment ref="Z16" authorId="0" shapeId="0">
      <text>
        <t>黄鑫填</t>
      </text>
    </comment>
    <comment ref="Z18" authorId="0" shapeId="0">
      <text>
        <t>1.21黄</t>
      </text>
    </comment>
    <comment ref="S19" authorId="0" shapeId="0">
      <text>
        <t>1.27黄，四舍五入1754元</t>
      </text>
    </comment>
  </commentList>
</comments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anysvml" Type="http://schemas.openxmlformats.org/officeDocument/2006/relationships/vmlDrawing" Target="/xl/drawings/commentsDrawing1.vml"/><Relationship Id="comments" Type="http://schemas.openxmlformats.org/officeDocument/2006/relationships/comments" Target="/xl/comments/comment1.xml"/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>
  <sheetPr/>
  <dimension ref="A1:AH63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defaultRowHeight="15.75" defaultColWidth="9"/>
  <cols>
    <col min="1" max="1" width="6.71429" customWidth="1" style="1"/>
    <col min="2" max="2" width="9.57143" customWidth="1" style="28"/>
    <col min="3" max="3" width="14.4286" customWidth="1" style="1"/>
    <col min="4" max="4" width="9.57143" customWidth="1" style="1"/>
    <col min="5" max="5" width="11.4286" customWidth="1" style="1"/>
    <col min="6" max="6" width="11" customWidth="1" style="1"/>
    <col min="7" max="7" width="13.5714" customWidth="1" style="1"/>
    <col min="8" max="8" width="11.5714" customWidth="1" style="1"/>
    <col min="9" max="9" width="15.8571" customWidth="1" style="1"/>
    <col min="10" max="10" width="10.7143" customWidth="1" style="1"/>
    <col min="11" max="11" width="13.1429" customWidth="1" style="1"/>
    <col min="12" max="12" width="15.4286" customWidth="1" style="1"/>
    <col min="13" max="13" width="6.71429" customWidth="1" style="1"/>
    <col min="14" max="14" width="10.7143" customWidth="1" style="1"/>
    <col min="15" max="16" width="9" customWidth="1" style="1"/>
    <col min="17" max="19" width="10.7143" customWidth="1" style="2"/>
    <col min="20" max="20" width="11.7143" customWidth="1" style="2"/>
    <col min="21" max="21" width="14.4286" customWidth="1" style="2"/>
    <col min="22" max="22" width="11.2857" customWidth="1" style="2"/>
    <col min="23" max="23" width="14.4286" customWidth="1" style="2"/>
    <col min="24" max="24" width="12" customWidth="1" style="3"/>
    <col min="25" max="25" width="12" customWidth="1" style="67"/>
    <col min="26" max="26" width="11.8571" customWidth="1" style="4"/>
    <col min="27" max="16384" width="9" customWidth="1" style="5"/>
  </cols>
  <sheetData>
    <row r="1" ht="31.5" customHeight="1">
      <c r="A1" s="1" t="s">
        <v>0</v>
      </c>
      <c r="B1" s="2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32" t="s">
        <v>16</v>
      </c>
      <c r="R1" s="32" t="s">
        <v>17</v>
      </c>
      <c r="S1" s="7" t="s">
        <v>18</v>
      </c>
      <c r="T1" s="8" t="s">
        <v>19</v>
      </c>
      <c r="U1" s="8" t="s">
        <v>15</v>
      </c>
      <c r="V1" s="8" t="s">
        <v>20</v>
      </c>
      <c r="W1" s="9" t="s">
        <v>15</v>
      </c>
      <c r="X1" s="8" t="s">
        <v>21</v>
      </c>
      <c r="Y1" s="66" t="s">
        <v>22</v>
      </c>
      <c r="Z1" s="10" t="s">
        <v>23</v>
      </c>
      <c r="AA1" s="5" t="s">
        <v>24</v>
      </c>
      <c r="AB1" s="5" t="s">
        <v>25</v>
      </c>
    </row>
    <row r="2" ht="15.75" hidden="1" customHeight="1">
      <c r="A2" s="1" t="n">
        <v>8</v>
      </c>
      <c r="B2" s="27" t="n">
        <v>46012</v>
      </c>
      <c r="C2" s="35" t="s">
        <v>26</v>
      </c>
      <c r="D2" s="12"/>
      <c r="E2" s="12" t="s">
        <v>27</v>
      </c>
      <c r="F2" s="12" t="s">
        <v>28</v>
      </c>
      <c r="G2" s="12" t="s">
        <v>29</v>
      </c>
      <c r="H2" s="12"/>
      <c r="I2" s="12"/>
      <c r="J2" s="12" t="s">
        <v>30</v>
      </c>
      <c r="K2" s="13"/>
      <c r="L2" s="6" t="s">
        <v>11</v>
      </c>
      <c r="M2" s="1" t="f">
        <f>INDEX(#REF!,MATCH(F2,#REF!,0))</f>
      </c>
      <c r="N2" s="12"/>
      <c r="O2" s="13" t="n">
        <v>235</v>
      </c>
      <c r="P2" s="1" t="s">
        <v>31</v>
      </c>
      <c r="Q2" s="19" t="f">
        <f>ROUNDUP(IF(G2="针织布",O2*M2*N2*1.03/100000,"0"),0)</f>
      </c>
      <c r="R2" s="14"/>
      <c r="S2" s="14" t="f">
        <f>V2*T2</f>
      </c>
      <c r="T2" s="15" t="n">
        <v>10</v>
      </c>
      <c r="U2" s="16" t="s">
        <v>32</v>
      </c>
      <c r="V2" s="16" t="f">
        <f>Z2</f>
      </c>
      <c r="W2" s="17" t="s">
        <v>31</v>
      </c>
      <c r="Y2" s="67" t="n">
        <v>46036</v>
      </c>
      <c r="Z2" s="18" t="n">
        <v>243</v>
      </c>
    </row>
    <row r="3" ht="15.75" hidden="1" customHeight="1">
      <c r="A3" s="1" t="n">
        <v>9</v>
      </c>
      <c r="B3" s="28" t="n">
        <v>46012</v>
      </c>
      <c r="C3" s="35" t="s">
        <v>26</v>
      </c>
      <c r="D3" s="12"/>
      <c r="E3" s="12" t="s">
        <v>27</v>
      </c>
      <c r="F3" s="1" t="s">
        <v>28</v>
      </c>
      <c r="G3" s="12" t="s">
        <v>29</v>
      </c>
      <c r="J3" s="1" t="s">
        <v>33</v>
      </c>
      <c r="L3" s="6" t="s">
        <v>11</v>
      </c>
      <c r="M3" s="1" t="f">
        <f>INDEX(#REF!,MATCH(F3,#REF!,0))</f>
      </c>
      <c r="O3" s="1" t="n">
        <v>190</v>
      </c>
      <c r="P3" s="1" t="s">
        <v>31</v>
      </c>
      <c r="Q3" s="19" t="f">
        <f>ROUNDUP(IF(G3="针织布",O3*M3*N3*1.03/100000,"0"),0)</f>
      </c>
      <c r="R3" s="19"/>
      <c r="S3" s="19" t="n">
        <v>2185</v>
      </c>
      <c r="T3" s="20" t="n">
        <v>10</v>
      </c>
      <c r="U3" s="16" t="s">
        <v>32</v>
      </c>
      <c r="V3" s="16" t="f">
        <f>Z3</f>
      </c>
      <c r="W3" s="17" t="s">
        <v>31</v>
      </c>
      <c r="Y3" s="67" t="n">
        <v>46036</v>
      </c>
      <c r="Z3" s="4" t="n">
        <v>219</v>
      </c>
    </row>
    <row r="4" ht="15.75" hidden="1" customHeight="1">
      <c r="A4" s="1" t="n">
        <v>13</v>
      </c>
      <c r="B4" s="28" t="n">
        <v>46016</v>
      </c>
      <c r="C4" s="35" t="s">
        <v>26</v>
      </c>
      <c r="D4" s="12"/>
      <c r="E4" s="12"/>
      <c r="F4" s="1" t="s">
        <v>34</v>
      </c>
      <c r="G4" s="12" t="s">
        <v>29</v>
      </c>
      <c r="J4" s="1" t="s">
        <v>35</v>
      </c>
      <c r="L4" s="6" t="s">
        <v>11</v>
      </c>
      <c r="M4" s="1" t="f">
        <f>INDEX(#REF!,MATCH(F4,#REF!,0))</f>
      </c>
      <c r="O4" s="1" t="n">
        <v>760</v>
      </c>
      <c r="P4" s="1" t="s">
        <v>31</v>
      </c>
      <c r="Q4" s="19" t="f">
        <f>ROUNDUP(IF(G4="针织布",O4*M4*N4*1.03/100000,"0"),0)</f>
      </c>
      <c r="R4" s="14"/>
      <c r="S4" s="14" t="f">
        <f>V4*T4</f>
      </c>
      <c r="T4" s="20" t="n">
        <v>11.200000</v>
      </c>
      <c r="U4" s="16" t="s">
        <v>32</v>
      </c>
      <c r="V4" s="16" t="f">
        <f>Z4</f>
      </c>
      <c r="W4" s="17" t="s">
        <v>31</v>
      </c>
      <c r="Y4" s="67" t="n">
        <v>46036</v>
      </c>
      <c r="Z4" s="4" t="n">
        <v>824</v>
      </c>
    </row>
    <row r="5" ht="15.75" hidden="1" customHeight="1">
      <c r="A5" s="1" t="n">
        <v>14</v>
      </c>
      <c r="B5" s="28" t="n">
        <v>46016</v>
      </c>
      <c r="C5" s="35" t="s">
        <v>26</v>
      </c>
      <c r="D5" s="12"/>
      <c r="E5" s="12"/>
      <c r="F5" s="1" t="s">
        <v>34</v>
      </c>
      <c r="G5" s="12" t="s">
        <v>29</v>
      </c>
      <c r="J5" s="1" t="s">
        <v>36</v>
      </c>
      <c r="L5" s="6" t="s">
        <v>11</v>
      </c>
      <c r="M5" s="1" t="f">
        <f>INDEX(#REF!,MATCH(F5,#REF!,0))</f>
      </c>
      <c r="O5" s="1" t="n">
        <v>160</v>
      </c>
      <c r="P5" s="1" t="s">
        <v>31</v>
      </c>
      <c r="Q5" s="19" t="f">
        <f>ROUNDUP(IF(G5="针织布",O5*M5*N5*1.03/100000,"0"),0)</f>
      </c>
      <c r="R5" s="14"/>
      <c r="S5" s="14" t="f">
        <f>V5*T5</f>
      </c>
      <c r="T5" s="15" t="n">
        <v>11.200000</v>
      </c>
      <c r="U5" s="16" t="s">
        <v>32</v>
      </c>
      <c r="V5" s="16" t="f">
        <f>Z5</f>
      </c>
      <c r="W5" s="17" t="s">
        <v>31</v>
      </c>
      <c r="Y5" s="67" t="n">
        <v>46036</v>
      </c>
      <c r="Z5" s="4" t="n">
        <v>163</v>
      </c>
    </row>
    <row r="6" hidden="1">
      <c r="A6" s="1" t="n">
        <v>54</v>
      </c>
      <c r="B6" s="28" t="n">
        <v>46028</v>
      </c>
      <c r="C6" s="35" t="s">
        <v>26</v>
      </c>
      <c r="D6" s="12"/>
      <c r="E6" s="12" t="s">
        <v>37</v>
      </c>
      <c r="F6" s="12" t="s">
        <v>38</v>
      </c>
      <c r="G6" s="12" t="s">
        <v>39</v>
      </c>
      <c r="H6" s="12"/>
      <c r="I6" s="12"/>
      <c r="J6" s="12" t="s">
        <v>40</v>
      </c>
      <c r="K6" s="12"/>
      <c r="L6" s="6" t="s">
        <v>11</v>
      </c>
      <c r="M6" s="1" t="f">
        <f>INDEX(#REF!,MATCH(F6,#REF!,0))</f>
      </c>
      <c r="N6" s="12"/>
      <c r="O6" s="13" t="n">
        <v>58</v>
      </c>
      <c r="P6" s="1" t="s">
        <v>31</v>
      </c>
      <c r="Q6" s="19" t="f">
        <f>ROUNDUP(IF(G6="针织布",O6*M6*N6*1.03/100000,"0"),0)</f>
      </c>
      <c r="R6" s="21"/>
      <c r="S6" s="21" t="f">
        <f>X6*T6</f>
      </c>
      <c r="T6" s="20" t="n">
        <v>43.500000</v>
      </c>
      <c r="U6" s="16" t="s">
        <v>32</v>
      </c>
      <c r="V6" s="16" t="f">
        <f>Z6</f>
      </c>
      <c r="W6" s="17" t="s">
        <v>31</v>
      </c>
      <c r="X6" s="16" t="n">
        <v>25.300000</v>
      </c>
      <c r="Y6" s="67" t="n">
        <v>46036</v>
      </c>
      <c r="Z6" s="4" t="n">
        <v>71</v>
      </c>
    </row>
    <row r="7" hidden="1">
      <c r="A7" s="1" t="n">
        <v>55</v>
      </c>
      <c r="B7" s="28" t="n">
        <v>46028</v>
      </c>
      <c r="C7" s="35" t="s">
        <v>26</v>
      </c>
      <c r="D7" s="12"/>
      <c r="E7" s="12" t="s">
        <v>37</v>
      </c>
      <c r="F7" s="12" t="s">
        <v>38</v>
      </c>
      <c r="G7" s="12" t="s">
        <v>39</v>
      </c>
      <c r="H7" s="11"/>
      <c r="I7" s="11"/>
      <c r="J7" s="11" t="s">
        <v>41</v>
      </c>
      <c r="K7" s="12"/>
      <c r="L7" s="6" t="s">
        <v>11</v>
      </c>
      <c r="M7" s="1" t="f">
        <f>INDEX(#REF!,MATCH(F7,#REF!,0))</f>
      </c>
      <c r="N7" s="12"/>
      <c r="O7" s="13" t="n">
        <v>76</v>
      </c>
      <c r="P7" s="1" t="s">
        <v>31</v>
      </c>
      <c r="Q7" s="19" t="f">
        <f>ROUNDUP(IF(G7="针织布",O7*M7*N7*1.03/100000,"0"),0)</f>
      </c>
      <c r="R7" s="21"/>
      <c r="S7" s="21" t="f">
        <f>X7*T7</f>
      </c>
      <c r="T7" s="20" t="n">
        <v>43.500000</v>
      </c>
      <c r="U7" s="16" t="s">
        <v>32</v>
      </c>
      <c r="V7" s="16" t="f">
        <f>Z7</f>
      </c>
      <c r="W7" s="17" t="s">
        <v>31</v>
      </c>
      <c r="X7" s="16" t="n">
        <v>25</v>
      </c>
      <c r="Y7" s="67" t="n">
        <v>46036</v>
      </c>
      <c r="Z7" s="4" t="n">
        <v>74</v>
      </c>
    </row>
    <row r="8" hidden="1">
      <c r="A8" s="1" t="n">
        <v>56</v>
      </c>
      <c r="B8" s="28" t="n">
        <v>46028</v>
      </c>
      <c r="C8" s="35" t="s">
        <v>26</v>
      </c>
      <c r="D8" s="12"/>
      <c r="E8" s="12" t="s">
        <v>42</v>
      </c>
      <c r="F8" s="12" t="s">
        <v>43</v>
      </c>
      <c r="G8" s="12" t="s">
        <v>39</v>
      </c>
      <c r="H8" s="12"/>
      <c r="I8" s="12"/>
      <c r="J8" s="12" t="s">
        <v>44</v>
      </c>
      <c r="K8" s="12"/>
      <c r="L8" s="6" t="s">
        <v>11</v>
      </c>
      <c r="M8" s="1" t="f">
        <f>INDEX(#REF!,MATCH(F8,#REF!,0))</f>
      </c>
      <c r="N8" s="12"/>
      <c r="O8" s="13" t="n">
        <v>80</v>
      </c>
      <c r="P8" s="1" t="s">
        <v>31</v>
      </c>
      <c r="Q8" s="19" t="f">
        <f>ROUNDUP(IF(G8="针织布",O8*M8*N8*1.03/100000,"0"),0)</f>
      </c>
      <c r="R8" s="21"/>
      <c r="S8" s="21" t="f">
        <f>X8*T8</f>
      </c>
      <c r="T8" s="20" t="n">
        <v>39.500000</v>
      </c>
      <c r="U8" s="16" t="s">
        <v>32</v>
      </c>
      <c r="V8" s="16" t="f">
        <f>Z8</f>
      </c>
      <c r="W8" s="17" t="s">
        <v>31</v>
      </c>
      <c r="X8" s="16" t="n">
        <v>26.100000</v>
      </c>
      <c r="Y8" s="67" t="n">
        <v>46036</v>
      </c>
      <c r="Z8" s="4" t="n">
        <v>90</v>
      </c>
    </row>
    <row r="9" ht="22.5" hidden="1" customHeight="1">
      <c r="A9" s="1" t="n">
        <v>57</v>
      </c>
      <c r="B9" s="28" t="n">
        <v>46028</v>
      </c>
      <c r="C9" s="35" t="s">
        <v>26</v>
      </c>
      <c r="D9" s="12" t="s">
        <v>45</v>
      </c>
      <c r="E9" s="12" t="s">
        <v>46</v>
      </c>
      <c r="F9" s="12" t="s">
        <v>47</v>
      </c>
      <c r="G9" s="12" t="s">
        <v>39</v>
      </c>
      <c r="H9" s="12"/>
      <c r="I9" s="12"/>
      <c r="J9" s="12" t="s">
        <v>48</v>
      </c>
      <c r="K9" s="12"/>
      <c r="L9" s="6" t="s">
        <v>11</v>
      </c>
      <c r="M9" s="1" t="f">
        <f>INDEX(#REF!,MATCH(F9,#REF!,0))</f>
      </c>
      <c r="N9" s="12"/>
      <c r="O9" s="13" t="n">
        <v>479</v>
      </c>
      <c r="P9" s="1" t="s">
        <v>31</v>
      </c>
      <c r="Q9" s="19" t="f">
        <f>ROUNDUP(IF(G9="针织布",O9*M9*N9*1.03/100000,"0"),0)</f>
      </c>
      <c r="R9" s="21"/>
      <c r="S9" s="21" t="f">
        <f>X9*T9</f>
      </c>
      <c r="T9" s="20" t="n">
        <v>39</v>
      </c>
      <c r="U9" s="16" t="s">
        <v>32</v>
      </c>
      <c r="V9" s="16" t="f">
        <f>Z9</f>
      </c>
      <c r="W9" s="17" t="s">
        <v>31</v>
      </c>
      <c r="X9" s="16" t="n">
        <v>149.100000</v>
      </c>
      <c r="Y9" s="67" t="n">
        <v>46037</v>
      </c>
      <c r="Z9" s="4" t="n">
        <v>454</v>
      </c>
    </row>
    <row r="10" ht="33.75" hidden="1" customHeight="1">
      <c r="A10" s="1" t="n">
        <v>58</v>
      </c>
      <c r="B10" s="28" t="n">
        <v>46028</v>
      </c>
      <c r="C10" s="35" t="s">
        <v>26</v>
      </c>
      <c r="D10" s="12" t="s">
        <v>49</v>
      </c>
      <c r="E10" s="12" t="s">
        <v>50</v>
      </c>
      <c r="F10" s="12" t="s">
        <v>47</v>
      </c>
      <c r="G10" s="12" t="s">
        <v>39</v>
      </c>
      <c r="H10" s="12"/>
      <c r="I10" s="12"/>
      <c r="J10" s="12" t="s">
        <v>51</v>
      </c>
      <c r="K10" s="12"/>
      <c r="L10" s="6" t="s">
        <v>11</v>
      </c>
      <c r="M10" s="1" t="f">
        <f>INDEX(#REF!,MATCH(F10,#REF!,0))</f>
      </c>
      <c r="N10" s="12"/>
      <c r="O10" s="13" t="n">
        <v>605</v>
      </c>
      <c r="P10" s="1" t="s">
        <v>31</v>
      </c>
      <c r="Q10" s="19" t="f">
        <f>ROUNDUP(IF(G10="针织布",O10*M10*N10*1.03/100000,"0"),0)</f>
      </c>
      <c r="R10" s="21"/>
      <c r="S10" s="21" t="f">
        <f>X10*T10</f>
      </c>
      <c r="T10" s="20" t="n">
        <v>42</v>
      </c>
      <c r="U10" s="16" t="s">
        <v>32</v>
      </c>
      <c r="V10" s="16" t="f">
        <f>Z10</f>
      </c>
      <c r="W10" s="17" t="s">
        <v>31</v>
      </c>
      <c r="X10" s="16" t="n">
        <v>195.800000</v>
      </c>
      <c r="Y10" s="67" t="n">
        <v>46037</v>
      </c>
      <c r="Z10" s="4" t="n">
        <v>594</v>
      </c>
    </row>
    <row r="11" hidden="1">
      <c r="A11" s="1" t="n">
        <v>59</v>
      </c>
      <c r="B11" s="28" t="n">
        <v>46028</v>
      </c>
      <c r="C11" s="35" t="s">
        <v>26</v>
      </c>
      <c r="D11" s="12" t="s">
        <v>52</v>
      </c>
      <c r="E11" s="12" t="s">
        <v>53</v>
      </c>
      <c r="F11" s="12" t="s">
        <v>47</v>
      </c>
      <c r="G11" s="12" t="s">
        <v>39</v>
      </c>
      <c r="H11" s="12"/>
      <c r="I11" s="12"/>
      <c r="J11" s="12" t="s">
        <v>54</v>
      </c>
      <c r="K11" s="12"/>
      <c r="L11" s="6" t="s">
        <v>11</v>
      </c>
      <c r="M11" s="1" t="f">
        <f>INDEX(#REF!,MATCH(F11,#REF!,0))</f>
      </c>
      <c r="N11" s="12"/>
      <c r="O11" s="13" t="n">
        <v>310</v>
      </c>
      <c r="P11" s="1" t="s">
        <v>31</v>
      </c>
      <c r="Q11" s="19" t="f">
        <f>ROUNDUP(IF(G11="针织布",O11*M11*N11*1.03/100000,"0"),0)</f>
      </c>
      <c r="R11" s="21"/>
      <c r="S11" s="21" t="f">
        <f>X11*T11</f>
      </c>
      <c r="T11" s="20" t="n">
        <v>39</v>
      </c>
      <c r="U11" s="16" t="s">
        <v>32</v>
      </c>
      <c r="V11" s="16" t="f">
        <f>Z11</f>
      </c>
      <c r="W11" s="17" t="s">
        <v>31</v>
      </c>
      <c r="X11" s="16" t="n">
        <v>95.900000</v>
      </c>
      <c r="Y11" s="67" t="n">
        <v>46037</v>
      </c>
      <c r="Z11" s="4" t="n">
        <v>299</v>
      </c>
    </row>
    <row r="12" hidden="1">
      <c r="A12" s="1" t="n">
        <v>60</v>
      </c>
      <c r="B12" s="28" t="n">
        <v>46028</v>
      </c>
      <c r="C12" s="35" t="s">
        <v>26</v>
      </c>
      <c r="D12" s="12" t="s">
        <v>55</v>
      </c>
      <c r="E12" s="12" t="s">
        <v>56</v>
      </c>
      <c r="F12" s="12" t="s">
        <v>47</v>
      </c>
      <c r="G12" s="12" t="s">
        <v>39</v>
      </c>
      <c r="H12" s="12"/>
      <c r="I12" s="12"/>
      <c r="J12" s="12" t="s">
        <v>57</v>
      </c>
      <c r="K12" s="12"/>
      <c r="L12" s="6" t="s">
        <v>11</v>
      </c>
      <c r="M12" s="1" t="f">
        <f>INDEX(#REF!,MATCH(F12,#REF!,0))</f>
      </c>
      <c r="N12" s="12"/>
      <c r="O12" s="13" t="n">
        <v>86</v>
      </c>
      <c r="P12" s="1" t="s">
        <v>31</v>
      </c>
      <c r="Q12" s="19" t="f">
        <f>ROUNDUP(IF(G12="针织布",O12*M12*N12*1.03/100000,"0"),0)</f>
      </c>
      <c r="R12" s="21"/>
      <c r="S12" s="21" t="f">
        <f>X12*T12</f>
      </c>
      <c r="T12" s="20" t="n">
        <v>39</v>
      </c>
      <c r="U12" s="16" t="s">
        <v>32</v>
      </c>
      <c r="V12" s="16" t="f">
        <f>Z12</f>
      </c>
      <c r="W12" s="17" t="s">
        <v>31</v>
      </c>
      <c r="X12" s="16" t="n">
        <v>24.500000</v>
      </c>
      <c r="Y12" s="67" t="n">
        <v>46037</v>
      </c>
      <c r="Z12" s="4" t="n">
        <v>75</v>
      </c>
    </row>
    <row r="13" hidden="1">
      <c r="A13" s="1" t="n">
        <v>61</v>
      </c>
      <c r="B13" s="28" t="n">
        <v>46028</v>
      </c>
      <c r="C13" s="35" t="s">
        <v>26</v>
      </c>
      <c r="D13" s="12" t="s">
        <v>58</v>
      </c>
      <c r="E13" s="12" t="s">
        <v>59</v>
      </c>
      <c r="F13" s="12" t="s">
        <v>47</v>
      </c>
      <c r="G13" s="12" t="s">
        <v>39</v>
      </c>
      <c r="H13" s="12"/>
      <c r="I13" s="12"/>
      <c r="J13" s="12" t="s">
        <v>60</v>
      </c>
      <c r="K13" s="12"/>
      <c r="L13" s="6" t="s">
        <v>11</v>
      </c>
      <c r="M13" s="1" t="f">
        <f>INDEX(#REF!,MATCH(F13,#REF!,0))</f>
      </c>
      <c r="N13" s="12"/>
      <c r="O13" s="13" t="n">
        <v>95</v>
      </c>
      <c r="P13" s="1" t="s">
        <v>31</v>
      </c>
      <c r="Q13" s="19" t="f">
        <f>ROUNDUP(IF(G13="针织布",O13*M13*N13*1.03/100000,"0"),0)</f>
      </c>
      <c r="R13" s="21"/>
      <c r="S13" s="21" t="f">
        <f>X13*T13</f>
      </c>
      <c r="T13" s="20" t="n">
        <v>43</v>
      </c>
      <c r="U13" s="16" t="s">
        <v>32</v>
      </c>
      <c r="V13" s="16" t="f">
        <f>Z13</f>
      </c>
      <c r="W13" s="17" t="s">
        <v>31</v>
      </c>
      <c r="X13" s="16" t="n">
        <v>24.200000</v>
      </c>
      <c r="Y13" s="67" t="n">
        <v>46037</v>
      </c>
      <c r="Z13" s="4" t="n">
        <v>73</v>
      </c>
    </row>
    <row r="14" ht="19.5" hidden="1" customHeight="1">
      <c r="A14" s="1" t="n">
        <v>72</v>
      </c>
      <c r="B14" s="28" t="n">
        <v>46029</v>
      </c>
      <c r="C14" s="1" t="s">
        <v>61</v>
      </c>
      <c r="E14" s="12"/>
      <c r="F14" s="1" t="s">
        <v>47</v>
      </c>
      <c r="G14" s="12" t="s">
        <v>39</v>
      </c>
      <c r="J14" s="1" t="s">
        <v>62</v>
      </c>
      <c r="L14" s="6" t="s">
        <v>11</v>
      </c>
      <c r="M14" s="1" t="f">
        <f>INDEX(#REF!,MATCH(F14,#REF!,0))</f>
      </c>
      <c r="O14" s="13" t="n">
        <v>3</v>
      </c>
      <c r="P14" s="1" t="s">
        <v>31</v>
      </c>
      <c r="Q14" s="19" t="f">
        <f>ROUNDUP(IF(G14="针织布",O14*M14*N14*1.03/100000,"0"),0)</f>
      </c>
      <c r="R14" s="21"/>
      <c r="S14" s="21" t="f">
        <f>V14*T14</f>
      </c>
      <c r="T14" s="15" t="n">
        <v>30</v>
      </c>
      <c r="U14" s="16" t="s">
        <v>32</v>
      </c>
      <c r="V14" s="16" t="f">
        <f>Z14</f>
      </c>
      <c r="W14" s="17" t="s">
        <v>31</v>
      </c>
      <c r="Y14" s="67" t="n">
        <v>46031</v>
      </c>
      <c r="Z14" s="4" t="n">
        <v>3</v>
      </c>
    </row>
    <row r="15" hidden="1">
      <c r="A15" s="1" t="n">
        <v>92</v>
      </c>
      <c r="B15" s="28" t="n">
        <v>46034</v>
      </c>
      <c r="C15" s="1" t="s">
        <v>61</v>
      </c>
      <c r="F15" s="1" t="s">
        <v>63</v>
      </c>
      <c r="G15" s="12" t="s">
        <v>29</v>
      </c>
      <c r="J15" s="1" t="s">
        <v>64</v>
      </c>
      <c r="L15" s="6" t="s">
        <v>11</v>
      </c>
      <c r="M15" s="1" t="f">
        <f>INDEX(#REF!,MATCH(F15,#REF!,0))</f>
      </c>
      <c r="O15" s="1" t="n">
        <v>2</v>
      </c>
      <c r="P15" s="1" t="s">
        <v>31</v>
      </c>
      <c r="Q15" s="19" t="f">
        <f>ROUNDUP(IF(G15="针织布",O15*M15*N15*1.03/100000,"0"),0)</f>
      </c>
      <c r="R15" s="21"/>
      <c r="S15" s="21" t="f">
        <f>V15*T15</f>
      </c>
      <c r="T15" s="15" t="n">
        <v>15</v>
      </c>
      <c r="U15" s="16" t="s">
        <v>32</v>
      </c>
      <c r="V15" s="16" t="f">
        <f>Z15</f>
      </c>
      <c r="W15" s="17" t="s">
        <v>31</v>
      </c>
      <c r="Y15" s="67" t="n">
        <v>46037</v>
      </c>
      <c r="Z15" s="4" t="n">
        <v>2</v>
      </c>
    </row>
    <row r="16" hidden="1">
      <c r="A16" s="1" t="n">
        <v>110</v>
      </c>
      <c r="B16" s="28" t="n">
        <v>46037</v>
      </c>
      <c r="C16" s="35" t="s">
        <v>26</v>
      </c>
      <c r="E16" s="1" t="s">
        <v>65</v>
      </c>
      <c r="F16" s="1" t="s">
        <v>43</v>
      </c>
      <c r="G16" s="12" t="s">
        <v>39</v>
      </c>
      <c r="J16" s="1" t="s">
        <v>44</v>
      </c>
      <c r="L16" s="6" t="s">
        <v>11</v>
      </c>
      <c r="M16" s="1" t="f">
        <f>INDEX(#REF!,MATCH(F16,#REF!,0))</f>
      </c>
      <c r="O16" s="1" t="n">
        <v>123</v>
      </c>
      <c r="P16" s="1" t="s">
        <v>31</v>
      </c>
      <c r="Q16" s="19" t="f">
        <f>ROUNDUP(IF(G16="针织布",O16*M16*N16*1.03/100000,"0"),0)</f>
      </c>
      <c r="R16" s="22"/>
      <c r="S16" s="22" t="f">
        <f>X16*T16</f>
      </c>
      <c r="T16" s="15" t="n">
        <v>39.500000</v>
      </c>
      <c r="U16" s="16" t="s">
        <v>32</v>
      </c>
      <c r="V16" s="16" t="f">
        <f>Z16</f>
      </c>
      <c r="W16" s="17" t="s">
        <v>31</v>
      </c>
      <c r="X16" s="16" t="n">
        <v>26</v>
      </c>
      <c r="Y16" s="67" t="n">
        <v>46038</v>
      </c>
      <c r="Z16" s="4" t="n">
        <v>88</v>
      </c>
    </row>
    <row r="17" hidden="1">
      <c r="A17" s="1" t="n">
        <v>115</v>
      </c>
      <c r="B17" s="28" t="n">
        <v>46038</v>
      </c>
      <c r="C17" s="1" t="s">
        <v>61</v>
      </c>
      <c r="F17" s="1" t="s">
        <v>66</v>
      </c>
      <c r="G17" s="12" t="s">
        <v>39</v>
      </c>
      <c r="J17" s="1" t="s">
        <v>67</v>
      </c>
      <c r="L17" s="6" t="s">
        <v>11</v>
      </c>
      <c r="M17" s="1" t="f">
        <f>INDEX(#REF!,MATCH(F17,#REF!,0))</f>
      </c>
      <c r="O17" s="1" t="n">
        <v>2</v>
      </c>
      <c r="P17" s="1" t="s">
        <v>31</v>
      </c>
      <c r="Q17" s="19" t="f">
        <f>ROUNDUP(IF(G17="针织布",O17*M17*N17*1.03/100000,"0"),0)</f>
      </c>
      <c r="R17" s="21"/>
      <c r="S17" s="21" t="f">
        <f>V17*T17</f>
      </c>
      <c r="T17" s="15" t="n">
        <v>50</v>
      </c>
      <c r="U17" s="16" t="s">
        <v>32</v>
      </c>
      <c r="V17" s="16" t="f">
        <f>Z17</f>
      </c>
      <c r="W17" s="17" t="s">
        <v>31</v>
      </c>
      <c r="Y17" s="67" t="n">
        <v>46039</v>
      </c>
      <c r="Z17" s="4" t="n">
        <v>2</v>
      </c>
    </row>
    <row r="18" hidden="1">
      <c r="A18" s="1" t="n">
        <v>126</v>
      </c>
      <c r="B18" s="28" t="n">
        <v>46042</v>
      </c>
      <c r="C18" s="1" t="s">
        <v>61</v>
      </c>
      <c r="F18" s="1" t="s">
        <v>63</v>
      </c>
      <c r="G18" s="12" t="s">
        <v>29</v>
      </c>
      <c r="J18" s="1" t="s">
        <v>68</v>
      </c>
      <c r="L18" s="6" t="s">
        <v>11</v>
      </c>
      <c r="M18" s="1" t="f">
        <f>INDEX(#REF!,MATCH(F18,#REF!,0))</f>
      </c>
      <c r="O18" s="1" t="n">
        <v>5</v>
      </c>
      <c r="P18" s="1" t="s">
        <v>31</v>
      </c>
      <c r="Q18" s="19" t="f">
        <f>ROUNDUP(IF(G18="针织布",O18*M18*N18*1.03/100000,"0"),0)</f>
      </c>
      <c r="R18" s="21"/>
      <c r="S18" s="21" t="f">
        <f>V18*T18</f>
      </c>
      <c r="T18" s="15" t="n">
        <v>15</v>
      </c>
      <c r="U18" s="16" t="s">
        <v>32</v>
      </c>
      <c r="V18" s="16" t="f">
        <f>Z18</f>
      </c>
      <c r="W18" s="17" t="s">
        <v>31</v>
      </c>
      <c r="Y18" s="67" t="n">
        <v>46043</v>
      </c>
      <c r="Z18" s="4" t="n">
        <v>5</v>
      </c>
    </row>
    <row r="19" hidden="1">
      <c r="A19" s="1" t="n">
        <v>147</v>
      </c>
      <c r="B19" s="28" t="n">
        <v>46045</v>
      </c>
      <c r="C19" s="35" t="s">
        <v>26</v>
      </c>
      <c r="F19" s="1" t="s">
        <v>69</v>
      </c>
      <c r="G19" s="1" t="s">
        <v>29</v>
      </c>
      <c r="J19" s="1" t="s">
        <v>70</v>
      </c>
      <c r="L19" s="6" t="s">
        <v>11</v>
      </c>
      <c r="M19" s="1" t="f">
        <f>INDEX(#REF!,MATCH(F19,#REF!,0))</f>
      </c>
      <c r="O19" s="1" t="n">
        <v>258</v>
      </c>
      <c r="P19" s="1" t="s">
        <v>31</v>
      </c>
      <c r="Q19" s="19" t="f">
        <f>ROUNDUP(IF(G19="针织布",O19*M19*N19*1.03/100000,"0"),0)</f>
      </c>
      <c r="R19" s="22"/>
      <c r="S19" s="22" t="n">
        <v>1754</v>
      </c>
      <c r="T19" s="15" t="n">
        <v>6.800000</v>
      </c>
      <c r="U19" s="16" t="s">
        <v>32</v>
      </c>
      <c r="V19" s="16" t="f">
        <f>Z19</f>
      </c>
      <c r="W19" s="17" t="s">
        <v>31</v>
      </c>
      <c r="Y19" s="67" t="n">
        <v>46045</v>
      </c>
      <c r="Z19" s="4" t="n">
        <v>258</v>
      </c>
    </row>
    <row r="20" hidden="1">
      <c r="A20" s="1" t="n">
        <v>149</v>
      </c>
      <c r="B20" s="28" t="n">
        <v>46049</v>
      </c>
      <c r="C20" s="1" t="s">
        <v>61</v>
      </c>
      <c r="F20" s="1" t="s">
        <v>71</v>
      </c>
      <c r="G20" s="1" t="s">
        <v>39</v>
      </c>
      <c r="J20" s="1" t="s">
        <v>72</v>
      </c>
      <c r="L20" s="6" t="s">
        <v>11</v>
      </c>
      <c r="M20" s="1" t="f">
        <f>INDEX(#REF!,MATCH(F20,#REF!,0))</f>
      </c>
      <c r="O20" s="1" t="n">
        <v>5</v>
      </c>
      <c r="P20" s="1" t="s">
        <v>31</v>
      </c>
      <c r="Q20" s="19" t="f">
        <f>ROUNDUP(IF(G20="针织布",O20*M20*N20*1.03/100000,"0"),0)</f>
      </c>
      <c r="R20" s="21"/>
      <c r="S20" s="21" t="f">
        <f>V20*T20</f>
      </c>
      <c r="T20" s="15" t="n">
        <v>35</v>
      </c>
      <c r="U20" s="16" t="s">
        <v>32</v>
      </c>
      <c r="V20" s="16" t="f">
        <f>Z20</f>
      </c>
      <c r="W20" s="17" t="s">
        <v>31</v>
      </c>
      <c r="Y20" s="67" t="n">
        <v>46051</v>
      </c>
      <c r="Z20" s="4" t="n">
        <v>5</v>
      </c>
    </row>
    <row r="21" hidden="1">
      <c r="A21" s="1" t="n">
        <v>174</v>
      </c>
      <c r="B21" s="28" t="n">
        <v>46052</v>
      </c>
      <c r="C21" s="1" t="s">
        <v>61</v>
      </c>
      <c r="F21" s="1" t="s">
        <v>73</v>
      </c>
      <c r="G21" s="1" t="s">
        <v>29</v>
      </c>
      <c r="J21" s="1" t="s">
        <v>68</v>
      </c>
      <c r="L21" s="6" t="s">
        <v>11</v>
      </c>
      <c r="M21" s="1" t="f">
        <f>INDEX(#REF!,MATCH(F21,#REF!,0))</f>
      </c>
      <c r="O21" s="1" t="n">
        <v>3</v>
      </c>
      <c r="P21" s="1" t="s">
        <v>31</v>
      </c>
      <c r="Q21" s="19" t="f">
        <f>ROUNDUP(IF(G21="针织布",O21*M21*N21*1.03/100000,"0"),0)</f>
      </c>
      <c r="R21" s="21"/>
      <c r="S21" s="21" t="f">
        <f>V21*T21</f>
      </c>
      <c r="T21" s="15" t="n">
        <v>20</v>
      </c>
      <c r="U21" s="16" t="s">
        <v>32</v>
      </c>
      <c r="V21" s="16" t="f">
        <f>Z21</f>
      </c>
      <c r="W21" s="17" t="s">
        <v>31</v>
      </c>
      <c r="Y21" s="67" t="n">
        <v>46053</v>
      </c>
      <c r="Z21" s="4" t="n">
        <v>3</v>
      </c>
    </row>
    <row r="22" hidden="1">
      <c r="A22" s="1" t="n">
        <v>200</v>
      </c>
      <c r="B22" s="28" t="n">
        <v>46056</v>
      </c>
      <c r="C22" s="1" t="s">
        <v>61</v>
      </c>
      <c r="F22" s="1" t="s">
        <v>74</v>
      </c>
      <c r="G22" s="1" t="s">
        <v>29</v>
      </c>
      <c r="J22" s="1" t="s">
        <v>62</v>
      </c>
      <c r="L22" s="6" t="s">
        <v>11</v>
      </c>
      <c r="M22" s="1" t="f">
        <f>INDEX(#REF!,MATCH(F22,#REF!,0))</f>
      </c>
      <c r="O22" s="1" t="n">
        <v>5</v>
      </c>
      <c r="P22" s="1" t="s">
        <v>31</v>
      </c>
      <c r="Q22" s="19" t="f">
        <f>ROUNDUP(IF(G22="针织布",O22*M22*N22*1.03/100000,"0"),0)</f>
      </c>
      <c r="R22" s="19"/>
      <c r="S22" s="19" t="f">
        <f>V22*T22</f>
      </c>
      <c r="T22" s="16" t="n">
        <v>30</v>
      </c>
      <c r="U22" s="16" t="s">
        <v>32</v>
      </c>
      <c r="V22" s="16" t="f">
        <f>Z22</f>
      </c>
      <c r="W22" s="23" t="s">
        <v>31</v>
      </c>
      <c r="Y22" s="67" t="n">
        <v>46058</v>
      </c>
      <c r="Z22" s="4" t="n">
        <v>5</v>
      </c>
    </row>
    <row r="23" ht="15.75" hidden="1" customHeight="1">
      <c r="A23" s="1" t="n">
        <v>208</v>
      </c>
      <c r="B23" s="28" t="n">
        <v>46077</v>
      </c>
      <c r="C23" s="1" t="s">
        <v>61</v>
      </c>
      <c r="F23" s="1" t="s">
        <v>75</v>
      </c>
      <c r="G23" s="1" t="s">
        <v>29</v>
      </c>
      <c r="J23" s="1" t="s">
        <v>62</v>
      </c>
      <c r="L23" s="6" t="s">
        <v>11</v>
      </c>
      <c r="O23" s="1" t="n">
        <v>4</v>
      </c>
      <c r="P23" s="1" t="s">
        <v>31</v>
      </c>
      <c r="Q23" s="19" t="f">
        <f>ROUNDUP(IF(G23="针织布",O23*M23*N23*1.03/100000,"0"),0)</f>
      </c>
      <c r="R23" s="19"/>
      <c r="S23" s="19" t="f">
        <f>V23*T23</f>
      </c>
      <c r="T23" s="16" t="n">
        <v>25</v>
      </c>
      <c r="U23" s="16" t="s">
        <v>32</v>
      </c>
      <c r="V23" s="16" t="n">
        <v>4</v>
      </c>
      <c r="W23" s="23" t="s">
        <v>31</v>
      </c>
      <c r="Y23" s="67" t="n">
        <v>46079</v>
      </c>
      <c r="Z23" s="15" t="n">
        <v>4</v>
      </c>
    </row>
    <row r="24" ht="15.75" hidden="1" customHeight="1">
      <c r="A24" s="1" t="n">
        <v>214</v>
      </c>
      <c r="B24" s="28" t="n">
        <v>46080</v>
      </c>
      <c r="C24" s="1" t="s">
        <v>61</v>
      </c>
      <c r="E24" s="1" t="s">
        <v>76</v>
      </c>
      <c r="F24" s="1" t="s">
        <v>77</v>
      </c>
      <c r="G24" s="1" t="s">
        <v>29</v>
      </c>
      <c r="J24" s="1" t="s">
        <v>78</v>
      </c>
      <c r="K24" s="1"/>
      <c r="L24" s="6" t="s">
        <v>11</v>
      </c>
      <c r="M24" s="1" t="n">
        <v>150</v>
      </c>
      <c r="N24" s="1" t="n">
        <v>250</v>
      </c>
      <c r="O24" s="1" t="n">
        <v>3</v>
      </c>
      <c r="P24" s="1" t="s">
        <v>31</v>
      </c>
      <c r="Q24" s="19" t="f">
        <f>ROUNDUP(IF(G24="针织布",O24*M24*N24*1.03/100000,"0"),0)</f>
      </c>
      <c r="R24" s="19"/>
      <c r="S24" s="19" t="f">
        <f>V24*T24</f>
      </c>
      <c r="T24" s="16" t="n">
        <v>22</v>
      </c>
      <c r="U24" s="16" t="s">
        <v>32</v>
      </c>
      <c r="V24" s="16" t="n">
        <v>3</v>
      </c>
      <c r="W24" s="23" t="s">
        <v>31</v>
      </c>
      <c r="Y24" s="67" t="n">
        <v>46081</v>
      </c>
      <c r="Z24" s="15" t="n">
        <v>3</v>
      </c>
    </row>
    <row r="25" ht="15.75" hidden="1" customHeight="1">
      <c r="A25" s="1" t="n">
        <v>215</v>
      </c>
      <c r="B25" s="28" t="n">
        <v>46080</v>
      </c>
      <c r="C25" s="1" t="s">
        <v>61</v>
      </c>
      <c r="E25" s="1" t="s">
        <v>76</v>
      </c>
      <c r="F25" s="1" t="s">
        <v>77</v>
      </c>
      <c r="G25" s="1" t="s">
        <v>29</v>
      </c>
      <c r="J25" s="1" t="s">
        <v>79</v>
      </c>
      <c r="K25" s="1"/>
      <c r="L25" s="6" t="s">
        <v>11</v>
      </c>
      <c r="M25" s="1" t="n">
        <v>150</v>
      </c>
      <c r="N25" s="1" t="n">
        <v>250</v>
      </c>
      <c r="O25" s="1" t="n">
        <v>3</v>
      </c>
      <c r="P25" s="1" t="s">
        <v>31</v>
      </c>
      <c r="Q25" s="19" t="f">
        <f>ROUNDUP(IF(G25="针织布",O25*M25*N25*1.03/100000,"0"),0)</f>
      </c>
      <c r="R25" s="19"/>
      <c r="S25" s="19" t="f">
        <f>V25*T25</f>
      </c>
      <c r="T25" s="16" t="n">
        <v>22</v>
      </c>
      <c r="U25" s="16" t="s">
        <v>32</v>
      </c>
      <c r="V25" s="16" t="n">
        <v>3</v>
      </c>
      <c r="W25" s="23" t="s">
        <v>31</v>
      </c>
      <c r="Y25" s="67" t="n">
        <v>46081</v>
      </c>
      <c r="Z25" s="15" t="n">
        <v>3</v>
      </c>
    </row>
    <row r="26" ht="15.75" hidden="1" customHeight="1">
      <c r="A26" s="1" t="n">
        <v>216</v>
      </c>
      <c r="B26" s="28" t="n">
        <v>46080</v>
      </c>
      <c r="C26" s="1" t="s">
        <v>61</v>
      </c>
      <c r="E26" s="1" t="s">
        <v>76</v>
      </c>
      <c r="F26" s="1" t="s">
        <v>77</v>
      </c>
      <c r="G26" s="1" t="s">
        <v>29</v>
      </c>
      <c r="J26" s="1" t="s">
        <v>80</v>
      </c>
      <c r="K26" s="1"/>
      <c r="L26" s="6" t="s">
        <v>11</v>
      </c>
      <c r="M26" s="1" t="n">
        <v>150</v>
      </c>
      <c r="N26" s="1" t="n">
        <v>250</v>
      </c>
      <c r="O26" s="1" t="n">
        <v>3</v>
      </c>
      <c r="P26" s="1" t="s">
        <v>31</v>
      </c>
      <c r="Q26" s="19" t="f">
        <f>ROUNDUP(IF(G26="针织布",O26*M26*N26*1.03/100000,"0"),0)</f>
      </c>
      <c r="R26" s="19"/>
      <c r="S26" s="19" t="f">
        <f>V26*T26</f>
      </c>
      <c r="T26" s="16" t="n">
        <v>22</v>
      </c>
      <c r="U26" s="16" t="s">
        <v>32</v>
      </c>
      <c r="V26" s="16" t="n">
        <v>3</v>
      </c>
      <c r="W26" s="23" t="s">
        <v>31</v>
      </c>
      <c r="Y26" s="67" t="n">
        <v>46081</v>
      </c>
      <c r="Z26" s="15" t="n">
        <v>3</v>
      </c>
    </row>
    <row r="27" ht="15.75" hidden="1" customHeight="1">
      <c r="A27" s="1" t="n">
        <v>217</v>
      </c>
      <c r="B27" s="28" t="n">
        <v>46080</v>
      </c>
      <c r="C27" s="1" t="s">
        <v>61</v>
      </c>
      <c r="E27" s="1" t="s">
        <v>81</v>
      </c>
      <c r="F27" s="1" t="s">
        <v>82</v>
      </c>
      <c r="G27" s="1" t="s">
        <v>29</v>
      </c>
      <c r="J27" s="1" t="s">
        <v>83</v>
      </c>
      <c r="K27" s="1"/>
      <c r="L27" s="6" t="s">
        <v>11</v>
      </c>
      <c r="M27" s="1" t="n">
        <v>150</v>
      </c>
      <c r="N27" s="1" t="n">
        <v>250</v>
      </c>
      <c r="O27" s="1" t="n">
        <v>3</v>
      </c>
      <c r="P27" s="1" t="s">
        <v>31</v>
      </c>
      <c r="Q27" s="19" t="f">
        <f>ROUNDUP(IF(G27="针织布",O27*M27*N27*1.03/100000,"0"),0)</f>
      </c>
      <c r="R27" s="19"/>
      <c r="S27" s="19" t="f">
        <f>V27*T27</f>
      </c>
      <c r="T27" s="16" t="n">
        <v>25</v>
      </c>
      <c r="U27" s="16" t="s">
        <v>32</v>
      </c>
      <c r="V27" s="16" t="n">
        <v>3</v>
      </c>
      <c r="W27" s="23" t="s">
        <v>31</v>
      </c>
      <c r="Y27" s="67" t="n">
        <v>46081</v>
      </c>
      <c r="Z27" s="16" t="n">
        <v>3</v>
      </c>
    </row>
    <row r="28" ht="15.75" hidden="1" customHeight="1">
      <c r="A28" s="1" t="n">
        <v>218</v>
      </c>
      <c r="B28" s="28" t="n">
        <v>46080</v>
      </c>
      <c r="C28" s="1" t="s">
        <v>61</v>
      </c>
      <c r="E28" s="1" t="s">
        <v>81</v>
      </c>
      <c r="F28" s="1" t="s">
        <v>82</v>
      </c>
      <c r="G28" s="1" t="s">
        <v>29</v>
      </c>
      <c r="J28" s="1" t="s">
        <v>84</v>
      </c>
      <c r="K28" s="1"/>
      <c r="L28" s="6" t="s">
        <v>11</v>
      </c>
      <c r="M28" s="1" t="n">
        <v>150</v>
      </c>
      <c r="N28" s="1" t="n">
        <v>250</v>
      </c>
      <c r="O28" s="1" t="n">
        <v>3</v>
      </c>
      <c r="P28" s="1" t="s">
        <v>31</v>
      </c>
      <c r="Q28" s="19" t="f">
        <f>ROUNDUP(IF(G28="针织布",O28*M28*N28*1.03/100000,"0"),0)</f>
      </c>
      <c r="R28" s="19"/>
      <c r="S28" s="19" t="f">
        <f>V28*T28</f>
      </c>
      <c r="T28" s="16" t="n">
        <v>25</v>
      </c>
      <c r="U28" s="16" t="s">
        <v>32</v>
      </c>
      <c r="V28" s="16" t="n">
        <v>3</v>
      </c>
      <c r="W28" s="23" t="s">
        <v>31</v>
      </c>
      <c r="Y28" s="67" t="n">
        <v>46081</v>
      </c>
      <c r="Z28" s="16" t="n">
        <v>3</v>
      </c>
    </row>
    <row r="29" ht="15.75" hidden="1" customHeight="1">
      <c r="A29" s="1" t="n">
        <v>219</v>
      </c>
      <c r="B29" s="28" t="n">
        <v>46080</v>
      </c>
      <c r="C29" s="1" t="s">
        <v>61</v>
      </c>
      <c r="E29" s="1" t="s">
        <v>81</v>
      </c>
      <c r="F29" s="1" t="s">
        <v>82</v>
      </c>
      <c r="G29" s="1" t="s">
        <v>29</v>
      </c>
      <c r="J29" s="1" t="s">
        <v>85</v>
      </c>
      <c r="K29" s="1"/>
      <c r="L29" s="6" t="s">
        <v>11</v>
      </c>
      <c r="M29" s="1" t="n">
        <v>150</v>
      </c>
      <c r="N29" s="1" t="n">
        <v>250</v>
      </c>
      <c r="O29" s="1" t="n">
        <v>3</v>
      </c>
      <c r="P29" s="1" t="s">
        <v>31</v>
      </c>
      <c r="Q29" s="19" t="f">
        <f>ROUNDUP(IF(G29="针织布",O29*M29*N29*1.03/100000,"0"),0)</f>
      </c>
      <c r="R29" s="19"/>
      <c r="S29" s="19" t="f">
        <f>V29*T29</f>
      </c>
      <c r="T29" s="16" t="n">
        <v>25</v>
      </c>
      <c r="U29" s="16" t="s">
        <v>32</v>
      </c>
      <c r="V29" s="16" t="n">
        <v>3</v>
      </c>
      <c r="W29" s="23" t="s">
        <v>31</v>
      </c>
      <c r="Y29" s="67" t="n">
        <v>46081</v>
      </c>
      <c r="Z29" s="16" t="n">
        <v>3</v>
      </c>
    </row>
    <row r="30" ht="15.75" hidden="1" customHeight="1">
      <c r="A30" s="1" t="n">
        <v>220</v>
      </c>
      <c r="B30" s="28" t="n">
        <v>46080</v>
      </c>
      <c r="C30" s="1" t="s">
        <v>61</v>
      </c>
      <c r="E30" s="1" t="s">
        <v>86</v>
      </c>
      <c r="F30" s="1" t="s">
        <v>87</v>
      </c>
      <c r="G30" s="1" t="s">
        <v>29</v>
      </c>
      <c r="J30" s="1" t="s">
        <v>88</v>
      </c>
      <c r="K30" s="1"/>
      <c r="L30" s="6" t="s">
        <v>11</v>
      </c>
      <c r="M30" s="1" t="n">
        <v>150</v>
      </c>
      <c r="N30" s="1" t="n">
        <v>240</v>
      </c>
      <c r="O30" s="1" t="n">
        <v>3</v>
      </c>
      <c r="P30" s="1" t="s">
        <v>31</v>
      </c>
      <c r="Q30" s="19" t="f">
        <f>ROUNDUP(IF(G30="针织布",O30*M30*N30*1.03/100000,"0"),0)</f>
      </c>
      <c r="R30" s="19"/>
      <c r="S30" s="19" t="f">
        <f>V30*T30</f>
      </c>
      <c r="T30" s="16" t="n">
        <v>20</v>
      </c>
      <c r="U30" s="16" t="s">
        <v>32</v>
      </c>
      <c r="V30" s="16" t="n">
        <v>3</v>
      </c>
      <c r="W30" s="23" t="s">
        <v>31</v>
      </c>
      <c r="Y30" s="67" t="n">
        <v>46081</v>
      </c>
      <c r="Z30" s="16" t="n">
        <v>3</v>
      </c>
    </row>
    <row r="31" ht="15.75" hidden="1" customHeight="1">
      <c r="A31" s="1" t="n">
        <v>221</v>
      </c>
      <c r="B31" s="28" t="n">
        <v>46080</v>
      </c>
      <c r="C31" s="1" t="s">
        <v>61</v>
      </c>
      <c r="E31" s="1" t="s">
        <v>86</v>
      </c>
      <c r="F31" s="1" t="s">
        <v>87</v>
      </c>
      <c r="G31" s="1" t="s">
        <v>29</v>
      </c>
      <c r="J31" s="1" t="s">
        <v>89</v>
      </c>
      <c r="K31" s="1"/>
      <c r="L31" s="6" t="s">
        <v>11</v>
      </c>
      <c r="M31" s="1" t="n">
        <v>150</v>
      </c>
      <c r="N31" s="1" t="n">
        <v>240</v>
      </c>
      <c r="O31" s="1" t="n">
        <v>3</v>
      </c>
      <c r="P31" s="1" t="s">
        <v>31</v>
      </c>
      <c r="Q31" s="19" t="f">
        <f>ROUNDUP(IF(G31="针织布",O31*M31*N31*1.03/100000,"0"),0)</f>
      </c>
      <c r="R31" s="19"/>
      <c r="S31" s="19" t="f">
        <f>V31*T31</f>
      </c>
      <c r="T31" s="16" t="n">
        <v>20</v>
      </c>
      <c r="U31" s="16" t="s">
        <v>32</v>
      </c>
      <c r="V31" s="16" t="n">
        <v>3</v>
      </c>
      <c r="W31" s="23" t="s">
        <v>31</v>
      </c>
      <c r="Y31" s="67" t="n">
        <v>46081</v>
      </c>
      <c r="Z31" s="16" t="n">
        <v>3</v>
      </c>
    </row>
    <row r="32" ht="15.75" hidden="1" customHeight="1">
      <c r="A32" s="1" t="n">
        <v>222</v>
      </c>
      <c r="B32" s="28" t="n">
        <v>46080</v>
      </c>
      <c r="C32" s="1" t="s">
        <v>61</v>
      </c>
      <c r="E32" s="1" t="s">
        <v>86</v>
      </c>
      <c r="F32" s="1" t="s">
        <v>87</v>
      </c>
      <c r="G32" s="1" t="s">
        <v>29</v>
      </c>
      <c r="J32" s="1" t="s">
        <v>90</v>
      </c>
      <c r="K32" s="1"/>
      <c r="L32" s="6" t="s">
        <v>11</v>
      </c>
      <c r="M32" s="1" t="n">
        <v>150</v>
      </c>
      <c r="N32" s="1" t="n">
        <v>240</v>
      </c>
      <c r="O32" s="1" t="n">
        <v>3</v>
      </c>
      <c r="P32" s="1" t="s">
        <v>31</v>
      </c>
      <c r="Q32" s="19" t="f">
        <f>ROUNDUP(IF(G32="针织布",O32*M32*N32*1.03/100000,"0"),0)</f>
      </c>
      <c r="R32" s="19"/>
      <c r="S32" s="19" t="f">
        <f>V32*T32</f>
      </c>
      <c r="T32" s="16" t="n">
        <v>20</v>
      </c>
      <c r="U32" s="16" t="s">
        <v>32</v>
      </c>
      <c r="V32" s="16" t="n">
        <v>3</v>
      </c>
      <c r="W32" s="17" t="s">
        <v>31</v>
      </c>
      <c r="Y32" s="67" t="n">
        <v>46081</v>
      </c>
      <c r="Z32" s="16" t="n">
        <v>3</v>
      </c>
    </row>
    <row r="33" ht="15.75" hidden="1" customHeight="1">
      <c r="A33" s="24" t="s">
        <v>91</v>
      </c>
      <c r="B33" s="29" t="n">
        <v>46081</v>
      </c>
      <c r="C33" s="1" t="s">
        <v>61</v>
      </c>
      <c r="F33" s="24" t="s">
        <v>92</v>
      </c>
      <c r="G33" s="1" t="s">
        <v>29</v>
      </c>
      <c r="H33" s="1" t="s">
        <v>93</v>
      </c>
      <c r="I33" s="1" t="s">
        <v>92</v>
      </c>
      <c r="J33" s="1" t="s">
        <v>94</v>
      </c>
      <c r="K33" s="1"/>
      <c r="L33" s="6" t="s">
        <v>11</v>
      </c>
      <c r="M33" s="25" t="n">
        <v>150</v>
      </c>
      <c r="N33" s="25" t="n">
        <v>110</v>
      </c>
      <c r="O33" s="25" t="n">
        <v>2</v>
      </c>
      <c r="P33" s="1" t="s">
        <v>31</v>
      </c>
      <c r="Q33" s="19" t="f">
        <f>ROUNDUP(IF(G33="针织布",O33*M33*N33*1.03/100000,"0"),0)</f>
      </c>
      <c r="R33" s="19"/>
      <c r="S33" s="19" t="f">
        <f>V33*T33</f>
      </c>
      <c r="T33" s="16" t="n">
        <v>22</v>
      </c>
      <c r="U33" s="16" t="s">
        <v>32</v>
      </c>
      <c r="V33" s="16" t="n">
        <v>2</v>
      </c>
      <c r="W33" s="17" t="s">
        <v>31</v>
      </c>
      <c r="Y33" s="67" t="n">
        <v>46082</v>
      </c>
      <c r="Z33" s="15" t="n">
        <v>2</v>
      </c>
    </row>
    <row r="34" ht="15.75" hidden="1" customHeight="1">
      <c r="A34" s="1" t="s">
        <v>95</v>
      </c>
      <c r="B34" s="28" t="n">
        <v>46081</v>
      </c>
      <c r="C34" s="35" t="s">
        <v>26</v>
      </c>
      <c r="F34" s="1" t="s">
        <v>96</v>
      </c>
      <c r="G34" s="1" t="s">
        <v>39</v>
      </c>
      <c r="H34" s="1" t="s">
        <v>97</v>
      </c>
      <c r="I34" s="1" t="s">
        <v>98</v>
      </c>
      <c r="J34" s="1" t="s">
        <v>99</v>
      </c>
      <c r="L34" s="6" t="s">
        <v>11</v>
      </c>
      <c r="M34" s="1" t="n">
        <v>172</v>
      </c>
      <c r="N34" s="1" t="n">
        <v>210</v>
      </c>
      <c r="O34" s="1" t="n">
        <v>150</v>
      </c>
      <c r="P34" s="1" t="s">
        <v>31</v>
      </c>
      <c r="Q34" s="19" t="f">
        <f>ROUNDUP(IF(G34="针织布",O34*M34*N34*1.03/100000,"0"),0)</f>
      </c>
      <c r="R34" s="19" t="s">
        <v>100</v>
      </c>
      <c r="S34" s="19" t="f">
        <f>X34*T34</f>
      </c>
      <c r="T34" s="16" t="n">
        <v>19.800000</v>
      </c>
      <c r="U34" s="16" t="s">
        <v>101</v>
      </c>
      <c r="V34" s="16" t="n">
        <v>137</v>
      </c>
      <c r="W34" s="17" t="s">
        <v>31</v>
      </c>
      <c r="X34" s="16" t="n">
        <v>49.900000</v>
      </c>
      <c r="Y34" s="67" t="n">
        <v>46086</v>
      </c>
      <c r="Z34" s="15" t="n">
        <v>137</v>
      </c>
    </row>
    <row r="35" ht="15.75" hidden="1" customHeight="1">
      <c r="A35" s="1" t="s">
        <v>102</v>
      </c>
      <c r="B35" s="28" t="n">
        <v>46081</v>
      </c>
      <c r="C35" s="35" t="s">
        <v>26</v>
      </c>
      <c r="F35" s="1" t="s">
        <v>96</v>
      </c>
      <c r="G35" s="1" t="s">
        <v>39</v>
      </c>
      <c r="H35" s="1" t="s">
        <v>97</v>
      </c>
      <c r="I35" s="1" t="s">
        <v>98</v>
      </c>
      <c r="J35" s="1" t="s">
        <v>103</v>
      </c>
      <c r="L35" s="6" t="s">
        <v>11</v>
      </c>
      <c r="M35" s="1" t="n">
        <v>172</v>
      </c>
      <c r="N35" s="1" t="n">
        <v>210</v>
      </c>
      <c r="O35" s="1" t="n">
        <v>120</v>
      </c>
      <c r="P35" s="1" t="s">
        <v>31</v>
      </c>
      <c r="Q35" s="19" t="f">
        <f>ROUNDUP(IF(G35="针织布",O35*M35*N35*1.03/100000,"0"),0)</f>
      </c>
      <c r="R35" s="19" t="s">
        <v>100</v>
      </c>
      <c r="S35" s="19" t="f">
        <f>X35*T35</f>
      </c>
      <c r="T35" s="16" t="n">
        <v>19.800000</v>
      </c>
      <c r="U35" s="16" t="s">
        <v>101</v>
      </c>
      <c r="V35" s="16" t="n">
        <v>137</v>
      </c>
      <c r="W35" s="17" t="s">
        <v>31</v>
      </c>
      <c r="X35" s="16" t="n">
        <v>49.500000</v>
      </c>
      <c r="Y35" s="67" t="n">
        <v>46086</v>
      </c>
      <c r="Z35" s="15" t="n">
        <v>137</v>
      </c>
    </row>
    <row r="36" ht="15.75" hidden="1" customHeight="1">
      <c r="A36" s="1" t="s">
        <v>104</v>
      </c>
      <c r="B36" s="28" t="n">
        <v>46081</v>
      </c>
      <c r="C36" s="35" t="s">
        <v>26</v>
      </c>
      <c r="F36" s="1" t="s">
        <v>96</v>
      </c>
      <c r="G36" s="1" t="s">
        <v>39</v>
      </c>
      <c r="H36" s="1" t="s">
        <v>97</v>
      </c>
      <c r="I36" s="1" t="s">
        <v>98</v>
      </c>
      <c r="J36" s="1" t="s">
        <v>105</v>
      </c>
      <c r="L36" s="6" t="s">
        <v>11</v>
      </c>
      <c r="M36" s="1" t="n">
        <v>172</v>
      </c>
      <c r="N36" s="1" t="n">
        <v>210</v>
      </c>
      <c r="O36" s="1" t="n">
        <v>120</v>
      </c>
      <c r="P36" s="1" t="s">
        <v>31</v>
      </c>
      <c r="Q36" s="19" t="f">
        <f>ROUNDUP(IF(G36="针织布",O36*M36*N36*1.03/100000,"0"),0)</f>
      </c>
      <c r="R36" s="19" t="s">
        <v>100</v>
      </c>
      <c r="S36" s="19" t="f">
        <f>X36*T36</f>
      </c>
      <c r="T36" s="16" t="n">
        <v>19.800000</v>
      </c>
      <c r="U36" s="16" t="s">
        <v>101</v>
      </c>
      <c r="V36" s="16" t="n">
        <v>142</v>
      </c>
      <c r="W36" s="17" t="s">
        <v>31</v>
      </c>
      <c r="X36" s="16" t="n">
        <v>50.500000</v>
      </c>
      <c r="Y36" s="67" t="n">
        <v>46086</v>
      </c>
      <c r="Z36" s="15" t="n">
        <v>142</v>
      </c>
    </row>
    <row r="37" ht="15.75" hidden="1" customHeight="1">
      <c r="A37" s="1" t="s">
        <v>106</v>
      </c>
      <c r="B37" s="28" t="n">
        <v>46081</v>
      </c>
      <c r="C37" s="35" t="s">
        <v>26</v>
      </c>
      <c r="F37" s="1" t="s">
        <v>96</v>
      </c>
      <c r="G37" s="1" t="s">
        <v>39</v>
      </c>
      <c r="H37" s="1" t="s">
        <v>97</v>
      </c>
      <c r="I37" s="1" t="s">
        <v>98</v>
      </c>
      <c r="J37" s="1" t="s">
        <v>107</v>
      </c>
      <c r="L37" s="6" t="s">
        <v>11</v>
      </c>
      <c r="M37" s="1" t="n">
        <v>172</v>
      </c>
      <c r="N37" s="1" t="n">
        <v>210</v>
      </c>
      <c r="O37" s="1" t="n">
        <v>100</v>
      </c>
      <c r="P37" s="1" t="s">
        <v>31</v>
      </c>
      <c r="Q37" s="19" t="f">
        <f>ROUNDUP(IF(G37="针织布",O37*M37*N37*1.03/100000,"0"),0)</f>
      </c>
      <c r="R37" s="19" t="s">
        <v>100</v>
      </c>
      <c r="S37" s="19" t="f">
        <f>X37*T37</f>
      </c>
      <c r="T37" s="16" t="n">
        <v>19.800000</v>
      </c>
      <c r="U37" s="16" t="s">
        <v>101</v>
      </c>
      <c r="V37" s="16" t="n">
        <v>144</v>
      </c>
      <c r="W37" s="17" t="s">
        <v>31</v>
      </c>
      <c r="X37" s="16" t="n">
        <v>50.300000</v>
      </c>
      <c r="Y37" s="67" t="n">
        <v>46086</v>
      </c>
      <c r="Z37" s="15" t="n">
        <v>144</v>
      </c>
    </row>
    <row r="38" ht="15.75" hidden="1" customHeight="1">
      <c r="A38" s="1" t="n">
        <v>229</v>
      </c>
      <c r="B38" s="28" t="n">
        <v>46093</v>
      </c>
      <c r="C38" s="35" t="s">
        <v>26</v>
      </c>
      <c r="E38" s="1" t="s">
        <v>108</v>
      </c>
      <c r="F38" s="1" t="s">
        <v>109</v>
      </c>
      <c r="G38" s="1" t="s">
        <v>39</v>
      </c>
      <c r="H38" s="1" t="s">
        <v>110</v>
      </c>
      <c r="I38" s="1" t="s">
        <v>111</v>
      </c>
      <c r="J38" s="24" t="s">
        <v>112</v>
      </c>
      <c r="L38" s="6" t="s">
        <v>11</v>
      </c>
      <c r="M38" s="1" t="n">
        <v>170</v>
      </c>
      <c r="N38" s="1" t="n">
        <v>200</v>
      </c>
      <c r="O38" s="1" t="n">
        <v>70</v>
      </c>
      <c r="P38" s="1" t="s">
        <v>31</v>
      </c>
      <c r="Q38" s="19"/>
      <c r="R38" s="19"/>
      <c r="S38" s="19" t="f">
        <f>T38*X38</f>
      </c>
      <c r="T38" s="16" t="n">
        <v>38.500000</v>
      </c>
      <c r="U38" s="16" t="s">
        <v>101</v>
      </c>
      <c r="V38" s="16" t="n">
        <v>72.500000</v>
      </c>
      <c r="W38" s="17" t="s">
        <v>31</v>
      </c>
      <c r="X38" s="16" t="n">
        <v>25</v>
      </c>
      <c r="Y38" s="67" t="n">
        <v>46094</v>
      </c>
      <c r="Z38" s="15" t="n">
        <v>72.500000</v>
      </c>
    </row>
    <row r="39" ht="15.75" hidden="1" customHeight="1">
      <c r="A39" s="1" t="n">
        <v>230</v>
      </c>
      <c r="B39" s="28" t="n">
        <v>46093</v>
      </c>
      <c r="C39" s="35" t="s">
        <v>26</v>
      </c>
      <c r="E39" s="1" t="s">
        <v>108</v>
      </c>
      <c r="F39" s="1" t="s">
        <v>109</v>
      </c>
      <c r="G39" s="1" t="s">
        <v>39</v>
      </c>
      <c r="H39" s="1" t="s">
        <v>110</v>
      </c>
      <c r="I39" s="1" t="s">
        <v>111</v>
      </c>
      <c r="J39" s="35" t="s">
        <v>113</v>
      </c>
      <c r="L39" s="6" t="s">
        <v>11</v>
      </c>
      <c r="M39" s="1" t="n">
        <v>170</v>
      </c>
      <c r="N39" s="1" t="n">
        <v>200</v>
      </c>
      <c r="O39" s="1" t="n">
        <v>15</v>
      </c>
      <c r="P39" s="1" t="s">
        <v>31</v>
      </c>
      <c r="Q39" s="19"/>
      <c r="R39" s="19"/>
      <c r="S39" s="19" t="f">
        <f>V39*T39</f>
      </c>
      <c r="T39" s="16" t="n">
        <v>30</v>
      </c>
      <c r="U39" s="16" t="s">
        <v>32</v>
      </c>
      <c r="V39" s="16" t="n">
        <v>15</v>
      </c>
      <c r="W39" s="17" t="s">
        <v>31</v>
      </c>
      <c r="Y39" s="67" t="n">
        <v>46094</v>
      </c>
      <c r="Z39" s="15" t="n">
        <v>15</v>
      </c>
    </row>
    <row r="40" ht="15.75" hidden="1" customHeight="1">
      <c r="A40" s="1" t="n">
        <v>238</v>
      </c>
      <c r="B40" s="28" t="n">
        <v>46083</v>
      </c>
      <c r="C40" s="1" t="s">
        <v>61</v>
      </c>
      <c r="F40" s="1" t="s">
        <v>109</v>
      </c>
      <c r="G40" s="1" t="s">
        <v>39</v>
      </c>
      <c r="H40" s="1" t="s">
        <v>110</v>
      </c>
      <c r="I40" s="1" t="s">
        <v>111</v>
      </c>
      <c r="J40" s="1" t="s">
        <v>114</v>
      </c>
      <c r="L40" s="6" t="s">
        <v>11</v>
      </c>
      <c r="M40" s="1" t="n">
        <v>170</v>
      </c>
      <c r="N40" s="1" t="n">
        <v>200</v>
      </c>
      <c r="O40" s="1" t="n">
        <v>1</v>
      </c>
      <c r="P40" s="1" t="s">
        <v>31</v>
      </c>
      <c r="Q40" s="19"/>
      <c r="R40" s="19"/>
      <c r="S40" s="19" t="f">
        <f>T40*V40</f>
      </c>
      <c r="T40" s="16" t="n">
        <v>30</v>
      </c>
      <c r="U40" s="16" t="s">
        <v>32</v>
      </c>
      <c r="V40" s="16" t="n">
        <v>1</v>
      </c>
      <c r="W40" s="17" t="s">
        <v>31</v>
      </c>
      <c r="Y40" s="67" t="n">
        <v>46084</v>
      </c>
      <c r="Z40" s="15" t="n">
        <v>1</v>
      </c>
    </row>
    <row r="41" ht="15.75" hidden="1" customHeight="1">
      <c r="A41" s="1" t="n">
        <v>239</v>
      </c>
      <c r="B41" s="28" t="n">
        <v>46083</v>
      </c>
      <c r="C41" s="1" t="s">
        <v>61</v>
      </c>
      <c r="F41" s="1" t="s">
        <v>109</v>
      </c>
      <c r="G41" s="1" t="s">
        <v>39</v>
      </c>
      <c r="H41" s="1" t="s">
        <v>110</v>
      </c>
      <c r="I41" s="1" t="s">
        <v>111</v>
      </c>
      <c r="J41" s="1" t="s">
        <v>115</v>
      </c>
      <c r="L41" s="6" t="s">
        <v>11</v>
      </c>
      <c r="M41" s="1" t="n">
        <v>170</v>
      </c>
      <c r="N41" s="1" t="n">
        <v>200</v>
      </c>
      <c r="O41" s="1" t="n">
        <v>1</v>
      </c>
      <c r="P41" s="1" t="s">
        <v>31</v>
      </c>
      <c r="Q41" s="19"/>
      <c r="R41" s="19"/>
      <c r="S41" s="19" t="f">
        <f>T41*V41</f>
      </c>
      <c r="T41" s="16" t="n">
        <v>30</v>
      </c>
      <c r="U41" s="16" t="s">
        <v>32</v>
      </c>
      <c r="V41" s="16" t="n">
        <v>1</v>
      </c>
      <c r="W41" s="17" t="s">
        <v>31</v>
      </c>
      <c r="Y41" s="67" t="n">
        <v>46084</v>
      </c>
      <c r="Z41" s="15" t="n">
        <v>1</v>
      </c>
    </row>
    <row r="42" ht="15.75" hidden="1" customHeight="1">
      <c r="A42" s="1" t="n">
        <v>240</v>
      </c>
      <c r="B42" s="28" t="n">
        <v>46084</v>
      </c>
      <c r="C42" s="1" t="s">
        <v>61</v>
      </c>
      <c r="F42" s="1" t="s">
        <v>75</v>
      </c>
      <c r="G42" s="1" t="s">
        <v>39</v>
      </c>
      <c r="H42" s="1" t="s">
        <v>116</v>
      </c>
      <c r="I42" s="1" t="s">
        <v>117</v>
      </c>
      <c r="J42" s="1" t="s">
        <v>62</v>
      </c>
      <c r="L42" s="6" t="s">
        <v>11</v>
      </c>
      <c r="M42" s="1" t="n">
        <v>165</v>
      </c>
      <c r="N42" s="1" t="n">
        <v>200</v>
      </c>
      <c r="O42" s="1" t="n">
        <v>6</v>
      </c>
      <c r="P42" s="1" t="s">
        <v>31</v>
      </c>
      <c r="Q42" s="19"/>
      <c r="R42" s="19"/>
      <c r="S42" s="19" t="f">
        <f>T42*V42</f>
      </c>
      <c r="T42" s="16" t="n">
        <v>25</v>
      </c>
      <c r="U42" s="16" t="s">
        <v>32</v>
      </c>
      <c r="V42" s="16" t="n">
        <v>6</v>
      </c>
      <c r="W42" s="17" t="s">
        <v>31</v>
      </c>
      <c r="Y42" s="67" t="n">
        <v>46084</v>
      </c>
      <c r="Z42" s="15" t="n">
        <v>6</v>
      </c>
    </row>
    <row r="43" ht="15.75" hidden="1" customHeight="1">
      <c r="A43" s="1" t="n">
        <v>243</v>
      </c>
      <c r="B43" s="28" t="n">
        <v>46084</v>
      </c>
      <c r="C43" s="1" t="s">
        <v>61</v>
      </c>
      <c r="F43" s="24" t="s">
        <v>96</v>
      </c>
      <c r="G43" s="25" t="s">
        <v>39</v>
      </c>
      <c r="H43" s="25" t="s">
        <v>97</v>
      </c>
      <c r="I43" s="1" t="s">
        <v>98</v>
      </c>
      <c r="J43" s="24" t="s">
        <v>118</v>
      </c>
      <c r="K43" s="25"/>
      <c r="L43" s="6" t="s">
        <v>11</v>
      </c>
      <c r="M43" s="25" t="n">
        <v>172</v>
      </c>
      <c r="N43" s="25" t="n">
        <v>210</v>
      </c>
      <c r="O43" s="25" t="n">
        <v>2</v>
      </c>
      <c r="P43" s="1" t="s">
        <v>31</v>
      </c>
      <c r="Q43" s="19"/>
      <c r="R43" s="19"/>
      <c r="S43" s="19" t="f">
        <f>T43*V43</f>
      </c>
      <c r="T43" s="16" t="n">
        <v>20</v>
      </c>
      <c r="U43" s="16" t="s">
        <v>32</v>
      </c>
      <c r="V43" s="16" t="n">
        <v>2</v>
      </c>
      <c r="W43" s="17" t="s">
        <v>31</v>
      </c>
      <c r="Y43" s="67" t="n">
        <v>46084</v>
      </c>
      <c r="Z43" s="15" t="n">
        <v>2</v>
      </c>
    </row>
    <row r="44" ht="15.75" hidden="1" customHeight="1">
      <c r="A44" s="1" t="n">
        <v>244</v>
      </c>
      <c r="B44" s="28" t="n">
        <v>46084</v>
      </c>
      <c r="C44" s="1" t="s">
        <v>61</v>
      </c>
      <c r="F44" s="24" t="s">
        <v>96</v>
      </c>
      <c r="G44" s="25" t="s">
        <v>39</v>
      </c>
      <c r="H44" s="25" t="s">
        <v>97</v>
      </c>
      <c r="I44" s="1" t="s">
        <v>98</v>
      </c>
      <c r="J44" s="24" t="s">
        <v>118</v>
      </c>
      <c r="K44" s="25"/>
      <c r="L44" s="6" t="s">
        <v>11</v>
      </c>
      <c r="M44" s="25" t="n">
        <v>172</v>
      </c>
      <c r="N44" s="25" t="n">
        <v>210</v>
      </c>
      <c r="O44" s="25" t="n">
        <v>2</v>
      </c>
      <c r="P44" s="1" t="s">
        <v>31</v>
      </c>
      <c r="Q44" s="19"/>
      <c r="R44" s="19"/>
      <c r="S44" s="19" t="f">
        <f>T44*V44</f>
      </c>
      <c r="T44" s="16" t="n">
        <v>20</v>
      </c>
      <c r="U44" s="16" t="s">
        <v>32</v>
      </c>
      <c r="V44" s="16" t="n">
        <v>2</v>
      </c>
      <c r="W44" s="17" t="s">
        <v>31</v>
      </c>
      <c r="Y44" s="67" t="n">
        <v>46084</v>
      </c>
      <c r="Z44" s="15" t="n">
        <v>2</v>
      </c>
    </row>
    <row r="45" ht="15.75" hidden="1" customHeight="1">
      <c r="A45" s="24" t="n">
        <v>257</v>
      </c>
      <c r="B45" s="29" t="n">
        <v>46085</v>
      </c>
      <c r="C45" s="1" t="s">
        <v>61</v>
      </c>
      <c r="F45" s="24" t="s">
        <v>74</v>
      </c>
      <c r="G45" s="25" t="s">
        <v>39</v>
      </c>
      <c r="H45" s="1" t="s">
        <v>119</v>
      </c>
      <c r="I45" s="1" t="s">
        <v>120</v>
      </c>
      <c r="J45" s="1" t="s">
        <v>68</v>
      </c>
      <c r="L45" s="6" t="s">
        <v>11</v>
      </c>
      <c r="M45" s="1" t="n">
        <v>165</v>
      </c>
      <c r="N45" s="1" t="n">
        <v>240</v>
      </c>
      <c r="O45" s="1" t="n">
        <v>11</v>
      </c>
      <c r="P45" s="1" t="s">
        <v>31</v>
      </c>
      <c r="Q45" s="19"/>
      <c r="R45" s="19"/>
      <c r="S45" s="19" t="f">
        <f>V45*T45</f>
      </c>
      <c r="T45" s="16" t="n">
        <v>30</v>
      </c>
      <c r="U45" s="16" t="s">
        <v>32</v>
      </c>
      <c r="V45" s="16" t="n">
        <v>11</v>
      </c>
      <c r="W45" s="17" t="s">
        <v>31</v>
      </c>
      <c r="Y45" s="67" t="n">
        <v>46086</v>
      </c>
      <c r="Z45" s="15" t="n">
        <v>11</v>
      </c>
    </row>
    <row r="46" ht="15.75" hidden="1" customHeight="1">
      <c r="A46" s="1" t="n">
        <v>273</v>
      </c>
      <c r="B46" s="33" t="n">
        <v>46087</v>
      </c>
      <c r="C46" s="1" t="s">
        <v>61</v>
      </c>
      <c r="F46" s="24" t="s">
        <v>121</v>
      </c>
      <c r="G46" s="25" t="s">
        <v>29</v>
      </c>
      <c r="H46" s="1" t="s">
        <v>119</v>
      </c>
      <c r="I46" s="1" t="s">
        <v>122</v>
      </c>
      <c r="J46" s="1" t="s">
        <v>123</v>
      </c>
      <c r="L46" s="6" t="s">
        <v>11</v>
      </c>
      <c r="M46" s="1" t="n">
        <v>150</v>
      </c>
      <c r="N46" s="1" t="n">
        <v>170</v>
      </c>
      <c r="O46" s="1" t="n">
        <v>5</v>
      </c>
      <c r="P46" s="1" t="s">
        <v>31</v>
      </c>
      <c r="Q46" s="19"/>
      <c r="R46" s="19"/>
      <c r="S46" s="19" t="f">
        <f>T46*V46</f>
      </c>
      <c r="T46" s="16" t="n">
        <v>16</v>
      </c>
      <c r="U46" s="16" t="s">
        <v>32</v>
      </c>
      <c r="V46" s="16" t="n">
        <v>5</v>
      </c>
      <c r="W46" s="17" t="s">
        <v>31</v>
      </c>
      <c r="Y46" s="67" t="n">
        <v>46087</v>
      </c>
      <c r="Z46" s="15" t="n">
        <v>5</v>
      </c>
    </row>
    <row r="47" ht="15.75" hidden="1" customHeight="1">
      <c r="A47" s="1" t="n">
        <v>274</v>
      </c>
      <c r="B47" s="34" t="n">
        <v>46087</v>
      </c>
      <c r="C47" s="1" t="s">
        <v>61</v>
      </c>
      <c r="F47" s="35" t="s">
        <v>121</v>
      </c>
      <c r="G47" s="36" t="s">
        <v>29</v>
      </c>
      <c r="H47" s="1" t="s">
        <v>119</v>
      </c>
      <c r="I47" s="1" t="s">
        <v>122</v>
      </c>
      <c r="J47" s="1" t="s">
        <v>124</v>
      </c>
      <c r="L47" s="6" t="s">
        <v>11</v>
      </c>
      <c r="M47" s="1" t="n">
        <v>150</v>
      </c>
      <c r="N47" s="1" t="n">
        <v>170</v>
      </c>
      <c r="O47" s="1" t="n">
        <v>1</v>
      </c>
      <c r="P47" s="1" t="s">
        <v>31</v>
      </c>
      <c r="Q47" s="19"/>
      <c r="R47" s="19"/>
      <c r="S47" s="19" t="f">
        <f>T47*V47</f>
      </c>
      <c r="T47" s="16" t="n">
        <v>16</v>
      </c>
      <c r="U47" s="16" t="s">
        <v>32</v>
      </c>
      <c r="V47" s="16" t="n">
        <v>1</v>
      </c>
      <c r="W47" s="17" t="s">
        <v>31</v>
      </c>
      <c r="Y47" s="67" t="n">
        <v>46087</v>
      </c>
      <c r="Z47" s="15" t="n">
        <v>1</v>
      </c>
    </row>
    <row r="48" ht="15.75" hidden="1" customHeight="1">
      <c r="A48" s="1" t="n">
        <v>275</v>
      </c>
      <c r="B48" s="34" t="n">
        <v>46087</v>
      </c>
      <c r="C48" s="1" t="s">
        <v>61</v>
      </c>
      <c r="F48" s="24" t="s">
        <v>92</v>
      </c>
      <c r="G48" s="1" t="s">
        <v>29</v>
      </c>
      <c r="H48" s="1" t="s">
        <v>93</v>
      </c>
      <c r="I48" s="1" t="s">
        <v>92</v>
      </c>
      <c r="J48" s="1" t="s">
        <v>94</v>
      </c>
      <c r="L48" s="6" t="s">
        <v>11</v>
      </c>
      <c r="M48" s="25" t="n">
        <v>150</v>
      </c>
      <c r="N48" s="25" t="n">
        <v>110</v>
      </c>
      <c r="O48" s="25" t="n">
        <v>2</v>
      </c>
      <c r="P48" s="1" t="s">
        <v>31</v>
      </c>
      <c r="Q48" s="19"/>
      <c r="R48" s="19"/>
      <c r="S48" s="19" t="f">
        <f>T48*V48</f>
      </c>
      <c r="T48" s="16" t="n">
        <v>22</v>
      </c>
      <c r="U48" s="16" t="s">
        <v>32</v>
      </c>
      <c r="V48" s="16" t="n">
        <v>2</v>
      </c>
      <c r="W48" s="23" t="s">
        <v>31</v>
      </c>
      <c r="Y48" s="67" t="n">
        <v>46087</v>
      </c>
      <c r="Z48" s="15" t="n">
        <v>2</v>
      </c>
    </row>
    <row r="49" ht="15.75" hidden="1" customHeight="1">
      <c r="A49" s="1" t="n">
        <v>276</v>
      </c>
      <c r="B49" s="28" t="n">
        <v>46090</v>
      </c>
      <c r="C49" s="1" t="s">
        <v>61</v>
      </c>
      <c r="F49" s="1" t="s">
        <v>121</v>
      </c>
      <c r="G49" s="1" t="s">
        <v>29</v>
      </c>
      <c r="H49" s="1" t="s">
        <v>119</v>
      </c>
      <c r="I49" s="1" t="s">
        <v>122</v>
      </c>
      <c r="J49" s="1" t="s">
        <v>125</v>
      </c>
      <c r="L49" s="6" t="s">
        <v>11</v>
      </c>
      <c r="M49" s="1" t="n">
        <v>150</v>
      </c>
      <c r="N49" s="1" t="n">
        <v>170</v>
      </c>
      <c r="O49" s="1" t="n">
        <v>11</v>
      </c>
      <c r="P49" s="1" t="s">
        <v>31</v>
      </c>
      <c r="Q49" s="19"/>
      <c r="R49" s="19"/>
      <c r="S49" s="19" t="f">
        <f>T49*V49</f>
      </c>
      <c r="T49" s="16" t="n">
        <v>16</v>
      </c>
      <c r="U49" s="16" t="s">
        <v>32</v>
      </c>
      <c r="V49" s="16" t="n">
        <v>11</v>
      </c>
      <c r="W49" s="23" t="s">
        <v>31</v>
      </c>
      <c r="Y49" s="67" t="n">
        <v>46091</v>
      </c>
      <c r="Z49" s="15" t="n">
        <v>11</v>
      </c>
    </row>
    <row r="50" ht="15.75" hidden="1" customHeight="1">
      <c r="A50" s="1" t="n">
        <v>292</v>
      </c>
      <c r="B50" s="28" t="n">
        <v>46091</v>
      </c>
      <c r="C50" s="1" t="s">
        <v>61</v>
      </c>
      <c r="F50" s="1" t="s">
        <v>96</v>
      </c>
      <c r="G50" s="1" t="s">
        <v>39</v>
      </c>
      <c r="H50" s="25" t="s">
        <v>97</v>
      </c>
      <c r="I50" s="1" t="s">
        <v>98</v>
      </c>
      <c r="J50" s="24" t="s">
        <v>118</v>
      </c>
      <c r="K50" s="25"/>
      <c r="L50" s="6" t="s">
        <v>11</v>
      </c>
      <c r="M50" s="25" t="n">
        <v>172</v>
      </c>
      <c r="N50" s="25" t="n">
        <v>210</v>
      </c>
      <c r="O50" s="25" t="n">
        <v>2</v>
      </c>
      <c r="P50" s="1" t="s">
        <v>31</v>
      </c>
      <c r="Q50" s="19"/>
      <c r="R50" s="19"/>
      <c r="S50" s="19" t="f">
        <f>T50*V50</f>
      </c>
      <c r="T50" s="16" t="n">
        <v>20</v>
      </c>
      <c r="U50" s="16" t="s">
        <v>32</v>
      </c>
      <c r="V50" s="16" t="n">
        <v>2</v>
      </c>
      <c r="W50" s="17" t="s">
        <v>31</v>
      </c>
      <c r="Y50" s="67" t="n">
        <v>46092</v>
      </c>
      <c r="Z50" s="15" t="n">
        <v>2</v>
      </c>
    </row>
    <row r="51" ht="15.75" hidden="1" customHeight="1">
      <c r="A51" s="1" t="n">
        <v>284</v>
      </c>
      <c r="B51" s="28" t="n">
        <v>46091</v>
      </c>
      <c r="C51" s="1" t="s">
        <v>61</v>
      </c>
      <c r="F51" s="1" t="s">
        <v>126</v>
      </c>
      <c r="G51" s="1" t="s">
        <v>29</v>
      </c>
      <c r="H51" s="1"/>
      <c r="I51" s="1" t="s">
        <v>127</v>
      </c>
      <c r="J51" s="1" t="s">
        <v>128</v>
      </c>
      <c r="L51" s="6" t="s">
        <v>11</v>
      </c>
      <c r="M51" s="1" t="n">
        <v>145</v>
      </c>
      <c r="N51" s="1" t="n">
        <v>200</v>
      </c>
      <c r="O51" s="1" t="n">
        <v>3</v>
      </c>
      <c r="P51" s="1" t="s">
        <v>31</v>
      </c>
      <c r="Q51" s="19"/>
      <c r="R51" s="19"/>
      <c r="S51" s="19" t="n">
        <v>90</v>
      </c>
      <c r="T51" s="16" t="n">
        <v>30</v>
      </c>
      <c r="U51" s="16" t="s">
        <v>32</v>
      </c>
      <c r="V51" s="16" t="n">
        <v>3</v>
      </c>
      <c r="W51" s="17" t="s">
        <v>31</v>
      </c>
      <c r="Y51" s="67" t="n">
        <v>46092</v>
      </c>
      <c r="Z51" s="15" t="n">
        <v>3</v>
      </c>
    </row>
    <row r="52" ht="15.75" hidden="1" customHeight="1">
      <c r="A52" s="1" t="n">
        <v>293</v>
      </c>
      <c r="B52" s="28" t="n">
        <v>46092</v>
      </c>
      <c r="C52" s="1" t="s">
        <v>61</v>
      </c>
      <c r="F52" s="1" t="s">
        <v>109</v>
      </c>
      <c r="G52" s="1" t="s">
        <v>39</v>
      </c>
      <c r="H52" s="1" t="s">
        <v>110</v>
      </c>
      <c r="I52" s="1" t="s">
        <v>111</v>
      </c>
      <c r="J52" s="1" t="s">
        <v>129</v>
      </c>
      <c r="L52" s="6" t="s">
        <v>11</v>
      </c>
      <c r="M52" s="1" t="n">
        <v>170</v>
      </c>
      <c r="N52" s="1" t="n">
        <v>200</v>
      </c>
      <c r="O52" s="1" t="n">
        <v>1</v>
      </c>
      <c r="P52" s="1" t="s">
        <v>31</v>
      </c>
      <c r="Q52" s="19"/>
      <c r="R52" s="19"/>
      <c r="S52" s="19" t="n">
        <v>30</v>
      </c>
      <c r="T52" s="16" t="n">
        <v>30</v>
      </c>
      <c r="U52" s="16" t="s">
        <v>32</v>
      </c>
      <c r="V52" s="16" t="n">
        <v>1</v>
      </c>
      <c r="W52" s="17" t="s">
        <v>31</v>
      </c>
      <c r="Y52" s="67" t="n">
        <v>46093</v>
      </c>
      <c r="Z52" s="15"/>
    </row>
    <row r="53" ht="15.75" hidden="1" customHeight="1">
      <c r="A53" s="1" t="n">
        <v>294</v>
      </c>
      <c r="B53" s="28" t="n">
        <v>46092</v>
      </c>
      <c r="C53" s="1" t="s">
        <v>61</v>
      </c>
      <c r="F53" s="1" t="s">
        <v>109</v>
      </c>
      <c r="G53" s="1" t="s">
        <v>39</v>
      </c>
      <c r="H53" s="1" t="s">
        <v>110</v>
      </c>
      <c r="I53" s="1" t="s">
        <v>111</v>
      </c>
      <c r="J53" s="1" t="s">
        <v>130</v>
      </c>
      <c r="L53" s="6" t="s">
        <v>11</v>
      </c>
      <c r="M53" s="1" t="n">
        <v>170</v>
      </c>
      <c r="N53" s="1" t="n">
        <v>200</v>
      </c>
      <c r="O53" s="1" t="n">
        <v>1</v>
      </c>
      <c r="P53" s="1" t="s">
        <v>31</v>
      </c>
      <c r="Q53" s="19"/>
      <c r="R53" s="19"/>
      <c r="S53" s="19" t="n">
        <v>30</v>
      </c>
      <c r="T53" s="16" t="n">
        <v>30</v>
      </c>
      <c r="U53" s="16" t="s">
        <v>32</v>
      </c>
      <c r="V53" s="16" t="n">
        <v>1</v>
      </c>
      <c r="W53" s="17" t="s">
        <v>31</v>
      </c>
      <c r="Y53" s="67" t="n">
        <v>46093</v>
      </c>
      <c r="Z53" s="15"/>
    </row>
    <row r="54" ht="15.75" hidden="1" customHeight="1">
      <c r="A54" s="1" t="n">
        <v>295</v>
      </c>
      <c r="B54" s="28" t="n">
        <v>46092</v>
      </c>
      <c r="C54" s="1" t="s">
        <v>61</v>
      </c>
      <c r="F54" s="1" t="s">
        <v>109</v>
      </c>
      <c r="G54" s="1" t="s">
        <v>39</v>
      </c>
      <c r="H54" s="1" t="s">
        <v>110</v>
      </c>
      <c r="I54" s="1" t="s">
        <v>111</v>
      </c>
      <c r="J54" s="1" t="s">
        <v>131</v>
      </c>
      <c r="L54" s="6" t="s">
        <v>11</v>
      </c>
      <c r="M54" s="1" t="n">
        <v>170</v>
      </c>
      <c r="N54" s="1" t="n">
        <v>200</v>
      </c>
      <c r="O54" s="1" t="n">
        <v>1</v>
      </c>
      <c r="P54" s="1" t="s">
        <v>31</v>
      </c>
      <c r="Q54" s="19"/>
      <c r="R54" s="19"/>
      <c r="S54" s="19" t="n">
        <v>30</v>
      </c>
      <c r="T54" s="16" t="n">
        <v>30</v>
      </c>
      <c r="U54" s="16" t="s">
        <v>32</v>
      </c>
      <c r="V54" s="16" t="n">
        <v>1</v>
      </c>
      <c r="W54" s="17" t="s">
        <v>31</v>
      </c>
      <c r="Y54" s="67" t="n">
        <v>46093</v>
      </c>
      <c r="Z54" s="15"/>
    </row>
    <row r="55" ht="15.75" hidden="1" customHeight="1">
      <c r="A55" s="1" t="n">
        <v>296</v>
      </c>
      <c r="B55" s="28" t="n">
        <v>46092</v>
      </c>
      <c r="C55" s="1" t="s">
        <v>61</v>
      </c>
      <c r="F55" s="1" t="s">
        <v>109</v>
      </c>
      <c r="G55" s="1" t="s">
        <v>39</v>
      </c>
      <c r="H55" s="1" t="s">
        <v>110</v>
      </c>
      <c r="I55" s="1" t="s">
        <v>111</v>
      </c>
      <c r="J55" s="1" t="s">
        <v>132</v>
      </c>
      <c r="L55" s="6" t="s">
        <v>11</v>
      </c>
      <c r="M55" s="1" t="n">
        <v>170</v>
      </c>
      <c r="N55" s="1" t="n">
        <v>200</v>
      </c>
      <c r="O55" s="1" t="n">
        <v>1</v>
      </c>
      <c r="P55" s="1" t="s">
        <v>31</v>
      </c>
      <c r="Q55" s="19"/>
      <c r="R55" s="19"/>
      <c r="S55" s="19" t="n">
        <v>30</v>
      </c>
      <c r="T55" s="16" t="n">
        <v>30</v>
      </c>
      <c r="U55" s="16" t="s">
        <v>32</v>
      </c>
      <c r="V55" s="16" t="n">
        <v>1</v>
      </c>
      <c r="W55" s="17" t="s">
        <v>31</v>
      </c>
      <c r="Y55" s="67" t="n">
        <v>46093</v>
      </c>
      <c r="Z55" s="15"/>
    </row>
    <row r="56" ht="15.75" hidden="1" customHeight="1">
      <c r="A56" s="1" t="n">
        <v>231</v>
      </c>
      <c r="B56" s="28" t="n">
        <v>46093</v>
      </c>
      <c r="C56" s="35" t="s">
        <v>26</v>
      </c>
      <c r="E56" s="1" t="s">
        <v>108</v>
      </c>
      <c r="F56" s="1" t="s">
        <v>109</v>
      </c>
      <c r="G56" s="1" t="s">
        <v>39</v>
      </c>
      <c r="H56" s="1" t="s">
        <v>110</v>
      </c>
      <c r="I56" s="1" t="s">
        <v>111</v>
      </c>
      <c r="J56" s="35" t="s">
        <v>133</v>
      </c>
      <c r="L56" s="6" t="s">
        <v>11</v>
      </c>
      <c r="M56" s="1" t="n">
        <v>170</v>
      </c>
      <c r="N56" s="1" t="n">
        <v>200</v>
      </c>
      <c r="O56" s="1" t="n">
        <v>100</v>
      </c>
      <c r="P56" s="1" t="s">
        <v>31</v>
      </c>
      <c r="Q56" s="19"/>
      <c r="R56" s="19"/>
      <c r="S56" s="19" t="f">
        <f>X56*T56</f>
      </c>
      <c r="T56" s="16" t="n">
        <v>38.500000</v>
      </c>
      <c r="U56" s="16" t="s">
        <v>101</v>
      </c>
      <c r="V56" s="16" t="n">
        <v>159</v>
      </c>
      <c r="W56" s="17" t="s">
        <v>31</v>
      </c>
      <c r="X56" s="16" t="n">
        <v>54.700000</v>
      </c>
      <c r="Y56" s="67" t="n">
        <v>46094</v>
      </c>
      <c r="Z56" s="15" t="n">
        <v>159</v>
      </c>
    </row>
    <row r="57" ht="15.75" hidden="1" customHeight="1">
      <c r="A57" s="1" t="n">
        <v>232</v>
      </c>
      <c r="B57" s="28" t="n">
        <v>46093</v>
      </c>
      <c r="C57" s="35" t="s">
        <v>26</v>
      </c>
      <c r="E57" s="1" t="s">
        <v>108</v>
      </c>
      <c r="F57" s="1" t="s">
        <v>109</v>
      </c>
      <c r="G57" s="1" t="s">
        <v>39</v>
      </c>
      <c r="H57" s="1" t="s">
        <v>110</v>
      </c>
      <c r="I57" s="1" t="s">
        <v>111</v>
      </c>
      <c r="J57" s="35" t="s">
        <v>134</v>
      </c>
      <c r="L57" s="6" t="s">
        <v>11</v>
      </c>
      <c r="M57" s="1" t="n">
        <v>170</v>
      </c>
      <c r="N57" s="1" t="n">
        <v>200</v>
      </c>
      <c r="O57" s="1" t="n">
        <v>20</v>
      </c>
      <c r="P57" s="1" t="s">
        <v>31</v>
      </c>
      <c r="Q57" s="19"/>
      <c r="R57" s="19"/>
      <c r="S57" s="19" t="f">
        <f>T57*V57</f>
      </c>
      <c r="T57" s="16" t="n">
        <v>30</v>
      </c>
      <c r="U57" s="16" t="s">
        <v>32</v>
      </c>
      <c r="V57" s="16" t="n">
        <v>20</v>
      </c>
      <c r="W57" s="17" t="s">
        <v>31</v>
      </c>
      <c r="Y57" s="67" t="n">
        <v>46094</v>
      </c>
      <c r="Z57" s="15" t="n">
        <v>20</v>
      </c>
    </row>
    <row r="58" ht="15.75" hidden="1" customHeight="1">
      <c r="A58" s="1" t="n">
        <v>236</v>
      </c>
      <c r="B58" s="28" t="n">
        <v>46083</v>
      </c>
      <c r="C58" s="35" t="s">
        <v>26</v>
      </c>
      <c r="F58" s="1" t="s">
        <v>34</v>
      </c>
      <c r="G58" s="1" t="s">
        <v>29</v>
      </c>
      <c r="H58" s="1" t="s">
        <v>135</v>
      </c>
      <c r="I58" s="1" t="s">
        <v>136</v>
      </c>
      <c r="J58" s="1" t="s">
        <v>35</v>
      </c>
      <c r="L58" s="6" t="s">
        <v>11</v>
      </c>
      <c r="M58" s="1" t="n">
        <v>150</v>
      </c>
      <c r="N58" s="1" t="n">
        <v>280</v>
      </c>
      <c r="O58" s="1" t="n">
        <v>230</v>
      </c>
      <c r="P58" s="1" t="s">
        <v>31</v>
      </c>
      <c r="Q58" s="19"/>
      <c r="R58" s="19"/>
      <c r="S58" s="19" t="f">
        <f>V58*T58</f>
      </c>
      <c r="T58" s="16" t="n">
        <v>11.200000</v>
      </c>
      <c r="U58" s="16" t="s">
        <v>32</v>
      </c>
      <c r="V58" s="16" t="n">
        <v>235</v>
      </c>
      <c r="W58" s="17" t="s">
        <v>31</v>
      </c>
      <c r="Y58" s="67" t="n">
        <v>46102</v>
      </c>
      <c r="Z58" s="15"/>
    </row>
    <row r="59" ht="15.75" hidden="1" customHeight="1">
      <c r="A59" s="1" t="n">
        <v>237</v>
      </c>
      <c r="B59" s="28" t="n">
        <v>46083</v>
      </c>
      <c r="C59" s="35" t="s">
        <v>26</v>
      </c>
      <c r="F59" s="1" t="s">
        <v>34</v>
      </c>
      <c r="G59" s="1" t="s">
        <v>29</v>
      </c>
      <c r="H59" s="1" t="s">
        <v>135</v>
      </c>
      <c r="I59" s="1" t="s">
        <v>136</v>
      </c>
      <c r="J59" s="1" t="s">
        <v>137</v>
      </c>
      <c r="L59" s="6" t="s">
        <v>11</v>
      </c>
      <c r="M59" s="1" t="n">
        <v>150</v>
      </c>
      <c r="N59" s="1" t="n">
        <v>280</v>
      </c>
      <c r="O59" s="1" t="n">
        <v>360</v>
      </c>
      <c r="P59" s="1" t="s">
        <v>31</v>
      </c>
      <c r="Q59" s="19"/>
      <c r="R59" s="19"/>
      <c r="S59" s="19" t="f">
        <f>T59*V59</f>
      </c>
      <c r="T59" s="16" t="n">
        <v>11.200000</v>
      </c>
      <c r="U59" s="16" t="s">
        <v>32</v>
      </c>
      <c r="V59" s="16" t="n">
        <v>347</v>
      </c>
      <c r="W59" s="17" t="s">
        <v>31</v>
      </c>
      <c r="Y59" s="67" t="n">
        <v>46102</v>
      </c>
      <c r="Z59" s="15"/>
    </row>
    <row r="60" ht="15.75" hidden="1" customHeight="1">
      <c r="A60" s="24" t="n">
        <v>340</v>
      </c>
      <c r="B60" s="29" t="n">
        <v>46099</v>
      </c>
      <c r="C60" s="1" t="s">
        <v>61</v>
      </c>
      <c r="F60" s="24" t="s">
        <v>77</v>
      </c>
      <c r="G60" s="1" t="s">
        <v>29</v>
      </c>
      <c r="I60" s="1" t="s">
        <v>76</v>
      </c>
      <c r="J60" s="1" t="s">
        <v>138</v>
      </c>
      <c r="K60" s="1"/>
      <c r="L60" s="6" t="s">
        <v>11</v>
      </c>
      <c r="M60" s="25" t="n">
        <v>150</v>
      </c>
      <c r="N60" s="1" t="n">
        <v>250</v>
      </c>
      <c r="O60" s="1" t="n">
        <v>2</v>
      </c>
      <c r="P60" s="1" t="s">
        <v>31</v>
      </c>
      <c r="Q60" s="19"/>
      <c r="R60" s="19"/>
      <c r="S60" s="19" t="f">
        <f>T60*V60</f>
      </c>
      <c r="T60" s="16" t="n">
        <v>22</v>
      </c>
      <c r="U60" s="16" t="s">
        <v>32</v>
      </c>
      <c r="V60" s="38" t="n">
        <v>2</v>
      </c>
      <c r="W60" s="17" t="s">
        <v>31</v>
      </c>
      <c r="Y60" s="67" t="n">
        <v>46100</v>
      </c>
      <c r="Z60" s="15"/>
    </row>
    <row r="61" ht="15.75" hidden="1" customHeight="1">
      <c r="A61" s="35" t="n">
        <v>341</v>
      </c>
      <c r="B61" s="37" t="n">
        <v>46099</v>
      </c>
      <c r="C61" s="1" t="s">
        <v>61</v>
      </c>
      <c r="F61" s="35" t="s">
        <v>77</v>
      </c>
      <c r="G61" s="1" t="s">
        <v>29</v>
      </c>
      <c r="I61" s="1" t="s">
        <v>76</v>
      </c>
      <c r="J61" s="1" t="s">
        <v>139</v>
      </c>
      <c r="K61" s="1"/>
      <c r="L61" s="6" t="s">
        <v>11</v>
      </c>
      <c r="M61" s="1" t="n">
        <v>150</v>
      </c>
      <c r="N61" s="1" t="n">
        <v>250</v>
      </c>
      <c r="O61" s="1" t="n">
        <v>2</v>
      </c>
      <c r="P61" s="1" t="s">
        <v>31</v>
      </c>
      <c r="Q61" s="19"/>
      <c r="R61" s="19"/>
      <c r="S61" s="19" t="f">
        <f>T61*V61</f>
      </c>
      <c r="T61" s="16" t="n">
        <v>22</v>
      </c>
      <c r="U61" s="16" t="s">
        <v>32</v>
      </c>
      <c r="V61" s="38" t="n">
        <v>2</v>
      </c>
      <c r="W61" s="17" t="s">
        <v>31</v>
      </c>
      <c r="Y61" s="67" t="n">
        <v>46100</v>
      </c>
      <c r="Z61" s="15"/>
    </row>
    <row r="62" ht="15.75" hidden="1" customHeight="1">
      <c r="A62" s="35" t="n">
        <v>342</v>
      </c>
      <c r="B62" s="37" t="n">
        <v>46099</v>
      </c>
      <c r="C62" s="1" t="s">
        <v>61</v>
      </c>
      <c r="F62" s="35" t="s">
        <v>77</v>
      </c>
      <c r="G62" s="1" t="s">
        <v>29</v>
      </c>
      <c r="I62" s="1" t="s">
        <v>76</v>
      </c>
      <c r="J62" s="1" t="s">
        <v>140</v>
      </c>
      <c r="K62" s="1"/>
      <c r="L62" s="6" t="s">
        <v>11</v>
      </c>
      <c r="M62" s="1" t="n">
        <v>150</v>
      </c>
      <c r="N62" s="1" t="n">
        <v>250</v>
      </c>
      <c r="O62" s="1" t="n">
        <v>4</v>
      </c>
      <c r="P62" s="1" t="s">
        <v>31</v>
      </c>
      <c r="Q62" s="19"/>
      <c r="R62" s="19"/>
      <c r="S62" s="42" t="f">
        <f>T62*V62</f>
      </c>
      <c r="T62" s="16" t="n">
        <v>22</v>
      </c>
      <c r="U62" s="39" t="s">
        <v>32</v>
      </c>
      <c r="V62" s="38" t="n">
        <v>4</v>
      </c>
      <c r="W62" s="17" t="s">
        <v>31</v>
      </c>
      <c r="Y62" s="67" t="n">
        <v>46100</v>
      </c>
      <c r="Z62" s="15"/>
    </row>
    <row r="63" ht="15.75" hidden="1" customHeight="1">
      <c r="A63" s="35" t="n">
        <v>343</v>
      </c>
      <c r="B63" s="37" t="n">
        <v>46099</v>
      </c>
      <c r="C63" s="1" t="s">
        <v>61</v>
      </c>
      <c r="F63" s="35" t="s">
        <v>87</v>
      </c>
      <c r="G63" s="1" t="s">
        <v>29</v>
      </c>
      <c r="I63" s="1" t="s">
        <v>86</v>
      </c>
      <c r="J63" s="1" t="s">
        <v>141</v>
      </c>
      <c r="K63" s="1"/>
      <c r="L63" s="6" t="s">
        <v>11</v>
      </c>
      <c r="M63" s="1" t="n">
        <v>150</v>
      </c>
      <c r="N63" s="1" t="n">
        <v>240</v>
      </c>
      <c r="O63" s="1" t="n">
        <v>2</v>
      </c>
      <c r="P63" s="1" t="s">
        <v>31</v>
      </c>
      <c r="Q63" s="19"/>
      <c r="R63" s="43"/>
      <c r="S63" s="16" t="f">
        <f>T63*V63</f>
      </c>
      <c r="T63" s="16" t="n">
        <v>20</v>
      </c>
      <c r="U63" s="16" t="s">
        <v>32</v>
      </c>
      <c r="V63" s="40" t="n">
        <v>2</v>
      </c>
      <c r="W63" s="17" t="s">
        <v>31</v>
      </c>
      <c r="Y63" s="67" t="n">
        <v>46100</v>
      </c>
      <c r="Z63" s="15"/>
    </row>
    <row r="64" ht="15.75" hidden="1" customHeight="1">
      <c r="A64" s="35" t="n">
        <v>344</v>
      </c>
      <c r="B64" s="37" t="n">
        <v>46099</v>
      </c>
      <c r="C64" s="1" t="s">
        <v>61</v>
      </c>
      <c r="F64" s="35" t="s">
        <v>87</v>
      </c>
      <c r="G64" s="1" t="s">
        <v>29</v>
      </c>
      <c r="I64" s="1" t="s">
        <v>86</v>
      </c>
      <c r="J64" s="1" t="s">
        <v>142</v>
      </c>
      <c r="K64" s="1"/>
      <c r="L64" s="6" t="s">
        <v>11</v>
      </c>
      <c r="M64" s="1" t="n">
        <v>150</v>
      </c>
      <c r="N64" s="1" t="n">
        <v>240</v>
      </c>
      <c r="O64" s="1" t="n">
        <v>2</v>
      </c>
      <c r="P64" s="1" t="s">
        <v>31</v>
      </c>
      <c r="Q64" s="19"/>
      <c r="R64" s="43"/>
      <c r="S64" s="16" t="f">
        <f>T64*V64</f>
      </c>
      <c r="T64" s="16" t="n">
        <v>20</v>
      </c>
      <c r="U64" s="16" t="s">
        <v>32</v>
      </c>
      <c r="V64" s="19" t="n">
        <v>2</v>
      </c>
      <c r="W64" s="17" t="s">
        <v>31</v>
      </c>
      <c r="Y64" s="67" t="n">
        <v>46100</v>
      </c>
      <c r="Z64" s="15"/>
    </row>
    <row r="65" ht="15.75" hidden="1" customHeight="1">
      <c r="A65" s="35" t="n">
        <v>345</v>
      </c>
      <c r="B65" s="37" t="n">
        <v>46099</v>
      </c>
      <c r="C65" s="1" t="s">
        <v>61</v>
      </c>
      <c r="F65" s="35" t="s">
        <v>87</v>
      </c>
      <c r="G65" s="1" t="s">
        <v>29</v>
      </c>
      <c r="I65" s="1" t="s">
        <v>86</v>
      </c>
      <c r="J65" s="1" t="s">
        <v>68</v>
      </c>
      <c r="K65" s="1"/>
      <c r="L65" s="6" t="s">
        <v>11</v>
      </c>
      <c r="M65" s="1" t="n">
        <v>150</v>
      </c>
      <c r="N65" s="1" t="n">
        <v>240</v>
      </c>
      <c r="O65" s="1" t="n">
        <v>4</v>
      </c>
      <c r="P65" s="1" t="s">
        <v>31</v>
      </c>
      <c r="Q65" s="19"/>
      <c r="R65" s="43"/>
      <c r="S65" s="16" t="f">
        <f>T65*V65</f>
      </c>
      <c r="T65" s="16" t="n">
        <v>20</v>
      </c>
      <c r="U65" s="16" t="s">
        <v>32</v>
      </c>
      <c r="V65" s="42" t="n">
        <v>4</v>
      </c>
      <c r="W65" s="17" t="s">
        <v>31</v>
      </c>
      <c r="Y65" s="67" t="n">
        <v>46100</v>
      </c>
      <c r="Z65" s="15"/>
    </row>
    <row r="66" ht="15.75" hidden="1" customHeight="1">
      <c r="A66" s="35" t="n">
        <v>346</v>
      </c>
      <c r="B66" s="37" t="n">
        <v>46099</v>
      </c>
      <c r="C66" s="1" t="s">
        <v>61</v>
      </c>
      <c r="F66" s="35" t="s">
        <v>143</v>
      </c>
      <c r="G66" s="1" t="s">
        <v>29</v>
      </c>
      <c r="I66" s="1" t="s">
        <v>144</v>
      </c>
      <c r="J66" s="1" t="s">
        <v>145</v>
      </c>
      <c r="K66" s="1"/>
      <c r="L66" s="6" t="s">
        <v>11</v>
      </c>
      <c r="M66" s="1" t="n">
        <v>150</v>
      </c>
      <c r="N66" s="1" t="n">
        <v>240</v>
      </c>
      <c r="O66" s="1" t="n">
        <v>2</v>
      </c>
      <c r="P66" s="1" t="s">
        <v>31</v>
      </c>
      <c r="Q66" s="19"/>
      <c r="R66" s="19"/>
      <c r="S66" s="16" t="f">
        <f>T66*V66</f>
      </c>
      <c r="T66" s="16" t="n">
        <v>23</v>
      </c>
      <c r="U66" s="17" t="s">
        <v>32</v>
      </c>
      <c r="V66" s="38" t="n">
        <v>2</v>
      </c>
      <c r="W66" s="17" t="s">
        <v>31</v>
      </c>
      <c r="Y66" s="67" t="n">
        <v>46100</v>
      </c>
      <c r="Z66" s="15"/>
    </row>
    <row r="67" ht="15.75" hidden="1" customHeight="1">
      <c r="A67" s="35" t="n">
        <v>347</v>
      </c>
      <c r="B67" s="37" t="n">
        <v>46099</v>
      </c>
      <c r="C67" s="1" t="s">
        <v>61</v>
      </c>
      <c r="F67" s="35" t="s">
        <v>143</v>
      </c>
      <c r="G67" s="1" t="s">
        <v>29</v>
      </c>
      <c r="I67" s="1" t="s">
        <v>144</v>
      </c>
      <c r="J67" s="1" t="s">
        <v>146</v>
      </c>
      <c r="K67" s="1"/>
      <c r="L67" s="6" t="s">
        <v>11</v>
      </c>
      <c r="M67" s="1" t="n">
        <v>150</v>
      </c>
      <c r="N67" s="1" t="n">
        <v>240</v>
      </c>
      <c r="O67" s="1" t="n">
        <v>2</v>
      </c>
      <c r="P67" s="1" t="s">
        <v>31</v>
      </c>
      <c r="Q67" s="19"/>
      <c r="R67" s="19"/>
      <c r="S67" s="16" t="f">
        <f>T67*V67</f>
      </c>
      <c r="T67" s="16" t="n">
        <v>23</v>
      </c>
      <c r="U67" s="17" t="s">
        <v>32</v>
      </c>
      <c r="V67" s="38" t="n">
        <v>2</v>
      </c>
      <c r="W67" s="17" t="s">
        <v>31</v>
      </c>
      <c r="Y67" s="67" t="n">
        <v>46100</v>
      </c>
      <c r="Z67" s="15"/>
    </row>
    <row r="68" ht="15.75" hidden="1" customHeight="1">
      <c r="A68" s="35" t="n">
        <v>348</v>
      </c>
      <c r="B68" s="37" t="n">
        <v>46099</v>
      </c>
      <c r="C68" s="1" t="s">
        <v>61</v>
      </c>
      <c r="F68" s="35" t="s">
        <v>143</v>
      </c>
      <c r="G68" s="1" t="s">
        <v>29</v>
      </c>
      <c r="I68" s="1" t="s">
        <v>144</v>
      </c>
      <c r="J68" s="1" t="s">
        <v>147</v>
      </c>
      <c r="K68" s="1"/>
      <c r="L68" s="6" t="s">
        <v>11</v>
      </c>
      <c r="M68" s="1" t="n">
        <v>150</v>
      </c>
      <c r="N68" s="1" t="n">
        <v>240</v>
      </c>
      <c r="O68" s="1" t="n">
        <v>4</v>
      </c>
      <c r="P68" s="1" t="s">
        <v>31</v>
      </c>
      <c r="Q68" s="19"/>
      <c r="R68" s="19"/>
      <c r="S68" s="16" t="f">
        <f>T68*V68</f>
      </c>
      <c r="T68" s="16" t="n">
        <v>23</v>
      </c>
      <c r="U68" s="17" t="s">
        <v>32</v>
      </c>
      <c r="V68" s="45" t="n">
        <v>4</v>
      </c>
      <c r="W68" s="17" t="s">
        <v>31</v>
      </c>
      <c r="Y68" s="67" t="n">
        <v>46100</v>
      </c>
      <c r="Z68" s="15"/>
    </row>
    <row r="69" ht="15.75" hidden="1" customHeight="1">
      <c r="A69" s="35" t="n">
        <v>328</v>
      </c>
      <c r="B69" s="37" t="n">
        <v>46099</v>
      </c>
      <c r="C69" s="1" t="s">
        <v>61</v>
      </c>
      <c r="F69" s="24" t="s">
        <v>121</v>
      </c>
      <c r="G69" s="25" t="s">
        <v>29</v>
      </c>
      <c r="H69" s="1" t="s">
        <v>119</v>
      </c>
      <c r="I69" s="1" t="s">
        <v>122</v>
      </c>
      <c r="J69" s="1" t="s">
        <v>148</v>
      </c>
      <c r="L69" s="6" t="s">
        <v>11</v>
      </c>
      <c r="M69" s="1" t="n">
        <v>150</v>
      </c>
      <c r="N69" s="1" t="n">
        <v>170</v>
      </c>
      <c r="O69" s="1" t="n">
        <v>2</v>
      </c>
      <c r="P69" s="1" t="s">
        <v>31</v>
      </c>
      <c r="Q69" s="19"/>
      <c r="R69" s="19"/>
      <c r="S69" s="16" t="f">
        <f>T69*V69</f>
      </c>
      <c r="T69" s="16" t="n">
        <v>16</v>
      </c>
      <c r="U69" s="17" t="s">
        <v>32</v>
      </c>
      <c r="V69" s="38" t="n">
        <v>2</v>
      </c>
      <c r="W69" s="17" t="s">
        <v>31</v>
      </c>
      <c r="Y69" s="67" t="n">
        <v>46100</v>
      </c>
      <c r="Z69" s="15"/>
    </row>
    <row r="70" ht="15.75" hidden="1" customHeight="1">
      <c r="A70" s="35" t="n">
        <v>329</v>
      </c>
      <c r="B70" s="37" t="n">
        <v>46099</v>
      </c>
      <c r="C70" s="1" t="s">
        <v>61</v>
      </c>
      <c r="F70" s="35" t="s">
        <v>121</v>
      </c>
      <c r="G70" s="36" t="s">
        <v>29</v>
      </c>
      <c r="H70" s="1" t="s">
        <v>119</v>
      </c>
      <c r="I70" s="1" t="s">
        <v>122</v>
      </c>
      <c r="J70" s="1" t="s">
        <v>149</v>
      </c>
      <c r="L70" s="6" t="s">
        <v>11</v>
      </c>
      <c r="M70" s="1" t="n">
        <v>150</v>
      </c>
      <c r="N70" s="1" t="n">
        <v>170</v>
      </c>
      <c r="O70" s="1" t="n">
        <v>2</v>
      </c>
      <c r="P70" s="1" t="s">
        <v>31</v>
      </c>
      <c r="Q70" s="19"/>
      <c r="R70" s="19"/>
      <c r="S70" s="16" t="f">
        <f>T70*V70</f>
      </c>
      <c r="T70" s="16" t="n">
        <v>16</v>
      </c>
      <c r="U70" s="17" t="s">
        <v>32</v>
      </c>
      <c r="V70" s="38" t="n">
        <v>2</v>
      </c>
      <c r="W70" s="17" t="s">
        <v>31</v>
      </c>
      <c r="Y70" s="67" t="n">
        <v>46100</v>
      </c>
      <c r="Z70" s="15"/>
    </row>
    <row r="71" ht="15.75" hidden="1" customHeight="1">
      <c r="A71" s="35" t="n">
        <v>330</v>
      </c>
      <c r="B71" s="37" t="n">
        <v>46099</v>
      </c>
      <c r="C71" s="1" t="s">
        <v>61</v>
      </c>
      <c r="F71" s="24" t="s">
        <v>121</v>
      </c>
      <c r="G71" s="25" t="s">
        <v>29</v>
      </c>
      <c r="H71" s="1" t="s">
        <v>119</v>
      </c>
      <c r="I71" s="1" t="s">
        <v>122</v>
      </c>
      <c r="J71" s="1" t="s">
        <v>123</v>
      </c>
      <c r="L71" s="6" t="s">
        <v>11</v>
      </c>
      <c r="M71" s="1" t="n">
        <v>150</v>
      </c>
      <c r="N71" s="1" t="n">
        <v>170</v>
      </c>
      <c r="O71" s="1" t="n">
        <v>2</v>
      </c>
      <c r="P71" s="1" t="s">
        <v>31</v>
      </c>
      <c r="Q71" s="19"/>
      <c r="R71" s="19"/>
      <c r="S71" s="16" t="f">
        <f>T71*V71</f>
      </c>
      <c r="T71" s="16" t="n">
        <v>16</v>
      </c>
      <c r="U71" s="17" t="s">
        <v>32</v>
      </c>
      <c r="V71" s="38" t="n">
        <v>2</v>
      </c>
      <c r="W71" s="17" t="s">
        <v>31</v>
      </c>
      <c r="Y71" s="67" t="n">
        <v>46100</v>
      </c>
      <c r="Z71" s="15"/>
    </row>
    <row r="72" ht="15.75" hidden="1" customHeight="1">
      <c r="A72" s="35" t="n">
        <v>331</v>
      </c>
      <c r="B72" s="37" t="n">
        <v>46099</v>
      </c>
      <c r="C72" s="1" t="s">
        <v>61</v>
      </c>
      <c r="F72" s="35" t="s">
        <v>121</v>
      </c>
      <c r="G72" s="36" t="s">
        <v>29</v>
      </c>
      <c r="H72" s="1" t="s">
        <v>119</v>
      </c>
      <c r="I72" s="1" t="s">
        <v>122</v>
      </c>
      <c r="J72" s="1" t="s">
        <v>150</v>
      </c>
      <c r="L72" s="6" t="s">
        <v>11</v>
      </c>
      <c r="M72" s="1" t="n">
        <v>150</v>
      </c>
      <c r="N72" s="1" t="n">
        <v>170</v>
      </c>
      <c r="O72" s="1" t="n">
        <v>2</v>
      </c>
      <c r="P72" s="1" t="s">
        <v>31</v>
      </c>
      <c r="Q72" s="19"/>
      <c r="R72" s="19"/>
      <c r="S72" s="16" t="f">
        <f>T72*V72</f>
      </c>
      <c r="T72" s="16" t="n">
        <v>16</v>
      </c>
      <c r="U72" s="17" t="s">
        <v>32</v>
      </c>
      <c r="V72" s="38" t="n">
        <v>2</v>
      </c>
      <c r="W72" s="17" t="s">
        <v>31</v>
      </c>
      <c r="Y72" s="67" t="n">
        <v>46100</v>
      </c>
      <c r="Z72" s="15"/>
    </row>
    <row r="73" ht="15.75" hidden="1" customHeight="1">
      <c r="A73" s="35" t="n">
        <v>354</v>
      </c>
      <c r="B73" s="37" t="n">
        <v>46099</v>
      </c>
      <c r="C73" s="1" t="s">
        <v>61</v>
      </c>
      <c r="F73" s="35" t="s">
        <v>151</v>
      </c>
      <c r="G73" s="36" t="s">
        <v>29</v>
      </c>
      <c r="H73" s="1" t="s">
        <v>119</v>
      </c>
      <c r="I73" s="1" t="s">
        <v>152</v>
      </c>
      <c r="J73" s="1" t="s">
        <v>153</v>
      </c>
      <c r="L73" s="6" t="s">
        <v>11</v>
      </c>
      <c r="M73" s="1" t="n">
        <v>150</v>
      </c>
      <c r="N73" s="1" t="n">
        <v>170</v>
      </c>
      <c r="O73" s="1" t="n">
        <v>2</v>
      </c>
      <c r="P73" s="1" t="s">
        <v>31</v>
      </c>
      <c r="Q73" s="19"/>
      <c r="R73" s="19"/>
      <c r="S73" s="16" t="f">
        <f>T73*V73</f>
      </c>
      <c r="T73" s="16" t="n">
        <v>16</v>
      </c>
      <c r="U73" s="17" t="s">
        <v>32</v>
      </c>
      <c r="V73" s="38" t="n">
        <v>2</v>
      </c>
      <c r="W73" s="17" t="s">
        <v>31</v>
      </c>
      <c r="Y73" s="67" t="n">
        <v>46100</v>
      </c>
      <c r="Z73" s="15"/>
    </row>
    <row r="74" ht="15.75" hidden="1" customHeight="1">
      <c r="A74" s="1" t="s">
        <v>154</v>
      </c>
      <c r="B74" s="28" t="n">
        <v>46104</v>
      </c>
      <c r="C74" s="35" t="s">
        <v>26</v>
      </c>
      <c r="F74" s="1" t="s">
        <v>71</v>
      </c>
      <c r="G74" s="1" t="s">
        <v>39</v>
      </c>
      <c r="I74" s="1" t="s">
        <v>155</v>
      </c>
      <c r="J74" s="1" t="s">
        <v>156</v>
      </c>
      <c r="L74" s="6" t="s">
        <v>11</v>
      </c>
      <c r="M74" s="25" t="n">
        <v>175</v>
      </c>
      <c r="N74" s="44" t="n">
        <v>180</v>
      </c>
      <c r="O74" s="1" t="n">
        <v>75</v>
      </c>
      <c r="P74" s="1" t="s">
        <v>31</v>
      </c>
      <c r="Q74" s="19"/>
      <c r="R74" s="19"/>
      <c r="S74" s="19" t="n">
        <v>1133</v>
      </c>
      <c r="T74" s="16" t="n">
        <v>48</v>
      </c>
      <c r="U74" s="16" t="s">
        <v>101</v>
      </c>
      <c r="V74" s="41" t="n">
        <v>75</v>
      </c>
      <c r="W74" s="17" t="s">
        <v>31</v>
      </c>
      <c r="X74" s="16" t="n">
        <v>23.600000</v>
      </c>
      <c r="Y74" s="67" t="n">
        <v>46108</v>
      </c>
      <c r="Z74" s="15"/>
    </row>
    <row r="75" ht="15.75" hidden="1" customHeight="1">
      <c r="A75" s="1" t="n">
        <v>347</v>
      </c>
      <c r="B75" s="28" t="n">
        <v>46106</v>
      </c>
      <c r="C75" s="1" t="s">
        <v>61</v>
      </c>
      <c r="F75" s="24" t="s">
        <v>75</v>
      </c>
      <c r="G75" s="1" t="s">
        <v>29</v>
      </c>
      <c r="I75" s="1" t="s">
        <v>157</v>
      </c>
      <c r="J75" s="1" t="s">
        <v>62</v>
      </c>
      <c r="M75" s="24" t="n">
        <v>165</v>
      </c>
      <c r="N75" s="44" t="n">
        <v>200</v>
      </c>
      <c r="O75" s="25" t="n">
        <v>4</v>
      </c>
      <c r="P75" s="1" t="s">
        <v>31</v>
      </c>
      <c r="Q75" s="19"/>
      <c r="R75" s="19"/>
      <c r="S75" s="19" t="f">
        <f>T75*V75</f>
      </c>
      <c r="T75" s="16" t="n">
        <v>25</v>
      </c>
      <c r="U75" s="16" t="s">
        <v>32</v>
      </c>
      <c r="V75" s="16" t="n">
        <v>4</v>
      </c>
      <c r="W75" s="23" t="s">
        <v>31</v>
      </c>
      <c r="Y75" s="67" t="n">
        <v>46107</v>
      </c>
      <c r="Z75" s="15"/>
    </row>
    <row r="76" ht="15.75" hidden="1" customHeight="1">
      <c r="A76" s="1" t="n">
        <v>408</v>
      </c>
      <c r="B76" s="28" t="n">
        <v>46111</v>
      </c>
      <c r="C76" s="1" t="s">
        <v>61</v>
      </c>
      <c r="F76" s="24" t="s">
        <v>63</v>
      </c>
      <c r="G76" s="1" t="s">
        <v>29</v>
      </c>
      <c r="H76" s="1" t="s">
        <v>119</v>
      </c>
      <c r="I76" s="1" t="s">
        <v>158</v>
      </c>
      <c r="J76" s="1" t="s">
        <v>159</v>
      </c>
      <c r="M76" s="1" t="n">
        <v>150</v>
      </c>
      <c r="N76" s="1" t="n">
        <v>100</v>
      </c>
      <c r="O76" s="1" t="n">
        <v>2</v>
      </c>
      <c r="P76" s="1" t="s">
        <v>31</v>
      </c>
      <c r="Q76" s="19"/>
      <c r="R76" s="19"/>
      <c r="S76" s="19" t="f">
        <f>V76*T76</f>
      </c>
      <c r="T76" s="16" t="n">
        <v>15</v>
      </c>
      <c r="U76" s="16" t="s">
        <v>32</v>
      </c>
      <c r="V76" s="16" t="n">
        <v>2</v>
      </c>
      <c r="W76" s="17" t="s">
        <v>31</v>
      </c>
      <c r="Y76" s="67" t="n">
        <v>46111</v>
      </c>
      <c r="Z76" s="15"/>
    </row>
    <row r="77" ht="15.75" hidden="1" customHeight="1">
      <c r="A77" s="1" t="n">
        <v>409</v>
      </c>
      <c r="B77" s="28" t="n">
        <v>46111</v>
      </c>
      <c r="C77" s="35" t="s">
        <v>26</v>
      </c>
      <c r="F77" s="35" t="s">
        <v>34</v>
      </c>
      <c r="G77" s="1" t="s">
        <v>29</v>
      </c>
      <c r="H77" s="1" t="s">
        <v>135</v>
      </c>
      <c r="I77" s="1" t="s">
        <v>136</v>
      </c>
      <c r="J77" s="1" t="s">
        <v>35</v>
      </c>
      <c r="M77" s="1" t="n">
        <v>150</v>
      </c>
      <c r="N77" s="1" t="n">
        <v>280</v>
      </c>
      <c r="O77" s="1" t="n">
        <v>94</v>
      </c>
      <c r="P77" s="1" t="s">
        <v>31</v>
      </c>
      <c r="Q77" s="19"/>
      <c r="R77" s="19"/>
      <c r="S77" s="19" t="n">
        <v>1100</v>
      </c>
      <c r="T77" s="16" t="n">
        <v>11.700000</v>
      </c>
      <c r="U77" s="16" t="s">
        <v>32</v>
      </c>
      <c r="V77" s="16" t="n">
        <v>94</v>
      </c>
      <c r="W77" s="17" t="s">
        <v>31</v>
      </c>
      <c r="Y77" s="67" t="n">
        <v>46111</v>
      </c>
      <c r="Z77" s="15"/>
    </row>
    <row r="78" ht="15.75" hidden="1" customHeight="1">
      <c r="A78" s="24" t="n">
        <v>413</v>
      </c>
      <c r="B78" s="33" t="n">
        <v>46112</v>
      </c>
      <c r="C78" s="24" t="s">
        <v>61</v>
      </c>
      <c r="F78" s="24" t="s">
        <v>34</v>
      </c>
      <c r="G78" s="1" t="s">
        <v>29</v>
      </c>
      <c r="H78" s="1" t="s">
        <v>135</v>
      </c>
      <c r="I78" s="1" t="s">
        <v>136</v>
      </c>
      <c r="J78" s="24" t="s">
        <v>67</v>
      </c>
      <c r="M78" s="24" t="n">
        <v>150</v>
      </c>
      <c r="N78" s="25" t="n">
        <v>280</v>
      </c>
      <c r="O78" s="24" t="n">
        <v>2</v>
      </c>
      <c r="P78" s="25" t="s">
        <v>31</v>
      </c>
      <c r="Q78" s="19"/>
      <c r="R78" s="19"/>
      <c r="S78" s="46" t="f">
        <f>V78*T78</f>
      </c>
      <c r="T78" s="16" t="n">
        <v>20</v>
      </c>
      <c r="U78" s="16" t="s">
        <v>32</v>
      </c>
      <c r="V78" s="16" t="n">
        <v>2</v>
      </c>
      <c r="W78" s="17" t="s">
        <v>31</v>
      </c>
      <c r="Y78" s="67" t="n">
        <v>46113</v>
      </c>
      <c r="Z78" s="15"/>
    </row>
    <row r="79" ht="15.75" hidden="1" customHeight="1">
      <c r="A79" s="35" t="n">
        <v>414</v>
      </c>
      <c r="B79" s="34" t="n">
        <v>46112</v>
      </c>
      <c r="C79" s="35" t="s">
        <v>61</v>
      </c>
      <c r="F79" s="35" t="s">
        <v>34</v>
      </c>
      <c r="G79" s="1" t="s">
        <v>29</v>
      </c>
      <c r="H79" s="1" t="s">
        <v>135</v>
      </c>
      <c r="I79" s="1" t="s">
        <v>136</v>
      </c>
      <c r="J79" s="35" t="s">
        <v>78</v>
      </c>
      <c r="M79" s="35" t="n">
        <v>150</v>
      </c>
      <c r="N79" s="36" t="n">
        <v>280</v>
      </c>
      <c r="O79" s="35" t="n">
        <v>2</v>
      </c>
      <c r="P79" s="36" t="s">
        <v>31</v>
      </c>
      <c r="Q79" s="19"/>
      <c r="R79" s="19"/>
      <c r="S79" s="46" t="f">
        <f>V79*T79</f>
      </c>
      <c r="T79" s="16" t="n">
        <v>20</v>
      </c>
      <c r="U79" s="16" t="s">
        <v>32</v>
      </c>
      <c r="V79" s="16" t="n">
        <v>2</v>
      </c>
      <c r="W79" s="17" t="s">
        <v>31</v>
      </c>
      <c r="Y79" s="67" t="n">
        <v>46113</v>
      </c>
      <c r="Z79" s="15"/>
    </row>
    <row r="80" ht="15.75" hidden="1" customHeight="1">
      <c r="A80" s="35" t="n">
        <v>415</v>
      </c>
      <c r="B80" s="34" t="n">
        <v>46112</v>
      </c>
      <c r="C80" s="35" t="s">
        <v>61</v>
      </c>
      <c r="F80" s="35" t="s">
        <v>34</v>
      </c>
      <c r="G80" s="1" t="s">
        <v>29</v>
      </c>
      <c r="H80" s="1" t="s">
        <v>135</v>
      </c>
      <c r="I80" s="1" t="s">
        <v>136</v>
      </c>
      <c r="J80" s="35" t="s">
        <v>160</v>
      </c>
      <c r="M80" s="35" t="n">
        <v>150</v>
      </c>
      <c r="N80" s="36" t="n">
        <v>280</v>
      </c>
      <c r="O80" s="35" t="n">
        <v>2</v>
      </c>
      <c r="P80" s="36" t="s">
        <v>31</v>
      </c>
      <c r="Q80" s="19"/>
      <c r="R80" s="19"/>
      <c r="S80" s="46" t="f">
        <f>V80*T80</f>
      </c>
      <c r="T80" s="16" t="n">
        <v>20</v>
      </c>
      <c r="U80" s="16" t="s">
        <v>32</v>
      </c>
      <c r="V80" s="16" t="n">
        <v>2</v>
      </c>
      <c r="W80" s="17" t="s">
        <v>31</v>
      </c>
      <c r="Y80" s="67" t="n">
        <v>46113</v>
      </c>
      <c r="Z80" s="15"/>
    </row>
    <row r="81" ht="15.75" hidden="1" customHeight="1">
      <c r="A81" s="35" t="n">
        <v>416</v>
      </c>
      <c r="B81" s="34" t="n">
        <v>46112</v>
      </c>
      <c r="C81" s="35" t="s">
        <v>61</v>
      </c>
      <c r="F81" s="35" t="s">
        <v>161</v>
      </c>
      <c r="G81" s="1" t="s">
        <v>29</v>
      </c>
      <c r="H81" s="1" t="s">
        <v>162</v>
      </c>
      <c r="I81" s="1" t="s">
        <v>163</v>
      </c>
      <c r="J81" s="35" t="s">
        <v>164</v>
      </c>
      <c r="M81" s="35" t="n">
        <v>150</v>
      </c>
      <c r="N81" s="36" t="n">
        <v>280</v>
      </c>
      <c r="O81" s="35" t="n">
        <v>4</v>
      </c>
      <c r="P81" s="36" t="s">
        <v>31</v>
      </c>
      <c r="Q81" s="19"/>
      <c r="R81" s="19"/>
      <c r="S81" s="46" t="f">
        <f>T81*V81</f>
      </c>
      <c r="T81" s="16" t="n">
        <v>23</v>
      </c>
      <c r="U81" s="16" t="s">
        <v>32</v>
      </c>
      <c r="V81" s="16" t="n">
        <v>4</v>
      </c>
      <c r="W81" s="17" t="s">
        <v>31</v>
      </c>
      <c r="Y81" s="67" t="n">
        <v>46113</v>
      </c>
      <c r="Z81" s="15"/>
    </row>
    <row r="82" ht="15.75" hidden="1" customHeight="1">
      <c r="A82" s="35" t="n">
        <v>417</v>
      </c>
      <c r="B82" s="34" t="n">
        <v>46112</v>
      </c>
      <c r="C82" s="35" t="s">
        <v>61</v>
      </c>
      <c r="F82" s="35" t="s">
        <v>34</v>
      </c>
      <c r="G82" s="1" t="s">
        <v>29</v>
      </c>
      <c r="H82" s="1" t="s">
        <v>135</v>
      </c>
      <c r="I82" s="1" t="s">
        <v>136</v>
      </c>
      <c r="J82" s="35" t="s">
        <v>165</v>
      </c>
      <c r="M82" s="35" t="n">
        <v>150</v>
      </c>
      <c r="N82" s="36" t="n">
        <v>280</v>
      </c>
      <c r="O82" s="35" t="n">
        <v>4</v>
      </c>
      <c r="P82" s="36" t="s">
        <v>31</v>
      </c>
      <c r="Q82" s="19"/>
      <c r="R82" s="19"/>
      <c r="S82" s="46" t="f">
        <f>V82*T82</f>
      </c>
      <c r="T82" s="16" t="n">
        <v>20</v>
      </c>
      <c r="U82" s="16" t="s">
        <v>32</v>
      </c>
      <c r="V82" s="16" t="n">
        <v>4</v>
      </c>
      <c r="W82" s="17" t="s">
        <v>31</v>
      </c>
      <c r="Y82" s="67" t="n">
        <v>46113</v>
      </c>
      <c r="Z82" s="15"/>
    </row>
    <row r="83" ht="15.75" hidden="1" customHeight="1">
      <c r="A83" s="1" t="n">
        <v>427</v>
      </c>
      <c r="B83" s="33" t="n">
        <v>46114</v>
      </c>
      <c r="C83" s="35" t="s">
        <v>61</v>
      </c>
      <c r="F83" s="24" t="s">
        <v>77</v>
      </c>
      <c r="G83" s="25" t="s">
        <v>29</v>
      </c>
      <c r="H83" s="1" t="s">
        <v>119</v>
      </c>
      <c r="I83" s="1" t="s">
        <v>76</v>
      </c>
      <c r="J83" s="1" t="s">
        <v>166</v>
      </c>
      <c r="L83" s="1" t="s">
        <v>167</v>
      </c>
      <c r="M83" s="1" t="n">
        <v>150</v>
      </c>
      <c r="N83" s="1" t="n">
        <v>250</v>
      </c>
      <c r="O83" s="1" t="n">
        <v>1</v>
      </c>
      <c r="P83" s="36" t="s">
        <v>31</v>
      </c>
      <c r="Q83" s="19"/>
      <c r="R83" s="19"/>
      <c r="S83" s="46" t="f">
        <f>T83*V83</f>
      </c>
      <c r="T83" s="16" t="n">
        <v>22</v>
      </c>
      <c r="U83" s="16" t="s">
        <v>32</v>
      </c>
      <c r="V83" s="38" t="n">
        <v>1</v>
      </c>
      <c r="W83" s="17" t="s">
        <v>31</v>
      </c>
      <c r="Y83" s="67" t="n">
        <v>46113</v>
      </c>
      <c r="Z83" s="15"/>
    </row>
    <row r="84" ht="15.75" hidden="1" customHeight="1">
      <c r="A84" s="1" t="n">
        <v>428</v>
      </c>
      <c r="B84" s="34" t="n">
        <v>46114</v>
      </c>
      <c r="C84" s="35" t="s">
        <v>61</v>
      </c>
      <c r="F84" s="35" t="s">
        <v>77</v>
      </c>
      <c r="G84" s="36" t="s">
        <v>29</v>
      </c>
      <c r="H84" s="1" t="s">
        <v>119</v>
      </c>
      <c r="I84" s="1" t="s">
        <v>76</v>
      </c>
      <c r="J84" s="1" t="s">
        <v>80</v>
      </c>
      <c r="L84" s="1" t="s">
        <v>167</v>
      </c>
      <c r="M84" s="1" t="n">
        <v>150</v>
      </c>
      <c r="N84" s="1" t="n">
        <v>250</v>
      </c>
      <c r="O84" s="1" t="n">
        <v>1</v>
      </c>
      <c r="P84" s="36" t="s">
        <v>31</v>
      </c>
      <c r="Q84" s="19"/>
      <c r="R84" s="19"/>
      <c r="S84" s="46" t="f">
        <f>T84*V84</f>
      </c>
      <c r="T84" s="16" t="n">
        <v>22</v>
      </c>
      <c r="U84" s="16" t="s">
        <v>32</v>
      </c>
      <c r="V84" s="38" t="n">
        <v>1</v>
      </c>
      <c r="W84" s="17" t="s">
        <v>31</v>
      </c>
      <c r="Y84" s="67" t="n">
        <v>46115</v>
      </c>
      <c r="Z84" s="15"/>
    </row>
    <row r="85" ht="15.75" hidden="1" customHeight="1">
      <c r="A85" s="1" t="n">
        <v>429</v>
      </c>
      <c r="B85" s="34" t="n">
        <v>46114</v>
      </c>
      <c r="C85" s="35" t="s">
        <v>61</v>
      </c>
      <c r="F85" s="35" t="s">
        <v>77</v>
      </c>
      <c r="G85" s="36" t="s">
        <v>29</v>
      </c>
      <c r="H85" s="1" t="s">
        <v>119</v>
      </c>
      <c r="I85" s="1" t="s">
        <v>76</v>
      </c>
      <c r="J85" s="1" t="s">
        <v>140</v>
      </c>
      <c r="L85" s="1" t="s">
        <v>167</v>
      </c>
      <c r="M85" s="1" t="n">
        <v>150</v>
      </c>
      <c r="N85" s="1" t="n">
        <v>250</v>
      </c>
      <c r="O85" s="1" t="n">
        <v>1</v>
      </c>
      <c r="P85" s="36" t="s">
        <v>31</v>
      </c>
      <c r="Q85" s="19"/>
      <c r="R85" s="19"/>
      <c r="S85" s="46" t="f">
        <f>T85*V85</f>
      </c>
      <c r="T85" s="16" t="n">
        <v>22</v>
      </c>
      <c r="U85" s="16" t="s">
        <v>32</v>
      </c>
      <c r="V85" s="38" t="n">
        <v>1</v>
      </c>
      <c r="W85" s="17" t="s">
        <v>31</v>
      </c>
      <c r="Y85" s="67" t="n">
        <v>46115</v>
      </c>
      <c r="Z85" s="15"/>
    </row>
    <row r="86" ht="15.75" hidden="1" customHeight="1">
      <c r="A86" s="1" t="n">
        <v>430</v>
      </c>
      <c r="B86" s="34" t="n">
        <v>46114</v>
      </c>
      <c r="C86" s="35" t="s">
        <v>61</v>
      </c>
      <c r="F86" s="35" t="s">
        <v>87</v>
      </c>
      <c r="G86" s="36" t="s">
        <v>29</v>
      </c>
      <c r="H86" s="1" t="s">
        <v>119</v>
      </c>
      <c r="I86" s="1" t="s">
        <v>86</v>
      </c>
      <c r="J86" s="1" t="s">
        <v>168</v>
      </c>
      <c r="L86" s="1" t="s">
        <v>167</v>
      </c>
      <c r="M86" s="1" t="n">
        <v>150</v>
      </c>
      <c r="N86" s="1" t="n">
        <v>240</v>
      </c>
      <c r="O86" s="1" t="n">
        <v>1</v>
      </c>
      <c r="P86" s="36" t="s">
        <v>31</v>
      </c>
      <c r="Q86" s="19"/>
      <c r="R86" s="19"/>
      <c r="S86" s="46" t="f">
        <f>T86*V86</f>
      </c>
      <c r="T86" s="16" t="n">
        <v>20</v>
      </c>
      <c r="U86" s="16" t="s">
        <v>32</v>
      </c>
      <c r="V86" s="38" t="n">
        <v>1</v>
      </c>
      <c r="W86" s="17" t="s">
        <v>31</v>
      </c>
      <c r="Y86" s="67" t="n">
        <v>46115</v>
      </c>
      <c r="Z86" s="15"/>
    </row>
    <row r="87" ht="15.75" hidden="1" customHeight="1">
      <c r="A87" s="1" t="n">
        <v>431</v>
      </c>
      <c r="B87" s="34" t="n">
        <v>46114</v>
      </c>
      <c r="C87" s="35" t="s">
        <v>61</v>
      </c>
      <c r="F87" s="35" t="s">
        <v>87</v>
      </c>
      <c r="G87" s="36" t="s">
        <v>29</v>
      </c>
      <c r="H87" s="1" t="s">
        <v>119</v>
      </c>
      <c r="I87" s="1" t="s">
        <v>86</v>
      </c>
      <c r="J87" s="1" t="s">
        <v>169</v>
      </c>
      <c r="L87" s="1" t="s">
        <v>167</v>
      </c>
      <c r="M87" s="1" t="n">
        <v>150</v>
      </c>
      <c r="N87" s="1" t="n">
        <v>240</v>
      </c>
      <c r="O87" s="1" t="n">
        <v>1</v>
      </c>
      <c r="P87" s="36" t="s">
        <v>31</v>
      </c>
      <c r="Q87" s="19"/>
      <c r="R87" s="19"/>
      <c r="S87" s="46" t="f">
        <f>T87*V87</f>
      </c>
      <c r="T87" s="16" t="n">
        <v>20</v>
      </c>
      <c r="U87" s="16" t="s">
        <v>32</v>
      </c>
      <c r="V87" s="38" t="n">
        <v>1</v>
      </c>
      <c r="W87" s="17" t="s">
        <v>31</v>
      </c>
      <c r="Y87" s="67" t="n">
        <v>46115</v>
      </c>
      <c r="Z87" s="15"/>
    </row>
    <row r="88" ht="15.75" hidden="1" customHeight="1">
      <c r="A88" s="1" t="n">
        <v>432</v>
      </c>
      <c r="B88" s="34" t="n">
        <v>46114</v>
      </c>
      <c r="C88" s="35" t="s">
        <v>61</v>
      </c>
      <c r="F88" s="35" t="s">
        <v>87</v>
      </c>
      <c r="G88" s="36" t="s">
        <v>29</v>
      </c>
      <c r="H88" s="1" t="s">
        <v>119</v>
      </c>
      <c r="I88" s="1" t="s">
        <v>86</v>
      </c>
      <c r="J88" s="1" t="s">
        <v>68</v>
      </c>
      <c r="L88" s="1" t="s">
        <v>167</v>
      </c>
      <c r="M88" s="1" t="n">
        <v>150</v>
      </c>
      <c r="N88" s="1" t="n">
        <v>240</v>
      </c>
      <c r="O88" s="1" t="n">
        <v>1</v>
      </c>
      <c r="P88" s="36" t="s">
        <v>31</v>
      </c>
      <c r="Q88" s="19"/>
      <c r="R88" s="19"/>
      <c r="S88" s="46" t="f">
        <f>T88*V88</f>
      </c>
      <c r="T88" s="16" t="n">
        <v>20</v>
      </c>
      <c r="U88" s="16" t="s">
        <v>32</v>
      </c>
      <c r="V88" s="38" t="n">
        <v>1</v>
      </c>
      <c r="W88" s="17" t="s">
        <v>31</v>
      </c>
      <c r="Y88" s="67" t="n">
        <v>46115</v>
      </c>
      <c r="Z88" s="15"/>
    </row>
    <row r="89" ht="15.75" hidden="1" customHeight="1">
      <c r="A89" s="1" t="n">
        <v>433</v>
      </c>
      <c r="B89" s="34" t="n">
        <v>46114</v>
      </c>
      <c r="C89" s="35" t="s">
        <v>61</v>
      </c>
      <c r="F89" s="35" t="s">
        <v>143</v>
      </c>
      <c r="G89" s="36" t="s">
        <v>29</v>
      </c>
      <c r="H89" s="1" t="s">
        <v>119</v>
      </c>
      <c r="I89" s="1" t="s">
        <v>144</v>
      </c>
      <c r="J89" s="1" t="s">
        <v>170</v>
      </c>
      <c r="L89" s="1" t="s">
        <v>171</v>
      </c>
      <c r="M89" s="1" t="n">
        <v>150</v>
      </c>
      <c r="N89" s="1" t="n">
        <v>240</v>
      </c>
      <c r="O89" s="1" t="n">
        <v>1</v>
      </c>
      <c r="P89" s="36" t="s">
        <v>31</v>
      </c>
      <c r="Q89" s="19"/>
      <c r="R89" s="19"/>
      <c r="S89" s="46" t="n">
        <v>23</v>
      </c>
      <c r="T89" s="16" t="n">
        <v>23</v>
      </c>
      <c r="U89" s="16" t="s">
        <v>32</v>
      </c>
      <c r="V89" s="38" t="n">
        <v>1</v>
      </c>
      <c r="W89" s="17" t="s">
        <v>31</v>
      </c>
      <c r="Y89" s="67" t="n">
        <v>46115</v>
      </c>
      <c r="Z89" s="15"/>
    </row>
    <row r="90" ht="15.75" hidden="1" customHeight="1">
      <c r="A90" s="1" t="n">
        <v>434</v>
      </c>
      <c r="B90" s="34" t="n">
        <v>46114</v>
      </c>
      <c r="C90" s="35" t="s">
        <v>61</v>
      </c>
      <c r="F90" s="35" t="s">
        <v>143</v>
      </c>
      <c r="G90" s="36" t="s">
        <v>29</v>
      </c>
      <c r="H90" s="1" t="s">
        <v>119</v>
      </c>
      <c r="I90" s="1" t="s">
        <v>144</v>
      </c>
      <c r="J90" s="1" t="s">
        <v>172</v>
      </c>
      <c r="L90" s="1" t="s">
        <v>171</v>
      </c>
      <c r="M90" s="1" t="n">
        <v>150</v>
      </c>
      <c r="N90" s="1" t="n">
        <v>240</v>
      </c>
      <c r="O90" s="1" t="n">
        <v>1</v>
      </c>
      <c r="P90" s="36" t="s">
        <v>31</v>
      </c>
      <c r="Q90" s="19"/>
      <c r="R90" s="19"/>
      <c r="S90" s="46" t="n">
        <v>23</v>
      </c>
      <c r="T90" s="16" t="n">
        <v>23</v>
      </c>
      <c r="U90" s="16" t="s">
        <v>32</v>
      </c>
      <c r="V90" s="38" t="n">
        <v>1</v>
      </c>
      <c r="W90" s="17" t="s">
        <v>31</v>
      </c>
      <c r="Y90" s="67" t="n">
        <v>46115</v>
      </c>
      <c r="Z90" s="15"/>
    </row>
    <row r="91" ht="15.75" hidden="1" customHeight="1">
      <c r="A91" s="1" t="n">
        <v>435</v>
      </c>
      <c r="B91" s="34" t="n">
        <v>46114</v>
      </c>
      <c r="C91" s="35" t="s">
        <v>61</v>
      </c>
      <c r="F91" s="35" t="s">
        <v>143</v>
      </c>
      <c r="G91" s="36" t="s">
        <v>29</v>
      </c>
      <c r="H91" s="1" t="s">
        <v>119</v>
      </c>
      <c r="I91" s="1" t="s">
        <v>144</v>
      </c>
      <c r="J91" s="1" t="s">
        <v>147</v>
      </c>
      <c r="L91" s="1" t="s">
        <v>171</v>
      </c>
      <c r="M91" s="1" t="n">
        <v>150</v>
      </c>
      <c r="N91" s="1" t="n">
        <v>240</v>
      </c>
      <c r="O91" s="1" t="n">
        <v>1</v>
      </c>
      <c r="P91" s="36" t="s">
        <v>31</v>
      </c>
      <c r="Q91" s="19"/>
      <c r="R91" s="19"/>
      <c r="S91" s="46" t="n">
        <v>23</v>
      </c>
      <c r="T91" s="16" t="n">
        <v>23</v>
      </c>
      <c r="U91" s="16" t="s">
        <v>32</v>
      </c>
      <c r="V91" s="38" t="n">
        <v>1</v>
      </c>
      <c r="W91" s="17" t="s">
        <v>31</v>
      </c>
      <c r="Y91" s="67" t="n">
        <v>46115</v>
      </c>
      <c r="Z91" s="15"/>
    </row>
    <row r="92" ht="15.75" hidden="1" customHeight="1">
      <c r="A92" s="1" t="n">
        <v>364</v>
      </c>
      <c r="B92" s="28" t="n">
        <v>46119</v>
      </c>
      <c r="C92" s="35" t="s">
        <v>26</v>
      </c>
      <c r="F92" s="24" t="s">
        <v>173</v>
      </c>
      <c r="G92" s="1" t="s">
        <v>39</v>
      </c>
      <c r="H92" s="1" t="s">
        <v>174</v>
      </c>
      <c r="I92" s="1" t="s">
        <v>175</v>
      </c>
      <c r="J92" s="1" t="s">
        <v>176</v>
      </c>
      <c r="L92" s="1" t="s">
        <v>177</v>
      </c>
      <c r="M92" s="1" t="n">
        <v>175</v>
      </c>
      <c r="N92" s="1" t="n">
        <v>240</v>
      </c>
      <c r="O92" s="1" t="n">
        <v>100</v>
      </c>
      <c r="P92" s="1" t="s">
        <v>31</v>
      </c>
      <c r="Q92" s="19"/>
      <c r="R92" s="19"/>
      <c r="S92" s="19" t="n">
        <v>1525</v>
      </c>
      <c r="T92" s="16" t="n">
        <v>33</v>
      </c>
      <c r="U92" s="16" t="s">
        <v>101</v>
      </c>
      <c r="V92" s="16" t="n">
        <v>107</v>
      </c>
      <c r="W92" s="17" t="s">
        <v>31</v>
      </c>
      <c r="X92" s="16" t="n">
        <v>46.200000</v>
      </c>
      <c r="Y92" s="67" t="n">
        <v>46120</v>
      </c>
      <c r="Z92" s="15"/>
    </row>
    <row r="93" ht="15.75" hidden="1" customHeight="1">
      <c r="A93" s="24" t="n">
        <v>460</v>
      </c>
      <c r="B93" s="28" t="n">
        <v>46115</v>
      </c>
      <c r="C93" s="35" t="s">
        <v>26</v>
      </c>
      <c r="E93" s="1" t="s">
        <v>178</v>
      </c>
      <c r="F93" s="24" t="s">
        <v>179</v>
      </c>
      <c r="G93" s="1" t="s">
        <v>39</v>
      </c>
      <c r="H93" s="1" t="s">
        <v>180</v>
      </c>
      <c r="I93" s="1" t="s">
        <v>181</v>
      </c>
      <c r="J93" s="24" t="s">
        <v>182</v>
      </c>
      <c r="L93" s="1" t="s">
        <v>177</v>
      </c>
      <c r="M93" s="1" t="n">
        <v>165</v>
      </c>
      <c r="N93" s="1" t="n">
        <v>250</v>
      </c>
      <c r="O93" s="24" t="n">
        <v>74</v>
      </c>
      <c r="P93" s="1" t="s">
        <v>31</v>
      </c>
      <c r="Q93" s="19"/>
      <c r="R93" s="19"/>
      <c r="S93" s="19" t="n">
        <v>733</v>
      </c>
      <c r="T93" s="16" t="n">
        <v>24.500000</v>
      </c>
      <c r="U93" s="16" t="s">
        <v>101</v>
      </c>
      <c r="V93" s="16" t="n">
        <v>71</v>
      </c>
      <c r="W93" s="17" t="s">
        <v>31</v>
      </c>
      <c r="X93" s="16" t="n">
        <v>29.900000</v>
      </c>
      <c r="Y93" s="67" t="n">
        <v>46122</v>
      </c>
      <c r="Z93" s="15"/>
    </row>
    <row r="94" ht="15.75" hidden="1" customHeight="1">
      <c r="A94" s="35" t="n">
        <v>461</v>
      </c>
      <c r="B94" s="28" t="n">
        <v>46115</v>
      </c>
      <c r="C94" s="35" t="s">
        <v>26</v>
      </c>
      <c r="E94" s="1" t="s">
        <v>183</v>
      </c>
      <c r="F94" s="35" t="s">
        <v>179</v>
      </c>
      <c r="G94" s="1" t="s">
        <v>39</v>
      </c>
      <c r="H94" s="1" t="s">
        <v>180</v>
      </c>
      <c r="I94" s="1" t="s">
        <v>181</v>
      </c>
      <c r="J94" s="35" t="s">
        <v>182</v>
      </c>
      <c r="L94" s="1" t="s">
        <v>177</v>
      </c>
      <c r="M94" s="1" t="n">
        <v>165</v>
      </c>
      <c r="N94" s="1" t="n">
        <v>250</v>
      </c>
      <c r="O94" s="35" t="n">
        <v>60</v>
      </c>
      <c r="P94" s="1" t="s">
        <v>31</v>
      </c>
      <c r="Q94" s="19"/>
      <c r="R94" s="19"/>
      <c r="S94" s="19" t="n">
        <v>722</v>
      </c>
      <c r="T94" s="16" t="n">
        <v>24.500000</v>
      </c>
      <c r="U94" s="16" t="s">
        <v>101</v>
      </c>
      <c r="V94" s="16" t="n">
        <v>70</v>
      </c>
      <c r="W94" s="17" t="s">
        <v>31</v>
      </c>
      <c r="X94" s="16" t="n">
        <v>29.500000</v>
      </c>
      <c r="Y94" s="67" t="n">
        <v>46122</v>
      </c>
      <c r="Z94" s="15"/>
    </row>
    <row r="95" ht="15.75" hidden="1" customHeight="1">
      <c r="A95" s="24" t="s">
        <v>184</v>
      </c>
      <c r="B95" s="33" t="n">
        <v>46119</v>
      </c>
      <c r="C95" s="24" t="s">
        <v>61</v>
      </c>
      <c r="F95" s="24" t="s">
        <v>185</v>
      </c>
      <c r="G95" s="1" t="s">
        <v>39</v>
      </c>
      <c r="H95" s="1" t="s">
        <v>119</v>
      </c>
      <c r="I95" s="24" t="s">
        <v>186</v>
      </c>
      <c r="J95" s="24" t="s">
        <v>160</v>
      </c>
      <c r="L95" s="24" t="s">
        <v>187</v>
      </c>
      <c r="M95" s="24" t="n">
        <v>150</v>
      </c>
      <c r="N95" s="25" t="n">
        <v>210</v>
      </c>
      <c r="O95" s="25" t="n">
        <v>2</v>
      </c>
      <c r="P95" s="1" t="s">
        <v>31</v>
      </c>
      <c r="Q95" s="19"/>
      <c r="R95" s="19"/>
      <c r="S95" s="46" t="f">
        <f>V95*T95</f>
      </c>
      <c r="T95" s="16" t="n">
        <v>40</v>
      </c>
      <c r="U95" s="16" t="s">
        <v>32</v>
      </c>
      <c r="V95" s="16" t="n">
        <v>2</v>
      </c>
      <c r="W95" s="23" t="s">
        <v>31</v>
      </c>
      <c r="Y95" s="67" t="n">
        <v>46120</v>
      </c>
      <c r="Z95" s="15"/>
    </row>
    <row r="96" ht="15.75" hidden="1" customHeight="1">
      <c r="A96" s="24" t="s">
        <v>188</v>
      </c>
      <c r="B96" s="34" t="n">
        <v>46119</v>
      </c>
      <c r="C96" s="35" t="s">
        <v>61</v>
      </c>
      <c r="F96" s="35" t="s">
        <v>185</v>
      </c>
      <c r="G96" s="1" t="s">
        <v>39</v>
      </c>
      <c r="H96" s="1" t="s">
        <v>119</v>
      </c>
      <c r="I96" s="24" t="s">
        <v>186</v>
      </c>
      <c r="J96" s="35" t="s">
        <v>189</v>
      </c>
      <c r="L96" s="35" t="s">
        <v>187</v>
      </c>
      <c r="M96" s="35" t="n">
        <v>150</v>
      </c>
      <c r="N96" s="36" t="n">
        <v>210</v>
      </c>
      <c r="O96" s="36" t="n">
        <v>1</v>
      </c>
      <c r="P96" s="1" t="s">
        <v>31</v>
      </c>
      <c r="Q96" s="19"/>
      <c r="R96" s="19"/>
      <c r="S96" s="46" t="f">
        <f>V96*T96</f>
      </c>
      <c r="T96" s="16" t="n">
        <v>40</v>
      </c>
      <c r="U96" s="16" t="s">
        <v>32</v>
      </c>
      <c r="V96" s="16" t="n">
        <v>1</v>
      </c>
      <c r="W96" s="23" t="s">
        <v>31</v>
      </c>
      <c r="Y96" s="67" t="n">
        <v>46120</v>
      </c>
      <c r="Z96" s="15"/>
    </row>
    <row r="97" ht="15.75" hidden="1" customHeight="1">
      <c r="A97" s="24" t="s">
        <v>190</v>
      </c>
      <c r="B97" s="34" t="n">
        <v>46119</v>
      </c>
      <c r="C97" s="35" t="s">
        <v>61</v>
      </c>
      <c r="F97" s="35" t="s">
        <v>185</v>
      </c>
      <c r="G97" s="1" t="s">
        <v>39</v>
      </c>
      <c r="H97" s="1" t="s">
        <v>119</v>
      </c>
      <c r="I97" s="24" t="s">
        <v>186</v>
      </c>
      <c r="J97" s="35" t="s">
        <v>85</v>
      </c>
      <c r="L97" s="35" t="s">
        <v>187</v>
      </c>
      <c r="M97" s="35" t="n">
        <v>150</v>
      </c>
      <c r="N97" s="36" t="n">
        <v>210</v>
      </c>
      <c r="O97" s="36" t="n">
        <v>1</v>
      </c>
      <c r="P97" s="1" t="s">
        <v>31</v>
      </c>
      <c r="Q97" s="19"/>
      <c r="R97" s="19"/>
      <c r="S97" s="46" t="f">
        <f>V97*T97</f>
      </c>
      <c r="T97" s="16" t="n">
        <v>40</v>
      </c>
      <c r="U97" s="16" t="s">
        <v>32</v>
      </c>
      <c r="V97" s="16" t="n">
        <v>1</v>
      </c>
      <c r="W97" s="23" t="s">
        <v>31</v>
      </c>
      <c r="Y97" s="67" t="n">
        <v>46120</v>
      </c>
      <c r="Z97" s="15"/>
    </row>
    <row r="98" ht="15.75" hidden="1" customHeight="1">
      <c r="A98" s="24" t="s">
        <v>191</v>
      </c>
      <c r="B98" s="34" t="n">
        <v>46119</v>
      </c>
      <c r="C98" s="35" t="s">
        <v>61</v>
      </c>
      <c r="F98" s="35" t="s">
        <v>185</v>
      </c>
      <c r="G98" s="1" t="s">
        <v>39</v>
      </c>
      <c r="H98" s="1" t="s">
        <v>119</v>
      </c>
      <c r="I98" s="24" t="s">
        <v>186</v>
      </c>
      <c r="J98" s="35" t="s">
        <v>192</v>
      </c>
      <c r="L98" s="35" t="s">
        <v>187</v>
      </c>
      <c r="M98" s="35" t="n">
        <v>150</v>
      </c>
      <c r="N98" s="36" t="n">
        <v>210</v>
      </c>
      <c r="O98" s="36" t="n">
        <v>1</v>
      </c>
      <c r="P98" s="1" t="s">
        <v>31</v>
      </c>
      <c r="Q98" s="19"/>
      <c r="R98" s="19"/>
      <c r="S98" s="46" t="f">
        <f>V98*T98</f>
      </c>
      <c r="T98" s="16" t="n">
        <v>40</v>
      </c>
      <c r="U98" s="16" t="s">
        <v>32</v>
      </c>
      <c r="V98" s="16" t="n">
        <v>1</v>
      </c>
      <c r="W98" s="23" t="s">
        <v>31</v>
      </c>
      <c r="Y98" s="67" t="n">
        <v>46120</v>
      </c>
      <c r="Z98" s="15"/>
    </row>
    <row r="99" ht="15.75" hidden="1" customHeight="1">
      <c r="A99" s="24" t="s">
        <v>193</v>
      </c>
      <c r="B99" s="28" t="n">
        <v>46120</v>
      </c>
      <c r="C99" s="35" t="s">
        <v>61</v>
      </c>
      <c r="F99" s="35" t="s">
        <v>194</v>
      </c>
      <c r="G99" s="1" t="s">
        <v>29</v>
      </c>
      <c r="H99" s="1" t="s">
        <v>119</v>
      </c>
      <c r="J99" s="1" t="s">
        <v>195</v>
      </c>
      <c r="L99" s="1" t="s">
        <v>196</v>
      </c>
      <c r="M99" s="1" t="n">
        <v>150</v>
      </c>
      <c r="N99" s="1" t="n">
        <v>240</v>
      </c>
      <c r="O99" s="1" t="n">
        <v>3.500000</v>
      </c>
      <c r="P99" s="1" t="s">
        <v>31</v>
      </c>
      <c r="Q99" s="19"/>
      <c r="R99" s="19"/>
      <c r="S99" s="46" t="f">
        <f>V99*T99</f>
      </c>
      <c r="T99" s="16" t="n">
        <v>30</v>
      </c>
      <c r="U99" s="16" t="s">
        <v>32</v>
      </c>
      <c r="V99" s="16" t="n">
        <v>3.500000</v>
      </c>
      <c r="W99" s="17" t="s">
        <v>31</v>
      </c>
      <c r="Y99" s="67" t="n">
        <v>46121</v>
      </c>
      <c r="Z99" s="15"/>
    </row>
    <row r="100" ht="15.75" hidden="1" customHeight="1">
      <c r="A100" s="24" t="s">
        <v>197</v>
      </c>
      <c r="B100" s="28" t="n">
        <v>46120</v>
      </c>
      <c r="C100" s="35" t="s">
        <v>61</v>
      </c>
      <c r="F100" s="35" t="s">
        <v>194</v>
      </c>
      <c r="G100" s="1" t="s">
        <v>29</v>
      </c>
      <c r="H100" s="1" t="s">
        <v>119</v>
      </c>
      <c r="J100" s="1" t="s">
        <v>198</v>
      </c>
      <c r="L100" s="1" t="s">
        <v>196</v>
      </c>
      <c r="M100" s="1" t="n">
        <v>150</v>
      </c>
      <c r="N100" s="1" t="n">
        <v>240</v>
      </c>
      <c r="O100" s="1" t="n">
        <v>2</v>
      </c>
      <c r="P100" s="1" t="s">
        <v>31</v>
      </c>
      <c r="Q100" s="19"/>
      <c r="R100" s="19"/>
      <c r="S100" s="46" t="f">
        <f>T100*V100</f>
      </c>
      <c r="T100" s="16" t="n">
        <v>30</v>
      </c>
      <c r="U100" s="16" t="s">
        <v>32</v>
      </c>
      <c r="V100" s="16" t="n">
        <v>2</v>
      </c>
      <c r="W100" s="17" t="s">
        <v>31</v>
      </c>
      <c r="Y100" s="67" t="n">
        <v>46121</v>
      </c>
      <c r="Z100" s="15"/>
    </row>
    <row r="101" ht="15.75" customHeight="1">
      <c r="A101" s="1" t="n">
        <v>499</v>
      </c>
      <c r="B101" s="28" t="n">
        <v>46122</v>
      </c>
      <c r="C101" s="35" t="s">
        <v>61</v>
      </c>
      <c r="F101" s="24" t="s">
        <v>199</v>
      </c>
      <c r="G101" s="1" t="s">
        <v>29</v>
      </c>
      <c r="H101" s="1" t="s">
        <v>200</v>
      </c>
      <c r="I101" s="1" t="s">
        <v>201</v>
      </c>
      <c r="J101" s="24" t="s">
        <v>202</v>
      </c>
      <c r="L101" s="1" t="s">
        <v>203</v>
      </c>
      <c r="M101" s="1" t="n">
        <v>148</v>
      </c>
      <c r="N101" s="1" t="n">
        <v>168</v>
      </c>
      <c r="O101" s="1" t="n">
        <v>5</v>
      </c>
      <c r="P101" s="1" t="s">
        <v>31</v>
      </c>
      <c r="Q101" s="19"/>
      <c r="R101" s="19"/>
      <c r="S101" s="46" t="f">
        <f>T101*V101</f>
      </c>
      <c r="T101" s="16" t="n">
        <v>15</v>
      </c>
      <c r="U101" s="16" t="s">
        <v>32</v>
      </c>
      <c r="V101" s="16" t="n">
        <v>5</v>
      </c>
      <c r="W101" s="17" t="s">
        <v>31</v>
      </c>
      <c r="Y101" s="67" t="n">
        <v>46122</v>
      </c>
      <c r="Z101" s="15"/>
    </row>
    <row r="102" ht="15.75" customHeight="1">
      <c r="A102" s="1" t="n">
        <v>500</v>
      </c>
      <c r="B102" s="28" t="n">
        <v>46122</v>
      </c>
      <c r="C102" s="35" t="s">
        <v>61</v>
      </c>
      <c r="F102" s="35" t="s">
        <v>199</v>
      </c>
      <c r="G102" s="1" t="s">
        <v>29</v>
      </c>
      <c r="H102" s="1" t="s">
        <v>200</v>
      </c>
      <c r="I102" s="1" t="s">
        <v>201</v>
      </c>
      <c r="J102" s="35" t="s">
        <v>204</v>
      </c>
      <c r="L102" s="1" t="s">
        <v>203</v>
      </c>
      <c r="M102" s="1" t="n">
        <v>148</v>
      </c>
      <c r="N102" s="1" t="n">
        <v>168</v>
      </c>
      <c r="O102" s="1" t="n">
        <v>3</v>
      </c>
      <c r="P102" s="1" t="s">
        <v>31</v>
      </c>
      <c r="Q102" s="19"/>
      <c r="R102" s="19"/>
      <c r="S102" s="46" t="f">
        <f>T102*V102</f>
      </c>
      <c r="T102" s="16" t="n">
        <v>15</v>
      </c>
      <c r="U102" s="16" t="s">
        <v>32</v>
      </c>
      <c r="V102" s="16" t="n">
        <v>3</v>
      </c>
      <c r="W102" s="17" t="s">
        <v>31</v>
      </c>
      <c r="Y102" s="67" t="n">
        <v>46122</v>
      </c>
      <c r="Z102" s="15"/>
    </row>
    <row r="103" ht="15.75" hidden="1" customHeight="1">
      <c r="A103" s="1" t="n">
        <v>512</v>
      </c>
      <c r="B103" s="28" t="n">
        <v>46124</v>
      </c>
      <c r="C103" s="35" t="s">
        <v>26</v>
      </c>
      <c r="F103" s="1" t="s">
        <v>173</v>
      </c>
      <c r="G103" s="1" t="s">
        <v>39</v>
      </c>
      <c r="H103" s="1" t="s">
        <v>174</v>
      </c>
      <c r="I103" s="1" t="s">
        <v>175</v>
      </c>
      <c r="J103" s="1" t="s">
        <v>176</v>
      </c>
      <c r="L103" s="1" t="s">
        <v>177</v>
      </c>
      <c r="M103" s="1" t="n">
        <v>175</v>
      </c>
      <c r="N103" s="1" t="n">
        <v>240</v>
      </c>
      <c r="O103" s="1" t="n">
        <v>50</v>
      </c>
      <c r="P103" s="1" t="s">
        <v>31</v>
      </c>
      <c r="Q103" s="19"/>
      <c r="R103" s="19"/>
      <c r="S103" s="19" t="f">
        <f>X103*T103</f>
      </c>
      <c r="T103" s="16" t="n">
        <v>33</v>
      </c>
      <c r="U103" s="16" t="s">
        <v>101</v>
      </c>
      <c r="V103" s="16" t="n">
        <v>53</v>
      </c>
      <c r="W103" s="17" t="s">
        <v>31</v>
      </c>
      <c r="X103" s="16" t="n">
        <v>23</v>
      </c>
      <c r="Y103" s="67" t="n">
        <v>46125</v>
      </c>
      <c r="Z103" s="15"/>
    </row>
    <row r="104" ht="15.75" hidden="1" customHeight="1">
      <c r="A104" s="24" t="s">
        <v>205</v>
      </c>
      <c r="B104" s="28" t="n">
        <v>46122</v>
      </c>
      <c r="C104" s="35" t="s">
        <v>26</v>
      </c>
      <c r="F104" s="24" t="s">
        <v>75</v>
      </c>
      <c r="G104" s="1" t="s">
        <v>29</v>
      </c>
      <c r="H104" s="1" t="s">
        <v>119</v>
      </c>
      <c r="I104" s="1" t="s">
        <v>157</v>
      </c>
      <c r="J104" s="24" t="s">
        <v>206</v>
      </c>
      <c r="L104" s="1" t="s">
        <v>177</v>
      </c>
      <c r="M104" s="1" t="n">
        <v>165</v>
      </c>
      <c r="N104" s="1" t="n">
        <v>200</v>
      </c>
      <c r="O104" s="1" t="n">
        <v>205</v>
      </c>
      <c r="P104" s="1" t="s">
        <v>31</v>
      </c>
      <c r="Q104" s="19"/>
      <c r="R104" s="19"/>
      <c r="S104" s="19" t="n">
        <v>2865</v>
      </c>
      <c r="T104" s="16" t="n">
        <v>38</v>
      </c>
      <c r="U104" s="16" t="s">
        <v>101</v>
      </c>
      <c r="V104" s="16" t="n">
        <v>226</v>
      </c>
      <c r="W104" s="17" t="s">
        <v>31</v>
      </c>
      <c r="X104" s="16" t="n">
        <v>75.400000</v>
      </c>
      <c r="Y104" s="67" t="n">
        <v>46127</v>
      </c>
      <c r="Z104" s="15"/>
    </row>
    <row r="105" ht="15.75" hidden="1" customHeight="1">
      <c r="A105" s="35" t="s">
        <v>207</v>
      </c>
      <c r="B105" s="28" t="n">
        <v>46122</v>
      </c>
      <c r="C105" s="35" t="s">
        <v>26</v>
      </c>
      <c r="F105" s="35" t="s">
        <v>75</v>
      </c>
      <c r="G105" s="1" t="s">
        <v>29</v>
      </c>
      <c r="H105" s="1" t="s">
        <v>119</v>
      </c>
      <c r="I105" s="1" t="s">
        <v>157</v>
      </c>
      <c r="J105" s="35" t="s">
        <v>208</v>
      </c>
      <c r="L105" s="1" t="s">
        <v>177</v>
      </c>
      <c r="M105" s="1" t="n">
        <v>165</v>
      </c>
      <c r="N105" s="1" t="n">
        <v>200</v>
      </c>
      <c r="O105" s="1" t="n">
        <v>138</v>
      </c>
      <c r="P105" s="1" t="s">
        <v>31</v>
      </c>
      <c r="Q105" s="19"/>
      <c r="R105" s="19"/>
      <c r="S105" s="19" t="n">
        <v>2003</v>
      </c>
      <c r="T105" s="16" t="n">
        <v>38</v>
      </c>
      <c r="U105" s="16" t="s">
        <v>101</v>
      </c>
      <c r="V105" s="16" t="n">
        <v>157</v>
      </c>
      <c r="W105" s="17" t="s">
        <v>31</v>
      </c>
      <c r="X105" s="16" t="n">
        <v>52.700000</v>
      </c>
      <c r="Y105" s="67" t="n">
        <v>46127</v>
      </c>
      <c r="Z105" s="15"/>
    </row>
    <row r="106" ht="15.75" hidden="1" customHeight="1">
      <c r="A106" s="35" t="s">
        <v>209</v>
      </c>
      <c r="B106" s="28" t="n">
        <v>46122</v>
      </c>
      <c r="C106" s="35" t="s">
        <v>26</v>
      </c>
      <c r="F106" s="35" t="s">
        <v>34</v>
      </c>
      <c r="G106" s="1" t="s">
        <v>29</v>
      </c>
      <c r="H106" s="1" t="s">
        <v>135</v>
      </c>
      <c r="I106" s="1" t="s">
        <v>136</v>
      </c>
      <c r="J106" s="35" t="s">
        <v>68</v>
      </c>
      <c r="L106" s="1" t="s">
        <v>210</v>
      </c>
      <c r="M106" s="1" t="n">
        <v>150</v>
      </c>
      <c r="N106" s="1" t="n">
        <v>280</v>
      </c>
      <c r="O106" s="35" t="n">
        <v>950</v>
      </c>
      <c r="P106" s="1" t="s">
        <v>31</v>
      </c>
      <c r="Q106" s="19"/>
      <c r="R106" s="19"/>
      <c r="S106" s="19" t="n">
        <v>11209</v>
      </c>
      <c r="T106" s="16" t="n">
        <v>11.700000</v>
      </c>
      <c r="U106" s="16" t="s">
        <v>32</v>
      </c>
      <c r="V106" s="16" t="n">
        <v>958</v>
      </c>
      <c r="W106" s="17" t="s">
        <v>31</v>
      </c>
      <c r="Y106" s="67" t="n">
        <v>46127</v>
      </c>
      <c r="Z106" s="15"/>
    </row>
    <row r="107" ht="15.75" hidden="1" customHeight="1">
      <c r="A107" s="35" t="s">
        <v>211</v>
      </c>
      <c r="B107" s="28" t="n">
        <v>46122</v>
      </c>
      <c r="C107" s="35" t="s">
        <v>26</v>
      </c>
      <c r="F107" s="35" t="s">
        <v>34</v>
      </c>
      <c r="G107" s="1" t="s">
        <v>29</v>
      </c>
      <c r="H107" s="1" t="s">
        <v>135</v>
      </c>
      <c r="I107" s="1" t="s">
        <v>136</v>
      </c>
      <c r="J107" s="35" t="s">
        <v>212</v>
      </c>
      <c r="L107" s="1" t="s">
        <v>210</v>
      </c>
      <c r="M107" s="1" t="n">
        <v>150</v>
      </c>
      <c r="N107" s="1" t="n">
        <v>280</v>
      </c>
      <c r="O107" s="35" t="n">
        <v>130</v>
      </c>
      <c r="P107" s="1" t="s">
        <v>31</v>
      </c>
      <c r="Q107" s="19"/>
      <c r="R107" s="19"/>
      <c r="S107" s="19" t="n">
        <v>1790</v>
      </c>
      <c r="T107" s="16" t="n">
        <v>11.700000</v>
      </c>
      <c r="U107" s="16" t="s">
        <v>32</v>
      </c>
      <c r="V107" s="16" t="n">
        <v>153</v>
      </c>
      <c r="W107" s="17" t="s">
        <v>31</v>
      </c>
      <c r="Y107" s="67" t="n">
        <v>46127</v>
      </c>
      <c r="Z107" s="15"/>
    </row>
    <row r="108" ht="15.75" hidden="1" customHeight="1">
      <c r="A108" s="35" t="s">
        <v>213</v>
      </c>
      <c r="B108" s="28" t="n">
        <v>46122</v>
      </c>
      <c r="C108" s="35" t="s">
        <v>26</v>
      </c>
      <c r="F108" s="35" t="s">
        <v>34</v>
      </c>
      <c r="G108" s="1" t="s">
        <v>29</v>
      </c>
      <c r="H108" s="1" t="s">
        <v>135</v>
      </c>
      <c r="I108" s="1" t="s">
        <v>136</v>
      </c>
      <c r="J108" s="35" t="s">
        <v>214</v>
      </c>
      <c r="L108" s="1" t="s">
        <v>210</v>
      </c>
      <c r="M108" s="1" t="n">
        <v>150</v>
      </c>
      <c r="N108" s="1" t="n">
        <v>280</v>
      </c>
      <c r="O108" s="35" t="n">
        <v>160</v>
      </c>
      <c r="P108" s="1" t="s">
        <v>31</v>
      </c>
      <c r="Q108" s="19"/>
      <c r="R108" s="19"/>
      <c r="S108" s="19" t="n">
        <v>2024</v>
      </c>
      <c r="T108" s="16" t="n">
        <v>11.700000</v>
      </c>
      <c r="U108" s="16" t="s">
        <v>32</v>
      </c>
      <c r="V108" s="16" t="n">
        <v>173</v>
      </c>
      <c r="W108" s="17" t="s">
        <v>31</v>
      </c>
      <c r="Y108" s="67" t="n">
        <v>46127</v>
      </c>
      <c r="Z108" s="15"/>
    </row>
    <row r="109" ht="15.75" hidden="1" customHeight="1">
      <c r="A109" s="1" t="n">
        <v>519</v>
      </c>
      <c r="B109" s="28" t="n">
        <v>46129</v>
      </c>
      <c r="C109" s="35" t="s">
        <v>26</v>
      </c>
      <c r="F109" s="35" t="s">
        <v>34</v>
      </c>
      <c r="G109" s="1" t="s">
        <v>29</v>
      </c>
      <c r="H109" s="1" t="s">
        <v>135</v>
      </c>
      <c r="I109" s="1" t="s">
        <v>136</v>
      </c>
      <c r="J109" s="24" t="s">
        <v>35</v>
      </c>
      <c r="L109" s="1" t="s">
        <v>210</v>
      </c>
      <c r="M109" s="1" t="n">
        <v>150</v>
      </c>
      <c r="N109" s="1" t="n">
        <v>280</v>
      </c>
      <c r="O109" s="1" t="n">
        <v>300</v>
      </c>
      <c r="P109" s="1" t="s">
        <v>31</v>
      </c>
      <c r="Q109" s="19"/>
      <c r="R109" s="19"/>
      <c r="S109" s="19" t="f">
        <f>V109*T109</f>
      </c>
      <c r="T109" s="16" t="n">
        <v>11.700000</v>
      </c>
      <c r="U109" s="16" t="s">
        <v>32</v>
      </c>
      <c r="V109" s="16" t="n">
        <v>300</v>
      </c>
      <c r="W109" s="17" t="s">
        <v>31</v>
      </c>
      <c r="Y109" s="67" t="n">
        <v>46130</v>
      </c>
      <c r="Z109" s="15"/>
    </row>
    <row r="110" ht="15.75" customHeight="1">
      <c r="A110" s="1" t="n">
        <v>509</v>
      </c>
      <c r="B110" s="28" t="n">
        <v>46122</v>
      </c>
      <c r="C110" s="35" t="s">
        <v>61</v>
      </c>
      <c r="F110" s="35" t="s">
        <v>199</v>
      </c>
      <c r="G110" s="1" t="s">
        <v>29</v>
      </c>
      <c r="H110" s="1" t="s">
        <v>200</v>
      </c>
      <c r="I110" s="1" t="s">
        <v>201</v>
      </c>
      <c r="J110" s="35" t="s">
        <v>99</v>
      </c>
      <c r="L110" s="1" t="s">
        <v>203</v>
      </c>
      <c r="M110" s="1" t="n">
        <v>148</v>
      </c>
      <c r="N110" s="1" t="n">
        <v>168</v>
      </c>
      <c r="O110" s="1" t="n">
        <v>7</v>
      </c>
      <c r="P110" s="1" t="s">
        <v>31</v>
      </c>
      <c r="Q110" s="19"/>
      <c r="R110" s="19"/>
      <c r="S110" s="46" t="f">
        <f>T110*V110</f>
      </c>
      <c r="T110" s="16" t="n">
        <v>15</v>
      </c>
      <c r="U110" s="16" t="s">
        <v>32</v>
      </c>
      <c r="V110" s="16" t="n">
        <v>7</v>
      </c>
      <c r="W110" s="23" t="s">
        <v>31</v>
      </c>
      <c r="Y110" s="67" t="n">
        <v>46123</v>
      </c>
      <c r="Z110" s="15"/>
    </row>
    <row r="111" ht="15.75" hidden="1" customHeight="1">
      <c r="A111" s="1" t="s">
        <v>215</v>
      </c>
      <c r="B111" s="28" t="n">
        <v>46123</v>
      </c>
      <c r="C111" s="1" t="s">
        <v>61</v>
      </c>
      <c r="F111" s="1" t="s">
        <v>216</v>
      </c>
      <c r="G111" s="1" t="s">
        <v>29</v>
      </c>
      <c r="H111" s="1" t="s">
        <v>217</v>
      </c>
      <c r="I111" s="1" t="s">
        <v>216</v>
      </c>
      <c r="J111" s="1" t="s">
        <v>218</v>
      </c>
      <c r="M111" s="1" t="n">
        <v>150</v>
      </c>
      <c r="N111" s="1" t="n">
        <v>260</v>
      </c>
      <c r="O111" s="1" t="n">
        <v>3.500000</v>
      </c>
      <c r="P111" s="1" t="s">
        <v>31</v>
      </c>
      <c r="Q111" s="19"/>
      <c r="R111" s="19"/>
      <c r="S111" s="46" t="f">
        <f>T111*V111</f>
      </c>
      <c r="T111" s="16" t="n">
        <v>28</v>
      </c>
      <c r="U111" s="16" t="s">
        <v>32</v>
      </c>
      <c r="V111" s="16" t="n">
        <v>3.500000</v>
      </c>
      <c r="W111" s="17" t="s">
        <v>31</v>
      </c>
      <c r="Y111" s="67" t="n">
        <v>46123</v>
      </c>
      <c r="Z111" s="15"/>
    </row>
    <row r="112" ht="15.75" customHeight="1">
      <c r="A112" s="1" t="n">
        <v>517</v>
      </c>
      <c r="B112" s="28" t="n">
        <v>46126</v>
      </c>
      <c r="C112" s="1" t="s">
        <v>61</v>
      </c>
      <c r="F112" s="35" t="s">
        <v>199</v>
      </c>
      <c r="G112" s="1" t="s">
        <v>29</v>
      </c>
      <c r="H112" s="1" t="s">
        <v>200</v>
      </c>
      <c r="I112" s="1" t="s">
        <v>201</v>
      </c>
      <c r="J112" s="24" t="s">
        <v>219</v>
      </c>
      <c r="L112" s="1" t="s">
        <v>203</v>
      </c>
      <c r="M112" s="1" t="n">
        <v>148</v>
      </c>
      <c r="N112" s="1" t="n">
        <v>168</v>
      </c>
      <c r="O112" s="1" t="n">
        <v>2</v>
      </c>
      <c r="P112" s="1" t="s">
        <v>31</v>
      </c>
      <c r="Q112" s="19"/>
      <c r="R112" s="19"/>
      <c r="S112" s="46" t="f">
        <f>V112*T112</f>
      </c>
      <c r="T112" s="16" t="n">
        <v>16</v>
      </c>
      <c r="U112" s="16" t="s">
        <v>32</v>
      </c>
      <c r="V112" s="16" t="n">
        <v>2</v>
      </c>
      <c r="W112" s="17" t="s">
        <v>31</v>
      </c>
      <c r="Y112" s="67" t="n">
        <v>46126</v>
      </c>
      <c r="Z112" s="15"/>
    </row>
    <row r="113" ht="15.75" customHeight="1">
      <c r="A113" s="1" t="n">
        <v>518</v>
      </c>
      <c r="B113" s="28" t="n">
        <v>46126</v>
      </c>
      <c r="C113" s="1" t="s">
        <v>61</v>
      </c>
      <c r="F113" s="35" t="s">
        <v>199</v>
      </c>
      <c r="G113" s="1" t="s">
        <v>29</v>
      </c>
      <c r="H113" s="1" t="s">
        <v>200</v>
      </c>
      <c r="I113" s="1" t="s">
        <v>201</v>
      </c>
      <c r="J113" s="35" t="s">
        <v>118</v>
      </c>
      <c r="L113" s="1" t="s">
        <v>203</v>
      </c>
      <c r="M113" s="1" t="n">
        <v>148</v>
      </c>
      <c r="N113" s="1" t="n">
        <v>168</v>
      </c>
      <c r="O113" s="1" t="n">
        <v>4</v>
      </c>
      <c r="P113" s="1" t="s">
        <v>31</v>
      </c>
      <c r="Q113" s="19"/>
      <c r="R113" s="19"/>
      <c r="S113" s="46" t="f">
        <f>T113*V113</f>
      </c>
      <c r="T113" s="16" t="n">
        <v>16</v>
      </c>
      <c r="U113" s="16" t="s">
        <v>32</v>
      </c>
      <c r="V113" s="16" t="n">
        <v>4</v>
      </c>
      <c r="W113" s="17" t="s">
        <v>31</v>
      </c>
      <c r="Y113" s="67" t="n">
        <v>46126</v>
      </c>
      <c r="Z113" s="15"/>
    </row>
    <row r="114" ht="15.75" hidden="1" customHeight="1">
      <c r="A114" s="1" t="n">
        <v>524</v>
      </c>
      <c r="B114" s="28" t="n">
        <v>46126</v>
      </c>
      <c r="C114" s="1" t="s">
        <v>61</v>
      </c>
      <c r="F114" s="1" t="s">
        <v>34</v>
      </c>
      <c r="G114" s="1" t="s">
        <v>29</v>
      </c>
      <c r="H114" s="1" t="s">
        <v>135</v>
      </c>
      <c r="I114" s="1" t="s">
        <v>136</v>
      </c>
      <c r="J114" s="24" t="s">
        <v>220</v>
      </c>
      <c r="L114" s="1" t="s">
        <v>210</v>
      </c>
      <c r="M114" s="1" t="n">
        <v>150</v>
      </c>
      <c r="N114" s="1" t="n">
        <v>280</v>
      </c>
      <c r="O114" s="1" t="n">
        <v>9</v>
      </c>
      <c r="P114" s="1" t="s">
        <v>31</v>
      </c>
      <c r="Q114" s="19"/>
      <c r="R114" s="19"/>
      <c r="S114" s="46" t="f">
        <f>T114*V114</f>
      </c>
      <c r="T114" s="16" t="n">
        <v>20</v>
      </c>
      <c r="U114" s="16" t="s">
        <v>32</v>
      </c>
      <c r="V114" s="16" t="n">
        <v>9</v>
      </c>
      <c r="W114" s="17" t="s">
        <v>31</v>
      </c>
      <c r="Y114" s="67" t="n">
        <v>46127</v>
      </c>
      <c r="Z114" s="15"/>
    </row>
    <row r="115" ht="15.75" hidden="1" customHeight="1">
      <c r="A115" s="1" t="n">
        <v>529</v>
      </c>
      <c r="B115" s="28" t="n">
        <v>46127</v>
      </c>
      <c r="C115" s="1" t="s">
        <v>61</v>
      </c>
      <c r="F115" s="1" t="s">
        <v>34</v>
      </c>
      <c r="G115" s="1" t="s">
        <v>29</v>
      </c>
      <c r="H115" s="1" t="s">
        <v>135</v>
      </c>
      <c r="I115" s="1" t="s">
        <v>136</v>
      </c>
      <c r="J115" s="1" t="s">
        <v>68</v>
      </c>
      <c r="L115" s="1" t="s">
        <v>210</v>
      </c>
      <c r="M115" s="1" t="n">
        <v>150</v>
      </c>
      <c r="N115" s="1" t="n">
        <v>280</v>
      </c>
      <c r="O115" s="1" t="n">
        <v>3</v>
      </c>
      <c r="P115" s="1" t="s">
        <v>31</v>
      </c>
      <c r="Q115" s="19"/>
      <c r="R115" s="19"/>
      <c r="S115" s="46" t="f">
        <f>T115*V115</f>
      </c>
      <c r="T115" s="16" t="n">
        <v>20</v>
      </c>
      <c r="U115" s="16" t="s">
        <v>32</v>
      </c>
      <c r="V115" s="16" t="n">
        <v>3</v>
      </c>
      <c r="W115" s="17" t="s">
        <v>31</v>
      </c>
      <c r="Y115" s="67" t="n">
        <v>46127</v>
      </c>
      <c r="Z115" s="15"/>
    </row>
    <row r="116" ht="15.75" hidden="1" customHeight="1">
      <c r="A116" s="1" t="n">
        <v>520</v>
      </c>
      <c r="B116" s="28" t="n">
        <v>46129</v>
      </c>
      <c r="C116" s="35" t="s">
        <v>26</v>
      </c>
      <c r="F116" s="35" t="s">
        <v>34</v>
      </c>
      <c r="G116" s="1" t="s">
        <v>29</v>
      </c>
      <c r="H116" s="1" t="s">
        <v>135</v>
      </c>
      <c r="I116" s="1" t="s">
        <v>136</v>
      </c>
      <c r="J116" s="35" t="s">
        <v>221</v>
      </c>
      <c r="L116" s="1" t="s">
        <v>210</v>
      </c>
      <c r="M116" s="1" t="n">
        <v>150</v>
      </c>
      <c r="N116" s="1" t="n">
        <v>280</v>
      </c>
      <c r="O116" s="1" t="n">
        <v>200</v>
      </c>
      <c r="P116" s="1" t="s">
        <v>31</v>
      </c>
      <c r="Q116" s="19"/>
      <c r="R116" s="19"/>
      <c r="S116" s="19" t="n">
        <v>2469</v>
      </c>
      <c r="T116" s="16" t="n">
        <v>11.700000</v>
      </c>
      <c r="U116" s="16" t="s">
        <v>32</v>
      </c>
      <c r="V116" s="16" t="n">
        <v>211</v>
      </c>
      <c r="W116" s="17" t="s">
        <v>31</v>
      </c>
      <c r="Y116" s="67" t="n">
        <v>46130</v>
      </c>
      <c r="Z116" s="15"/>
    </row>
    <row r="117" ht="15.75" hidden="1" customHeight="1">
      <c r="A117" s="24" t="s">
        <v>222</v>
      </c>
      <c r="B117" s="28" t="n">
        <v>46122</v>
      </c>
      <c r="C117" s="35" t="s">
        <v>26</v>
      </c>
      <c r="F117" s="24" t="s">
        <v>34</v>
      </c>
      <c r="G117" s="1" t="s">
        <v>29</v>
      </c>
      <c r="H117" s="1" t="s">
        <v>135</v>
      </c>
      <c r="I117" s="1" t="s">
        <v>136</v>
      </c>
      <c r="J117" s="24" t="s">
        <v>223</v>
      </c>
      <c r="L117" s="1" t="s">
        <v>210</v>
      </c>
      <c r="M117" s="1" t="n">
        <v>150</v>
      </c>
      <c r="N117" s="1" t="n">
        <v>280</v>
      </c>
      <c r="O117" s="24" t="n">
        <v>670</v>
      </c>
      <c r="P117" s="1" t="s">
        <v>31</v>
      </c>
      <c r="Q117" s="19"/>
      <c r="R117" s="19"/>
      <c r="S117" s="19" t="n">
        <v>7792</v>
      </c>
      <c r="T117" s="16" t="n">
        <v>11.700000</v>
      </c>
      <c r="U117" s="16" t="s">
        <v>32</v>
      </c>
      <c r="V117" s="16" t="n">
        <v>666</v>
      </c>
      <c r="W117" s="17" t="s">
        <v>31</v>
      </c>
      <c r="Y117" s="67" t="n">
        <v>46134</v>
      </c>
      <c r="Z117" s="15"/>
    </row>
    <row r="118" ht="15.75" hidden="1" customHeight="1">
      <c r="A118" s="35" t="s">
        <v>224</v>
      </c>
      <c r="B118" s="28" t="n">
        <v>46122</v>
      </c>
      <c r="C118" s="35" t="s">
        <v>26</v>
      </c>
      <c r="F118" s="35" t="s">
        <v>34</v>
      </c>
      <c r="G118" s="1" t="s">
        <v>29</v>
      </c>
      <c r="H118" s="1" t="s">
        <v>135</v>
      </c>
      <c r="I118" s="1" t="s">
        <v>136</v>
      </c>
      <c r="J118" s="35" t="s">
        <v>225</v>
      </c>
      <c r="L118" s="1" t="s">
        <v>210</v>
      </c>
      <c r="M118" s="1" t="n">
        <v>150</v>
      </c>
      <c r="N118" s="1" t="n">
        <v>280</v>
      </c>
      <c r="O118" s="35" t="n">
        <v>100</v>
      </c>
      <c r="P118" s="1" t="s">
        <v>31</v>
      </c>
      <c r="Q118" s="19"/>
      <c r="R118" s="19"/>
      <c r="S118" s="19" t="n">
        <v>1205</v>
      </c>
      <c r="T118" s="16" t="n">
        <v>11.700000</v>
      </c>
      <c r="U118" s="16" t="s">
        <v>32</v>
      </c>
      <c r="V118" s="16" t="n">
        <v>103</v>
      </c>
      <c r="W118" s="17" t="s">
        <v>31</v>
      </c>
      <c r="Y118" s="67" t="n">
        <v>46134</v>
      </c>
      <c r="Z118" s="15"/>
    </row>
    <row r="119" ht="15.75" hidden="1" customHeight="1">
      <c r="A119" s="1" t="n">
        <v>550</v>
      </c>
      <c r="B119" s="28" t="n">
        <v>46133</v>
      </c>
      <c r="C119" s="35" t="s">
        <v>26</v>
      </c>
      <c r="F119" s="24" t="s">
        <v>226</v>
      </c>
      <c r="G119" s="1" t="s">
        <v>29</v>
      </c>
      <c r="H119" s="1" t="s">
        <v>119</v>
      </c>
      <c r="I119" s="1" t="s">
        <v>158</v>
      </c>
      <c r="J119" s="1" t="s">
        <v>64</v>
      </c>
      <c r="L119" s="1" t="s">
        <v>227</v>
      </c>
      <c r="M119" s="1" t="n">
        <v>150</v>
      </c>
      <c r="N119" s="1" t="n">
        <v>100</v>
      </c>
      <c r="O119" s="1" t="n">
        <v>100</v>
      </c>
      <c r="P119" s="1" t="s">
        <v>31</v>
      </c>
      <c r="Q119" s="19"/>
      <c r="R119" s="19"/>
      <c r="S119" s="19" t="n">
        <v>956</v>
      </c>
      <c r="T119" s="16" t="n">
        <v>7.300000</v>
      </c>
      <c r="U119" s="16" t="s">
        <v>32</v>
      </c>
      <c r="V119" s="16" t="n">
        <v>131</v>
      </c>
      <c r="W119" s="17" t="s">
        <v>31</v>
      </c>
      <c r="Y119" s="67" t="n">
        <v>46145</v>
      </c>
      <c r="Z119" s="15"/>
    </row>
    <row r="120" ht="15.75" hidden="1" customHeight="1">
      <c r="A120" s="1" t="n">
        <v>598</v>
      </c>
      <c r="B120" s="28" t="n">
        <v>46141</v>
      </c>
      <c r="C120" s="35" t="s">
        <v>26</v>
      </c>
      <c r="E120" s="24" t="s">
        <v>228</v>
      </c>
      <c r="F120" s="1" t="s">
        <v>75</v>
      </c>
      <c r="G120" s="1" t="s">
        <v>39</v>
      </c>
      <c r="H120" s="1" t="s">
        <v>217</v>
      </c>
      <c r="I120" s="1" t="s">
        <v>229</v>
      </c>
      <c r="J120" s="1" t="s">
        <v>208</v>
      </c>
      <c r="O120" s="1" t="n">
        <v>270</v>
      </c>
      <c r="P120" s="1" t="s">
        <v>31</v>
      </c>
      <c r="Q120" s="19"/>
      <c r="R120" s="19"/>
      <c r="S120" s="19" t="f">
        <f>T120*V120</f>
      </c>
      <c r="T120" s="16" t="n">
        <v>38</v>
      </c>
      <c r="U120" s="16" t="s">
        <v>101</v>
      </c>
      <c r="V120" s="16" t="n">
        <v>99.500000</v>
      </c>
      <c r="W120" s="23" t="s">
        <v>230</v>
      </c>
      <c r="Y120" s="67" t="n">
        <v>46149</v>
      </c>
      <c r="Z120" s="15"/>
    </row>
    <row r="121" ht="15.75" hidden="1" customHeight="1">
      <c r="A121" s="1" t="n">
        <v>547</v>
      </c>
      <c r="B121" s="28" t="n">
        <v>46132</v>
      </c>
      <c r="C121" s="35" t="s">
        <v>26</v>
      </c>
      <c r="F121" s="24" t="s">
        <v>226</v>
      </c>
      <c r="G121" s="1" t="s">
        <v>29</v>
      </c>
      <c r="H121" s="1" t="s">
        <v>119</v>
      </c>
      <c r="I121" s="1" t="s">
        <v>158</v>
      </c>
      <c r="J121" s="1" t="s">
        <v>231</v>
      </c>
      <c r="L121" s="1" t="s">
        <v>227</v>
      </c>
      <c r="M121" s="1" t="n">
        <v>150</v>
      </c>
      <c r="N121" s="1" t="n">
        <v>100</v>
      </c>
      <c r="O121" s="1" t="n">
        <v>174</v>
      </c>
      <c r="P121" s="1" t="s">
        <v>31</v>
      </c>
      <c r="Q121" s="19"/>
      <c r="R121" s="19"/>
      <c r="S121" s="19" t="f">
        <f>V121*T121</f>
      </c>
      <c r="T121" s="16" t="n">
        <v>7.300000</v>
      </c>
      <c r="U121" s="16" t="s">
        <v>32</v>
      </c>
      <c r="V121" s="16" t="n">
        <v>160</v>
      </c>
      <c r="W121" s="23" t="s">
        <v>31</v>
      </c>
      <c r="Y121" s="67" t="n">
        <v>46150</v>
      </c>
      <c r="Z121" s="15"/>
    </row>
    <row r="122" ht="15.75" hidden="1" customHeight="1">
      <c r="A122" s="1" t="s">
        <v>232</v>
      </c>
      <c r="B122" s="28" t="n">
        <v>46134</v>
      </c>
      <c r="C122" s="1" t="s">
        <v>61</v>
      </c>
      <c r="F122" s="1" t="s">
        <v>194</v>
      </c>
      <c r="G122" s="1" t="s">
        <v>39</v>
      </c>
      <c r="H122" s="1" t="s">
        <v>217</v>
      </c>
      <c r="I122" s="1" t="s">
        <v>194</v>
      </c>
      <c r="J122" s="1" t="s">
        <v>233</v>
      </c>
      <c r="L122" s="1" t="s">
        <v>196</v>
      </c>
      <c r="M122" s="1" t="n">
        <v>150</v>
      </c>
      <c r="N122" s="1" t="n">
        <v>240</v>
      </c>
      <c r="O122" s="1" t="n">
        <v>2</v>
      </c>
      <c r="P122" s="1" t="s">
        <v>31</v>
      </c>
      <c r="Q122" s="19"/>
      <c r="R122" s="19"/>
      <c r="S122" s="46" t="f">
        <f>T122*V122</f>
      </c>
      <c r="T122" s="16" t="n">
        <v>30</v>
      </c>
      <c r="U122" s="16" t="s">
        <v>32</v>
      </c>
      <c r="V122" s="16" t="n">
        <v>2</v>
      </c>
      <c r="W122" s="23" t="s">
        <v>31</v>
      </c>
      <c r="Y122" s="67" t="n">
        <v>46134</v>
      </c>
      <c r="Z122" s="15"/>
    </row>
    <row r="123" ht="15.75" customHeight="1">
      <c r="A123" s="1" t="n">
        <v>575</v>
      </c>
      <c r="B123" s="28" t="n">
        <v>46135</v>
      </c>
      <c r="C123" s="1" t="s">
        <v>61</v>
      </c>
      <c r="F123" s="35" t="s">
        <v>199</v>
      </c>
      <c r="G123" s="1" t="s">
        <v>29</v>
      </c>
      <c r="H123" s="1" t="s">
        <v>200</v>
      </c>
      <c r="I123" s="1" t="s">
        <v>201</v>
      </c>
      <c r="J123" s="1" t="s">
        <v>234</v>
      </c>
      <c r="L123" s="1" t="s">
        <v>203</v>
      </c>
      <c r="M123" s="1" t="n">
        <v>148</v>
      </c>
      <c r="N123" s="1" t="n">
        <v>180</v>
      </c>
      <c r="O123" s="1" t="n">
        <v>2</v>
      </c>
      <c r="P123" s="1" t="s">
        <v>31</v>
      </c>
      <c r="Q123" s="19"/>
      <c r="R123" s="19"/>
      <c r="S123" s="46" t="f">
        <f>V123*T123</f>
      </c>
      <c r="T123" s="16" t="n">
        <v>16</v>
      </c>
      <c r="U123" s="16" t="s">
        <v>32</v>
      </c>
      <c r="V123" s="16" t="n">
        <v>2</v>
      </c>
      <c r="W123" s="17" t="s">
        <v>31</v>
      </c>
      <c r="Y123" s="67" t="n">
        <v>46135</v>
      </c>
      <c r="Z123" s="15"/>
    </row>
    <row r="124" ht="15.75" customHeight="1">
      <c r="A124" s="1" t="n">
        <v>576</v>
      </c>
      <c r="B124" s="28" t="n">
        <v>46135</v>
      </c>
      <c r="C124" s="1" t="s">
        <v>61</v>
      </c>
      <c r="F124" s="35" t="s">
        <v>199</v>
      </c>
      <c r="G124" s="1" t="s">
        <v>29</v>
      </c>
      <c r="H124" s="1" t="s">
        <v>200</v>
      </c>
      <c r="I124" s="1" t="s">
        <v>201</v>
      </c>
      <c r="J124" s="1" t="s">
        <v>235</v>
      </c>
      <c r="L124" s="1" t="s">
        <v>203</v>
      </c>
      <c r="M124" s="1" t="n">
        <v>148</v>
      </c>
      <c r="N124" s="1" t="n">
        <v>180</v>
      </c>
      <c r="O124" s="1" t="n">
        <v>1</v>
      </c>
      <c r="P124" s="1" t="s">
        <v>31</v>
      </c>
      <c r="Q124" s="19"/>
      <c r="R124" s="19"/>
      <c r="S124" s="46" t="f">
        <f>V124*T124</f>
      </c>
      <c r="T124" s="16" t="n">
        <v>16</v>
      </c>
      <c r="U124" s="16" t="s">
        <v>32</v>
      </c>
      <c r="V124" s="16" t="n">
        <v>1</v>
      </c>
      <c r="W124" s="17" t="s">
        <v>31</v>
      </c>
      <c r="Y124" s="67" t="n">
        <v>46135</v>
      </c>
      <c r="Z124" s="15"/>
    </row>
    <row r="125" ht="15.75" hidden="1" customHeight="1">
      <c r="A125" s="1" t="n">
        <v>594</v>
      </c>
      <c r="B125" s="28" t="n">
        <v>46140</v>
      </c>
      <c r="C125" s="1" t="s">
        <v>61</v>
      </c>
      <c r="F125" s="24" t="s">
        <v>73</v>
      </c>
      <c r="G125" s="1" t="s">
        <v>29</v>
      </c>
      <c r="H125" s="1" t="s">
        <v>217</v>
      </c>
      <c r="I125" s="24" t="s">
        <v>236</v>
      </c>
      <c r="J125" s="1" t="s">
        <v>68</v>
      </c>
      <c r="O125" s="1" t="n">
        <v>2</v>
      </c>
      <c r="P125" s="1" t="s">
        <v>31</v>
      </c>
      <c r="Q125" s="19"/>
      <c r="R125" s="19"/>
      <c r="S125" s="46" t="f">
        <f>T125*V125</f>
      </c>
      <c r="T125" s="16" t="n">
        <v>20</v>
      </c>
      <c r="U125" s="16" t="s">
        <v>32</v>
      </c>
      <c r="V125" s="16" t="n">
        <v>2</v>
      </c>
      <c r="W125" s="17" t="s">
        <v>31</v>
      </c>
      <c r="Y125" s="67" t="n">
        <v>46141</v>
      </c>
      <c r="Z125" s="15"/>
    </row>
    <row r="126" ht="15.75" hidden="1" customHeight="1">
      <c r="A126" s="1" t="n">
        <v>548</v>
      </c>
      <c r="B126" s="28" t="n">
        <v>46132</v>
      </c>
      <c r="C126" s="35" t="s">
        <v>26</v>
      </c>
      <c r="F126" s="24" t="s">
        <v>226</v>
      </c>
      <c r="G126" s="1" t="s">
        <v>29</v>
      </c>
      <c r="H126" s="1" t="s">
        <v>119</v>
      </c>
      <c r="I126" s="1" t="s">
        <v>158</v>
      </c>
      <c r="J126" s="1" t="s">
        <v>237</v>
      </c>
      <c r="L126" s="1" t="s">
        <v>227</v>
      </c>
      <c r="M126" s="1" t="n">
        <v>150</v>
      </c>
      <c r="N126" s="1" t="n">
        <v>100</v>
      </c>
      <c r="O126" s="1" t="n">
        <v>116</v>
      </c>
      <c r="P126" s="1" t="s">
        <v>31</v>
      </c>
      <c r="Q126" s="19"/>
      <c r="R126" s="19"/>
      <c r="S126" s="19" t="n">
        <v>920</v>
      </c>
      <c r="T126" s="16" t="n">
        <v>7.300000</v>
      </c>
      <c r="U126" s="16" t="s">
        <v>32</v>
      </c>
      <c r="V126" s="16" t="n">
        <v>126</v>
      </c>
      <c r="W126" s="17" t="s">
        <v>31</v>
      </c>
      <c r="Y126" s="67" t="n">
        <v>46151</v>
      </c>
      <c r="Z126" s="15"/>
    </row>
    <row r="127" ht="15.75" customHeight="1">
      <c r="A127" s="1" t="n">
        <v>636</v>
      </c>
      <c r="B127" s="28" t="n">
        <v>46149</v>
      </c>
      <c r="C127" s="35" t="s">
        <v>26</v>
      </c>
      <c r="F127" s="35" t="s">
        <v>199</v>
      </c>
      <c r="G127" s="1" t="s">
        <v>29</v>
      </c>
      <c r="H127" s="1" t="s">
        <v>200</v>
      </c>
      <c r="I127" s="1" t="s">
        <v>201</v>
      </c>
      <c r="J127" s="1" t="s">
        <v>235</v>
      </c>
      <c r="L127" s="1" t="s">
        <v>203</v>
      </c>
      <c r="M127" s="1" t="n">
        <v>148</v>
      </c>
      <c r="N127" s="1" t="n">
        <v>180</v>
      </c>
      <c r="O127" s="1" t="n">
        <v>400</v>
      </c>
      <c r="P127" s="1" t="s">
        <v>31</v>
      </c>
      <c r="Q127" s="19"/>
      <c r="R127" s="19"/>
      <c r="S127" s="19" t="f">
        <f>V127*T127</f>
      </c>
      <c r="T127" s="16" t="n">
        <v>10</v>
      </c>
      <c r="U127" s="16" t="s">
        <v>32</v>
      </c>
      <c r="V127" s="16" t="n">
        <v>452</v>
      </c>
      <c r="W127" s="17" t="s">
        <v>31</v>
      </c>
      <c r="Y127" s="67" t="n">
        <v>46152</v>
      </c>
      <c r="Z127" s="15"/>
    </row>
    <row r="128" ht="15.75" customHeight="1">
      <c r="A128" s="1" t="n">
        <v>551</v>
      </c>
      <c r="B128" s="28" t="n">
        <v>46133</v>
      </c>
      <c r="C128" s="35" t="s">
        <v>26</v>
      </c>
      <c r="F128" s="35" t="s">
        <v>199</v>
      </c>
      <c r="G128" s="1" t="s">
        <v>29</v>
      </c>
      <c r="H128" s="1" t="s">
        <v>200</v>
      </c>
      <c r="I128" s="1" t="s">
        <v>201</v>
      </c>
      <c r="J128" s="1" t="s">
        <v>219</v>
      </c>
      <c r="L128" s="1" t="s">
        <v>203</v>
      </c>
      <c r="M128" s="1" t="n">
        <v>148</v>
      </c>
      <c r="N128" s="1" t="n">
        <v>180</v>
      </c>
      <c r="O128" s="1" t="n">
        <v>420</v>
      </c>
      <c r="P128" s="1" t="s">
        <v>31</v>
      </c>
      <c r="Q128" s="19"/>
      <c r="R128" s="19"/>
      <c r="S128" s="19" t="f">
        <f>T128*V128</f>
      </c>
      <c r="T128" s="16" t="n">
        <v>10</v>
      </c>
      <c r="U128" s="16" t="s">
        <v>32</v>
      </c>
      <c r="V128" s="16" t="n">
        <v>444</v>
      </c>
      <c r="W128" s="17" t="s">
        <v>31</v>
      </c>
      <c r="Y128" s="67" t="n">
        <v>46154</v>
      </c>
      <c r="Z128" s="15"/>
    </row>
    <row r="129" ht="15.75" hidden="1" customHeight="1">
      <c r="A129" s="1" t="n">
        <v>591</v>
      </c>
      <c r="B129" s="28" t="n">
        <v>46138</v>
      </c>
      <c r="C129" s="1" t="s">
        <v>61</v>
      </c>
      <c r="F129" s="24" t="s">
        <v>96</v>
      </c>
      <c r="G129" s="1" t="s">
        <v>39</v>
      </c>
      <c r="H129" s="1" t="s">
        <v>97</v>
      </c>
      <c r="I129" s="1" t="s">
        <v>98</v>
      </c>
      <c r="J129" s="24" t="s">
        <v>238</v>
      </c>
      <c r="L129" s="1" t="s">
        <v>239</v>
      </c>
      <c r="M129" s="1" t="n">
        <v>172</v>
      </c>
      <c r="N129" s="1" t="n">
        <v>210</v>
      </c>
      <c r="O129" s="1" t="n">
        <v>2</v>
      </c>
      <c r="P129" s="1" t="s">
        <v>31</v>
      </c>
      <c r="Q129" s="19"/>
      <c r="R129" s="19"/>
      <c r="S129" s="46" t="f">
        <f>T129*V129</f>
      </c>
      <c r="T129" s="16" t="n">
        <v>20</v>
      </c>
      <c r="U129" s="16" t="s">
        <v>32</v>
      </c>
      <c r="V129" s="16" t="n">
        <v>2</v>
      </c>
      <c r="W129" s="23" t="s">
        <v>31</v>
      </c>
      <c r="Z129" s="15"/>
    </row>
    <row r="130" ht="15.75" hidden="1" customHeight="1">
      <c r="A130" s="1" t="n">
        <v>592</v>
      </c>
      <c r="B130" s="28" t="n">
        <v>46138</v>
      </c>
      <c r="C130" s="1" t="s">
        <v>61</v>
      </c>
      <c r="F130" s="35" t="s">
        <v>96</v>
      </c>
      <c r="G130" s="1" t="s">
        <v>39</v>
      </c>
      <c r="H130" s="1" t="s">
        <v>97</v>
      </c>
      <c r="I130" s="1" t="s">
        <v>98</v>
      </c>
      <c r="J130" s="35" t="s">
        <v>240</v>
      </c>
      <c r="L130" s="1" t="s">
        <v>239</v>
      </c>
      <c r="M130" s="1" t="n">
        <v>172</v>
      </c>
      <c r="N130" s="1" t="n">
        <v>210</v>
      </c>
      <c r="O130" s="1" t="n">
        <v>1</v>
      </c>
      <c r="P130" s="1" t="s">
        <v>31</v>
      </c>
      <c r="Q130" s="19"/>
      <c r="R130" s="19"/>
      <c r="S130" s="46" t="f">
        <f>T130*V130</f>
      </c>
      <c r="T130" s="16" t="n">
        <v>20</v>
      </c>
      <c r="U130" s="16" t="s">
        <v>32</v>
      </c>
      <c r="V130" s="16" t="n">
        <v>1</v>
      </c>
      <c r="W130" s="23" t="s">
        <v>31</v>
      </c>
      <c r="Z130" s="15"/>
    </row>
    <row r="131" ht="15.75" customHeight="1">
      <c r="A131" s="1" t="n">
        <v>595</v>
      </c>
      <c r="B131" s="28" t="n">
        <v>46140</v>
      </c>
      <c r="C131" s="1" t="s">
        <v>61</v>
      </c>
      <c r="F131" s="35" t="s">
        <v>199</v>
      </c>
      <c r="G131" s="1" t="s">
        <v>29</v>
      </c>
      <c r="H131" s="1" t="s">
        <v>200</v>
      </c>
      <c r="I131" s="1" t="s">
        <v>201</v>
      </c>
      <c r="J131" s="1" t="s">
        <v>99</v>
      </c>
      <c r="L131" s="1" t="s">
        <v>203</v>
      </c>
      <c r="M131" s="1" t="n">
        <v>148</v>
      </c>
      <c r="N131" s="1" t="n">
        <v>180</v>
      </c>
      <c r="O131" s="1" t="n">
        <v>2</v>
      </c>
      <c r="P131" s="1" t="s">
        <v>31</v>
      </c>
      <c r="Q131" s="19"/>
      <c r="R131" s="19"/>
      <c r="S131" s="46" t="f">
        <f>V131*T131</f>
      </c>
      <c r="T131" s="16" t="n">
        <v>16</v>
      </c>
      <c r="U131" s="16" t="s">
        <v>32</v>
      </c>
      <c r="V131" s="16" t="n">
        <v>2</v>
      </c>
      <c r="W131" s="23" t="s">
        <v>31</v>
      </c>
      <c r="Z131" s="15"/>
    </row>
    <row r="132" ht="15.75" customHeight="1">
      <c r="A132" s="1" t="n">
        <v>552</v>
      </c>
      <c r="B132" s="28" t="n">
        <v>46133</v>
      </c>
      <c r="C132" s="35" t="s">
        <v>26</v>
      </c>
      <c r="F132" s="35" t="s">
        <v>199</v>
      </c>
      <c r="G132" s="1" t="s">
        <v>29</v>
      </c>
      <c r="H132" s="1" t="s">
        <v>200</v>
      </c>
      <c r="I132" s="1" t="s">
        <v>201</v>
      </c>
      <c r="J132" s="1" t="s">
        <v>241</v>
      </c>
      <c r="L132" s="1" t="s">
        <v>203</v>
      </c>
      <c r="M132" s="1" t="n">
        <v>148</v>
      </c>
      <c r="N132" s="1" t="n">
        <v>180</v>
      </c>
      <c r="O132" s="1" t="n">
        <v>420</v>
      </c>
      <c r="P132" s="1" t="s">
        <v>31</v>
      </c>
      <c r="Q132" s="19"/>
      <c r="R132" s="19"/>
      <c r="S132" s="19" t="f">
        <f>T132*V132</f>
      </c>
      <c r="T132" s="16" t="n">
        <v>10</v>
      </c>
      <c r="U132" s="16" t="s">
        <v>32</v>
      </c>
      <c r="V132" s="16" t="n">
        <v>452</v>
      </c>
      <c r="W132" s="17" t="s">
        <v>31</v>
      </c>
      <c r="Y132" s="67" t="n">
        <v>46154</v>
      </c>
      <c r="Z132" s="15"/>
    </row>
    <row r="133" ht="15.75" customHeight="1">
      <c r="A133" s="1" t="n">
        <v>553</v>
      </c>
      <c r="B133" s="28" t="n">
        <v>46133</v>
      </c>
      <c r="C133" s="35" t="s">
        <v>26</v>
      </c>
      <c r="F133" s="35" t="s">
        <v>199</v>
      </c>
      <c r="G133" s="1" t="s">
        <v>29</v>
      </c>
      <c r="H133" s="1" t="s">
        <v>200</v>
      </c>
      <c r="I133" s="1" t="s">
        <v>201</v>
      </c>
      <c r="J133" s="1" t="s">
        <v>99</v>
      </c>
      <c r="L133" s="1" t="s">
        <v>203</v>
      </c>
      <c r="M133" s="1" t="n">
        <v>148</v>
      </c>
      <c r="N133" s="1" t="n">
        <v>180</v>
      </c>
      <c r="O133" s="1" t="n">
        <v>70</v>
      </c>
      <c r="P133" s="1" t="s">
        <v>31</v>
      </c>
      <c r="Q133" s="19"/>
      <c r="R133" s="19"/>
      <c r="S133" s="19" t="f">
        <f>T133*V133</f>
      </c>
      <c r="T133" s="16" t="n">
        <v>10</v>
      </c>
      <c r="U133" s="16" t="s">
        <v>32</v>
      </c>
      <c r="V133" s="16" t="n">
        <v>110</v>
      </c>
      <c r="W133" s="17" t="s">
        <v>31</v>
      </c>
      <c r="Y133" s="67" t="n">
        <v>46154</v>
      </c>
      <c r="Z133" s="15"/>
    </row>
    <row r="134" ht="15.75" hidden="1" customHeight="1">
      <c r="A134" s="1" t="n">
        <v>564</v>
      </c>
      <c r="B134" s="28" t="n">
        <v>46149</v>
      </c>
      <c r="C134" s="1" t="s">
        <v>61</v>
      </c>
      <c r="F134" s="24" t="s">
        <v>226</v>
      </c>
      <c r="G134" s="1" t="s">
        <v>29</v>
      </c>
      <c r="H134" s="1" t="s">
        <v>119</v>
      </c>
      <c r="I134" s="1" t="s">
        <v>158</v>
      </c>
      <c r="J134" s="1" t="s">
        <v>231</v>
      </c>
      <c r="L134" s="1" t="s">
        <v>227</v>
      </c>
      <c r="M134" s="1" t="n">
        <v>150</v>
      </c>
      <c r="N134" s="1" t="n">
        <v>100</v>
      </c>
      <c r="O134" s="1" t="n">
        <v>3</v>
      </c>
      <c r="P134" s="1" t="s">
        <v>31</v>
      </c>
      <c r="Q134" s="19"/>
      <c r="R134" s="19"/>
      <c r="S134" s="19" t="f">
        <f>V134*T134</f>
      </c>
      <c r="T134" s="16" t="n">
        <v>15</v>
      </c>
      <c r="U134" s="16" t="s">
        <v>32</v>
      </c>
      <c r="V134" s="16" t="n">
        <v>3</v>
      </c>
      <c r="W134" s="23" t="s">
        <v>31</v>
      </c>
      <c r="Y134" s="67" t="n">
        <v>46150</v>
      </c>
      <c r="Z134" s="15"/>
    </row>
    <row r="135" ht="15.75" hidden="1" customHeight="1">
      <c r="A135" s="1" t="n">
        <v>565</v>
      </c>
      <c r="B135" s="28" t="n">
        <v>46149</v>
      </c>
      <c r="C135" s="1" t="s">
        <v>61</v>
      </c>
      <c r="F135" s="24" t="s">
        <v>226</v>
      </c>
      <c r="G135" s="1" t="s">
        <v>29</v>
      </c>
      <c r="H135" s="1" t="s">
        <v>119</v>
      </c>
      <c r="I135" s="1" t="s">
        <v>158</v>
      </c>
      <c r="J135" s="1" t="s">
        <v>237</v>
      </c>
      <c r="L135" s="1" t="s">
        <v>227</v>
      </c>
      <c r="M135" s="1" t="n">
        <v>150</v>
      </c>
      <c r="N135" s="1" t="n">
        <v>100</v>
      </c>
      <c r="O135" s="1" t="n">
        <v>3</v>
      </c>
      <c r="P135" s="1" t="s">
        <v>31</v>
      </c>
      <c r="Q135" s="19"/>
      <c r="R135" s="19"/>
      <c r="S135" s="19" t="f">
        <f>T135*V135</f>
      </c>
      <c r="T135" s="16" t="n">
        <v>15</v>
      </c>
      <c r="U135" s="16" t="s">
        <v>32</v>
      </c>
      <c r="V135" s="16" t="n">
        <v>3</v>
      </c>
      <c r="W135" s="23" t="s">
        <v>31</v>
      </c>
      <c r="Y135" s="67" t="n">
        <v>46150</v>
      </c>
      <c r="Z135" s="15"/>
    </row>
    <row r="136" ht="15.75" hidden="1" customHeight="1">
      <c r="A136" s="24" t="n">
        <v>671</v>
      </c>
      <c r="B136" s="29" t="n">
        <v>46150</v>
      </c>
      <c r="C136" s="35" t="s">
        <v>26</v>
      </c>
      <c r="D136" s="24" t="s">
        <v>242</v>
      </c>
      <c r="E136" s="25" t="s">
        <v>243</v>
      </c>
      <c r="F136" s="24" t="s">
        <v>244</v>
      </c>
      <c r="G136" s="1" t="s">
        <v>29</v>
      </c>
      <c r="H136" s="1" t="s">
        <v>245</v>
      </c>
      <c r="I136" s="1" t="s">
        <v>246</v>
      </c>
      <c r="J136" s="24" t="s">
        <v>247</v>
      </c>
      <c r="L136" s="1" t="s">
        <v>248</v>
      </c>
      <c r="M136" s="1" t="n">
        <v>150</v>
      </c>
      <c r="N136" s="1" t="n">
        <v>190</v>
      </c>
      <c r="O136" s="24" t="n">
        <v>1007</v>
      </c>
      <c r="P136" s="1" t="s">
        <v>31</v>
      </c>
      <c r="Q136" s="19"/>
      <c r="R136" s="19"/>
      <c r="S136" s="19" t="f">
        <f>V136*T136</f>
      </c>
      <c r="T136" s="16" t="n">
        <v>10</v>
      </c>
      <c r="U136" s="16" t="s">
        <v>32</v>
      </c>
      <c r="V136" s="16" t="n">
        <v>961</v>
      </c>
      <c r="W136" s="17" t="s">
        <v>31</v>
      </c>
      <c r="Y136" s="67" t="n">
        <v>46160</v>
      </c>
      <c r="Z136" s="15"/>
    </row>
    <row r="137" ht="15.75" customHeight="1">
      <c r="A137" s="24" t="n">
        <v>649</v>
      </c>
      <c r="B137" s="33" t="n">
        <v>46151</v>
      </c>
      <c r="C137" s="1" t="s">
        <v>61</v>
      </c>
      <c r="F137" s="24" t="s">
        <v>199</v>
      </c>
      <c r="G137" s="1" t="s">
        <v>29</v>
      </c>
      <c r="H137" s="1" t="s">
        <v>200</v>
      </c>
      <c r="I137" s="1" t="s">
        <v>201</v>
      </c>
      <c r="J137" s="24" t="s">
        <v>99</v>
      </c>
      <c r="L137" s="1" t="s">
        <v>203</v>
      </c>
      <c r="M137" s="1" t="n">
        <v>148</v>
      </c>
      <c r="N137" s="1" t="n">
        <v>180</v>
      </c>
      <c r="O137" s="24" t="n">
        <v>6</v>
      </c>
      <c r="P137" s="1" t="s">
        <v>31</v>
      </c>
      <c r="Q137" s="19"/>
      <c r="R137" s="19"/>
      <c r="S137" s="19" t="f">
        <f>V137*T137</f>
      </c>
      <c r="T137" s="16" t="n">
        <v>16</v>
      </c>
      <c r="U137" s="16" t="s">
        <v>32</v>
      </c>
      <c r="V137" s="16" t="n">
        <v>6</v>
      </c>
      <c r="W137" s="17" t="s">
        <v>31</v>
      </c>
      <c r="Y137" s="67" t="n">
        <v>46152</v>
      </c>
      <c r="Z137" s="15"/>
    </row>
    <row r="138" ht="15.75" customHeight="1">
      <c r="A138" s="35" t="n">
        <v>656</v>
      </c>
      <c r="B138" s="34" t="n">
        <v>46150</v>
      </c>
      <c r="C138" s="1" t="s">
        <v>61</v>
      </c>
      <c r="F138" s="35" t="s">
        <v>199</v>
      </c>
      <c r="G138" s="1" t="s">
        <v>29</v>
      </c>
      <c r="H138" s="1" t="s">
        <v>200</v>
      </c>
      <c r="I138" s="1" t="s">
        <v>201</v>
      </c>
      <c r="J138" s="35" t="s">
        <v>99</v>
      </c>
      <c r="L138" s="1" t="s">
        <v>203</v>
      </c>
      <c r="M138" s="1" t="n">
        <v>148</v>
      </c>
      <c r="N138" s="1" t="n">
        <v>180</v>
      </c>
      <c r="O138" s="35" t="n">
        <v>3</v>
      </c>
      <c r="P138" s="1" t="s">
        <v>31</v>
      </c>
      <c r="Q138" s="19"/>
      <c r="R138" s="19"/>
      <c r="S138" s="19"/>
      <c r="T138" s="16"/>
      <c r="U138" s="16" t="s">
        <v>32</v>
      </c>
      <c r="V138" s="16"/>
      <c r="W138" s="17" t="s">
        <v>31</v>
      </c>
      <c r="Y138" s="67"/>
      <c r="Z138" s="15"/>
    </row>
    <row r="139" ht="15.75" customHeight="1">
      <c r="A139" s="35" t="n">
        <v>666</v>
      </c>
      <c r="B139" s="34" t="n">
        <v>46151</v>
      </c>
      <c r="C139" s="1" t="s">
        <v>61</v>
      </c>
      <c r="F139" s="35" t="s">
        <v>199</v>
      </c>
      <c r="G139" s="1" t="s">
        <v>29</v>
      </c>
      <c r="H139" s="1" t="s">
        <v>200</v>
      </c>
      <c r="I139" s="1" t="s">
        <v>201</v>
      </c>
      <c r="J139" s="35" t="s">
        <v>99</v>
      </c>
      <c r="L139" s="1" t="s">
        <v>203</v>
      </c>
      <c r="M139" s="1" t="n">
        <v>148</v>
      </c>
      <c r="N139" s="1" t="n">
        <v>180</v>
      </c>
      <c r="O139" s="35" t="n">
        <v>2</v>
      </c>
      <c r="P139" s="1" t="s">
        <v>31</v>
      </c>
      <c r="Q139" s="19"/>
      <c r="R139" s="19"/>
      <c r="S139" s="19" t="f">
        <f>V139*T139</f>
      </c>
      <c r="T139" s="16" t="n">
        <v>16</v>
      </c>
      <c r="U139" s="16" t="s">
        <v>32</v>
      </c>
      <c r="V139" s="16" t="n">
        <v>2</v>
      </c>
      <c r="W139" s="17" t="s">
        <v>31</v>
      </c>
      <c r="Y139" s="67" t="n">
        <v>46152</v>
      </c>
      <c r="Z139" s="15"/>
    </row>
    <row r="140" ht="15.75" customHeight="1">
      <c r="A140" s="35" t="n">
        <v>667</v>
      </c>
      <c r="B140" s="34" t="n">
        <v>46151</v>
      </c>
      <c r="C140" s="1" t="s">
        <v>61</v>
      </c>
      <c r="F140" s="35" t="s">
        <v>199</v>
      </c>
      <c r="G140" s="1" t="s">
        <v>29</v>
      </c>
      <c r="H140" s="1" t="s">
        <v>200</v>
      </c>
      <c r="I140" s="1" t="s">
        <v>201</v>
      </c>
      <c r="J140" s="35" t="s">
        <v>68</v>
      </c>
      <c r="L140" s="1" t="s">
        <v>203</v>
      </c>
      <c r="M140" s="1" t="n">
        <v>148</v>
      </c>
      <c r="N140" s="1" t="n">
        <v>180</v>
      </c>
      <c r="O140" s="35" t="n">
        <v>4</v>
      </c>
      <c r="P140" s="1" t="s">
        <v>31</v>
      </c>
      <c r="Q140" s="19"/>
      <c r="R140" s="19"/>
      <c r="S140" s="19" t="f">
        <f>T140*V140</f>
      </c>
      <c r="T140" s="16" t="n">
        <v>16</v>
      </c>
      <c r="U140" s="16" t="s">
        <v>32</v>
      </c>
      <c r="V140" s="16" t="n">
        <v>4</v>
      </c>
      <c r="W140" s="17" t="s">
        <v>31</v>
      </c>
      <c r="Y140" s="67" t="n">
        <v>46152</v>
      </c>
      <c r="Z140" s="15"/>
    </row>
    <row r="141" ht="15.75" customHeight="1">
      <c r="A141" s="35" t="n">
        <v>670</v>
      </c>
      <c r="B141" s="34" t="n">
        <v>46153</v>
      </c>
      <c r="C141" s="1" t="s">
        <v>61</v>
      </c>
      <c r="F141" s="35" t="s">
        <v>199</v>
      </c>
      <c r="G141" s="1" t="s">
        <v>29</v>
      </c>
      <c r="H141" s="1" t="s">
        <v>200</v>
      </c>
      <c r="I141" s="1" t="s">
        <v>201</v>
      </c>
      <c r="J141" s="36" t="s">
        <v>99</v>
      </c>
      <c r="L141" s="1" t="s">
        <v>203</v>
      </c>
      <c r="M141" s="1" t="n">
        <v>148</v>
      </c>
      <c r="N141" s="1" t="n">
        <v>180</v>
      </c>
      <c r="O141" s="35" t="n">
        <v>3</v>
      </c>
      <c r="P141" s="1" t="s">
        <v>31</v>
      </c>
      <c r="Q141" s="19"/>
      <c r="R141" s="19"/>
      <c r="S141" s="19" t="f">
        <f>V141*T141</f>
      </c>
      <c r="T141" s="16" t="n">
        <v>16</v>
      </c>
      <c r="U141" s="16" t="s">
        <v>32</v>
      </c>
      <c r="V141" s="16" t="n">
        <v>3</v>
      </c>
      <c r="W141" s="17" t="s">
        <v>31</v>
      </c>
      <c r="Y141" s="67" t="n">
        <v>46154</v>
      </c>
      <c r="Z141" s="15"/>
    </row>
    <row r="142" ht="15.75" hidden="1" customHeight="1">
      <c r="A142" s="35" t="n">
        <v>672</v>
      </c>
      <c r="B142" s="37" t="n">
        <v>46150</v>
      </c>
      <c r="C142" s="35" t="s">
        <v>26</v>
      </c>
      <c r="D142" s="35" t="s">
        <v>249</v>
      </c>
      <c r="E142" s="36" t="s">
        <v>250</v>
      </c>
      <c r="F142" s="35" t="s">
        <v>244</v>
      </c>
      <c r="G142" s="1" t="s">
        <v>29</v>
      </c>
      <c r="H142" s="1" t="s">
        <v>245</v>
      </c>
      <c r="I142" s="1" t="s">
        <v>246</v>
      </c>
      <c r="J142" s="35" t="s">
        <v>251</v>
      </c>
      <c r="L142" s="1" t="s">
        <v>248</v>
      </c>
      <c r="M142" s="1" t="n">
        <v>150</v>
      </c>
      <c r="N142" s="1" t="n">
        <v>190</v>
      </c>
      <c r="O142" s="35" t="n">
        <v>729</v>
      </c>
      <c r="P142" s="1" t="s">
        <v>31</v>
      </c>
      <c r="Q142" s="19"/>
      <c r="R142" s="19"/>
      <c r="S142" s="19" t="f">
        <f>T142*V142</f>
      </c>
      <c r="T142" s="16" t="n">
        <v>10</v>
      </c>
      <c r="U142" s="16" t="s">
        <v>32</v>
      </c>
      <c r="V142" s="16" t="n">
        <v>718</v>
      </c>
      <c r="W142" s="17" t="s">
        <v>31</v>
      </c>
      <c r="Y142" s="67" t="n">
        <v>46160</v>
      </c>
      <c r="Z142" s="15"/>
    </row>
    <row r="143" ht="15.75" hidden="1" customHeight="1">
      <c r="A143" s="35" t="n">
        <v>673</v>
      </c>
      <c r="B143" s="37" t="n">
        <v>46150</v>
      </c>
      <c r="C143" s="35" t="s">
        <v>26</v>
      </c>
      <c r="D143" s="35" t="s">
        <v>252</v>
      </c>
      <c r="E143" s="36" t="s">
        <v>253</v>
      </c>
      <c r="F143" s="35" t="s">
        <v>244</v>
      </c>
      <c r="G143" s="1" t="s">
        <v>29</v>
      </c>
      <c r="H143" s="1" t="s">
        <v>245</v>
      </c>
      <c r="I143" s="1" t="s">
        <v>246</v>
      </c>
      <c r="J143" s="35" t="s">
        <v>254</v>
      </c>
      <c r="L143" s="1" t="s">
        <v>248</v>
      </c>
      <c r="M143" s="1" t="n">
        <v>150</v>
      </c>
      <c r="N143" s="1" t="n">
        <v>190</v>
      </c>
      <c r="O143" s="35" t="n">
        <v>291</v>
      </c>
      <c r="P143" s="1" t="s">
        <v>31</v>
      </c>
      <c r="Q143" s="19"/>
      <c r="R143" s="19"/>
      <c r="S143" s="19" t="f">
        <f>T143*V143</f>
      </c>
      <c r="T143" s="16" t="n">
        <v>10</v>
      </c>
      <c r="U143" s="16" t="s">
        <v>32</v>
      </c>
      <c r="V143" s="16" t="n">
        <v>296</v>
      </c>
      <c r="W143" s="17" t="s">
        <v>31</v>
      </c>
      <c r="Y143" s="67" t="n">
        <v>46160</v>
      </c>
      <c r="Z143" s="15"/>
    </row>
    <row r="144" ht="15.75" hidden="1" customHeight="1">
      <c r="A144" s="35" t="n">
        <v>674</v>
      </c>
      <c r="B144" s="37" t="n">
        <v>46150</v>
      </c>
      <c r="C144" s="35" t="s">
        <v>26</v>
      </c>
      <c r="D144" s="35" t="s">
        <v>255</v>
      </c>
      <c r="E144" s="36" t="s">
        <v>256</v>
      </c>
      <c r="F144" s="35" t="s">
        <v>244</v>
      </c>
      <c r="G144" s="1" t="s">
        <v>29</v>
      </c>
      <c r="H144" s="1" t="s">
        <v>245</v>
      </c>
      <c r="I144" s="1" t="s">
        <v>246</v>
      </c>
      <c r="J144" s="35" t="s">
        <v>257</v>
      </c>
      <c r="L144" s="1" t="s">
        <v>248</v>
      </c>
      <c r="M144" s="1" t="n">
        <v>150</v>
      </c>
      <c r="N144" s="1" t="n">
        <v>190</v>
      </c>
      <c r="O144" s="35" t="n">
        <v>133</v>
      </c>
      <c r="P144" s="1" t="s">
        <v>31</v>
      </c>
      <c r="Q144" s="19"/>
      <c r="R144" s="19"/>
      <c r="S144" s="19" t="f">
        <f>V144*T144</f>
      </c>
      <c r="T144" s="16" t="n">
        <v>10</v>
      </c>
      <c r="U144" s="16" t="s">
        <v>32</v>
      </c>
      <c r="V144" s="16" t="n">
        <v>136</v>
      </c>
      <c r="W144" s="17" t="s">
        <v>31</v>
      </c>
      <c r="Y144" s="67" t="n">
        <v>46161</v>
      </c>
      <c r="Z144" s="15"/>
    </row>
    <row r="145" ht="15.75" hidden="1" customHeight="1">
      <c r="A145" s="35" t="n">
        <v>675</v>
      </c>
      <c r="B145" s="37" t="n">
        <v>46150</v>
      </c>
      <c r="C145" s="35" t="s">
        <v>26</v>
      </c>
      <c r="D145" s="35" t="s">
        <v>258</v>
      </c>
      <c r="E145" s="36" t="s">
        <v>259</v>
      </c>
      <c r="F145" s="35" t="s">
        <v>244</v>
      </c>
      <c r="G145" s="1" t="s">
        <v>29</v>
      </c>
      <c r="H145" s="1" t="s">
        <v>245</v>
      </c>
      <c r="I145" s="1" t="s">
        <v>246</v>
      </c>
      <c r="J145" s="35" t="s">
        <v>260</v>
      </c>
      <c r="L145" s="1" t="s">
        <v>248</v>
      </c>
      <c r="M145" s="1" t="n">
        <v>150</v>
      </c>
      <c r="N145" s="1" t="n">
        <v>190</v>
      </c>
      <c r="O145" s="35" t="n">
        <v>197</v>
      </c>
      <c r="P145" s="1" t="s">
        <v>31</v>
      </c>
      <c r="Q145" s="19"/>
      <c r="R145" s="19"/>
      <c r="S145" s="19" t="f">
        <f>T145*V145</f>
      </c>
      <c r="T145" s="16" t="n">
        <v>10</v>
      </c>
      <c r="U145" s="16" t="s">
        <v>32</v>
      </c>
      <c r="V145" s="16" t="n">
        <v>163</v>
      </c>
      <c r="W145" s="17" t="s">
        <v>31</v>
      </c>
      <c r="Y145" s="67" t="n">
        <v>46161</v>
      </c>
      <c r="Z145" s="15"/>
    </row>
    <row r="146" ht="15.75" hidden="1" customHeight="1">
      <c r="A146" s="24" t="n">
        <v>743</v>
      </c>
      <c r="B146" s="33" t="n">
        <v>46156</v>
      </c>
      <c r="C146" s="35" t="s">
        <v>26</v>
      </c>
      <c r="F146" s="24" t="s">
        <v>244</v>
      </c>
      <c r="G146" s="1" t="s">
        <v>29</v>
      </c>
      <c r="H146" s="1" t="s">
        <v>245</v>
      </c>
      <c r="I146" s="1" t="s">
        <v>246</v>
      </c>
      <c r="J146" s="24" t="s">
        <v>261</v>
      </c>
      <c r="L146" s="1" t="s">
        <v>248</v>
      </c>
      <c r="M146" s="1" t="n">
        <v>150</v>
      </c>
      <c r="N146" s="1" t="n">
        <v>190</v>
      </c>
      <c r="O146" s="24" t="n">
        <v>147</v>
      </c>
      <c r="P146" s="1" t="s">
        <v>31</v>
      </c>
      <c r="Q146" s="19"/>
      <c r="R146" s="19"/>
      <c r="S146" s="19" t="f">
        <f>V146*T146</f>
      </c>
      <c r="T146" s="16" t="n">
        <v>10</v>
      </c>
      <c r="U146" s="16" t="s">
        <v>32</v>
      </c>
      <c r="V146" s="16" t="n">
        <v>148</v>
      </c>
      <c r="W146" s="23" t="s">
        <v>31</v>
      </c>
      <c r="Y146" s="67" t="n">
        <v>46161</v>
      </c>
      <c r="Z146" s="15"/>
    </row>
    <row r="147" ht="15.75" hidden="1" customHeight="1">
      <c r="A147" s="35" t="n">
        <v>744</v>
      </c>
      <c r="B147" s="34" t="n">
        <v>46156</v>
      </c>
      <c r="C147" s="35" t="s">
        <v>26</v>
      </c>
      <c r="F147" s="35" t="s">
        <v>244</v>
      </c>
      <c r="G147" s="1" t="s">
        <v>29</v>
      </c>
      <c r="H147" s="1" t="s">
        <v>245</v>
      </c>
      <c r="I147" s="1" t="s">
        <v>246</v>
      </c>
      <c r="J147" s="35" t="s">
        <v>262</v>
      </c>
      <c r="L147" s="1" t="s">
        <v>248</v>
      </c>
      <c r="M147" s="1" t="n">
        <v>150</v>
      </c>
      <c r="N147" s="1" t="n">
        <v>190</v>
      </c>
      <c r="O147" s="35" t="n">
        <v>99</v>
      </c>
      <c r="P147" s="1" t="s">
        <v>31</v>
      </c>
      <c r="Q147" s="19"/>
      <c r="R147" s="19"/>
      <c r="S147" s="19" t="f">
        <f>V147*T147</f>
      </c>
      <c r="T147" s="16" t="n">
        <v>10</v>
      </c>
      <c r="U147" s="16" t="s">
        <v>32</v>
      </c>
      <c r="V147" s="16" t="n">
        <v>101</v>
      </c>
      <c r="W147" s="23" t="s">
        <v>31</v>
      </c>
      <c r="Y147" s="67" t="n">
        <v>46161</v>
      </c>
      <c r="Z147" s="15"/>
    </row>
    <row r="148" ht="15.75" customHeight="1">
      <c r="A148" s="1" t="n">
        <v>757</v>
      </c>
      <c r="B148" s="28" t="n">
        <v>46161</v>
      </c>
      <c r="C148" s="35" t="s">
        <v>26</v>
      </c>
      <c r="F148" s="35" t="s">
        <v>199</v>
      </c>
      <c r="G148" s="1" t="s">
        <v>29</v>
      </c>
      <c r="H148" s="1" t="s">
        <v>200</v>
      </c>
      <c r="I148" s="1" t="s">
        <v>201</v>
      </c>
      <c r="J148" s="35" t="s">
        <v>263</v>
      </c>
      <c r="L148" s="1" t="s">
        <v>203</v>
      </c>
      <c r="M148" s="1" t="n">
        <v>148</v>
      </c>
      <c r="N148" s="1" t="n">
        <v>180</v>
      </c>
      <c r="O148" s="1" t="n">
        <v>30</v>
      </c>
      <c r="P148" s="1" t="s">
        <v>31</v>
      </c>
      <c r="Q148" s="19"/>
      <c r="R148" s="19"/>
      <c r="S148" s="19" t="f">
        <f>V148*T148</f>
      </c>
      <c r="T148" s="16" t="n">
        <v>11</v>
      </c>
      <c r="U148" s="16" t="s">
        <v>32</v>
      </c>
      <c r="V148" s="16" t="n">
        <v>32</v>
      </c>
      <c r="W148" s="17" t="s">
        <v>31</v>
      </c>
      <c r="Y148" s="67" t="n">
        <v>46162</v>
      </c>
      <c r="Z148" s="15"/>
    </row>
    <row r="149" ht="15.75" hidden="1" customHeight="1">
      <c r="A149" s="1" t="n">
        <v>753</v>
      </c>
      <c r="B149" s="28" t="n">
        <v>46161</v>
      </c>
      <c r="C149" s="35" t="s">
        <v>26</v>
      </c>
      <c r="E149" s="24" t="s">
        <v>264</v>
      </c>
      <c r="F149" s="57" t="s">
        <v>244</v>
      </c>
      <c r="G149" s="1" t="s">
        <v>29</v>
      </c>
      <c r="H149" s="1" t="s">
        <v>245</v>
      </c>
      <c r="I149" s="1" t="s">
        <v>246</v>
      </c>
      <c r="J149" s="1" t="s">
        <v>265</v>
      </c>
      <c r="L149" s="1" t="s">
        <v>248</v>
      </c>
      <c r="M149" s="1" t="n">
        <v>150</v>
      </c>
      <c r="N149" s="1" t="n">
        <v>190</v>
      </c>
      <c r="O149" s="1" t="n">
        <v>58</v>
      </c>
      <c r="P149" s="1" t="s">
        <v>31</v>
      </c>
      <c r="Q149" s="19"/>
      <c r="R149" s="19"/>
      <c r="S149" s="19" t="f">
        <f>T149*V149</f>
      </c>
      <c r="T149" s="16" t="n">
        <v>11</v>
      </c>
      <c r="U149" s="16" t="s">
        <v>32</v>
      </c>
      <c r="V149" s="16" t="n">
        <v>60</v>
      </c>
      <c r="W149" s="17" t="s">
        <v>31</v>
      </c>
      <c r="Y149" s="67" t="n">
        <v>46162</v>
      </c>
      <c r="Z149" s="15"/>
    </row>
    <row r="150" ht="15.75" hidden="1" customHeight="1">
      <c r="A150" s="24" t="n">
        <v>631</v>
      </c>
      <c r="B150" s="29" t="n">
        <v>46149</v>
      </c>
      <c r="C150" s="35" t="s">
        <v>26</v>
      </c>
      <c r="D150" s="24" t="s">
        <v>266</v>
      </c>
      <c r="E150" s="25" t="s">
        <v>267</v>
      </c>
      <c r="F150" s="24" t="s">
        <v>268</v>
      </c>
      <c r="G150" s="1" t="s">
        <v>29</v>
      </c>
      <c r="H150" s="1" t="s">
        <v>269</v>
      </c>
      <c r="I150" s="1" t="n">
        <v>2042</v>
      </c>
      <c r="J150" s="24" t="s">
        <v>270</v>
      </c>
      <c r="L150" s="1" t="s">
        <v>248</v>
      </c>
      <c r="M150" s="1" t="n">
        <v>150</v>
      </c>
      <c r="N150" s="1"/>
      <c r="O150" s="24" t="n">
        <v>135</v>
      </c>
      <c r="P150" s="1" t="s">
        <v>31</v>
      </c>
      <c r="Q150" s="19"/>
      <c r="R150" s="19"/>
      <c r="S150" s="19" t="n">
        <v>1163</v>
      </c>
      <c r="T150" s="16" t="n">
        <v>7.500000</v>
      </c>
      <c r="U150" s="16" t="s">
        <v>32</v>
      </c>
      <c r="V150" s="16" t="n">
        <v>155</v>
      </c>
      <c r="W150" s="17" t="s">
        <v>31</v>
      </c>
      <c r="Y150" s="67" t="n">
        <v>46164</v>
      </c>
      <c r="Z150" s="15"/>
    </row>
    <row r="151" ht="15.75" hidden="1" customHeight="1">
      <c r="A151" s="24" t="n">
        <v>676</v>
      </c>
      <c r="B151" s="29" t="n">
        <v>46150</v>
      </c>
      <c r="C151" s="1" t="s">
        <v>61</v>
      </c>
      <c r="G151" s="1" t="s">
        <v>29</v>
      </c>
      <c r="H151" s="1" t="s">
        <v>271</v>
      </c>
      <c r="I151" s="1" t="s">
        <v>272</v>
      </c>
      <c r="J151" s="1" t="s">
        <v>273</v>
      </c>
      <c r="L151" s="1" t="s">
        <v>248</v>
      </c>
      <c r="O151" s="1" t="n">
        <v>10</v>
      </c>
      <c r="P151" s="1" t="s">
        <v>31</v>
      </c>
      <c r="Q151" s="19"/>
      <c r="R151" s="19"/>
      <c r="S151" s="19" t="n">
        <v>160</v>
      </c>
      <c r="T151" s="16" t="n">
        <v>16</v>
      </c>
      <c r="U151" s="16" t="s">
        <v>32</v>
      </c>
      <c r="V151" s="16" t="n">
        <v>10</v>
      </c>
      <c r="W151" s="23" t="s">
        <v>31</v>
      </c>
      <c r="Y151" s="67" t="n">
        <v>46151</v>
      </c>
      <c r="Z151" s="15"/>
    </row>
    <row r="152" ht="15.75" hidden="1" customHeight="1">
      <c r="A152" s="35" t="n">
        <v>632</v>
      </c>
      <c r="B152" s="37" t="n">
        <v>46149</v>
      </c>
      <c r="C152" s="35" t="s">
        <v>26</v>
      </c>
      <c r="D152" s="35" t="s">
        <v>274</v>
      </c>
      <c r="E152" s="36" t="s">
        <v>275</v>
      </c>
      <c r="F152" s="35" t="s">
        <v>268</v>
      </c>
      <c r="G152" s="1" t="s">
        <v>29</v>
      </c>
      <c r="H152" s="1" t="s">
        <v>269</v>
      </c>
      <c r="I152" s="1" t="n">
        <v>2042</v>
      </c>
      <c r="J152" s="35" t="s">
        <v>276</v>
      </c>
      <c r="L152" s="1" t="s">
        <v>248</v>
      </c>
      <c r="M152" s="1" t="n">
        <v>150</v>
      </c>
      <c r="N152" s="1"/>
      <c r="O152" s="35" t="n">
        <v>520</v>
      </c>
      <c r="P152" s="1" t="s">
        <v>31</v>
      </c>
      <c r="Q152" s="19"/>
      <c r="R152" s="19"/>
      <c r="S152" s="19" t="n">
        <v>3990</v>
      </c>
      <c r="T152" s="16" t="n">
        <v>7.500000</v>
      </c>
      <c r="U152" s="16" t="s">
        <v>32</v>
      </c>
      <c r="V152" s="16" t="n">
        <v>532</v>
      </c>
      <c r="W152" s="17" t="s">
        <v>31</v>
      </c>
      <c r="Y152" s="67" t="n">
        <v>46164</v>
      </c>
      <c r="Z152" s="15"/>
    </row>
    <row r="153" ht="15.75" hidden="1" customHeight="1">
      <c r="A153" s="35" t="n">
        <v>634</v>
      </c>
      <c r="B153" s="37" t="n">
        <v>46149</v>
      </c>
      <c r="C153" s="35" t="s">
        <v>26</v>
      </c>
      <c r="D153" s="35" t="s">
        <v>277</v>
      </c>
      <c r="E153" s="36" t="s">
        <v>278</v>
      </c>
      <c r="F153" s="35" t="s">
        <v>268</v>
      </c>
      <c r="G153" s="1" t="s">
        <v>29</v>
      </c>
      <c r="H153" s="1" t="s">
        <v>269</v>
      </c>
      <c r="I153" s="1" t="n">
        <v>2042</v>
      </c>
      <c r="J153" s="35" t="s">
        <v>68</v>
      </c>
      <c r="L153" s="1" t="s">
        <v>248</v>
      </c>
      <c r="M153" s="1" t="n">
        <v>150</v>
      </c>
      <c r="N153" s="1"/>
      <c r="O153" s="35" t="n">
        <v>146</v>
      </c>
      <c r="P153" s="1" t="s">
        <v>31</v>
      </c>
      <c r="Q153" s="19"/>
      <c r="R153" s="19"/>
      <c r="S153" s="19" t="n">
        <v>1065</v>
      </c>
      <c r="T153" s="16" t="n">
        <v>7.500000</v>
      </c>
      <c r="U153" s="16" t="s">
        <v>32</v>
      </c>
      <c r="V153" s="16" t="n">
        <v>142</v>
      </c>
      <c r="W153" s="23" t="s">
        <v>31</v>
      </c>
      <c r="Y153" s="67" t="n">
        <v>46164</v>
      </c>
      <c r="Z153" s="15"/>
    </row>
    <row r="154" ht="15.75" hidden="1" customHeight="1">
      <c r="A154" s="24" t="n">
        <v>703</v>
      </c>
      <c r="B154" s="28" t="n">
        <v>46156</v>
      </c>
      <c r="C154" s="35" t="s">
        <v>26</v>
      </c>
      <c r="E154" s="24" t="s">
        <v>279</v>
      </c>
      <c r="F154" s="24" t="s">
        <v>34</v>
      </c>
      <c r="G154" s="1" t="s">
        <v>29</v>
      </c>
      <c r="H154" s="1" t="s">
        <v>135</v>
      </c>
      <c r="I154" s="1" t="s">
        <v>136</v>
      </c>
      <c r="J154" s="24" t="s">
        <v>280</v>
      </c>
      <c r="L154" s="1" t="s">
        <v>281</v>
      </c>
      <c r="M154" s="1" t="n">
        <v>150</v>
      </c>
      <c r="N154" s="1" t="n">
        <v>280</v>
      </c>
      <c r="O154" s="24" t="n">
        <v>190</v>
      </c>
      <c r="P154" s="1" t="s">
        <v>31</v>
      </c>
      <c r="Q154" s="19"/>
      <c r="R154" s="19"/>
      <c r="S154" s="19" t="n">
        <v>2188</v>
      </c>
      <c r="T154" s="16" t="n">
        <v>11.700000</v>
      </c>
      <c r="U154" s="16" t="s">
        <v>32</v>
      </c>
      <c r="V154" s="16" t="n">
        <v>187</v>
      </c>
      <c r="W154" s="17" t="s">
        <v>31</v>
      </c>
      <c r="Y154" s="67" t="n">
        <v>46164</v>
      </c>
      <c r="Z154" s="15"/>
    </row>
    <row r="155" ht="15.75" hidden="1" customHeight="1">
      <c r="A155" s="35" t="n">
        <v>704</v>
      </c>
      <c r="B155" s="28" t="n">
        <v>46156</v>
      </c>
      <c r="C155" s="35" t="s">
        <v>26</v>
      </c>
      <c r="E155" s="47" t="s">
        <v>282</v>
      </c>
      <c r="F155" s="35" t="s">
        <v>34</v>
      </c>
      <c r="G155" s="1" t="s">
        <v>29</v>
      </c>
      <c r="H155" s="1" t="s">
        <v>135</v>
      </c>
      <c r="I155" s="1" t="s">
        <v>136</v>
      </c>
      <c r="J155" s="35" t="s">
        <v>68</v>
      </c>
      <c r="L155" s="1" t="s">
        <v>281</v>
      </c>
      <c r="M155" s="1" t="n">
        <v>150</v>
      </c>
      <c r="N155" s="1" t="n">
        <v>280</v>
      </c>
      <c r="O155" s="35" t="n">
        <v>400</v>
      </c>
      <c r="P155" s="1" t="s">
        <v>31</v>
      </c>
      <c r="Q155" s="19"/>
      <c r="R155" s="19"/>
      <c r="S155" s="19" t="n">
        <v>5008</v>
      </c>
      <c r="T155" s="16" t="n">
        <v>11.700000</v>
      </c>
      <c r="U155" s="16" t="s">
        <v>32</v>
      </c>
      <c r="V155" s="16" t="n">
        <v>428</v>
      </c>
      <c r="W155" s="17" t="s">
        <v>31</v>
      </c>
      <c r="Y155" s="67" t="n">
        <v>46164</v>
      </c>
      <c r="Z155" s="15"/>
    </row>
    <row r="156" ht="15.75" hidden="1" customHeight="1">
      <c r="A156" s="35" t="n">
        <v>705</v>
      </c>
      <c r="B156" s="28" t="n">
        <v>46156</v>
      </c>
      <c r="C156" s="35" t="s">
        <v>26</v>
      </c>
      <c r="E156" s="35" t="s">
        <v>283</v>
      </c>
      <c r="F156" s="35" t="s">
        <v>161</v>
      </c>
      <c r="G156" s="1" t="s">
        <v>29</v>
      </c>
      <c r="H156" s="1" t="s">
        <v>162</v>
      </c>
      <c r="I156" s="1" t="s">
        <v>163</v>
      </c>
      <c r="J156" s="35" t="s">
        <v>68</v>
      </c>
      <c r="L156" s="1" t="s">
        <v>284</v>
      </c>
      <c r="M156" s="1" t="n">
        <v>150</v>
      </c>
      <c r="N156" s="1" t="n">
        <v>280</v>
      </c>
      <c r="O156" s="35" t="n">
        <v>530</v>
      </c>
      <c r="P156" s="1" t="s">
        <v>31</v>
      </c>
      <c r="Q156" s="19"/>
      <c r="R156" s="19"/>
      <c r="S156" s="19" t="n">
        <v>6115</v>
      </c>
      <c r="T156" s="16" t="n">
        <v>10.900000</v>
      </c>
      <c r="U156" s="16" t="s">
        <v>32</v>
      </c>
      <c r="V156" s="16" t="n">
        <v>561</v>
      </c>
      <c r="W156" s="17" t="s">
        <v>31</v>
      </c>
      <c r="Y156" s="67" t="n">
        <v>46164</v>
      </c>
      <c r="Z156" s="15"/>
    </row>
    <row r="157" ht="15.75" hidden="1" customHeight="1">
      <c r="A157" s="35" t="n">
        <v>707</v>
      </c>
      <c r="B157" s="28" t="n">
        <v>46156</v>
      </c>
      <c r="C157" s="35" t="s">
        <v>26</v>
      </c>
      <c r="E157" s="35" t="s">
        <v>283</v>
      </c>
      <c r="F157" s="36" t="s">
        <v>161</v>
      </c>
      <c r="G157" s="1" t="s">
        <v>29</v>
      </c>
      <c r="H157" s="1" t="s">
        <v>162</v>
      </c>
      <c r="I157" s="1" t="s">
        <v>163</v>
      </c>
      <c r="J157" s="35" t="s">
        <v>285</v>
      </c>
      <c r="L157" s="1" t="s">
        <v>284</v>
      </c>
      <c r="M157" s="1" t="n">
        <v>150</v>
      </c>
      <c r="N157" s="1" t="n">
        <v>280</v>
      </c>
      <c r="O157" s="35" t="n">
        <v>180</v>
      </c>
      <c r="P157" s="1" t="s">
        <v>31</v>
      </c>
      <c r="Q157" s="19"/>
      <c r="R157" s="19"/>
      <c r="S157" s="19" t="n">
        <v>1869</v>
      </c>
      <c r="T157" s="16" t="n">
        <v>10.900000</v>
      </c>
      <c r="U157" s="16" t="s">
        <v>32</v>
      </c>
      <c r="V157" s="16" t="n">
        <v>171.500000</v>
      </c>
      <c r="W157" s="17" t="s">
        <v>31</v>
      </c>
      <c r="Y157" s="67" t="n">
        <v>46164</v>
      </c>
      <c r="Z157" s="15"/>
    </row>
    <row r="158" ht="15.75" hidden="1" customHeight="1">
      <c r="A158" s="35" t="n">
        <v>708</v>
      </c>
      <c r="B158" s="28" t="n">
        <v>46156</v>
      </c>
      <c r="C158" s="35" t="s">
        <v>26</v>
      </c>
      <c r="E158" s="35" t="s">
        <v>283</v>
      </c>
      <c r="F158" s="36" t="s">
        <v>161</v>
      </c>
      <c r="G158" s="1" t="s">
        <v>29</v>
      </c>
      <c r="H158" s="1" t="s">
        <v>162</v>
      </c>
      <c r="I158" s="1" t="s">
        <v>163</v>
      </c>
      <c r="J158" s="35" t="s">
        <v>286</v>
      </c>
      <c r="L158" s="1" t="s">
        <v>284</v>
      </c>
      <c r="M158" s="1" t="n">
        <v>150</v>
      </c>
      <c r="N158" s="1" t="n">
        <v>280</v>
      </c>
      <c r="O158" s="35" t="n">
        <v>410</v>
      </c>
      <c r="P158" s="1" t="s">
        <v>31</v>
      </c>
      <c r="Q158" s="19"/>
      <c r="R158" s="19"/>
      <c r="S158" s="19" t="n">
        <v>4480</v>
      </c>
      <c r="T158" s="16" t="n">
        <v>10.900000</v>
      </c>
      <c r="U158" s="16" t="s">
        <v>32</v>
      </c>
      <c r="V158" s="16" t="n">
        <v>411</v>
      </c>
      <c r="W158" s="17" t="s">
        <v>31</v>
      </c>
      <c r="Y158" s="67" t="n">
        <v>46164</v>
      </c>
      <c r="Z158" s="15"/>
    </row>
    <row r="159" ht="15.75" hidden="1" customHeight="1">
      <c r="A159" s="1" t="n">
        <v>726</v>
      </c>
      <c r="B159" s="28" t="n">
        <v>46157</v>
      </c>
      <c r="C159" s="35" t="s">
        <v>26</v>
      </c>
      <c r="F159" s="1" t="s">
        <v>96</v>
      </c>
      <c r="G159" s="1" t="s">
        <v>39</v>
      </c>
      <c r="H159" s="1" t="s">
        <v>97</v>
      </c>
      <c r="I159" s="1" t="s">
        <v>98</v>
      </c>
      <c r="J159" s="1" t="s">
        <v>99</v>
      </c>
      <c r="L159" s="1" t="s">
        <v>239</v>
      </c>
      <c r="M159" s="1" t="n">
        <v>172</v>
      </c>
      <c r="N159" s="1" t="n">
        <v>210</v>
      </c>
      <c r="O159" s="1" t="n">
        <v>300</v>
      </c>
      <c r="P159" s="1" t="s">
        <v>31</v>
      </c>
      <c r="Q159" s="19"/>
      <c r="R159" s="19"/>
      <c r="S159" s="19" t="n">
        <v>2557</v>
      </c>
      <c r="T159" s="16" t="n">
        <v>21.800000</v>
      </c>
      <c r="U159" s="16" t="s">
        <v>101</v>
      </c>
      <c r="V159" s="16" t="n">
        <v>324</v>
      </c>
      <c r="W159" s="17" t="s">
        <v>31</v>
      </c>
      <c r="X159" s="16" t="n">
        <v>117.300000</v>
      </c>
      <c r="Y159" s="67" t="n">
        <v>46168</v>
      </c>
      <c r="Z159" s="15"/>
    </row>
    <row r="160" ht="15.75" customHeight="1">
      <c r="A160" s="1" t="n">
        <v>718</v>
      </c>
      <c r="B160" s="28" t="n">
        <v>46157</v>
      </c>
      <c r="C160" s="1" t="s">
        <v>61</v>
      </c>
      <c r="D160" s="1"/>
      <c r="F160" s="35" t="s">
        <v>199</v>
      </c>
      <c r="G160" s="1" t="s">
        <v>29</v>
      </c>
      <c r="H160" s="1" t="s">
        <v>200</v>
      </c>
      <c r="I160" s="1" t="s">
        <v>201</v>
      </c>
      <c r="J160" s="24" t="s">
        <v>287</v>
      </c>
      <c r="L160" s="1" t="s">
        <v>203</v>
      </c>
      <c r="M160" s="1" t="n">
        <v>148</v>
      </c>
      <c r="N160" s="1" t="n">
        <v>180</v>
      </c>
      <c r="O160" s="1" t="n">
        <v>1</v>
      </c>
      <c r="P160" s="1" t="s">
        <v>31</v>
      </c>
      <c r="Q160" s="19"/>
      <c r="R160" s="19"/>
      <c r="S160" s="19" t="f">
        <f>T160*V160</f>
      </c>
      <c r="T160" s="16" t="n">
        <v>16</v>
      </c>
      <c r="U160" s="16" t="s">
        <v>32</v>
      </c>
      <c r="V160" s="16" t="n">
        <v>1</v>
      </c>
      <c r="W160" s="23" t="s">
        <v>31</v>
      </c>
      <c r="Y160" s="67" t="n">
        <v>46157</v>
      </c>
      <c r="Z160" s="15"/>
    </row>
    <row r="161" ht="15.75" customHeight="1">
      <c r="A161" s="1" t="n">
        <v>719</v>
      </c>
      <c r="B161" s="28" t="n">
        <v>46157</v>
      </c>
      <c r="C161" s="1" t="s">
        <v>61</v>
      </c>
      <c r="F161" s="35" t="s">
        <v>199</v>
      </c>
      <c r="G161" s="1" t="s">
        <v>29</v>
      </c>
      <c r="H161" s="1" t="s">
        <v>200</v>
      </c>
      <c r="I161" s="1" t="s">
        <v>201</v>
      </c>
      <c r="J161" s="35" t="s">
        <v>99</v>
      </c>
      <c r="L161" s="1" t="s">
        <v>203</v>
      </c>
      <c r="M161" s="1" t="n">
        <v>148</v>
      </c>
      <c r="N161" s="1" t="n">
        <v>180</v>
      </c>
      <c r="O161" s="1" t="n">
        <v>1</v>
      </c>
      <c r="P161" s="1" t="s">
        <v>31</v>
      </c>
      <c r="Q161" s="19"/>
      <c r="R161" s="19"/>
      <c r="S161" s="19" t="n">
        <v>16</v>
      </c>
      <c r="T161" s="16" t="n">
        <v>16</v>
      </c>
      <c r="U161" s="16" t="s">
        <v>32</v>
      </c>
      <c r="V161" s="16" t="n">
        <v>1</v>
      </c>
      <c r="W161" s="23" t="s">
        <v>31</v>
      </c>
      <c r="Y161" s="67" t="n">
        <v>46157</v>
      </c>
      <c r="Z161" s="15"/>
    </row>
    <row r="162" ht="15.75" customHeight="1">
      <c r="A162" s="1" t="n">
        <v>720</v>
      </c>
      <c r="B162" s="28" t="n">
        <v>46157</v>
      </c>
      <c r="C162" s="1" t="s">
        <v>61</v>
      </c>
      <c r="F162" s="35" t="s">
        <v>199</v>
      </c>
      <c r="G162" s="1" t="s">
        <v>29</v>
      </c>
      <c r="H162" s="1" t="s">
        <v>200</v>
      </c>
      <c r="I162" s="1" t="s">
        <v>201</v>
      </c>
      <c r="J162" s="35" t="s">
        <v>241</v>
      </c>
      <c r="L162" s="1" t="s">
        <v>203</v>
      </c>
      <c r="M162" s="1" t="n">
        <v>148</v>
      </c>
      <c r="N162" s="1" t="n">
        <v>180</v>
      </c>
      <c r="O162" s="1" t="n">
        <v>1</v>
      </c>
      <c r="P162" s="1" t="s">
        <v>31</v>
      </c>
      <c r="Q162" s="19"/>
      <c r="R162" s="19"/>
      <c r="S162" s="19" t="n">
        <v>16</v>
      </c>
      <c r="T162" s="16" t="n">
        <v>16</v>
      </c>
      <c r="U162" s="16" t="s">
        <v>32</v>
      </c>
      <c r="V162" s="16" t="n">
        <v>1</v>
      </c>
      <c r="W162" s="23" t="s">
        <v>31</v>
      </c>
      <c r="Y162" s="67" t="n">
        <v>46157</v>
      </c>
      <c r="Z162" s="15"/>
    </row>
    <row r="163" ht="15.75" customHeight="1">
      <c r="A163" s="1" t="n">
        <v>721</v>
      </c>
      <c r="B163" s="28" t="n">
        <v>46157</v>
      </c>
      <c r="C163" s="1" t="s">
        <v>61</v>
      </c>
      <c r="F163" s="35" t="s">
        <v>199</v>
      </c>
      <c r="G163" s="1" t="s">
        <v>29</v>
      </c>
      <c r="H163" s="1" t="s">
        <v>200</v>
      </c>
      <c r="I163" s="1" t="s">
        <v>201</v>
      </c>
      <c r="J163" s="35" t="s">
        <v>219</v>
      </c>
      <c r="L163" s="1" t="s">
        <v>203</v>
      </c>
      <c r="M163" s="1" t="n">
        <v>148</v>
      </c>
      <c r="N163" s="1" t="n">
        <v>180</v>
      </c>
      <c r="O163" s="1" t="n">
        <v>3</v>
      </c>
      <c r="P163" s="1" t="s">
        <v>31</v>
      </c>
      <c r="Q163" s="19"/>
      <c r="R163" s="19"/>
      <c r="S163" s="19" t="f">
        <f>T163*V163</f>
      </c>
      <c r="T163" s="16" t="n">
        <v>16</v>
      </c>
      <c r="U163" s="16" t="s">
        <v>32</v>
      </c>
      <c r="V163" s="16" t="n">
        <v>3</v>
      </c>
      <c r="W163" s="17" t="s">
        <v>31</v>
      </c>
      <c r="Y163" s="67" t="n">
        <v>46157</v>
      </c>
      <c r="Z163" s="15"/>
    </row>
    <row r="164" ht="15.75" hidden="1" customHeight="1">
      <c r="A164" s="1" t="n">
        <v>727</v>
      </c>
      <c r="B164" s="28" t="n">
        <v>46157</v>
      </c>
      <c r="C164" s="35" t="s">
        <v>26</v>
      </c>
      <c r="F164" s="1" t="s">
        <v>96</v>
      </c>
      <c r="G164" s="1" t="s">
        <v>39</v>
      </c>
      <c r="H164" s="1" t="s">
        <v>97</v>
      </c>
      <c r="I164" s="1" t="s">
        <v>98</v>
      </c>
      <c r="J164" s="1" t="s">
        <v>103</v>
      </c>
      <c r="L164" s="1" t="s">
        <v>239</v>
      </c>
      <c r="M164" s="1" t="n">
        <v>172</v>
      </c>
      <c r="N164" s="1" t="n">
        <v>210</v>
      </c>
      <c r="O164" s="1" t="n">
        <v>220</v>
      </c>
      <c r="P164" s="1" t="s">
        <v>31</v>
      </c>
      <c r="Q164" s="19"/>
      <c r="R164" s="19"/>
      <c r="S164" s="19" t="n">
        <v>1683</v>
      </c>
      <c r="T164" s="16" t="n">
        <v>21.800000</v>
      </c>
      <c r="U164" s="16" t="s">
        <v>101</v>
      </c>
      <c r="V164" s="16" t="n">
        <v>214</v>
      </c>
      <c r="W164" s="17" t="s">
        <v>31</v>
      </c>
      <c r="X164" s="16" t="n">
        <v>77.200000</v>
      </c>
      <c r="Y164" s="67" t="n">
        <v>46168</v>
      </c>
      <c r="Z164" s="15"/>
    </row>
    <row r="165" ht="15.75" hidden="1" customHeight="1">
      <c r="A165" s="35" t="n">
        <v>633</v>
      </c>
      <c r="B165" s="37" t="n">
        <v>46149</v>
      </c>
      <c r="C165" s="35" t="s">
        <v>26</v>
      </c>
      <c r="D165" s="35" t="s">
        <v>288</v>
      </c>
      <c r="E165" s="36" t="s">
        <v>289</v>
      </c>
      <c r="F165" s="35" t="s">
        <v>268</v>
      </c>
      <c r="G165" s="1" t="s">
        <v>29</v>
      </c>
      <c r="H165" s="1" t="s">
        <v>269</v>
      </c>
      <c r="I165" s="1" t="n">
        <v>2042</v>
      </c>
      <c r="J165" s="35" t="s">
        <v>290</v>
      </c>
      <c r="L165" s="1" t="s">
        <v>248</v>
      </c>
      <c r="M165" s="1" t="n">
        <v>150</v>
      </c>
      <c r="N165" s="1"/>
      <c r="O165" s="35" t="n">
        <v>187</v>
      </c>
      <c r="P165" s="1" t="s">
        <v>31</v>
      </c>
      <c r="Q165" s="19"/>
      <c r="R165" s="19"/>
      <c r="S165" s="19" t="f">
        <f>T165*V165</f>
      </c>
      <c r="T165" s="16" t="n">
        <v>8.500000</v>
      </c>
      <c r="U165" s="16" t="s">
        <v>32</v>
      </c>
      <c r="V165" s="16" t="n">
        <v>190</v>
      </c>
      <c r="W165" s="23" t="s">
        <v>31</v>
      </c>
      <c r="Y165" s="67" t="n">
        <v>46169</v>
      </c>
      <c r="Z165" s="15"/>
    </row>
    <row r="166" ht="15.75" customHeight="1">
      <c r="A166" s="1" t="n">
        <v>730</v>
      </c>
      <c r="B166" s="28" t="n">
        <v>46157</v>
      </c>
      <c r="C166" s="1" t="s">
        <v>61</v>
      </c>
      <c r="F166" s="35" t="s">
        <v>199</v>
      </c>
      <c r="G166" s="1" t="s">
        <v>29</v>
      </c>
      <c r="H166" s="1" t="s">
        <v>200</v>
      </c>
      <c r="I166" s="1" t="s">
        <v>201</v>
      </c>
      <c r="J166" s="24" t="s">
        <v>240</v>
      </c>
      <c r="L166" s="1" t="s">
        <v>203</v>
      </c>
      <c r="M166" s="1" t="n">
        <v>148</v>
      </c>
      <c r="N166" s="1" t="n">
        <v>180</v>
      </c>
      <c r="O166" s="1" t="n">
        <v>4</v>
      </c>
      <c r="P166" s="1" t="s">
        <v>31</v>
      </c>
      <c r="Q166" s="19"/>
      <c r="R166" s="19"/>
      <c r="S166" s="19" t="f">
        <f>T166*V166</f>
      </c>
      <c r="T166" s="16" t="n">
        <v>16</v>
      </c>
      <c r="U166" s="16" t="s">
        <v>32</v>
      </c>
      <c r="V166" s="16" t="n">
        <v>4</v>
      </c>
      <c r="W166" s="23" t="s">
        <v>31</v>
      </c>
      <c r="Y166" s="67" t="n">
        <v>46158</v>
      </c>
      <c r="Z166" s="15"/>
    </row>
    <row r="167" ht="15.75" customHeight="1">
      <c r="A167" s="1" t="n">
        <v>731</v>
      </c>
      <c r="B167" s="28" t="n">
        <v>46157</v>
      </c>
      <c r="C167" s="1" t="s">
        <v>61</v>
      </c>
      <c r="F167" s="35" t="s">
        <v>199</v>
      </c>
      <c r="G167" s="1" t="s">
        <v>29</v>
      </c>
      <c r="H167" s="1" t="s">
        <v>200</v>
      </c>
      <c r="I167" s="1" t="s">
        <v>201</v>
      </c>
      <c r="J167" s="35" t="s">
        <v>291</v>
      </c>
      <c r="L167" s="1" t="s">
        <v>203</v>
      </c>
      <c r="M167" s="1" t="n">
        <v>148</v>
      </c>
      <c r="N167" s="1" t="n">
        <v>180</v>
      </c>
      <c r="O167" s="1" t="n">
        <v>3</v>
      </c>
      <c r="P167" s="1" t="s">
        <v>31</v>
      </c>
      <c r="Q167" s="19"/>
      <c r="R167" s="19"/>
      <c r="S167" s="19" t="f">
        <f>T167*V167</f>
      </c>
      <c r="T167" s="16" t="n">
        <v>16</v>
      </c>
      <c r="U167" s="16" t="s">
        <v>32</v>
      </c>
      <c r="V167" s="16" t="n">
        <v>3</v>
      </c>
      <c r="W167" s="17" t="s">
        <v>31</v>
      </c>
      <c r="Y167" s="67" t="n">
        <v>46158</v>
      </c>
      <c r="Z167" s="15"/>
    </row>
    <row r="168" ht="15.75" customHeight="1">
      <c r="A168" s="1" t="n">
        <v>732</v>
      </c>
      <c r="B168" s="28" t="n">
        <v>46157</v>
      </c>
      <c r="C168" s="1" t="s">
        <v>61</v>
      </c>
      <c r="F168" s="35" t="s">
        <v>199</v>
      </c>
      <c r="G168" s="1" t="s">
        <v>29</v>
      </c>
      <c r="H168" s="1" t="s">
        <v>200</v>
      </c>
      <c r="I168" s="1" t="s">
        <v>201</v>
      </c>
      <c r="J168" s="35" t="s">
        <v>192</v>
      </c>
      <c r="L168" s="1" t="s">
        <v>203</v>
      </c>
      <c r="M168" s="1" t="n">
        <v>148</v>
      </c>
      <c r="N168" s="1" t="n">
        <v>180</v>
      </c>
      <c r="O168" s="1" t="n">
        <v>3</v>
      </c>
      <c r="P168" s="1" t="s">
        <v>31</v>
      </c>
      <c r="Q168" s="19"/>
      <c r="R168" s="19"/>
      <c r="S168" s="19" t="f">
        <f>T168*V168</f>
      </c>
      <c r="T168" s="16" t="n">
        <v>16</v>
      </c>
      <c r="U168" s="16" t="s">
        <v>32</v>
      </c>
      <c r="V168" s="16" t="n">
        <v>3</v>
      </c>
      <c r="W168" s="17" t="s">
        <v>31</v>
      </c>
      <c r="Y168" s="67" t="n">
        <v>46158</v>
      </c>
      <c r="Z168" s="15"/>
    </row>
    <row r="169" ht="15.75" customHeight="1">
      <c r="A169" s="1" t="n">
        <v>733</v>
      </c>
      <c r="B169" s="28" t="n">
        <v>46157</v>
      </c>
      <c r="C169" s="1" t="s">
        <v>61</v>
      </c>
      <c r="F169" s="35" t="s">
        <v>199</v>
      </c>
      <c r="G169" s="1" t="s">
        <v>29</v>
      </c>
      <c r="H169" s="1" t="s">
        <v>200</v>
      </c>
      <c r="I169" s="1" t="s">
        <v>201</v>
      </c>
      <c r="J169" s="35" t="s">
        <v>292</v>
      </c>
      <c r="L169" s="1" t="s">
        <v>203</v>
      </c>
      <c r="M169" s="1" t="n">
        <v>148</v>
      </c>
      <c r="N169" s="1" t="n">
        <v>180</v>
      </c>
      <c r="O169" s="1" t="n">
        <v>1</v>
      </c>
      <c r="P169" s="1" t="s">
        <v>31</v>
      </c>
      <c r="Q169" s="19"/>
      <c r="R169" s="19"/>
      <c r="S169" s="19" t="f">
        <f>T169*V169</f>
      </c>
      <c r="T169" s="16" t="n">
        <v>16</v>
      </c>
      <c r="U169" s="16" t="s">
        <v>32</v>
      </c>
      <c r="V169" s="16" t="n">
        <v>1</v>
      </c>
      <c r="W169" s="23" t="s">
        <v>31</v>
      </c>
      <c r="Y169" s="67" t="n">
        <v>46158</v>
      </c>
      <c r="Z169" s="15"/>
    </row>
    <row r="170" ht="15.75" customHeight="1">
      <c r="A170" s="1" t="n">
        <v>737</v>
      </c>
      <c r="B170" s="28" t="n">
        <v>46160</v>
      </c>
      <c r="C170" s="1" t="s">
        <v>61</v>
      </c>
      <c r="F170" s="35" t="s">
        <v>199</v>
      </c>
      <c r="G170" s="1" t="s">
        <v>29</v>
      </c>
      <c r="H170" s="1" t="s">
        <v>200</v>
      </c>
      <c r="I170" s="1" t="s">
        <v>201</v>
      </c>
      <c r="J170" s="35" t="s">
        <v>263</v>
      </c>
      <c r="L170" s="1" t="s">
        <v>203</v>
      </c>
      <c r="M170" s="1" t="n">
        <v>148</v>
      </c>
      <c r="N170" s="1" t="n">
        <v>180</v>
      </c>
      <c r="O170" s="1" t="n">
        <v>4</v>
      </c>
      <c r="P170" s="1" t="s">
        <v>31</v>
      </c>
      <c r="Q170" s="19"/>
      <c r="R170" s="19"/>
      <c r="S170" s="19" t="f">
        <f>T170*V170</f>
      </c>
      <c r="T170" s="16" t="n">
        <v>16</v>
      </c>
      <c r="U170" s="16" t="s">
        <v>32</v>
      </c>
      <c r="V170" s="16" t="n">
        <v>4</v>
      </c>
      <c r="W170" s="17" t="s">
        <v>31</v>
      </c>
      <c r="Y170" s="67" t="n">
        <v>46160</v>
      </c>
      <c r="Z170" s="15"/>
    </row>
    <row r="171" ht="15.75" customHeight="1">
      <c r="A171" s="1" t="n">
        <v>827</v>
      </c>
      <c r="B171" s="28" t="n">
        <v>46168</v>
      </c>
      <c r="C171" s="35" t="s">
        <v>26</v>
      </c>
      <c r="F171" s="1" t="s">
        <v>199</v>
      </c>
      <c r="G171" s="1" t="s">
        <v>29</v>
      </c>
      <c r="H171" s="1" t="s">
        <v>200</v>
      </c>
      <c r="I171" s="1" t="s">
        <v>201</v>
      </c>
      <c r="J171" s="1" t="s">
        <v>263</v>
      </c>
      <c r="L171" s="1" t="s">
        <v>203</v>
      </c>
      <c r="M171" s="1" t="n">
        <v>148</v>
      </c>
      <c r="N171" s="1" t="n">
        <v>180</v>
      </c>
      <c r="O171" s="1" t="n">
        <v>25</v>
      </c>
      <c r="P171" s="1" t="s">
        <v>31</v>
      </c>
      <c r="Q171" s="19"/>
      <c r="R171" s="19"/>
      <c r="S171" s="19" t="f">
        <f>T171*V171</f>
      </c>
      <c r="T171" s="16" t="n">
        <v>11</v>
      </c>
      <c r="U171" s="16" t="s">
        <v>32</v>
      </c>
      <c r="V171" s="16" t="n">
        <v>29</v>
      </c>
      <c r="W171" s="17" t="s">
        <v>31</v>
      </c>
      <c r="Y171" s="67" t="n">
        <v>46169</v>
      </c>
      <c r="Z171" s="15"/>
    </row>
    <row r="172" ht="15.75" customHeight="1">
      <c r="A172" s="1" t="n">
        <v>716</v>
      </c>
      <c r="B172" s="28" t="n">
        <v>46156</v>
      </c>
      <c r="C172" s="35" t="s">
        <v>26</v>
      </c>
      <c r="D172" s="1" t="s">
        <v>293</v>
      </c>
      <c r="E172" s="1" t="s">
        <v>294</v>
      </c>
      <c r="F172" s="35" t="s">
        <v>199</v>
      </c>
      <c r="G172" s="1" t="s">
        <v>29</v>
      </c>
      <c r="H172" s="1" t="s">
        <v>200</v>
      </c>
      <c r="I172" s="1" t="s">
        <v>201</v>
      </c>
      <c r="J172" s="1" t="s">
        <v>295</v>
      </c>
      <c r="L172" s="1" t="s">
        <v>203</v>
      </c>
      <c r="M172" s="1" t="n">
        <v>148</v>
      </c>
      <c r="N172" s="1" t="n">
        <v>180</v>
      </c>
      <c r="O172" s="1" t="n">
        <v>90</v>
      </c>
      <c r="P172" s="1" t="s">
        <v>31</v>
      </c>
      <c r="Q172" s="19"/>
      <c r="R172" s="19"/>
      <c r="S172" s="19" t="n">
        <v>900</v>
      </c>
      <c r="T172" s="16" t="n">
        <v>10</v>
      </c>
      <c r="U172" s="16" t="s">
        <v>32</v>
      </c>
      <c r="V172" s="16" t="n">
        <v>90</v>
      </c>
      <c r="W172" s="17" t="s">
        <v>31</v>
      </c>
      <c r="Y172" s="67" t="n">
        <v>46171</v>
      </c>
      <c r="Z172" s="15"/>
    </row>
    <row r="173" ht="15.75" hidden="1" customHeight="1">
      <c r="A173" s="1" t="n">
        <v>745</v>
      </c>
      <c r="B173" s="28" t="n">
        <v>46161</v>
      </c>
      <c r="C173" s="1" t="s">
        <v>61</v>
      </c>
      <c r="F173" s="35" t="s">
        <v>34</v>
      </c>
      <c r="G173" s="1" t="s">
        <v>29</v>
      </c>
      <c r="H173" s="1" t="s">
        <v>135</v>
      </c>
      <c r="I173" s="1" t="s">
        <v>136</v>
      </c>
      <c r="J173" s="35" t="s">
        <v>68</v>
      </c>
      <c r="L173" s="1" t="s">
        <v>296</v>
      </c>
      <c r="M173" s="1" t="n">
        <v>150</v>
      </c>
      <c r="N173" s="1" t="n">
        <v>280</v>
      </c>
      <c r="O173" s="1" t="n">
        <v>5</v>
      </c>
      <c r="P173" s="1" t="s">
        <v>31</v>
      </c>
      <c r="Q173" s="19"/>
      <c r="R173" s="19"/>
      <c r="S173" s="19" t="n">
        <v>100</v>
      </c>
      <c r="T173" s="16" t="n">
        <v>20</v>
      </c>
      <c r="U173" s="16" t="s">
        <v>32</v>
      </c>
      <c r="V173" s="16" t="n">
        <v>5</v>
      </c>
      <c r="W173" s="17" t="s">
        <v>31</v>
      </c>
      <c r="Y173" s="67" t="n">
        <v>46161</v>
      </c>
      <c r="Z173" s="15"/>
    </row>
    <row r="174" ht="15.75" customHeight="1">
      <c r="A174" s="1" t="n">
        <v>717</v>
      </c>
      <c r="B174" s="28" t="n">
        <v>46156</v>
      </c>
      <c r="C174" s="35" t="s">
        <v>26</v>
      </c>
      <c r="D174" s="1" t="s">
        <v>293</v>
      </c>
      <c r="E174" s="1" t="s">
        <v>294</v>
      </c>
      <c r="F174" s="35" t="s">
        <v>199</v>
      </c>
      <c r="G174" s="1" t="s">
        <v>29</v>
      </c>
      <c r="H174" s="1" t="s">
        <v>200</v>
      </c>
      <c r="I174" s="1" t="s">
        <v>201</v>
      </c>
      <c r="J174" s="1" t="s">
        <v>297</v>
      </c>
      <c r="L174" s="1" t="s">
        <v>203</v>
      </c>
      <c r="M174" s="1" t="n">
        <v>148</v>
      </c>
      <c r="N174" s="1" t="n">
        <v>180</v>
      </c>
      <c r="O174" s="1" t="n">
        <v>114</v>
      </c>
      <c r="P174" s="1" t="s">
        <v>31</v>
      </c>
      <c r="Q174" s="19"/>
      <c r="R174" s="19"/>
      <c r="S174" s="19" t="n">
        <v>1140</v>
      </c>
      <c r="T174" s="16" t="n">
        <v>10</v>
      </c>
      <c r="U174" s="16" t="s">
        <v>32</v>
      </c>
      <c r="V174" s="16" t="n">
        <v>114</v>
      </c>
      <c r="W174" s="17" t="s">
        <v>31</v>
      </c>
      <c r="Y174" s="67" t="n">
        <v>46171</v>
      </c>
      <c r="Z174" s="15"/>
    </row>
    <row r="175" ht="15.75" customHeight="1">
      <c r="A175" s="1" t="n">
        <v>758</v>
      </c>
      <c r="B175" s="28" t="n">
        <v>46162</v>
      </c>
      <c r="C175" s="1" t="s">
        <v>61</v>
      </c>
      <c r="F175" s="1" t="s">
        <v>199</v>
      </c>
      <c r="G175" s="1" t="s">
        <v>29</v>
      </c>
      <c r="H175" s="1" t="s">
        <v>200</v>
      </c>
      <c r="I175" s="1" t="s">
        <v>201</v>
      </c>
      <c r="J175" s="35" t="s">
        <v>263</v>
      </c>
      <c r="L175" s="1" t="s">
        <v>203</v>
      </c>
      <c r="M175" s="1" t="n">
        <v>148</v>
      </c>
      <c r="N175" s="1" t="n">
        <v>180</v>
      </c>
      <c r="O175" s="1" t="n">
        <v>2</v>
      </c>
      <c r="P175" s="1" t="s">
        <v>31</v>
      </c>
      <c r="Q175" s="19"/>
      <c r="R175" s="19"/>
      <c r="S175" s="19" t="n">
        <v>32</v>
      </c>
      <c r="T175" s="16" t="n">
        <v>16</v>
      </c>
      <c r="U175" s="16" t="s">
        <v>32</v>
      </c>
      <c r="V175" s="16" t="n">
        <v>2</v>
      </c>
      <c r="W175" s="23" t="s">
        <v>31</v>
      </c>
      <c r="Y175" s="67" t="s">
        <v>298</v>
      </c>
      <c r="Z175" s="15"/>
    </row>
    <row r="176" ht="15.75" hidden="1" customHeight="1">
      <c r="A176" s="1" t="n">
        <v>770</v>
      </c>
      <c r="B176" s="28" t="n">
        <v>46163</v>
      </c>
      <c r="C176" s="1" t="s">
        <v>61</v>
      </c>
      <c r="F176" s="35" t="s">
        <v>34</v>
      </c>
      <c r="G176" s="1" t="s">
        <v>29</v>
      </c>
      <c r="H176" s="1" t="s">
        <v>135</v>
      </c>
      <c r="I176" s="1" t="s">
        <v>136</v>
      </c>
      <c r="J176" s="24" t="s">
        <v>54</v>
      </c>
      <c r="L176" s="1" t="s">
        <v>296</v>
      </c>
      <c r="M176" s="1" t="n">
        <v>150</v>
      </c>
      <c r="N176" s="1" t="n">
        <v>280</v>
      </c>
      <c r="O176" s="1" t="n">
        <v>2</v>
      </c>
      <c r="P176" s="1" t="s">
        <v>31</v>
      </c>
      <c r="Q176" s="19"/>
      <c r="R176" s="19"/>
      <c r="S176" s="19" t="n">
        <v>40</v>
      </c>
      <c r="T176" s="16" t="n">
        <v>20</v>
      </c>
      <c r="U176" s="16" t="s">
        <v>32</v>
      </c>
      <c r="V176" s="16" t="n">
        <v>2</v>
      </c>
      <c r="W176" s="17" t="s">
        <v>31</v>
      </c>
      <c r="Y176" s="67" t="n">
        <v>46164</v>
      </c>
      <c r="Z176" s="15"/>
    </row>
    <row r="177" ht="15.75" hidden="1" customHeight="1">
      <c r="A177" s="1" t="n">
        <v>771</v>
      </c>
      <c r="B177" s="28" t="n">
        <v>46163</v>
      </c>
      <c r="C177" s="1" t="s">
        <v>61</v>
      </c>
      <c r="F177" s="35" t="s">
        <v>34</v>
      </c>
      <c r="G177" s="1" t="s">
        <v>29</v>
      </c>
      <c r="H177" s="1" t="s">
        <v>135</v>
      </c>
      <c r="I177" s="1" t="s">
        <v>136</v>
      </c>
      <c r="J177" s="35" t="s">
        <v>299</v>
      </c>
      <c r="L177" s="1" t="s">
        <v>296</v>
      </c>
      <c r="M177" s="1" t="n">
        <v>150</v>
      </c>
      <c r="N177" s="1" t="n">
        <v>280</v>
      </c>
      <c r="O177" s="1" t="n">
        <v>5</v>
      </c>
      <c r="P177" s="1" t="s">
        <v>31</v>
      </c>
      <c r="Q177" s="19"/>
      <c r="R177" s="19"/>
      <c r="S177" s="19" t="n">
        <v>100</v>
      </c>
      <c r="T177" s="16" t="n">
        <v>20</v>
      </c>
      <c r="U177" s="16" t="s">
        <v>32</v>
      </c>
      <c r="V177" s="16" t="n">
        <v>5</v>
      </c>
      <c r="W177" s="17" t="s">
        <v>31</v>
      </c>
      <c r="Y177" s="67" t="n">
        <v>46164</v>
      </c>
      <c r="Z177" s="15"/>
    </row>
    <row r="178" ht="15.75" hidden="1" customHeight="1">
      <c r="A178" s="1" t="n">
        <v>772</v>
      </c>
      <c r="B178" s="28" t="n">
        <v>46163</v>
      </c>
      <c r="C178" s="1" t="s">
        <v>61</v>
      </c>
      <c r="F178" s="35" t="s">
        <v>34</v>
      </c>
      <c r="G178" s="1" t="s">
        <v>29</v>
      </c>
      <c r="H178" s="1" t="s">
        <v>135</v>
      </c>
      <c r="I178" s="1" t="s">
        <v>136</v>
      </c>
      <c r="J178" s="35" t="s">
        <v>300</v>
      </c>
      <c r="L178" s="1" t="s">
        <v>296</v>
      </c>
      <c r="M178" s="1" t="n">
        <v>150</v>
      </c>
      <c r="N178" s="1" t="n">
        <v>280</v>
      </c>
      <c r="O178" s="1" t="n">
        <v>3</v>
      </c>
      <c r="P178" s="1" t="s">
        <v>31</v>
      </c>
      <c r="Q178" s="19"/>
      <c r="R178" s="19"/>
      <c r="S178" s="19" t="n">
        <v>60</v>
      </c>
      <c r="T178" s="16" t="n">
        <v>20</v>
      </c>
      <c r="U178" s="16" t="s">
        <v>32</v>
      </c>
      <c r="V178" s="16" t="n">
        <v>3</v>
      </c>
      <c r="W178" s="17" t="s">
        <v>31</v>
      </c>
      <c r="Y178" s="67" t="n">
        <v>46164</v>
      </c>
      <c r="Z178" s="15"/>
    </row>
    <row r="179" ht="15.75" customHeight="1">
      <c r="A179" s="1" t="n">
        <v>773</v>
      </c>
      <c r="B179" s="28" t="n">
        <v>46156</v>
      </c>
      <c r="C179" s="35" t="s">
        <v>26</v>
      </c>
      <c r="D179" s="1" t="s">
        <v>293</v>
      </c>
      <c r="E179" s="1" t="s">
        <v>301</v>
      </c>
      <c r="F179" s="1" t="s">
        <v>199</v>
      </c>
      <c r="G179" s="1" t="s">
        <v>29</v>
      </c>
      <c r="H179" s="1" t="s">
        <v>200</v>
      </c>
      <c r="I179" s="1" t="s">
        <v>201</v>
      </c>
      <c r="J179" s="1" t="s">
        <v>302</v>
      </c>
      <c r="L179" s="1" t="s">
        <v>203</v>
      </c>
      <c r="M179" s="1" t="n">
        <v>148</v>
      </c>
      <c r="N179" s="1" t="n">
        <v>130</v>
      </c>
      <c r="O179" s="1" t="n">
        <v>90</v>
      </c>
      <c r="P179" s="1" t="s">
        <v>31</v>
      </c>
      <c r="Q179" s="19"/>
      <c r="R179" s="19"/>
      <c r="S179" s="19" t="n">
        <v>900</v>
      </c>
      <c r="T179" s="16" t="n">
        <v>10</v>
      </c>
      <c r="U179" s="16" t="s">
        <v>32</v>
      </c>
      <c r="V179" s="16" t="n">
        <v>90</v>
      </c>
      <c r="W179" s="17" t="s">
        <v>31</v>
      </c>
      <c r="Y179" s="67" t="n">
        <v>46171</v>
      </c>
      <c r="Z179" s="16"/>
    </row>
    <row r="180" ht="15.75" hidden="1" customHeight="1">
      <c r="A180" s="1" t="n">
        <v>756</v>
      </c>
      <c r="B180" s="28" t="n">
        <v>46162</v>
      </c>
      <c r="C180" s="35" t="s">
        <v>26</v>
      </c>
      <c r="F180" s="1" t="s">
        <v>73</v>
      </c>
      <c r="G180" s="1" t="s">
        <v>29</v>
      </c>
      <c r="H180" s="1" t="s">
        <v>217</v>
      </c>
      <c r="I180" s="1" t="s">
        <v>236</v>
      </c>
      <c r="J180" s="1" t="s">
        <v>68</v>
      </c>
      <c r="L180" s="1" t="s">
        <v>248</v>
      </c>
      <c r="M180" s="1" t="n">
        <v>150</v>
      </c>
      <c r="O180" s="1" t="n">
        <v>170</v>
      </c>
      <c r="P180" s="1" t="s">
        <v>31</v>
      </c>
      <c r="Q180" s="19"/>
      <c r="R180" s="19"/>
      <c r="S180" s="19" t="n">
        <v>2219</v>
      </c>
      <c r="T180" s="16" t="n">
        <v>14.500000</v>
      </c>
      <c r="U180" s="16" t="s">
        <v>32</v>
      </c>
      <c r="V180" s="16" t="n">
        <v>153</v>
      </c>
      <c r="W180" s="17" t="s">
        <v>31</v>
      </c>
      <c r="Y180" s="67" t="n">
        <v>46173</v>
      </c>
      <c r="Z180" s="15"/>
    </row>
    <row r="181" ht="15.75" customHeight="1">
      <c r="A181" s="1" t="n">
        <v>808</v>
      </c>
      <c r="B181" s="33" t="n">
        <v>46166</v>
      </c>
      <c r="C181" s="35" t="s">
        <v>26</v>
      </c>
      <c r="D181" s="1" t="s">
        <v>303</v>
      </c>
      <c r="F181" s="1" t="s">
        <v>199</v>
      </c>
      <c r="G181" s="1" t="s">
        <v>29</v>
      </c>
      <c r="H181" s="1" t="s">
        <v>200</v>
      </c>
      <c r="I181" s="1" t="s">
        <v>201</v>
      </c>
      <c r="J181" s="1" t="s">
        <v>297</v>
      </c>
      <c r="L181" s="1" t="s">
        <v>203</v>
      </c>
      <c r="M181" s="1" t="n">
        <v>148</v>
      </c>
      <c r="N181" s="1" t="n">
        <v>180</v>
      </c>
      <c r="O181" s="24" t="n">
        <v>340</v>
      </c>
      <c r="P181" s="1" t="s">
        <v>31</v>
      </c>
      <c r="Q181" s="19"/>
      <c r="R181" s="19"/>
      <c r="S181" s="19" t="f">
        <f>V181*T181</f>
      </c>
      <c r="T181" s="16" t="n">
        <v>10</v>
      </c>
      <c r="U181" s="16" t="s">
        <v>32</v>
      </c>
      <c r="V181" s="16" t="n">
        <v>342</v>
      </c>
      <c r="W181" s="17" t="s">
        <v>31</v>
      </c>
      <c r="Y181" s="67" t="n">
        <v>46177</v>
      </c>
      <c r="Z181" s="15"/>
    </row>
    <row r="182" ht="15.75" customHeight="1">
      <c r="A182" s="1" t="n">
        <v>809</v>
      </c>
      <c r="B182" s="34" t="n">
        <v>46166</v>
      </c>
      <c r="C182" s="35" t="s">
        <v>26</v>
      </c>
      <c r="D182" s="1" t="s">
        <v>303</v>
      </c>
      <c r="F182" s="1" t="s">
        <v>199</v>
      </c>
      <c r="G182" s="1" t="s">
        <v>29</v>
      </c>
      <c r="H182" s="1" t="s">
        <v>200</v>
      </c>
      <c r="I182" s="1" t="s">
        <v>201</v>
      </c>
      <c r="J182" s="1" t="s">
        <v>304</v>
      </c>
      <c r="L182" s="1" t="s">
        <v>203</v>
      </c>
      <c r="M182" s="1" t="n">
        <v>148</v>
      </c>
      <c r="N182" s="1" t="n">
        <v>180</v>
      </c>
      <c r="O182" s="35" t="n">
        <v>340</v>
      </c>
      <c r="P182" s="1" t="s">
        <v>31</v>
      </c>
      <c r="Q182" s="19"/>
      <c r="R182" s="19"/>
      <c r="S182" s="19" t="f">
        <f>V182*T182</f>
      </c>
      <c r="T182" s="16" t="n">
        <v>10</v>
      </c>
      <c r="U182" s="16" t="s">
        <v>32</v>
      </c>
      <c r="V182" s="16" t="n">
        <v>343</v>
      </c>
      <c r="W182" s="17" t="s">
        <v>31</v>
      </c>
      <c r="Y182" s="67" t="n">
        <v>46177</v>
      </c>
      <c r="Z182" s="15"/>
    </row>
    <row r="183" ht="15.75" customHeight="1">
      <c r="A183" s="1" t="n">
        <v>810</v>
      </c>
      <c r="B183" s="34" t="n">
        <v>46166</v>
      </c>
      <c r="C183" s="35" t="s">
        <v>26</v>
      </c>
      <c r="D183" s="1" t="s">
        <v>303</v>
      </c>
      <c r="F183" s="1" t="s">
        <v>199</v>
      </c>
      <c r="G183" s="1" t="s">
        <v>29</v>
      </c>
      <c r="H183" s="1" t="s">
        <v>200</v>
      </c>
      <c r="I183" s="1" t="s">
        <v>201</v>
      </c>
      <c r="J183" s="1" t="s">
        <v>241</v>
      </c>
      <c r="L183" s="1" t="s">
        <v>203</v>
      </c>
      <c r="M183" s="1" t="n">
        <v>148</v>
      </c>
      <c r="N183" s="1" t="n">
        <v>180</v>
      </c>
      <c r="O183" s="35" t="n">
        <v>18</v>
      </c>
      <c r="P183" s="1" t="s">
        <v>31</v>
      </c>
      <c r="Q183" s="19"/>
      <c r="R183" s="19"/>
      <c r="S183" s="19" t="n">
        <v>226</v>
      </c>
      <c r="T183" s="16" t="n">
        <v>11</v>
      </c>
      <c r="U183" s="16" t="s">
        <v>32</v>
      </c>
      <c r="V183" s="16" t="n">
        <v>20.500000</v>
      </c>
      <c r="W183" s="17" t="s">
        <v>31</v>
      </c>
      <c r="Y183" s="67" t="n">
        <v>46177</v>
      </c>
      <c r="Z183" s="15"/>
    </row>
    <row r="184" ht="15.75" customHeight="1">
      <c r="A184" s="1" t="n">
        <v>831</v>
      </c>
      <c r="B184" s="28" t="n">
        <v>46168</v>
      </c>
      <c r="C184" s="35" t="s">
        <v>26</v>
      </c>
      <c r="D184" s="1" t="s">
        <v>303</v>
      </c>
      <c r="F184" s="1" t="s">
        <v>199</v>
      </c>
      <c r="G184" s="1" t="s">
        <v>29</v>
      </c>
      <c r="H184" s="1" t="s">
        <v>200</v>
      </c>
      <c r="I184" s="1" t="s">
        <v>201</v>
      </c>
      <c r="J184" s="1" t="s">
        <v>305</v>
      </c>
      <c r="L184" s="1" t="s">
        <v>203</v>
      </c>
      <c r="M184" s="1" t="n">
        <v>148</v>
      </c>
      <c r="N184" s="1" t="n">
        <v>180</v>
      </c>
      <c r="O184" s="1" t="n">
        <v>18</v>
      </c>
      <c r="P184" s="1" t="s">
        <v>31</v>
      </c>
      <c r="Q184" s="19"/>
      <c r="R184" s="19"/>
      <c r="S184" s="19" t="n">
        <v>226</v>
      </c>
      <c r="T184" s="16" t="n">
        <v>11</v>
      </c>
      <c r="U184" s="16" t="s">
        <v>32</v>
      </c>
      <c r="V184" s="16" t="n">
        <v>20.500000</v>
      </c>
      <c r="W184" s="17" t="s">
        <v>31</v>
      </c>
      <c r="Y184" s="67" t="n">
        <v>46177</v>
      </c>
      <c r="Z184" s="15"/>
    </row>
    <row r="185" ht="15.75" customHeight="1">
      <c r="A185" s="1" t="n">
        <v>832</v>
      </c>
      <c r="B185" s="28" t="n">
        <v>46169</v>
      </c>
      <c r="C185" s="35" t="s">
        <v>26</v>
      </c>
      <c r="D185" s="1" t="s">
        <v>306</v>
      </c>
      <c r="F185" s="1" t="s">
        <v>199</v>
      </c>
      <c r="G185" s="1" t="s">
        <v>29</v>
      </c>
      <c r="H185" s="1" t="s">
        <v>200</v>
      </c>
      <c r="I185" s="1" t="s">
        <v>201</v>
      </c>
      <c r="J185" s="1" t="s">
        <v>287</v>
      </c>
      <c r="L185" s="1" t="s">
        <v>203</v>
      </c>
      <c r="M185" s="1" t="n">
        <v>148</v>
      </c>
      <c r="N185" s="1" t="n">
        <v>180</v>
      </c>
      <c r="O185" s="1" t="n">
        <v>130</v>
      </c>
      <c r="P185" s="1" t="s">
        <v>31</v>
      </c>
      <c r="Q185" s="19"/>
      <c r="R185" s="19"/>
      <c r="S185" s="19" t="n">
        <v>1330</v>
      </c>
      <c r="T185" s="16" t="n">
        <v>10</v>
      </c>
      <c r="U185" s="16" t="s">
        <v>32</v>
      </c>
      <c r="V185" s="16" t="n">
        <v>133</v>
      </c>
      <c r="W185" s="17" t="s">
        <v>31</v>
      </c>
      <c r="Y185" s="67" t="n">
        <v>46177</v>
      </c>
      <c r="Z185" s="15"/>
    </row>
    <row r="186" ht="15.75" customHeight="1">
      <c r="A186" s="1" t="n">
        <v>815</v>
      </c>
      <c r="B186" s="34" t="n">
        <v>46165</v>
      </c>
      <c r="C186" s="1" t="s">
        <v>61</v>
      </c>
      <c r="F186" s="1" t="s">
        <v>199</v>
      </c>
      <c r="G186" s="1" t="s">
        <v>29</v>
      </c>
      <c r="H186" s="1" t="s">
        <v>200</v>
      </c>
      <c r="I186" s="1" t="s">
        <v>201</v>
      </c>
      <c r="J186" s="1" t="s">
        <v>263</v>
      </c>
      <c r="L186" s="1" t="s">
        <v>203</v>
      </c>
      <c r="M186" s="1" t="n">
        <v>148</v>
      </c>
      <c r="N186" s="1" t="n">
        <v>180</v>
      </c>
      <c r="O186" s="35" t="n">
        <v>3</v>
      </c>
      <c r="P186" s="1" t="s">
        <v>31</v>
      </c>
      <c r="Q186" s="19"/>
      <c r="R186" s="19"/>
      <c r="S186" s="19" t="n">
        <v>48</v>
      </c>
      <c r="T186" s="16" t="n">
        <v>16</v>
      </c>
      <c r="U186" s="16" t="s">
        <v>32</v>
      </c>
      <c r="V186" s="16" t="n">
        <v>3</v>
      </c>
      <c r="W186" s="23" t="s">
        <v>31</v>
      </c>
      <c r="Y186" s="67" t="n">
        <v>46165</v>
      </c>
      <c r="Z186" s="15"/>
    </row>
    <row r="187" ht="15.75" customHeight="1">
      <c r="A187" s="1" t="n">
        <v>818</v>
      </c>
      <c r="B187" s="34" t="n">
        <v>46167</v>
      </c>
      <c r="C187" s="1" t="s">
        <v>61</v>
      </c>
      <c r="F187" s="1" t="s">
        <v>199</v>
      </c>
      <c r="G187" s="1" t="s">
        <v>29</v>
      </c>
      <c r="H187" s="1" t="s">
        <v>200</v>
      </c>
      <c r="I187" s="1" t="s">
        <v>201</v>
      </c>
      <c r="J187" s="1" t="s">
        <v>263</v>
      </c>
      <c r="L187" s="1" t="s">
        <v>203</v>
      </c>
      <c r="M187" s="1" t="n">
        <v>148</v>
      </c>
      <c r="N187" s="1" t="n">
        <v>180</v>
      </c>
      <c r="O187" s="35" t="n">
        <v>3</v>
      </c>
      <c r="P187" s="1" t="s">
        <v>31</v>
      </c>
      <c r="Q187" s="19"/>
      <c r="R187" s="19"/>
      <c r="S187" s="19" t="f">
        <f>T187*V187</f>
      </c>
      <c r="T187" s="16" t="n">
        <v>16</v>
      </c>
      <c r="U187" s="16" t="s">
        <v>32</v>
      </c>
      <c r="V187" s="16" t="n">
        <v>3</v>
      </c>
      <c r="W187" s="23" t="s">
        <v>31</v>
      </c>
      <c r="Y187" s="67" t="n">
        <v>46167</v>
      </c>
      <c r="Z187" s="15"/>
    </row>
    <row r="188" ht="15.75" customHeight="1">
      <c r="A188" s="1" t="n">
        <v>821</v>
      </c>
      <c r="B188" s="28" t="n">
        <v>46168</v>
      </c>
      <c r="C188" s="1" t="s">
        <v>61</v>
      </c>
      <c r="F188" s="1" t="s">
        <v>199</v>
      </c>
      <c r="G188" s="1" t="s">
        <v>29</v>
      </c>
      <c r="H188" s="1" t="s">
        <v>200</v>
      </c>
      <c r="I188" s="1" t="s">
        <v>201</v>
      </c>
      <c r="J188" s="1" t="s">
        <v>263</v>
      </c>
      <c r="L188" s="1" t="s">
        <v>203</v>
      </c>
      <c r="M188" s="1" t="n">
        <v>148</v>
      </c>
      <c r="N188" s="1" t="n">
        <v>180</v>
      </c>
      <c r="O188" s="1" t="n">
        <v>4</v>
      </c>
      <c r="P188" s="1" t="s">
        <v>31</v>
      </c>
      <c r="Q188" s="19"/>
      <c r="R188" s="19"/>
      <c r="S188" s="19" t="f">
        <f>T188*V188</f>
      </c>
      <c r="T188" s="16" t="n">
        <v>16</v>
      </c>
      <c r="U188" s="16" t="s">
        <v>32</v>
      </c>
      <c r="V188" s="16" t="n">
        <v>4</v>
      </c>
      <c r="W188" s="17" t="s">
        <v>31</v>
      </c>
      <c r="Y188" s="67" t="n">
        <v>46169</v>
      </c>
      <c r="Z188" s="15"/>
    </row>
    <row r="189" ht="15.75" customHeight="1">
      <c r="A189" s="1" t="n">
        <v>826</v>
      </c>
      <c r="B189" s="28" t="n">
        <v>46168</v>
      </c>
      <c r="C189" s="1" t="s">
        <v>61</v>
      </c>
      <c r="F189" s="1" t="s">
        <v>199</v>
      </c>
      <c r="G189" s="1" t="s">
        <v>29</v>
      </c>
      <c r="H189" s="1" t="s">
        <v>200</v>
      </c>
      <c r="I189" s="1" t="s">
        <v>201</v>
      </c>
      <c r="J189" s="1" t="s">
        <v>263</v>
      </c>
      <c r="L189" s="1" t="s">
        <v>203</v>
      </c>
      <c r="M189" s="1" t="n">
        <v>148</v>
      </c>
      <c r="N189" s="1" t="n">
        <v>180</v>
      </c>
      <c r="O189" s="1" t="n">
        <v>3</v>
      </c>
      <c r="P189" s="1" t="s">
        <v>31</v>
      </c>
      <c r="Q189" s="19"/>
      <c r="R189" s="19"/>
      <c r="S189" s="19" t="f">
        <f>T189*V189</f>
      </c>
      <c r="T189" s="16" t="n">
        <v>16</v>
      </c>
      <c r="U189" s="16" t="s">
        <v>32</v>
      </c>
      <c r="V189" s="16" t="n">
        <v>3</v>
      </c>
      <c r="W189" s="17" t="s">
        <v>31</v>
      </c>
      <c r="Y189" s="67" t="n">
        <v>46169</v>
      </c>
      <c r="Z189" s="15"/>
    </row>
    <row r="190" ht="15.75" customHeight="1">
      <c r="A190" s="1" t="n">
        <v>913</v>
      </c>
      <c r="B190" s="28" t="n">
        <v>46176</v>
      </c>
      <c r="C190" s="35" t="s">
        <v>26</v>
      </c>
      <c r="F190" s="1" t="s">
        <v>199</v>
      </c>
      <c r="G190" s="1" t="s">
        <v>29</v>
      </c>
      <c r="H190" s="1" t="s">
        <v>200</v>
      </c>
      <c r="I190" s="1" t="s">
        <v>201</v>
      </c>
      <c r="J190" s="60" t="s">
        <v>307</v>
      </c>
      <c r="L190" s="1" t="s">
        <v>203</v>
      </c>
      <c r="M190" s="1" t="n">
        <v>148</v>
      </c>
      <c r="N190" s="1" t="n">
        <v>180</v>
      </c>
      <c r="O190" s="1" t="n">
        <v>110</v>
      </c>
      <c r="P190" s="36" t="s">
        <v>31</v>
      </c>
      <c r="Q190" s="19"/>
      <c r="R190" s="19"/>
      <c r="S190" s="19" t="f">
        <f>V190*T190</f>
      </c>
      <c r="T190" s="16" t="n">
        <v>10</v>
      </c>
      <c r="U190" s="16" t="s">
        <v>32</v>
      </c>
      <c r="V190" s="16" t="n">
        <v>123</v>
      </c>
      <c r="W190" s="17" t="s">
        <v>31</v>
      </c>
      <c r="Y190" s="67" t="n">
        <v>46177</v>
      </c>
      <c r="Z190" s="15"/>
    </row>
    <row r="191" ht="15.75" customHeight="1">
      <c r="A191" s="1" t="n">
        <v>830</v>
      </c>
      <c r="B191" s="28" t="n">
        <v>46168</v>
      </c>
      <c r="C191" s="1" t="s">
        <v>61</v>
      </c>
      <c r="F191" s="1" t="s">
        <v>199</v>
      </c>
      <c r="G191" s="1" t="s">
        <v>29</v>
      </c>
      <c r="H191" s="1" t="s">
        <v>200</v>
      </c>
      <c r="I191" s="1" t="s">
        <v>201</v>
      </c>
      <c r="J191" s="1" t="s">
        <v>308</v>
      </c>
      <c r="L191" s="1" t="s">
        <v>203</v>
      </c>
      <c r="M191" s="1" t="n">
        <v>148</v>
      </c>
      <c r="N191" s="1" t="n">
        <v>180</v>
      </c>
      <c r="O191" s="1" t="n">
        <v>3</v>
      </c>
      <c r="P191" s="1" t="s">
        <v>31</v>
      </c>
      <c r="Q191" s="19"/>
      <c r="R191" s="19"/>
      <c r="S191" s="19" t="f">
        <f>T191*V191</f>
      </c>
      <c r="T191" s="16" t="n">
        <v>16</v>
      </c>
      <c r="U191" s="16" t="s">
        <v>32</v>
      </c>
      <c r="V191" s="16" t="n">
        <v>3</v>
      </c>
      <c r="W191" s="17" t="s">
        <v>31</v>
      </c>
      <c r="Y191" s="67" t="n">
        <v>46169</v>
      </c>
      <c r="Z191" s="15"/>
    </row>
    <row r="192" ht="15.75" customHeight="1">
      <c r="A192" s="1" t="n">
        <v>914</v>
      </c>
      <c r="B192" s="28" t="n">
        <v>46176</v>
      </c>
      <c r="C192" s="35" t="s">
        <v>26</v>
      </c>
      <c r="F192" s="1" t="s">
        <v>199</v>
      </c>
      <c r="G192" s="1" t="s">
        <v>29</v>
      </c>
      <c r="H192" s="1" t="s">
        <v>200</v>
      </c>
      <c r="I192" s="1" t="s">
        <v>201</v>
      </c>
      <c r="J192" s="60" t="s">
        <v>309</v>
      </c>
      <c r="L192" s="1" t="s">
        <v>203</v>
      </c>
      <c r="M192" s="1" t="n">
        <v>148</v>
      </c>
      <c r="N192" s="1" t="n">
        <v>180</v>
      </c>
      <c r="O192" s="1" t="n">
        <v>110</v>
      </c>
      <c r="P192" s="36" t="s">
        <v>31</v>
      </c>
      <c r="Q192" s="19"/>
      <c r="R192" s="19"/>
      <c r="S192" s="19" t="f">
        <f>T192*V192</f>
      </c>
      <c r="T192" s="16" t="n">
        <v>10</v>
      </c>
      <c r="U192" s="16" t="s">
        <v>32</v>
      </c>
      <c r="V192" s="16" t="n">
        <v>114</v>
      </c>
      <c r="W192" s="17" t="s">
        <v>31</v>
      </c>
      <c r="Y192" s="67" t="n">
        <v>46177</v>
      </c>
      <c r="Z192" s="15"/>
    </row>
    <row r="193" ht="15.75" customHeight="1">
      <c r="A193" s="1" t="n">
        <v>915</v>
      </c>
      <c r="B193" s="28" t="n">
        <v>46176</v>
      </c>
      <c r="C193" s="35" t="s">
        <v>26</v>
      </c>
      <c r="E193" s="1" t="s">
        <v>306</v>
      </c>
      <c r="F193" s="1" t="s">
        <v>199</v>
      </c>
      <c r="G193" s="1" t="s">
        <v>29</v>
      </c>
      <c r="H193" s="1" t="s">
        <v>200</v>
      </c>
      <c r="I193" s="1" t="s">
        <v>201</v>
      </c>
      <c r="J193" s="60" t="s">
        <v>310</v>
      </c>
      <c r="L193" s="1" t="s">
        <v>203</v>
      </c>
      <c r="M193" s="1" t="n">
        <v>148</v>
      </c>
      <c r="N193" s="1" t="n">
        <v>180</v>
      </c>
      <c r="O193" s="1" t="n">
        <v>35</v>
      </c>
      <c r="P193" s="36" t="s">
        <v>31</v>
      </c>
      <c r="Q193" s="19"/>
      <c r="R193" s="19"/>
      <c r="S193" s="19" t="f">
        <f>T193*V193</f>
      </c>
      <c r="T193" s="16" t="n">
        <v>11</v>
      </c>
      <c r="U193" s="16" t="s">
        <v>32</v>
      </c>
      <c r="V193" s="16" t="n">
        <v>36</v>
      </c>
      <c r="W193" s="17" t="s">
        <v>31</v>
      </c>
      <c r="Y193" s="67" t="n">
        <v>46177</v>
      </c>
      <c r="Z193" s="15"/>
    </row>
    <row r="194" ht="15.75" hidden="1" customHeight="1">
      <c r="A194" s="1" t="s">
        <v>311</v>
      </c>
      <c r="B194" s="56" t="n">
        <v>46169.730740</v>
      </c>
      <c r="C194" s="1" t="s">
        <v>61</v>
      </c>
      <c r="F194" s="1" t="s">
        <v>185</v>
      </c>
      <c r="G194" s="1" t="s">
        <v>39</v>
      </c>
      <c r="H194" s="1" t="s">
        <v>119</v>
      </c>
      <c r="I194" s="24" t="s">
        <v>186</v>
      </c>
      <c r="J194" s="35" t="s">
        <v>189</v>
      </c>
      <c r="L194" s="35" t="s">
        <v>187</v>
      </c>
      <c r="M194" s="35" t="n">
        <v>150</v>
      </c>
      <c r="N194" s="36" t="n">
        <v>210</v>
      </c>
      <c r="O194" s="36" t="n">
        <v>4</v>
      </c>
      <c r="P194" s="1" t="s">
        <v>31</v>
      </c>
      <c r="Q194" s="19"/>
      <c r="R194" s="19"/>
      <c r="S194" s="19" t="n">
        <v>160</v>
      </c>
      <c r="T194" s="16" t="n">
        <v>40</v>
      </c>
      <c r="U194" s="16" t="s">
        <v>32</v>
      </c>
      <c r="V194" s="16" t="n">
        <v>4</v>
      </c>
      <c r="W194" s="17" t="s">
        <v>31</v>
      </c>
      <c r="Y194" s="67" t="n">
        <v>46169</v>
      </c>
      <c r="Z194" s="15"/>
    </row>
    <row r="195" ht="15.75" hidden="1" customHeight="1">
      <c r="A195" s="24" t="n">
        <v>836</v>
      </c>
      <c r="B195" s="28" t="n">
        <v>46169</v>
      </c>
      <c r="C195" s="1" t="s">
        <v>61</v>
      </c>
      <c r="F195" s="24" t="s">
        <v>312</v>
      </c>
      <c r="G195" s="25" t="s">
        <v>29</v>
      </c>
      <c r="H195" s="25" t="s">
        <v>313</v>
      </c>
      <c r="I195" s="1" t="s">
        <v>314</v>
      </c>
      <c r="J195" s="25" t="s">
        <v>68</v>
      </c>
      <c r="L195" s="1" t="s">
        <v>187</v>
      </c>
      <c r="M195" s="1" t="n">
        <v>150</v>
      </c>
      <c r="N195" s="1" t="n">
        <v>85</v>
      </c>
      <c r="O195" s="1" t="n">
        <v>1</v>
      </c>
      <c r="P195" s="1" t="s">
        <v>31</v>
      </c>
      <c r="Q195" s="19"/>
      <c r="R195" s="19"/>
      <c r="S195" s="19" t="n">
        <v>11</v>
      </c>
      <c r="T195" s="16" t="n">
        <v>11</v>
      </c>
      <c r="U195" s="16" t="s">
        <v>32</v>
      </c>
      <c r="V195" s="16" t="n">
        <v>1</v>
      </c>
      <c r="W195" s="17" t="s">
        <v>31</v>
      </c>
      <c r="Y195" s="67" t="n">
        <v>46171</v>
      </c>
      <c r="Z195" s="15"/>
    </row>
    <row r="196" ht="15.75" customHeight="1">
      <c r="A196" s="1" t="n">
        <v>846</v>
      </c>
      <c r="B196" s="28" t="n">
        <v>46174</v>
      </c>
      <c r="C196" s="1" t="s">
        <v>61</v>
      </c>
      <c r="F196" s="1" t="s">
        <v>199</v>
      </c>
      <c r="G196" s="1" t="s">
        <v>29</v>
      </c>
      <c r="H196" s="1" t="s">
        <v>200</v>
      </c>
      <c r="I196" s="1" t="s">
        <v>201</v>
      </c>
      <c r="J196" s="1" t="s">
        <v>315</v>
      </c>
      <c r="L196" s="1" t="s">
        <v>187</v>
      </c>
      <c r="M196" s="1" t="n">
        <v>150</v>
      </c>
      <c r="N196" s="1" t="n">
        <v>85</v>
      </c>
      <c r="O196" s="69" t="n">
        <v>3</v>
      </c>
      <c r="P196" s="1" t="s">
        <v>31</v>
      </c>
      <c r="Q196" s="19"/>
      <c r="R196" s="19"/>
      <c r="S196" s="19" t="n">
        <v>48</v>
      </c>
      <c r="T196" s="16" t="n">
        <v>16</v>
      </c>
      <c r="U196" s="16" t="s">
        <v>32</v>
      </c>
      <c r="V196" s="16" t="n">
        <v>3</v>
      </c>
      <c r="W196" s="17" t="s">
        <v>31</v>
      </c>
      <c r="Y196" s="67" t="n">
        <v>46174</v>
      </c>
      <c r="Z196" s="15"/>
      <c r="AA196" s="5" t="s">
        <v>316</v>
      </c>
      <c r="AB196" s="5" t="s">
        <v>317</v>
      </c>
    </row>
    <row r="197" ht="15.75" hidden="1" customHeight="1">
      <c r="A197" s="1" t="n">
        <v>766</v>
      </c>
      <c r="B197" s="33" t="n">
        <v>46162</v>
      </c>
      <c r="C197" s="1" t="s">
        <v>61</v>
      </c>
      <c r="F197" s="24" t="s">
        <v>318</v>
      </c>
      <c r="G197" s="1" t="s">
        <v>29</v>
      </c>
      <c r="H197" s="1" t="s">
        <v>119</v>
      </c>
      <c r="I197" s="1" t="s">
        <v>319</v>
      </c>
      <c r="J197" s="1" t="s">
        <v>320</v>
      </c>
      <c r="L197" s="24" t="s">
        <v>321</v>
      </c>
      <c r="O197" s="1" t="n">
        <v>1</v>
      </c>
      <c r="P197" s="1" t="s">
        <v>31</v>
      </c>
      <c r="Q197" s="19"/>
      <c r="R197" s="19"/>
      <c r="S197" s="19" t="n">
        <v>50</v>
      </c>
      <c r="T197" s="16" t="n">
        <v>50</v>
      </c>
      <c r="U197" s="16" t="s">
        <v>32</v>
      </c>
      <c r="V197" s="16" t="n">
        <v>1</v>
      </c>
      <c r="W197" s="17" t="s">
        <v>31</v>
      </c>
      <c r="Y197" s="67" t="n">
        <v>46161</v>
      </c>
      <c r="Z197" s="15"/>
    </row>
    <row r="198" ht="15.75" hidden="1" customHeight="1">
      <c r="A198" s="1" t="n">
        <v>875</v>
      </c>
      <c r="B198" s="28" t="n">
        <v>46148</v>
      </c>
      <c r="C198" s="1" t="s">
        <v>61</v>
      </c>
      <c r="E198" s="1"/>
      <c r="F198" s="1" t="s">
        <v>322</v>
      </c>
      <c r="G198" s="1" t="s">
        <v>29</v>
      </c>
      <c r="H198" s="1" t="s">
        <v>119</v>
      </c>
      <c r="I198" s="1" t="s">
        <v>323</v>
      </c>
      <c r="J198" s="1" t="s">
        <v>324</v>
      </c>
      <c r="L198" s="1" t="s">
        <v>325</v>
      </c>
      <c r="M198" s="1" t="n">
        <v>140</v>
      </c>
      <c r="O198" s="1" t="n">
        <v>1</v>
      </c>
      <c r="P198" s="1" t="s">
        <v>31</v>
      </c>
      <c r="Q198" s="19"/>
      <c r="R198" s="19"/>
      <c r="S198" s="19" t="n">
        <v>35</v>
      </c>
      <c r="T198" s="16" t="n">
        <v>35</v>
      </c>
      <c r="U198" s="16" t="s">
        <v>32</v>
      </c>
      <c r="V198" s="16" t="n">
        <v>1</v>
      </c>
      <c r="W198" s="17" t="s">
        <v>31</v>
      </c>
      <c r="Y198" s="67" t="n">
        <v>46148</v>
      </c>
      <c r="Z198" s="15"/>
    </row>
    <row r="199" ht="15.75" hidden="1" customHeight="1">
      <c r="A199" s="24" t="n">
        <v>774</v>
      </c>
      <c r="B199" s="33" t="n">
        <v>46164</v>
      </c>
      <c r="C199" s="35" t="s">
        <v>26</v>
      </c>
      <c r="D199" s="24" t="s">
        <v>326</v>
      </c>
      <c r="E199" s="25" t="s">
        <v>327</v>
      </c>
      <c r="F199" s="24" t="s">
        <v>328</v>
      </c>
      <c r="G199" s="1" t="s">
        <v>29</v>
      </c>
      <c r="H199" s="1" t="s">
        <v>329</v>
      </c>
      <c r="I199" s="1" t="n">
        <v>938</v>
      </c>
      <c r="J199" s="57" t="s">
        <v>68</v>
      </c>
      <c r="L199" s="1" t="s">
        <v>187</v>
      </c>
      <c r="M199" s="1" t="n">
        <v>150</v>
      </c>
      <c r="N199" s="1" t="n">
        <v>180</v>
      </c>
      <c r="O199" s="24" t="n">
        <v>472</v>
      </c>
      <c r="P199" s="1" t="s">
        <v>31</v>
      </c>
      <c r="Q199" s="19"/>
      <c r="R199" s="19"/>
      <c r="S199" s="19" t="n">
        <v>4934</v>
      </c>
      <c r="T199" s="16" t="n">
        <v>10.300000</v>
      </c>
      <c r="U199" s="16" t="s">
        <v>32</v>
      </c>
      <c r="V199" s="16" t="n">
        <v>479</v>
      </c>
      <c r="W199" s="17" t="s">
        <v>31</v>
      </c>
      <c r="Y199" s="67" t="n">
        <v>46177</v>
      </c>
      <c r="Z199" s="16"/>
    </row>
    <row r="200" ht="15.75" hidden="1" customHeight="1">
      <c r="A200" s="35" t="n">
        <v>775</v>
      </c>
      <c r="B200" s="34" t="n">
        <v>46164</v>
      </c>
      <c r="C200" s="35" t="s">
        <v>26</v>
      </c>
      <c r="D200" s="58" t="s">
        <v>326</v>
      </c>
      <c r="E200" s="36" t="s">
        <v>327</v>
      </c>
      <c r="F200" s="35" t="s">
        <v>328</v>
      </c>
      <c r="G200" s="1" t="s">
        <v>29</v>
      </c>
      <c r="H200" s="1" t="s">
        <v>329</v>
      </c>
      <c r="I200" s="1" t="n">
        <v>938</v>
      </c>
      <c r="J200" s="59" t="s">
        <v>330</v>
      </c>
      <c r="L200" s="1" t="s">
        <v>187</v>
      </c>
      <c r="M200" s="1" t="n">
        <v>150</v>
      </c>
      <c r="N200" s="1" t="n">
        <v>180</v>
      </c>
      <c r="O200" s="35" t="n">
        <v>328</v>
      </c>
      <c r="P200" s="1" t="s">
        <v>31</v>
      </c>
      <c r="Q200" s="19"/>
      <c r="R200" s="19"/>
      <c r="S200" s="19" t="n">
        <v>3554</v>
      </c>
      <c r="T200" s="16" t="n">
        <v>10.300000</v>
      </c>
      <c r="U200" s="16" t="s">
        <v>32</v>
      </c>
      <c r="V200" s="16" t="n">
        <v>345</v>
      </c>
      <c r="W200" s="17" t="s">
        <v>31</v>
      </c>
      <c r="Y200" s="67" t="n">
        <v>46177</v>
      </c>
      <c r="Z200" s="16"/>
    </row>
    <row r="201" ht="15.75" customHeight="1">
      <c r="A201" s="1" t="n">
        <v>887</v>
      </c>
      <c r="B201" s="28" t="n">
        <v>46176</v>
      </c>
      <c r="C201" s="35" t="s">
        <v>26</v>
      </c>
      <c r="E201" s="1" t="s">
        <v>331</v>
      </c>
      <c r="F201" s="1" t="s">
        <v>199</v>
      </c>
      <c r="G201" s="1" t="s">
        <v>29</v>
      </c>
      <c r="H201" s="1" t="s">
        <v>200</v>
      </c>
      <c r="I201" s="1" t="s">
        <v>201</v>
      </c>
      <c r="J201" s="1" t="s">
        <v>99</v>
      </c>
      <c r="L201" s="1" t="s">
        <v>203</v>
      </c>
      <c r="M201" s="1" t="n">
        <v>148</v>
      </c>
      <c r="N201" s="1" t="n">
        <v>180</v>
      </c>
      <c r="O201" s="1" t="n">
        <v>228</v>
      </c>
      <c r="P201" s="1" t="s">
        <v>31</v>
      </c>
      <c r="Q201" s="19"/>
      <c r="R201" s="19"/>
      <c r="S201" s="19" t="f">
        <f>T201*V201</f>
      </c>
      <c r="T201" s="16" t="n">
        <v>10</v>
      </c>
      <c r="U201" s="16" t="s">
        <v>32</v>
      </c>
      <c r="V201" s="16" t="n">
        <v>227.500000</v>
      </c>
      <c r="W201" s="17" t="s">
        <v>31</v>
      </c>
      <c r="Y201" s="67" t="n">
        <v>46178</v>
      </c>
      <c r="Z201" s="15"/>
    </row>
    <row r="202" ht="15.75" customHeight="1">
      <c r="A202" s="1" t="n">
        <v>888</v>
      </c>
      <c r="B202" s="28" t="n">
        <v>46176</v>
      </c>
      <c r="C202" s="35" t="s">
        <v>26</v>
      </c>
      <c r="E202" s="1" t="s">
        <v>332</v>
      </c>
      <c r="F202" s="1" t="s">
        <v>199</v>
      </c>
      <c r="G202" s="1" t="s">
        <v>29</v>
      </c>
      <c r="H202" s="1" t="s">
        <v>200</v>
      </c>
      <c r="I202" s="1" t="s">
        <v>201</v>
      </c>
      <c r="J202" s="1" t="s">
        <v>333</v>
      </c>
      <c r="L202" s="1" t="s">
        <v>203</v>
      </c>
      <c r="M202" s="1" t="n">
        <v>148</v>
      </c>
      <c r="N202" s="1" t="n">
        <v>180</v>
      </c>
      <c r="O202" s="1" t="n">
        <v>230</v>
      </c>
      <c r="P202" s="1" t="s">
        <v>31</v>
      </c>
      <c r="Q202" s="19"/>
      <c r="R202" s="19"/>
      <c r="S202" s="19" t="n">
        <v>2290</v>
      </c>
      <c r="T202" s="16" t="n">
        <v>10</v>
      </c>
      <c r="U202" s="16" t="s">
        <v>32</v>
      </c>
      <c r="V202" s="16" t="n">
        <v>229</v>
      </c>
      <c r="W202" s="17" t="s">
        <v>31</v>
      </c>
      <c r="Y202" s="67" t="n">
        <v>46178</v>
      </c>
      <c r="Z202" s="15"/>
    </row>
    <row r="203" ht="15.75" hidden="1" customHeight="1">
      <c r="A203" s="1" t="n">
        <v>925</v>
      </c>
      <c r="B203" s="56" t="n">
        <v>46178</v>
      </c>
      <c r="C203" s="35" t="s">
        <v>26</v>
      </c>
      <c r="F203" s="1" t="s">
        <v>96</v>
      </c>
      <c r="G203" s="1" t="s">
        <v>39</v>
      </c>
      <c r="H203" s="1" t="s">
        <v>97</v>
      </c>
      <c r="I203" s="1" t="s">
        <v>98</v>
      </c>
      <c r="J203" s="24" t="s">
        <v>103</v>
      </c>
      <c r="L203" s="1" t="s">
        <v>239</v>
      </c>
      <c r="M203" s="1" t="n">
        <v>172</v>
      </c>
      <c r="N203" s="1" t="n">
        <v>210</v>
      </c>
      <c r="O203" s="1" t="n">
        <v>135</v>
      </c>
      <c r="P203" s="1" t="s">
        <v>31</v>
      </c>
      <c r="Q203" s="19"/>
      <c r="R203" s="19"/>
      <c r="S203" s="19" t="n">
        <v>1134</v>
      </c>
      <c r="T203" s="16" t="n">
        <v>21.800000</v>
      </c>
      <c r="U203" s="16" t="s">
        <v>334</v>
      </c>
      <c r="V203" s="16" t="n">
        <v>140</v>
      </c>
      <c r="W203" s="17" t="s">
        <v>31</v>
      </c>
      <c r="X203" s="16" t="n">
        <v>52</v>
      </c>
      <c r="Y203" s="67" t="n">
        <v>46179</v>
      </c>
      <c r="Z203" s="15"/>
    </row>
    <row r="204" ht="15.75" hidden="1" customHeight="1">
      <c r="A204" s="1" t="n">
        <v>926</v>
      </c>
      <c r="B204" s="56" t="n">
        <v>46178</v>
      </c>
      <c r="C204" s="35" t="s">
        <v>26</v>
      </c>
      <c r="F204" s="1" t="s">
        <v>96</v>
      </c>
      <c r="G204" s="1" t="s">
        <v>39</v>
      </c>
      <c r="H204" s="1" t="s">
        <v>97</v>
      </c>
      <c r="I204" s="1" t="s">
        <v>98</v>
      </c>
      <c r="J204" s="35" t="s">
        <v>118</v>
      </c>
      <c r="L204" s="1" t="s">
        <v>239</v>
      </c>
      <c r="M204" s="1" t="n">
        <v>172</v>
      </c>
      <c r="N204" s="1" t="n">
        <v>210</v>
      </c>
      <c r="O204" s="1" t="n">
        <v>135</v>
      </c>
      <c r="P204" s="1" t="s">
        <v>31</v>
      </c>
      <c r="Q204" s="19"/>
      <c r="R204" s="19"/>
      <c r="S204" s="19" t="n">
        <v>1277</v>
      </c>
      <c r="T204" s="16" t="n">
        <v>21.800000</v>
      </c>
      <c r="U204" s="16" t="s">
        <v>334</v>
      </c>
      <c r="V204" s="16" t="n">
        <v>159</v>
      </c>
      <c r="W204" s="17" t="s">
        <v>31</v>
      </c>
      <c r="X204" s="16" t="n">
        <v>58.600000</v>
      </c>
      <c r="Y204" s="67" t="n">
        <v>46179</v>
      </c>
      <c r="Z204" s="15"/>
    </row>
    <row r="205" ht="15.75" hidden="1" customHeight="1">
      <c r="A205" s="35" t="n">
        <v>862</v>
      </c>
      <c r="B205" s="34" t="n">
        <v>46174</v>
      </c>
      <c r="C205" s="35" t="s">
        <v>61</v>
      </c>
      <c r="E205" s="35"/>
      <c r="F205" s="35" t="s">
        <v>121</v>
      </c>
      <c r="G205" s="1" t="s">
        <v>29</v>
      </c>
      <c r="H205" s="1" t="s">
        <v>335</v>
      </c>
      <c r="I205" s="1" t="s">
        <v>122</v>
      </c>
      <c r="J205" s="35" t="s">
        <v>68</v>
      </c>
      <c r="L205" s="1" t="s">
        <v>336</v>
      </c>
      <c r="M205" s="1" t="n">
        <v>150</v>
      </c>
      <c r="N205" s="1" t="n">
        <v>170</v>
      </c>
      <c r="O205" s="1" t="n">
        <v>10</v>
      </c>
      <c r="P205" s="1" t="s">
        <v>31</v>
      </c>
      <c r="Q205" s="19"/>
      <c r="R205" s="19"/>
      <c r="S205" s="19" t="f">
        <f>V205*T205</f>
      </c>
      <c r="T205" s="16" t="n">
        <v>10.500000</v>
      </c>
      <c r="U205" s="16" t="s">
        <v>32</v>
      </c>
      <c r="V205" s="16" t="n">
        <v>10</v>
      </c>
      <c r="W205" s="23" t="s">
        <v>31</v>
      </c>
      <c r="Y205" s="67" t="n">
        <v>46186</v>
      </c>
      <c r="Z205" s="15"/>
    </row>
    <row r="206" ht="15.75" hidden="1" customHeight="1">
      <c r="A206" s="1" t="n">
        <v>927</v>
      </c>
      <c r="B206" s="56" t="n">
        <v>46178</v>
      </c>
      <c r="C206" s="35" t="s">
        <v>26</v>
      </c>
      <c r="F206" s="1" t="s">
        <v>96</v>
      </c>
      <c r="G206" s="1" t="s">
        <v>39</v>
      </c>
      <c r="H206" s="1" t="s">
        <v>97</v>
      </c>
      <c r="I206" s="1" t="s">
        <v>98</v>
      </c>
      <c r="J206" s="35" t="s">
        <v>105</v>
      </c>
      <c r="L206" s="1" t="s">
        <v>239</v>
      </c>
      <c r="M206" s="1" t="n">
        <v>172</v>
      </c>
      <c r="N206" s="1" t="n">
        <v>210</v>
      </c>
      <c r="O206" s="1" t="n">
        <v>135</v>
      </c>
      <c r="P206" s="1" t="s">
        <v>31</v>
      </c>
      <c r="Q206" s="19"/>
      <c r="R206" s="19"/>
      <c r="S206" s="19" t="n">
        <v>1129</v>
      </c>
      <c r="T206" s="16" t="n">
        <v>21.800000</v>
      </c>
      <c r="U206" s="16" t="s">
        <v>334</v>
      </c>
      <c r="V206" s="16" t="n">
        <v>140</v>
      </c>
      <c r="W206" s="17" t="s">
        <v>31</v>
      </c>
      <c r="X206" s="16" t="n">
        <v>21.800000</v>
      </c>
      <c r="Y206" s="67" t="n">
        <v>46179</v>
      </c>
      <c r="Z206" s="15"/>
    </row>
    <row r="207" ht="15.75" hidden="1" customHeight="1">
      <c r="A207" s="35" t="n">
        <v>867</v>
      </c>
      <c r="B207" s="34" t="n">
        <v>46174</v>
      </c>
      <c r="C207" s="35" t="s">
        <v>26</v>
      </c>
      <c r="E207" s="35" t="s">
        <v>337</v>
      </c>
      <c r="F207" s="35" t="s">
        <v>328</v>
      </c>
      <c r="G207" s="1" t="s">
        <v>29</v>
      </c>
      <c r="H207" s="1" t="s">
        <v>329</v>
      </c>
      <c r="I207" s="1" t="n">
        <v>938</v>
      </c>
      <c r="J207" s="35" t="s">
        <v>338</v>
      </c>
      <c r="L207" s="1" t="s">
        <v>187</v>
      </c>
      <c r="M207" s="1" t="n">
        <v>150</v>
      </c>
      <c r="N207" s="1" t="n">
        <v>180</v>
      </c>
      <c r="O207" s="1" t="n">
        <v>240</v>
      </c>
      <c r="P207" s="1" t="s">
        <v>31</v>
      </c>
      <c r="Q207" s="19"/>
      <c r="R207" s="19"/>
      <c r="S207" s="19" t="n">
        <v>2699</v>
      </c>
      <c r="T207" s="16" t="n">
        <v>10.500000</v>
      </c>
      <c r="U207" s="16" t="s">
        <v>32</v>
      </c>
      <c r="V207" s="16" t="n">
        <v>257</v>
      </c>
      <c r="W207" s="23" t="s">
        <v>31</v>
      </c>
      <c r="Y207" s="67" t="n">
        <v>46181</v>
      </c>
      <c r="Z207" s="15"/>
    </row>
    <row r="208" ht="15.75" hidden="1" customHeight="1">
      <c r="A208" s="35" t="n">
        <v>868</v>
      </c>
      <c r="B208" s="34" t="n">
        <v>46174</v>
      </c>
      <c r="C208" s="35" t="s">
        <v>26</v>
      </c>
      <c r="E208" s="35" t="s">
        <v>337</v>
      </c>
      <c r="F208" s="35" t="s">
        <v>328</v>
      </c>
      <c r="G208" s="1" t="s">
        <v>29</v>
      </c>
      <c r="H208" s="1" t="s">
        <v>329</v>
      </c>
      <c r="I208" s="1" t="n">
        <v>938</v>
      </c>
      <c r="J208" s="35" t="s">
        <v>339</v>
      </c>
      <c r="L208" s="1" t="s">
        <v>187</v>
      </c>
      <c r="M208" s="1" t="n">
        <v>150</v>
      </c>
      <c r="N208" s="1" t="n">
        <v>180</v>
      </c>
      <c r="O208" s="1" t="n">
        <v>330</v>
      </c>
      <c r="P208" s="1" t="s">
        <v>31</v>
      </c>
      <c r="Q208" s="19"/>
      <c r="R208" s="19"/>
      <c r="S208" s="19" t="n">
        <v>3497</v>
      </c>
      <c r="T208" s="16" t="n">
        <v>10.500000</v>
      </c>
      <c r="U208" s="16" t="s">
        <v>32</v>
      </c>
      <c r="V208" s="16" t="n">
        <v>333</v>
      </c>
      <c r="W208" s="17" t="s">
        <v>31</v>
      </c>
      <c r="Y208" s="67" t="n">
        <v>46181</v>
      </c>
      <c r="Z208" s="15"/>
    </row>
    <row r="209" ht="15.75" hidden="1" customHeight="1">
      <c r="A209" s="35" t="n">
        <v>869</v>
      </c>
      <c r="B209" s="34" t="n">
        <v>46174</v>
      </c>
      <c r="C209" s="35" t="s">
        <v>26</v>
      </c>
      <c r="E209" s="35" t="s">
        <v>337</v>
      </c>
      <c r="F209" s="35" t="s">
        <v>328</v>
      </c>
      <c r="G209" s="1" t="s">
        <v>29</v>
      </c>
      <c r="H209" s="1" t="s">
        <v>329</v>
      </c>
      <c r="I209" s="1" t="n">
        <v>938</v>
      </c>
      <c r="J209" s="35" t="s">
        <v>340</v>
      </c>
      <c r="L209" s="1" t="s">
        <v>187</v>
      </c>
      <c r="M209" s="1" t="n">
        <v>150</v>
      </c>
      <c r="N209" s="1" t="n">
        <v>180</v>
      </c>
      <c r="O209" s="1" t="n">
        <v>120</v>
      </c>
      <c r="P209" s="1" t="s">
        <v>31</v>
      </c>
      <c r="Q209" s="19"/>
      <c r="R209" s="19"/>
      <c r="S209" s="19" t="n">
        <v>1365</v>
      </c>
      <c r="T209" s="16" t="n">
        <v>10.500000</v>
      </c>
      <c r="U209" s="16" t="s">
        <v>32</v>
      </c>
      <c r="V209" s="16" t="n">
        <v>130</v>
      </c>
      <c r="W209" s="17" t="s">
        <v>31</v>
      </c>
      <c r="Y209" s="67" t="n">
        <v>46181</v>
      </c>
      <c r="Z209" s="15"/>
    </row>
    <row r="210" ht="15.75" hidden="1" customHeight="1">
      <c r="A210" s="35" t="n">
        <v>870</v>
      </c>
      <c r="B210" s="34" t="n">
        <v>46174</v>
      </c>
      <c r="C210" s="35" t="s">
        <v>26</v>
      </c>
      <c r="E210" s="35" t="s">
        <v>337</v>
      </c>
      <c r="F210" s="35" t="s">
        <v>328</v>
      </c>
      <c r="G210" s="1" t="s">
        <v>29</v>
      </c>
      <c r="H210" s="1" t="s">
        <v>329</v>
      </c>
      <c r="I210" s="1" t="n">
        <v>938</v>
      </c>
      <c r="J210" s="35" t="s">
        <v>341</v>
      </c>
      <c r="L210" s="1" t="s">
        <v>187</v>
      </c>
      <c r="M210" s="1" t="n">
        <v>150</v>
      </c>
      <c r="N210" s="1" t="n">
        <v>180</v>
      </c>
      <c r="O210" s="1" t="n">
        <v>180</v>
      </c>
      <c r="P210" s="1" t="s">
        <v>31</v>
      </c>
      <c r="Q210" s="19"/>
      <c r="R210" s="19"/>
      <c r="S210" s="19" t="n">
        <v>2205</v>
      </c>
      <c r="T210" s="16" t="n">
        <v>10.500000</v>
      </c>
      <c r="U210" s="16" t="s">
        <v>32</v>
      </c>
      <c r="V210" s="16" t="n">
        <v>210</v>
      </c>
      <c r="W210" s="17" t="s">
        <v>31</v>
      </c>
      <c r="Y210" s="67" t="n">
        <v>46181</v>
      </c>
      <c r="Z210" s="15"/>
    </row>
    <row r="211" ht="15.75" hidden="1" customHeight="1">
      <c r="A211" s="35" t="n">
        <v>891</v>
      </c>
      <c r="B211" s="34" t="n">
        <v>46176</v>
      </c>
      <c r="C211" s="35" t="s">
        <v>26</v>
      </c>
      <c r="E211" s="24" t="s">
        <v>342</v>
      </c>
      <c r="F211" s="35" t="s">
        <v>244</v>
      </c>
      <c r="G211" s="35" t="s">
        <v>29</v>
      </c>
      <c r="H211" s="1" t="s">
        <v>245</v>
      </c>
      <c r="I211" s="1" t="s">
        <v>246</v>
      </c>
      <c r="J211" s="35" t="s">
        <v>68</v>
      </c>
      <c r="L211" s="1" t="s">
        <v>248</v>
      </c>
      <c r="M211" s="1" t="n">
        <v>150</v>
      </c>
      <c r="N211" s="1" t="n">
        <v>190</v>
      </c>
      <c r="O211" s="35" t="n">
        <v>159</v>
      </c>
      <c r="P211" s="36" t="s">
        <v>31</v>
      </c>
      <c r="Q211" s="19"/>
      <c r="R211" s="19"/>
      <c r="S211" s="19" t="f">
        <f>T211*V211</f>
      </c>
      <c r="T211" s="16" t="n">
        <v>10</v>
      </c>
      <c r="U211" s="16" t="s">
        <v>32</v>
      </c>
      <c r="V211" s="16" t="n">
        <v>170</v>
      </c>
      <c r="W211" s="17" t="s">
        <v>31</v>
      </c>
      <c r="Y211" s="67" t="n">
        <v>46182</v>
      </c>
      <c r="Z211" s="15"/>
    </row>
    <row r="212" ht="15.75" hidden="1" customHeight="1">
      <c r="A212" s="35" t="n">
        <v>863</v>
      </c>
      <c r="B212" s="34" t="n">
        <v>46174</v>
      </c>
      <c r="C212" s="35" t="s">
        <v>26</v>
      </c>
      <c r="E212" s="35" t="s">
        <v>343</v>
      </c>
      <c r="F212" s="35" t="s">
        <v>161</v>
      </c>
      <c r="G212" s="1" t="s">
        <v>29</v>
      </c>
      <c r="H212" s="1" t="s">
        <v>162</v>
      </c>
      <c r="I212" s="1" t="s">
        <v>163</v>
      </c>
      <c r="J212" s="35" t="s">
        <v>68</v>
      </c>
      <c r="L212" s="1" t="s">
        <v>344</v>
      </c>
      <c r="M212" s="1" t="n">
        <v>150</v>
      </c>
      <c r="N212" s="1" t="n">
        <v>280</v>
      </c>
      <c r="O212" s="1" t="n">
        <v>600</v>
      </c>
      <c r="P212" s="1" t="s">
        <v>31</v>
      </c>
      <c r="Q212" s="19"/>
      <c r="R212" s="19"/>
      <c r="S212" s="19" t="n">
        <v>6736</v>
      </c>
      <c r="T212" s="16" t="n">
        <v>10.900000</v>
      </c>
      <c r="U212" s="16" t="s">
        <v>32</v>
      </c>
      <c r="V212" s="16" t="n">
        <v>618</v>
      </c>
      <c r="W212" s="23" t="s">
        <v>31</v>
      </c>
      <c r="Y212" s="67" t="n">
        <v>46185</v>
      </c>
      <c r="Z212" s="15"/>
    </row>
    <row r="213" ht="15.75" hidden="1" customHeight="1">
      <c r="A213" s="35" t="n">
        <v>864</v>
      </c>
      <c r="B213" s="34" t="n">
        <v>46174</v>
      </c>
      <c r="C213" s="35" t="s">
        <v>26</v>
      </c>
      <c r="E213" s="35" t="s">
        <v>345</v>
      </c>
      <c r="F213" s="35" t="s">
        <v>161</v>
      </c>
      <c r="G213" s="1" t="s">
        <v>29</v>
      </c>
      <c r="H213" s="1" t="s">
        <v>162</v>
      </c>
      <c r="I213" s="1" t="s">
        <v>163</v>
      </c>
      <c r="J213" s="35" t="s">
        <v>346</v>
      </c>
      <c r="L213" s="1" t="s">
        <v>344</v>
      </c>
      <c r="M213" s="1" t="n">
        <v>150</v>
      </c>
      <c r="N213" s="1" t="n">
        <v>280</v>
      </c>
      <c r="O213" s="1" t="n">
        <v>350</v>
      </c>
      <c r="P213" s="1" t="s">
        <v>31</v>
      </c>
      <c r="Q213" s="19"/>
      <c r="R213" s="19"/>
      <c r="S213" s="19" t="n">
        <v>3771</v>
      </c>
      <c r="T213" s="16" t="n">
        <v>10.900000</v>
      </c>
      <c r="U213" s="16" t="s">
        <v>32</v>
      </c>
      <c r="V213" s="16" t="n">
        <v>346</v>
      </c>
      <c r="W213" s="17" t="s">
        <v>31</v>
      </c>
      <c r="Y213" s="67" t="n">
        <v>46185</v>
      </c>
      <c r="Z213" s="15"/>
    </row>
    <row r="214" ht="15.75" hidden="1" customHeight="1">
      <c r="A214" s="24" t="n">
        <v>856</v>
      </c>
      <c r="B214" s="33" t="n">
        <v>46174</v>
      </c>
      <c r="C214" s="35" t="s">
        <v>26</v>
      </c>
      <c r="E214" s="1" t="s">
        <v>347</v>
      </c>
      <c r="F214" s="24" t="s">
        <v>121</v>
      </c>
      <c r="G214" s="1" t="s">
        <v>29</v>
      </c>
      <c r="H214" s="1" t="s">
        <v>335</v>
      </c>
      <c r="I214" s="1" t="s">
        <v>122</v>
      </c>
      <c r="J214" s="24" t="s">
        <v>68</v>
      </c>
      <c r="L214" s="1" t="s">
        <v>336</v>
      </c>
      <c r="M214" s="1" t="n">
        <v>150</v>
      </c>
      <c r="N214" s="1" t="n">
        <v>170</v>
      </c>
      <c r="O214" s="1" t="n">
        <v>1800</v>
      </c>
      <c r="P214" s="1" t="s">
        <v>31</v>
      </c>
      <c r="Q214" s="19"/>
      <c r="R214" s="19"/>
      <c r="S214" s="19" t="f">
        <f>V214*T214</f>
      </c>
      <c r="T214" s="16" t="n">
        <v>10.500000</v>
      </c>
      <c r="U214" s="16" t="s">
        <v>32</v>
      </c>
      <c r="V214" s="16" t="n">
        <v>1810</v>
      </c>
      <c r="W214" s="17" t="s">
        <v>31</v>
      </c>
      <c r="Y214" s="67" t="n">
        <v>46186</v>
      </c>
      <c r="Z214" s="15"/>
    </row>
    <row r="215" ht="15.75" hidden="1" customHeight="1">
      <c r="A215" s="35" t="n">
        <v>858</v>
      </c>
      <c r="B215" s="34" t="n">
        <v>46174</v>
      </c>
      <c r="C215" s="35" t="s">
        <v>26</v>
      </c>
      <c r="E215" s="35" t="s">
        <v>348</v>
      </c>
      <c r="F215" s="35" t="s">
        <v>121</v>
      </c>
      <c r="G215" s="1" t="s">
        <v>29</v>
      </c>
      <c r="H215" s="1" t="s">
        <v>335</v>
      </c>
      <c r="I215" s="1" t="s">
        <v>122</v>
      </c>
      <c r="J215" s="35" t="s">
        <v>349</v>
      </c>
      <c r="L215" s="1" t="s">
        <v>336</v>
      </c>
      <c r="M215" s="1" t="n">
        <v>150</v>
      </c>
      <c r="N215" s="1" t="n">
        <v>170</v>
      </c>
      <c r="O215" s="1" t="n">
        <v>140</v>
      </c>
      <c r="P215" s="1" t="s">
        <v>31</v>
      </c>
      <c r="Q215" s="19"/>
      <c r="R215" s="19"/>
      <c r="S215" s="19" t="n">
        <v>1365</v>
      </c>
      <c r="T215" s="16" t="n">
        <v>10.500000</v>
      </c>
      <c r="U215" s="16" t="s">
        <v>32</v>
      </c>
      <c r="V215" s="16" t="n">
        <v>130</v>
      </c>
      <c r="W215" s="17" t="s">
        <v>31</v>
      </c>
      <c r="Y215" s="67" t="n">
        <v>46186</v>
      </c>
      <c r="Z215" s="15"/>
    </row>
    <row r="216" ht="15.75" hidden="1" customHeight="1">
      <c r="A216" s="35" t="n">
        <v>859</v>
      </c>
      <c r="B216" s="34" t="n">
        <v>46174</v>
      </c>
      <c r="C216" s="35" t="s">
        <v>26</v>
      </c>
      <c r="E216" s="35" t="s">
        <v>350</v>
      </c>
      <c r="F216" s="35" t="s">
        <v>121</v>
      </c>
      <c r="G216" s="1" t="s">
        <v>29</v>
      </c>
      <c r="H216" s="1" t="s">
        <v>335</v>
      </c>
      <c r="I216" s="1" t="s">
        <v>122</v>
      </c>
      <c r="J216" s="35" t="s">
        <v>351</v>
      </c>
      <c r="L216" s="1" t="s">
        <v>336</v>
      </c>
      <c r="M216" s="1" t="n">
        <v>150</v>
      </c>
      <c r="N216" s="1" t="n">
        <v>170</v>
      </c>
      <c r="O216" s="1" t="n">
        <v>200</v>
      </c>
      <c r="P216" s="1" t="s">
        <v>31</v>
      </c>
      <c r="Q216" s="19"/>
      <c r="R216" s="19"/>
      <c r="S216" s="19" t="n">
        <v>2331</v>
      </c>
      <c r="T216" s="16" t="n">
        <v>10.500000</v>
      </c>
      <c r="U216" s="16" t="s">
        <v>32</v>
      </c>
      <c r="V216" s="16" t="n">
        <v>222</v>
      </c>
      <c r="W216" s="17" t="s">
        <v>31</v>
      </c>
      <c r="Y216" s="67" t="n">
        <v>46186</v>
      </c>
      <c r="Z216" s="15"/>
    </row>
    <row r="217" ht="15.75" hidden="1" customHeight="1">
      <c r="A217" s="35" t="n">
        <v>860</v>
      </c>
      <c r="B217" s="34" t="n">
        <v>46174</v>
      </c>
      <c r="C217" s="35" t="s">
        <v>26</v>
      </c>
      <c r="E217" s="24" t="s">
        <v>352</v>
      </c>
      <c r="F217" s="35" t="s">
        <v>121</v>
      </c>
      <c r="G217" s="1" t="s">
        <v>29</v>
      </c>
      <c r="H217" s="1" t="s">
        <v>335</v>
      </c>
      <c r="I217" s="1" t="s">
        <v>122</v>
      </c>
      <c r="J217" s="35" t="s">
        <v>353</v>
      </c>
      <c r="L217" s="1" t="s">
        <v>336</v>
      </c>
      <c r="M217" s="1" t="n">
        <v>150</v>
      </c>
      <c r="N217" s="1" t="n">
        <v>170</v>
      </c>
      <c r="O217" s="1" t="n">
        <v>270</v>
      </c>
      <c r="P217" s="1" t="s">
        <v>31</v>
      </c>
      <c r="Q217" s="19"/>
      <c r="R217" s="19"/>
      <c r="S217" s="19" t="n">
        <v>2930</v>
      </c>
      <c r="T217" s="16" t="n">
        <v>10.500000</v>
      </c>
      <c r="U217" s="16" t="s">
        <v>32</v>
      </c>
      <c r="V217" s="16" t="n">
        <v>279</v>
      </c>
      <c r="W217" s="17" t="s">
        <v>31</v>
      </c>
      <c r="Y217" s="67" t="n">
        <v>46186</v>
      </c>
      <c r="Z217" s="15"/>
    </row>
    <row r="218" ht="15.75" hidden="1" customHeight="1">
      <c r="A218" s="35" t="n">
        <v>861</v>
      </c>
      <c r="B218" s="34" t="n">
        <v>46174</v>
      </c>
      <c r="C218" s="35" t="s">
        <v>26</v>
      </c>
      <c r="E218" s="24" t="s">
        <v>354</v>
      </c>
      <c r="F218" s="35" t="s">
        <v>121</v>
      </c>
      <c r="G218" s="1" t="s">
        <v>29</v>
      </c>
      <c r="H218" s="1" t="s">
        <v>335</v>
      </c>
      <c r="I218" s="1" t="s">
        <v>122</v>
      </c>
      <c r="J218" s="35" t="s">
        <v>355</v>
      </c>
      <c r="L218" s="1" t="s">
        <v>336</v>
      </c>
      <c r="M218" s="1" t="n">
        <v>150</v>
      </c>
      <c r="N218" s="1" t="n">
        <v>170</v>
      </c>
      <c r="O218" s="1" t="n">
        <v>520</v>
      </c>
      <c r="P218" s="1" t="s">
        <v>31</v>
      </c>
      <c r="Q218" s="19"/>
      <c r="R218" s="19"/>
      <c r="S218" s="19" t="n">
        <v>5723</v>
      </c>
      <c r="T218" s="16" t="n">
        <v>10.500000</v>
      </c>
      <c r="U218" s="16" t="s">
        <v>32</v>
      </c>
      <c r="V218" s="16" t="n">
        <v>545</v>
      </c>
      <c r="W218" s="17" t="s">
        <v>31</v>
      </c>
      <c r="Y218" s="67" t="n">
        <v>46186</v>
      </c>
      <c r="Z218" s="15"/>
    </row>
    <row r="219" ht="15.75" hidden="1" customHeight="1">
      <c r="A219" s="35" t="n">
        <v>871</v>
      </c>
      <c r="B219" s="34" t="n">
        <v>46174</v>
      </c>
      <c r="C219" s="35" t="s">
        <v>26</v>
      </c>
      <c r="E219" s="35" t="s">
        <v>356</v>
      </c>
      <c r="F219" s="35" t="s">
        <v>109</v>
      </c>
      <c r="G219" s="1" t="s">
        <v>39</v>
      </c>
      <c r="H219" s="1" t="s">
        <v>110</v>
      </c>
      <c r="I219" s="1" t="s">
        <v>111</v>
      </c>
      <c r="J219" s="35" t="s">
        <v>357</v>
      </c>
      <c r="L219" s="1" t="s">
        <v>358</v>
      </c>
      <c r="M219" s="1" t="n">
        <v>170</v>
      </c>
      <c r="N219" s="1" t="n">
        <v>200</v>
      </c>
      <c r="O219" s="1" t="n">
        <v>100</v>
      </c>
      <c r="P219" s="1" t="s">
        <v>31</v>
      </c>
      <c r="Q219" s="19"/>
      <c r="R219" s="19"/>
      <c r="S219" s="19" t="n">
        <v>1860</v>
      </c>
      <c r="T219" s="16" t="n">
        <v>40</v>
      </c>
      <c r="U219" s="16" t="s">
        <v>334</v>
      </c>
      <c r="V219" s="16" t="n">
        <v>134</v>
      </c>
      <c r="W219" s="17" t="s">
        <v>31</v>
      </c>
      <c r="X219" s="16" t="n">
        <v>46.500000</v>
      </c>
      <c r="Y219" s="67" t="n">
        <v>46186</v>
      </c>
      <c r="Z219" s="15"/>
    </row>
    <row r="220" ht="15.75" hidden="1" customHeight="1">
      <c r="A220" s="24" t="n">
        <v>889</v>
      </c>
      <c r="B220" s="33" t="n">
        <v>46176</v>
      </c>
      <c r="C220" s="24" t="s">
        <v>61</v>
      </c>
      <c r="F220" s="24" t="s">
        <v>312</v>
      </c>
      <c r="G220" s="24" t="s">
        <v>29</v>
      </c>
      <c r="H220" s="1" t="s">
        <v>313</v>
      </c>
      <c r="I220" s="1" t="s">
        <v>314</v>
      </c>
      <c r="J220" s="24" t="s">
        <v>68</v>
      </c>
      <c r="L220" s="1" t="s">
        <v>187</v>
      </c>
      <c r="M220" s="1" t="n">
        <v>150</v>
      </c>
      <c r="N220" s="1" t="n">
        <v>85</v>
      </c>
      <c r="O220" s="24" t="n">
        <v>5</v>
      </c>
      <c r="P220" s="25" t="s">
        <v>31</v>
      </c>
      <c r="Q220" s="19"/>
      <c r="R220" s="19"/>
      <c r="S220" s="19" t="f">
        <f>V220*T220</f>
      </c>
      <c r="T220" s="16" t="n">
        <v>11</v>
      </c>
      <c r="U220" s="16" t="s">
        <v>32</v>
      </c>
      <c r="V220" s="16" t="n">
        <v>5</v>
      </c>
      <c r="W220" s="17" t="s">
        <v>31</v>
      </c>
      <c r="Y220" s="67" t="n">
        <v>46177</v>
      </c>
      <c r="Z220" s="15"/>
    </row>
    <row r="221" ht="15.75" hidden="1" customHeight="1">
      <c r="A221" s="35" t="n">
        <v>890</v>
      </c>
      <c r="B221" s="34" t="n">
        <v>46176</v>
      </c>
      <c r="C221" s="35" t="s">
        <v>61</v>
      </c>
      <c r="F221" s="35" t="s">
        <v>244</v>
      </c>
      <c r="G221" s="35" t="s">
        <v>29</v>
      </c>
      <c r="H221" s="1" t="s">
        <v>245</v>
      </c>
      <c r="I221" s="1" t="s">
        <v>246</v>
      </c>
      <c r="J221" s="35" t="s">
        <v>62</v>
      </c>
      <c r="L221" s="1" t="s">
        <v>248</v>
      </c>
      <c r="M221" s="1" t="n">
        <v>150</v>
      </c>
      <c r="N221" s="1" t="n">
        <v>190</v>
      </c>
      <c r="O221" s="35" t="n">
        <v>5</v>
      </c>
      <c r="P221" s="36" t="s">
        <v>31</v>
      </c>
      <c r="Q221" s="19"/>
      <c r="R221" s="19"/>
      <c r="S221" s="19" t="f">
        <f>T221*V221</f>
      </c>
      <c r="T221" s="16" t="n">
        <v>16</v>
      </c>
      <c r="U221" s="16" t="s">
        <v>32</v>
      </c>
      <c r="V221" s="16" t="n">
        <v>5</v>
      </c>
      <c r="W221" s="17" t="s">
        <v>31</v>
      </c>
      <c r="Y221" s="67" t="n">
        <v>46177</v>
      </c>
      <c r="Z221" s="15"/>
    </row>
    <row r="222" ht="15.75" hidden="1" customHeight="1">
      <c r="A222" s="35" t="n">
        <v>872</v>
      </c>
      <c r="B222" s="34" t="n">
        <v>46174</v>
      </c>
      <c r="C222" s="35" t="s">
        <v>26</v>
      </c>
      <c r="E222" s="35" t="s">
        <v>356</v>
      </c>
      <c r="F222" s="35" t="s">
        <v>109</v>
      </c>
      <c r="G222" s="1" t="s">
        <v>39</v>
      </c>
      <c r="H222" s="1" t="s">
        <v>110</v>
      </c>
      <c r="I222" s="1" t="s">
        <v>111</v>
      </c>
      <c r="J222" s="35" t="s">
        <v>68</v>
      </c>
      <c r="L222" s="1" t="s">
        <v>358</v>
      </c>
      <c r="M222" s="1" t="n">
        <v>170</v>
      </c>
      <c r="N222" s="1" t="n">
        <v>200</v>
      </c>
      <c r="O222" s="1" t="n">
        <v>160</v>
      </c>
      <c r="P222" s="1" t="s">
        <v>31</v>
      </c>
      <c r="Q222" s="19"/>
      <c r="R222" s="19"/>
      <c r="S222" s="19" t="n">
        <v>2076</v>
      </c>
      <c r="T222" s="16" t="n">
        <v>40</v>
      </c>
      <c r="U222" s="16" t="s">
        <v>334</v>
      </c>
      <c r="V222" s="16" t="n">
        <v>150</v>
      </c>
      <c r="W222" s="17" t="s">
        <v>31</v>
      </c>
      <c r="X222" s="16" t="n">
        <v>51.900000</v>
      </c>
      <c r="Y222" s="67" t="n">
        <v>46186</v>
      </c>
      <c r="Z222" s="15"/>
    </row>
    <row r="223" ht="15.75" hidden="1" customHeight="1">
      <c r="A223" s="1" t="n">
        <v>898</v>
      </c>
      <c r="B223" s="34" t="n">
        <v>46176</v>
      </c>
      <c r="C223" s="35" t="s">
        <v>61</v>
      </c>
      <c r="E223" s="1" t="s">
        <v>199</v>
      </c>
      <c r="F223" s="1" t="s">
        <v>29</v>
      </c>
      <c r="G223" s="35" t="s">
        <v>29</v>
      </c>
      <c r="H223" s="1" t="s">
        <v>200</v>
      </c>
      <c r="I223" s="1" t="s">
        <v>201</v>
      </c>
      <c r="J223" s="57" t="s">
        <v>297</v>
      </c>
      <c r="K223" s="1" t="s">
        <v>203</v>
      </c>
      <c r="L223" s="1" t="s">
        <v>203</v>
      </c>
      <c r="M223" s="1" t="n">
        <v>148</v>
      </c>
      <c r="N223" s="1" t="n">
        <v>180</v>
      </c>
      <c r="O223" s="1" t="n">
        <v>3</v>
      </c>
      <c r="P223" s="36" t="s">
        <v>31</v>
      </c>
      <c r="Q223" s="19"/>
      <c r="R223" s="19"/>
      <c r="S223" s="19" t="n">
        <v>48</v>
      </c>
      <c r="T223" s="16" t="n">
        <v>16</v>
      </c>
      <c r="U223" s="16" t="s">
        <v>32</v>
      </c>
      <c r="V223" s="16" t="n">
        <v>3</v>
      </c>
      <c r="W223" s="23" t="s">
        <v>31</v>
      </c>
      <c r="Y223" s="67" t="n">
        <v>46177</v>
      </c>
      <c r="Z223" s="15"/>
    </row>
    <row r="224" ht="15.75" hidden="1" customHeight="1">
      <c r="A224" s="1" t="n">
        <v>994</v>
      </c>
      <c r="B224" s="28" t="n">
        <v>46186</v>
      </c>
      <c r="C224" s="35" t="s">
        <v>26</v>
      </c>
      <c r="F224" s="24" t="s">
        <v>96</v>
      </c>
      <c r="G224" s="24" t="s">
        <v>39</v>
      </c>
      <c r="H224" s="1" t="s">
        <v>97</v>
      </c>
      <c r="I224" s="1" t="s">
        <v>98</v>
      </c>
      <c r="J224" s="24" t="s">
        <v>103</v>
      </c>
      <c r="L224" s="1" t="s">
        <v>239</v>
      </c>
      <c r="M224" s="1" t="n">
        <v>172</v>
      </c>
      <c r="N224" s="1" t="n">
        <v>210</v>
      </c>
      <c r="O224" s="1" t="n">
        <v>69</v>
      </c>
      <c r="P224" s="1" t="s">
        <v>31</v>
      </c>
      <c r="Q224" s="19"/>
      <c r="R224" s="19"/>
      <c r="S224" s="19" t="n">
        <v>560</v>
      </c>
      <c r="T224" s="16" t="n">
        <v>21.800000</v>
      </c>
      <c r="U224" s="16" t="s">
        <v>32</v>
      </c>
      <c r="V224" s="16" t="n">
        <v>69</v>
      </c>
      <c r="W224" s="17" t="s">
        <v>31</v>
      </c>
      <c r="X224" s="16" t="n">
        <v>25.700000</v>
      </c>
      <c r="Y224" s="67" t="n">
        <v>46186</v>
      </c>
      <c r="Z224" s="15"/>
    </row>
    <row r="225" ht="15.75" hidden="1" customHeight="1">
      <c r="A225" s="1" t="n">
        <v>995</v>
      </c>
      <c r="B225" s="28" t="n">
        <v>46186</v>
      </c>
      <c r="C225" s="35" t="s">
        <v>26</v>
      </c>
      <c r="D225" s="1"/>
      <c r="F225" s="35" t="s">
        <v>96</v>
      </c>
      <c r="G225" s="35" t="s">
        <v>39</v>
      </c>
      <c r="H225" s="1" t="s">
        <v>97</v>
      </c>
      <c r="I225" s="1" t="s">
        <v>98</v>
      </c>
      <c r="J225" s="35" t="s">
        <v>105</v>
      </c>
      <c r="L225" s="1" t="s">
        <v>239</v>
      </c>
      <c r="M225" s="1" t="n">
        <v>172</v>
      </c>
      <c r="N225" s="1" t="n">
        <v>210</v>
      </c>
      <c r="O225" s="1" t="n">
        <v>69</v>
      </c>
      <c r="P225" s="1" t="s">
        <v>31</v>
      </c>
      <c r="Q225" s="19"/>
      <c r="R225" s="19"/>
      <c r="S225" s="19" t="n">
        <v>560</v>
      </c>
      <c r="T225" s="16" t="n">
        <v>21.800000</v>
      </c>
      <c r="U225" s="16" t="s">
        <v>32</v>
      </c>
      <c r="V225" s="16" t="n">
        <v>69</v>
      </c>
      <c r="W225" s="17" t="s">
        <v>31</v>
      </c>
      <c r="X225" s="16" t="n">
        <v>25.700000</v>
      </c>
      <c r="Y225" s="67" t="n">
        <v>46186</v>
      </c>
      <c r="Z225" s="15"/>
    </row>
    <row r="226" ht="15.75" hidden="1" customHeight="1">
      <c r="A226" s="35" t="n">
        <v>865</v>
      </c>
      <c r="B226" s="34" t="n">
        <v>46174</v>
      </c>
      <c r="C226" s="35" t="s">
        <v>26</v>
      </c>
      <c r="E226" s="35" t="s">
        <v>359</v>
      </c>
      <c r="F226" s="35" t="s">
        <v>34</v>
      </c>
      <c r="G226" s="1" t="s">
        <v>29</v>
      </c>
      <c r="H226" s="1" t="s">
        <v>135</v>
      </c>
      <c r="I226" s="1" t="s">
        <v>136</v>
      </c>
      <c r="J226" s="35" t="s">
        <v>214</v>
      </c>
      <c r="L226" s="1" t="s">
        <v>360</v>
      </c>
      <c r="M226" s="1" t="n">
        <v>150</v>
      </c>
      <c r="N226" s="1" t="n">
        <v>280</v>
      </c>
      <c r="O226" s="1" t="n">
        <v>210</v>
      </c>
      <c r="P226" s="1" t="s">
        <v>31</v>
      </c>
      <c r="Q226" s="19"/>
      <c r="R226" s="19"/>
      <c r="S226" s="19" t="f">
        <f>V226*T226</f>
      </c>
      <c r="T226" s="16" t="n">
        <v>11.700000</v>
      </c>
      <c r="U226" s="16" t="s">
        <v>32</v>
      </c>
      <c r="V226" s="16" t="n">
        <v>220</v>
      </c>
      <c r="W226" s="17" t="s">
        <v>31</v>
      </c>
      <c r="Y226" s="67" t="n">
        <v>46189</v>
      </c>
      <c r="Z226" s="15"/>
    </row>
    <row r="227" ht="15.75" hidden="1" customHeight="1">
      <c r="A227" s="1" t="s">
        <v>361</v>
      </c>
      <c r="B227" s="56" t="n">
        <v>46178</v>
      </c>
      <c r="C227" s="1" t="s">
        <v>61</v>
      </c>
      <c r="F227" s="1" t="s">
        <v>185</v>
      </c>
      <c r="G227" s="1" t="s">
        <v>39</v>
      </c>
      <c r="H227" s="1" t="s">
        <v>119</v>
      </c>
      <c r="I227" s="24" t="s">
        <v>186</v>
      </c>
      <c r="J227" s="59" t="s">
        <v>189</v>
      </c>
      <c r="L227" s="35" t="s">
        <v>187</v>
      </c>
      <c r="M227" s="35" t="n">
        <v>150</v>
      </c>
      <c r="N227" s="36" t="n">
        <v>210</v>
      </c>
      <c r="O227" s="36" t="n">
        <v>4</v>
      </c>
      <c r="P227" s="1" t="s">
        <v>31</v>
      </c>
      <c r="Q227" s="19"/>
      <c r="R227" s="19"/>
      <c r="S227" s="19" t="n">
        <v>160</v>
      </c>
      <c r="T227" s="16" t="n">
        <v>40</v>
      </c>
      <c r="U227" s="16" t="s">
        <v>32</v>
      </c>
      <c r="V227" s="16" t="n">
        <v>4</v>
      </c>
      <c r="W227" s="17" t="s">
        <v>31</v>
      </c>
      <c r="Y227" s="67" t="n">
        <v>46178</v>
      </c>
      <c r="Z227" s="15"/>
    </row>
    <row r="228" ht="15.75" hidden="1" customHeight="1">
      <c r="A228" s="35" t="n">
        <v>866</v>
      </c>
      <c r="B228" s="34" t="n">
        <v>46174</v>
      </c>
      <c r="C228" s="35" t="s">
        <v>26</v>
      </c>
      <c r="E228" s="35" t="s">
        <v>359</v>
      </c>
      <c r="F228" s="35" t="s">
        <v>34</v>
      </c>
      <c r="G228" s="1" t="s">
        <v>29</v>
      </c>
      <c r="H228" s="1" t="s">
        <v>135</v>
      </c>
      <c r="I228" s="1" t="s">
        <v>136</v>
      </c>
      <c r="J228" s="35" t="s">
        <v>362</v>
      </c>
      <c r="L228" s="1" t="s">
        <v>360</v>
      </c>
      <c r="M228" s="1" t="n">
        <v>150</v>
      </c>
      <c r="N228" s="1" t="n">
        <v>280</v>
      </c>
      <c r="O228" s="1" t="n">
        <v>210</v>
      </c>
      <c r="P228" s="1" t="s">
        <v>31</v>
      </c>
      <c r="Q228" s="19"/>
      <c r="R228" s="19"/>
      <c r="S228" s="19" t="n">
        <v>2621</v>
      </c>
      <c r="T228" s="16" t="n">
        <v>11.700000</v>
      </c>
      <c r="U228" s="16" t="s">
        <v>32</v>
      </c>
      <c r="V228" s="16" t="n">
        <v>224</v>
      </c>
      <c r="W228" s="17" t="s">
        <v>31</v>
      </c>
      <c r="Y228" s="67" t="n">
        <v>46189</v>
      </c>
      <c r="Z228" s="15"/>
    </row>
    <row r="229" ht="15.75" hidden="1" customHeight="1">
      <c r="A229" s="24" t="n">
        <v>924</v>
      </c>
      <c r="B229" s="56" t="n">
        <v>46178</v>
      </c>
      <c r="C229" s="35" t="s">
        <v>26</v>
      </c>
      <c r="D229" s="24" t="s">
        <v>363</v>
      </c>
      <c r="E229" s="25" t="s">
        <v>364</v>
      </c>
      <c r="F229" s="24" t="s">
        <v>244</v>
      </c>
      <c r="G229" s="1" t="s">
        <v>29</v>
      </c>
      <c r="H229" s="1" t="s">
        <v>245</v>
      </c>
      <c r="I229" s="1" t="s">
        <v>246</v>
      </c>
      <c r="J229" s="24" t="s">
        <v>365</v>
      </c>
      <c r="L229" s="1" t="s">
        <v>248</v>
      </c>
      <c r="M229" s="1" t="n">
        <v>150</v>
      </c>
      <c r="N229" s="1" t="n">
        <v>190</v>
      </c>
      <c r="O229" s="1" t="n">
        <v>169</v>
      </c>
      <c r="P229" s="1" t="s">
        <v>31</v>
      </c>
      <c r="Q229" s="19"/>
      <c r="R229" s="19"/>
      <c r="S229" s="19" t="n">
        <v>1720</v>
      </c>
      <c r="T229" s="16" t="n">
        <v>10</v>
      </c>
      <c r="U229" s="16" t="s">
        <v>32</v>
      </c>
      <c r="V229" s="16" t="n">
        <v>172</v>
      </c>
      <c r="W229" s="17" t="s">
        <v>31</v>
      </c>
      <c r="Y229" s="67" t="n">
        <v>46191</v>
      </c>
      <c r="Z229" s="15"/>
    </row>
    <row r="230" ht="15.75" hidden="1" customHeight="1">
      <c r="A230" s="24" t="n">
        <v>1027</v>
      </c>
      <c r="B230" s="28" t="n">
        <v>46190</v>
      </c>
      <c r="C230" s="35" t="s">
        <v>26</v>
      </c>
      <c r="E230" s="24" t="s">
        <v>366</v>
      </c>
      <c r="F230" s="24" t="s">
        <v>244</v>
      </c>
      <c r="G230" s="1" t="s">
        <v>29</v>
      </c>
      <c r="H230" s="1" t="s">
        <v>245</v>
      </c>
      <c r="I230" s="1" t="s">
        <v>246</v>
      </c>
      <c r="J230" s="24" t="s">
        <v>251</v>
      </c>
      <c r="L230" s="1" t="s">
        <v>248</v>
      </c>
      <c r="M230" s="1" t="n">
        <v>150</v>
      </c>
      <c r="N230" s="1" t="n">
        <v>190</v>
      </c>
      <c r="O230" s="24" t="n">
        <v>214</v>
      </c>
      <c r="P230" s="1" t="s">
        <v>31</v>
      </c>
      <c r="Q230" s="19"/>
      <c r="R230" s="19"/>
      <c r="S230" s="19" t="n">
        <v>2240</v>
      </c>
      <c r="T230" s="16" t="n">
        <v>10</v>
      </c>
      <c r="U230" s="16" t="s">
        <v>32</v>
      </c>
      <c r="V230" s="16" t="n">
        <v>224</v>
      </c>
      <c r="W230" s="17" t="s">
        <v>31</v>
      </c>
      <c r="Y230" s="67" t="n">
        <v>46198</v>
      </c>
      <c r="Z230" s="15"/>
      <c r="AA230" s="5" t="s">
        <v>367</v>
      </c>
    </row>
    <row r="231" ht="15.75" hidden="1" customHeight="1">
      <c r="A231" s="35" t="n">
        <v>1029</v>
      </c>
      <c r="B231" s="28" t="n">
        <v>46190</v>
      </c>
      <c r="C231" s="35" t="s">
        <v>26</v>
      </c>
      <c r="E231" s="35" t="s">
        <v>366</v>
      </c>
      <c r="F231" s="35" t="s">
        <v>244</v>
      </c>
      <c r="G231" s="1" t="s">
        <v>29</v>
      </c>
      <c r="H231" s="1" t="s">
        <v>245</v>
      </c>
      <c r="I231" s="1" t="s">
        <v>246</v>
      </c>
      <c r="J231" s="35" t="s">
        <v>247</v>
      </c>
      <c r="L231" s="1" t="s">
        <v>248</v>
      </c>
      <c r="M231" s="1" t="n">
        <v>150</v>
      </c>
      <c r="N231" s="1" t="n">
        <v>190</v>
      </c>
      <c r="O231" s="35" t="n">
        <v>192</v>
      </c>
      <c r="P231" s="1" t="s">
        <v>31</v>
      </c>
      <c r="Q231" s="19"/>
      <c r="R231" s="19"/>
      <c r="S231" s="19" t="n">
        <v>2150</v>
      </c>
      <c r="T231" s="16" t="n">
        <v>10</v>
      </c>
      <c r="U231" s="16" t="s">
        <v>32</v>
      </c>
      <c r="V231" s="16" t="n">
        <v>215</v>
      </c>
      <c r="W231" s="17" t="s">
        <v>31</v>
      </c>
      <c r="Y231" s="67" t="n">
        <v>46198</v>
      </c>
      <c r="Z231" s="15"/>
      <c r="AA231" s="5" t="s">
        <v>367</v>
      </c>
    </row>
    <row r="232" ht="15.75" customHeight="1">
      <c r="A232" s="1" t="n">
        <v>938</v>
      </c>
      <c r="B232" s="28" t="n">
        <v>46182</v>
      </c>
      <c r="C232" s="1" t="s">
        <v>61</v>
      </c>
      <c r="E232" s="1" t="s">
        <v>368</v>
      </c>
      <c r="F232" s="1" t="s">
        <v>199</v>
      </c>
      <c r="G232" s="1" t="s">
        <v>29</v>
      </c>
      <c r="H232" s="1" t="s">
        <v>200</v>
      </c>
      <c r="I232" s="1" t="s">
        <v>201</v>
      </c>
      <c r="J232" s="1" t="s">
        <v>287</v>
      </c>
      <c r="L232" s="1" t="s">
        <v>203</v>
      </c>
      <c r="M232" s="1" t="n">
        <v>148</v>
      </c>
      <c r="N232" s="1" t="n">
        <v>130</v>
      </c>
      <c r="O232" s="69" t="n">
        <v>3</v>
      </c>
      <c r="P232" s="1" t="s">
        <v>31</v>
      </c>
      <c r="Q232" s="19"/>
      <c r="R232" s="19"/>
      <c r="S232" s="19" t="f">
        <f>T232*V232</f>
      </c>
      <c r="T232" s="16" t="n">
        <v>16</v>
      </c>
      <c r="U232" s="16" t="s">
        <v>32</v>
      </c>
      <c r="V232" s="16" t="n">
        <v>3</v>
      </c>
      <c r="W232" s="17" t="s">
        <v>31</v>
      </c>
      <c r="Y232" s="67" t="n">
        <v>46182</v>
      </c>
      <c r="Z232" s="15"/>
      <c r="AA232" s="5" t="s">
        <v>316</v>
      </c>
      <c r="AB232" s="5" t="s">
        <v>369</v>
      </c>
    </row>
    <row r="233" ht="15.75" hidden="1" customHeight="1">
      <c r="A233" s="1" t="n">
        <v>962</v>
      </c>
      <c r="B233" s="28" t="n">
        <v>46184</v>
      </c>
      <c r="C233" s="1" t="s">
        <v>61</v>
      </c>
      <c r="F233" s="1" t="s">
        <v>161</v>
      </c>
      <c r="G233" s="1" t="s">
        <v>29</v>
      </c>
      <c r="H233" s="1" t="s">
        <v>162</v>
      </c>
      <c r="I233" s="1" t="s">
        <v>163</v>
      </c>
      <c r="J233" s="1" t="s">
        <v>83</v>
      </c>
      <c r="L233" s="1" t="s">
        <v>344</v>
      </c>
      <c r="M233" s="1" t="n">
        <v>150</v>
      </c>
      <c r="N233" s="1" t="n">
        <v>280</v>
      </c>
      <c r="O233" s="24" t="n">
        <v>5</v>
      </c>
      <c r="P233" s="1" t="s">
        <v>31</v>
      </c>
      <c r="Q233" s="19"/>
      <c r="R233" s="19"/>
      <c r="S233" s="19" t="f">
        <f>T233*V233</f>
      </c>
      <c r="T233" s="16" t="n">
        <v>23</v>
      </c>
      <c r="U233" s="16" t="s">
        <v>32</v>
      </c>
      <c r="V233" s="16" t="n">
        <v>5</v>
      </c>
      <c r="W233" s="17" t="s">
        <v>31</v>
      </c>
      <c r="Y233" s="67" t="n">
        <v>46184</v>
      </c>
      <c r="Z233" s="16"/>
      <c r="AA233" s="5" t="s">
        <v>370</v>
      </c>
    </row>
    <row r="234" ht="15.75" hidden="1" customHeight="1">
      <c r="A234" s="1" t="n">
        <v>963</v>
      </c>
      <c r="B234" s="28" t="n">
        <v>46184</v>
      </c>
      <c r="C234" s="1" t="s">
        <v>61</v>
      </c>
      <c r="F234" s="1" t="s">
        <v>161</v>
      </c>
      <c r="G234" s="1" t="s">
        <v>29</v>
      </c>
      <c r="H234" s="1" t="s">
        <v>162</v>
      </c>
      <c r="I234" s="1" t="s">
        <v>163</v>
      </c>
      <c r="J234" s="1" t="s">
        <v>371</v>
      </c>
      <c r="L234" s="1" t="s">
        <v>344</v>
      </c>
      <c r="M234" s="1" t="n">
        <v>150</v>
      </c>
      <c r="N234" s="1" t="n">
        <v>280</v>
      </c>
      <c r="O234" s="35" t="n">
        <v>5</v>
      </c>
      <c r="P234" s="1" t="s">
        <v>31</v>
      </c>
      <c r="Q234" s="19"/>
      <c r="R234" s="19"/>
      <c r="S234" s="19" t="f">
        <f>T234*V234</f>
      </c>
      <c r="T234" s="16" t="n">
        <v>23</v>
      </c>
      <c r="U234" s="16" t="s">
        <v>32</v>
      </c>
      <c r="V234" s="16" t="n">
        <v>5</v>
      </c>
      <c r="W234" s="17" t="s">
        <v>31</v>
      </c>
      <c r="Y234" s="67" t="n">
        <v>46184</v>
      </c>
      <c r="Z234" s="16"/>
      <c r="AA234" s="5" t="s">
        <v>370</v>
      </c>
    </row>
    <row r="235" ht="15.75" hidden="1" customHeight="1">
      <c r="A235" s="35" t="n">
        <v>974</v>
      </c>
      <c r="B235" s="34" t="n">
        <v>46185</v>
      </c>
      <c r="C235" s="35" t="s">
        <v>26</v>
      </c>
      <c r="E235" s="35" t="s">
        <v>372</v>
      </c>
      <c r="F235" s="35" t="s">
        <v>34</v>
      </c>
      <c r="G235" s="25" t="s">
        <v>29</v>
      </c>
      <c r="H235" s="1" t="s">
        <v>135</v>
      </c>
      <c r="I235" s="1" t="s">
        <v>136</v>
      </c>
      <c r="J235" s="1" t="s">
        <v>373</v>
      </c>
      <c r="L235" s="1" t="s">
        <v>360</v>
      </c>
      <c r="M235" s="1" t="n">
        <v>150</v>
      </c>
      <c r="N235" s="1" t="n">
        <v>280</v>
      </c>
      <c r="O235" s="1" t="n">
        <v>240</v>
      </c>
      <c r="P235" s="1" t="s">
        <v>31</v>
      </c>
      <c r="Q235" s="19"/>
      <c r="R235" s="19"/>
      <c r="S235" s="19" t="n">
        <v>2878</v>
      </c>
      <c r="T235" s="16" t="n">
        <v>11.700000</v>
      </c>
      <c r="U235" s="16" t="s">
        <v>32</v>
      </c>
      <c r="V235" s="16" t="n">
        <v>246</v>
      </c>
      <c r="W235" s="17" t="s">
        <v>31</v>
      </c>
      <c r="Y235" s="67" t="n">
        <v>46200</v>
      </c>
      <c r="Z235" s="15"/>
      <c r="AA235" s="5" t="s">
        <v>374</v>
      </c>
      <c r="AB235" s="5" t="s">
        <v>375</v>
      </c>
    </row>
    <row r="236" ht="15.75" customHeight="1">
      <c r="A236" s="1" t="n">
        <v>966</v>
      </c>
      <c r="B236" s="28" t="n">
        <v>46185</v>
      </c>
      <c r="C236" s="1" t="s">
        <v>61</v>
      </c>
      <c r="E236" s="1" t="s">
        <v>376</v>
      </c>
      <c r="F236" s="1" t="s">
        <v>199</v>
      </c>
      <c r="G236" s="1" t="s">
        <v>29</v>
      </c>
      <c r="H236" s="1" t="s">
        <v>200</v>
      </c>
      <c r="I236" s="1" t="s">
        <v>201</v>
      </c>
      <c r="J236" s="1" t="s">
        <v>118</v>
      </c>
      <c r="L236" s="1" t="s">
        <v>203</v>
      </c>
      <c r="M236" s="1" t="n">
        <v>148</v>
      </c>
      <c r="N236" s="1" t="n">
        <v>180</v>
      </c>
      <c r="O236" s="1" t="n">
        <v>2</v>
      </c>
      <c r="P236" s="1" t="s">
        <v>31</v>
      </c>
      <c r="Q236" s="19"/>
      <c r="R236" s="19"/>
      <c r="S236" s="19" t="n">
        <v>32</v>
      </c>
      <c r="T236" s="16" t="n">
        <v>16</v>
      </c>
      <c r="U236" s="16" t="s">
        <v>32</v>
      </c>
      <c r="V236" s="16" t="n">
        <v>2</v>
      </c>
      <c r="W236" s="17" t="s">
        <v>31</v>
      </c>
      <c r="Y236" s="67" t="n">
        <v>46185</v>
      </c>
      <c r="Z236" s="15"/>
      <c r="AB236" s="5" t="s">
        <v>377</v>
      </c>
    </row>
    <row r="237" ht="15.75" hidden="1" customHeight="1">
      <c r="A237" s="24" t="n">
        <v>967</v>
      </c>
      <c r="B237" s="28" t="n">
        <v>46185</v>
      </c>
      <c r="C237" s="1" t="s">
        <v>61</v>
      </c>
      <c r="F237" s="24" t="s">
        <v>34</v>
      </c>
      <c r="G237" s="1" t="s">
        <v>29</v>
      </c>
      <c r="H237" s="1" t="s">
        <v>135</v>
      </c>
      <c r="I237" s="1" t="s">
        <v>136</v>
      </c>
      <c r="J237" s="24" t="s">
        <v>54</v>
      </c>
      <c r="L237" s="1" t="s">
        <v>360</v>
      </c>
      <c r="M237" s="1" t="n">
        <v>150</v>
      </c>
      <c r="N237" s="1" t="n">
        <v>280</v>
      </c>
      <c r="O237" s="24" t="n">
        <v>5</v>
      </c>
      <c r="P237" s="1" t="s">
        <v>31</v>
      </c>
      <c r="Q237" s="19"/>
      <c r="R237" s="19"/>
      <c r="S237" s="19" t="f">
        <f>V237*T237</f>
      </c>
      <c r="T237" s="16" t="n">
        <v>20</v>
      </c>
      <c r="U237" s="16" t="s">
        <v>32</v>
      </c>
      <c r="V237" s="16" t="n">
        <v>5</v>
      </c>
      <c r="W237" s="17" t="s">
        <v>31</v>
      </c>
      <c r="Y237" s="67" t="n">
        <v>46185</v>
      </c>
      <c r="Z237" s="15"/>
    </row>
    <row r="238" ht="15.75" hidden="1" customHeight="1">
      <c r="A238" s="24" t="n">
        <v>968</v>
      </c>
      <c r="B238" s="28" t="n">
        <v>46185</v>
      </c>
      <c r="C238" s="1" t="s">
        <v>61</v>
      </c>
      <c r="F238" s="24" t="s">
        <v>34</v>
      </c>
      <c r="G238" s="1" t="s">
        <v>29</v>
      </c>
      <c r="H238" s="1" t="s">
        <v>135</v>
      </c>
      <c r="I238" s="1" t="s">
        <v>136</v>
      </c>
      <c r="J238" s="24" t="s">
        <v>378</v>
      </c>
      <c r="L238" s="1" t="s">
        <v>360</v>
      </c>
      <c r="M238" s="1" t="n">
        <v>150</v>
      </c>
      <c r="N238" s="1" t="n">
        <v>280</v>
      </c>
      <c r="O238" s="35" t="n">
        <v>1.500000</v>
      </c>
      <c r="P238" s="1" t="s">
        <v>31</v>
      </c>
      <c r="Q238" s="19"/>
      <c r="R238" s="19"/>
      <c r="S238" s="19" t="f">
        <f>T238*V238</f>
      </c>
      <c r="T238" s="16" t="n">
        <v>20</v>
      </c>
      <c r="U238" s="16" t="s">
        <v>32</v>
      </c>
      <c r="V238" s="16" t="n">
        <v>1.500000</v>
      </c>
      <c r="W238" s="17" t="s">
        <v>31</v>
      </c>
      <c r="Y238" s="67" t="n">
        <v>46185</v>
      </c>
      <c r="Z238" s="15"/>
    </row>
    <row r="239" ht="15.75" hidden="1" customHeight="1">
      <c r="A239" s="35" t="n">
        <v>969</v>
      </c>
      <c r="B239" s="28" t="n">
        <v>46185</v>
      </c>
      <c r="C239" s="1" t="s">
        <v>61</v>
      </c>
      <c r="F239" s="35" t="s">
        <v>34</v>
      </c>
      <c r="G239" s="1" t="s">
        <v>29</v>
      </c>
      <c r="H239" s="1" t="s">
        <v>135</v>
      </c>
      <c r="I239" s="1" t="s">
        <v>136</v>
      </c>
      <c r="J239" s="35" t="s">
        <v>35</v>
      </c>
      <c r="L239" s="1" t="s">
        <v>360</v>
      </c>
      <c r="M239" s="1" t="n">
        <v>150</v>
      </c>
      <c r="N239" s="1" t="n">
        <v>280</v>
      </c>
      <c r="O239" s="35" t="n">
        <v>1.500000</v>
      </c>
      <c r="P239" s="1" t="s">
        <v>31</v>
      </c>
      <c r="Q239" s="19"/>
      <c r="R239" s="19"/>
      <c r="S239" s="19" t="f">
        <f>T239*V239</f>
      </c>
      <c r="T239" s="16" t="n">
        <v>20</v>
      </c>
      <c r="U239" s="16" t="s">
        <v>32</v>
      </c>
      <c r="V239" s="16" t="n">
        <v>1.500000</v>
      </c>
      <c r="W239" s="17" t="s">
        <v>31</v>
      </c>
      <c r="Y239" s="67" t="n">
        <v>46185</v>
      </c>
      <c r="Z239" s="15"/>
    </row>
    <row r="240" ht="15.75" hidden="1" customHeight="1">
      <c r="A240" s="1" t="n">
        <v>976</v>
      </c>
      <c r="B240" s="28" t="n">
        <v>46185</v>
      </c>
      <c r="C240" s="1" t="s">
        <v>61</v>
      </c>
      <c r="F240" s="35" t="s">
        <v>34</v>
      </c>
      <c r="G240" s="1" t="s">
        <v>29</v>
      </c>
      <c r="H240" s="1" t="s">
        <v>135</v>
      </c>
      <c r="I240" s="1" t="s">
        <v>136</v>
      </c>
      <c r="J240" s="35" t="s">
        <v>379</v>
      </c>
      <c r="L240" s="1" t="s">
        <v>360</v>
      </c>
      <c r="M240" s="1" t="n">
        <v>150</v>
      </c>
      <c r="N240" s="1" t="n">
        <v>280</v>
      </c>
      <c r="O240" s="1" t="n">
        <v>3</v>
      </c>
      <c r="P240" s="1" t="s">
        <v>31</v>
      </c>
      <c r="Q240" s="19"/>
      <c r="R240" s="19"/>
      <c r="S240" s="19" t="f">
        <f>T240*V240</f>
      </c>
      <c r="T240" s="16" t="n">
        <v>20</v>
      </c>
      <c r="U240" s="16" t="s">
        <v>32</v>
      </c>
      <c r="V240" s="16" t="n">
        <v>3</v>
      </c>
      <c r="W240" s="17" t="s">
        <v>31</v>
      </c>
      <c r="Y240" s="67" t="n">
        <v>46186</v>
      </c>
      <c r="Z240" s="15"/>
    </row>
    <row r="241" ht="15.75" hidden="1" customHeight="1">
      <c r="A241" s="1" t="n">
        <v>977</v>
      </c>
      <c r="B241" s="28" t="n">
        <v>46185</v>
      </c>
      <c r="C241" s="1" t="s">
        <v>61</v>
      </c>
      <c r="F241" s="24" t="s">
        <v>121</v>
      </c>
      <c r="G241" s="25" t="s">
        <v>29</v>
      </c>
      <c r="H241" s="1" t="s">
        <v>119</v>
      </c>
      <c r="I241" s="1" t="s">
        <v>122</v>
      </c>
      <c r="J241" s="1" t="s">
        <v>123</v>
      </c>
      <c r="L241" s="1" t="s">
        <v>336</v>
      </c>
      <c r="M241" s="1" t="n">
        <v>150</v>
      </c>
      <c r="N241" s="1" t="n">
        <v>170</v>
      </c>
      <c r="O241" s="1" t="n">
        <v>2</v>
      </c>
      <c r="P241" s="1" t="s">
        <v>31</v>
      </c>
      <c r="Q241" s="19"/>
      <c r="R241" s="19"/>
      <c r="S241" s="19" t="n">
        <v>34</v>
      </c>
      <c r="T241" s="16" t="n">
        <v>17</v>
      </c>
      <c r="U241" s="16" t="s">
        <v>32</v>
      </c>
      <c r="V241" s="16" t="n">
        <v>2</v>
      </c>
      <c r="W241" s="17" t="s">
        <v>31</v>
      </c>
      <c r="Y241" s="67" t="n">
        <v>46186</v>
      </c>
      <c r="Z241" s="15"/>
    </row>
    <row r="242" ht="15.75" hidden="1" customHeight="1">
      <c r="A242" s="35" t="n">
        <v>975</v>
      </c>
      <c r="B242" s="34" t="n">
        <v>46185</v>
      </c>
      <c r="C242" s="35" t="s">
        <v>26</v>
      </c>
      <c r="E242" s="35" t="s">
        <v>372</v>
      </c>
      <c r="F242" s="35" t="s">
        <v>34</v>
      </c>
      <c r="G242" s="25" t="s">
        <v>29</v>
      </c>
      <c r="H242" s="1" t="s">
        <v>135</v>
      </c>
      <c r="I242" s="1" t="s">
        <v>136</v>
      </c>
      <c r="J242" s="1" t="s">
        <v>68</v>
      </c>
      <c r="L242" s="1" t="s">
        <v>360</v>
      </c>
      <c r="M242" s="1" t="n">
        <v>150</v>
      </c>
      <c r="N242" s="1" t="n">
        <v>280</v>
      </c>
      <c r="O242" s="1" t="n">
        <v>320</v>
      </c>
      <c r="P242" s="1" t="s">
        <v>31</v>
      </c>
      <c r="Q242" s="19"/>
      <c r="R242" s="19"/>
      <c r="S242" s="19" t="n">
        <v>4107</v>
      </c>
      <c r="T242" s="16" t="n">
        <v>11.700000</v>
      </c>
      <c r="U242" s="16" t="s">
        <v>32</v>
      </c>
      <c r="V242" s="16" t="n">
        <v>351</v>
      </c>
      <c r="W242" s="17" t="s">
        <v>31</v>
      </c>
      <c r="Y242" s="67" t="n">
        <v>46200</v>
      </c>
      <c r="Z242" s="15"/>
      <c r="AA242" s="5" t="s">
        <v>374</v>
      </c>
      <c r="AB242" s="5" t="s">
        <v>375</v>
      </c>
    </row>
    <row r="243" ht="15.75" customHeight="1">
      <c r="A243" s="1" t="n">
        <v>1025</v>
      </c>
      <c r="B243" s="28" t="n">
        <v>46190</v>
      </c>
      <c r="C243" s="35" t="s">
        <v>26</v>
      </c>
      <c r="E243" s="1" t="s">
        <v>380</v>
      </c>
      <c r="F243" s="1" t="s">
        <v>199</v>
      </c>
      <c r="G243" s="1" t="s">
        <v>29</v>
      </c>
      <c r="H243" s="1" t="s">
        <v>200</v>
      </c>
      <c r="I243" s="1" t="s">
        <v>201</v>
      </c>
      <c r="J243" s="24" t="s">
        <v>381</v>
      </c>
      <c r="L243" s="1" t="s">
        <v>203</v>
      </c>
      <c r="M243" s="1" t="n">
        <v>148</v>
      </c>
      <c r="N243" s="1" t="n">
        <v>130</v>
      </c>
      <c r="O243" s="1" t="n">
        <v>260</v>
      </c>
      <c r="P243" s="1" t="s">
        <v>31</v>
      </c>
      <c r="Q243" s="19"/>
      <c r="R243" s="19"/>
      <c r="S243" s="19" t="f">
        <f>V243*T243</f>
      </c>
      <c r="T243" s="16" t="n">
        <v>10</v>
      </c>
      <c r="U243" s="16" t="s">
        <v>32</v>
      </c>
      <c r="V243" s="16" t="n">
        <v>244</v>
      </c>
      <c r="W243" s="17" t="s">
        <v>31</v>
      </c>
      <c r="Y243" s="67" t="n">
        <v>46200</v>
      </c>
      <c r="Z243" s="15"/>
    </row>
    <row r="244" ht="15.75" customHeight="1">
      <c r="A244" s="1" t="n">
        <v>979</v>
      </c>
      <c r="B244" s="28" t="n">
        <v>46186</v>
      </c>
      <c r="C244" s="1" t="s">
        <v>61</v>
      </c>
      <c r="F244" s="1" t="s">
        <v>199</v>
      </c>
      <c r="G244" s="1" t="s">
        <v>29</v>
      </c>
      <c r="H244" s="1" t="s">
        <v>200</v>
      </c>
      <c r="I244" s="1" t="s">
        <v>201</v>
      </c>
      <c r="J244" s="1" t="s">
        <v>241</v>
      </c>
      <c r="L244" s="1" t="s">
        <v>203</v>
      </c>
      <c r="M244" s="1" t="n">
        <v>148</v>
      </c>
      <c r="N244" s="1" t="n">
        <v>180</v>
      </c>
      <c r="O244" s="69" t="n">
        <v>2</v>
      </c>
      <c r="P244" s="1" t="s">
        <v>31</v>
      </c>
      <c r="Q244" s="19"/>
      <c r="R244" s="19"/>
      <c r="S244" s="19" t="f">
        <f>T244*V244</f>
      </c>
      <c r="T244" s="16" t="n">
        <v>16</v>
      </c>
      <c r="U244" s="16" t="s">
        <v>32</v>
      </c>
      <c r="V244" s="16" t="n">
        <v>2</v>
      </c>
      <c r="W244" s="17" t="s">
        <v>31</v>
      </c>
      <c r="Y244" s="67" t="n">
        <v>46186</v>
      </c>
      <c r="Z244" s="15"/>
      <c r="AA244" s="5" t="s">
        <v>382</v>
      </c>
      <c r="AB244" s="5"/>
    </row>
    <row r="245" ht="15.75" customHeight="1">
      <c r="A245" s="1" t="n">
        <v>987</v>
      </c>
      <c r="B245" s="28" t="n">
        <v>46188</v>
      </c>
      <c r="C245" s="1" t="s">
        <v>61</v>
      </c>
      <c r="E245" s="1" t="s">
        <v>383</v>
      </c>
      <c r="F245" s="1" t="s">
        <v>199</v>
      </c>
      <c r="G245" s="1" t="s">
        <v>29</v>
      </c>
      <c r="H245" s="1" t="s">
        <v>200</v>
      </c>
      <c r="I245" s="1" t="s">
        <v>201</v>
      </c>
      <c r="J245" s="1" t="s">
        <v>384</v>
      </c>
      <c r="L245" s="1" t="s">
        <v>203</v>
      </c>
      <c r="M245" s="1" t="n">
        <v>148</v>
      </c>
      <c r="N245" s="1" t="n">
        <v>180</v>
      </c>
      <c r="O245" s="1" t="n">
        <v>3</v>
      </c>
      <c r="P245" s="1" t="s">
        <v>31</v>
      </c>
      <c r="Q245" s="19"/>
      <c r="R245" s="19"/>
      <c r="S245" s="19" t="n">
        <v>48</v>
      </c>
      <c r="T245" s="16" t="n">
        <v>16</v>
      </c>
      <c r="U245" s="16" t="s">
        <v>32</v>
      </c>
      <c r="V245" s="16" t="n">
        <v>3</v>
      </c>
      <c r="W245" s="17" t="s">
        <v>31</v>
      </c>
      <c r="Y245" s="67" t="n">
        <v>46188</v>
      </c>
      <c r="Z245" s="15"/>
      <c r="AA245" s="5" t="s">
        <v>316</v>
      </c>
      <c r="AB245" s="5" t="s">
        <v>377</v>
      </c>
    </row>
    <row r="246" ht="15.75" customHeight="1">
      <c r="A246" s="1" t="n">
        <v>1026</v>
      </c>
      <c r="B246" s="28" t="n">
        <v>46190</v>
      </c>
      <c r="C246" s="35" t="s">
        <v>26</v>
      </c>
      <c r="E246" s="1" t="s">
        <v>380</v>
      </c>
      <c r="F246" s="1" t="s">
        <v>199</v>
      </c>
      <c r="G246" s="1" t="s">
        <v>29</v>
      </c>
      <c r="H246" s="1" t="s">
        <v>200</v>
      </c>
      <c r="I246" s="1" t="s">
        <v>201</v>
      </c>
      <c r="J246" s="35" t="s">
        <v>287</v>
      </c>
      <c r="L246" s="1" t="s">
        <v>203</v>
      </c>
      <c r="M246" s="1" t="n">
        <v>148</v>
      </c>
      <c r="N246" s="1" t="n">
        <v>130</v>
      </c>
      <c r="O246" s="1" t="n">
        <v>210</v>
      </c>
      <c r="P246" s="1" t="s">
        <v>31</v>
      </c>
      <c r="Q246" s="19"/>
      <c r="R246" s="19"/>
      <c r="S246" s="19" t="f">
        <f>V246*T246</f>
      </c>
      <c r="T246" s="16" t="n">
        <v>10</v>
      </c>
      <c r="U246" s="16" t="s">
        <v>32</v>
      </c>
      <c r="V246" s="16" t="n">
        <v>194</v>
      </c>
      <c r="W246" s="17" t="s">
        <v>31</v>
      </c>
      <c r="Y246" s="67" t="n">
        <v>46200</v>
      </c>
      <c r="Z246" s="15"/>
    </row>
    <row r="247" ht="15.75" hidden="1" customHeight="1">
      <c r="A247" s="1" t="n">
        <v>629</v>
      </c>
      <c r="B247" s="28" t="n">
        <v>46148</v>
      </c>
      <c r="C247" s="35" t="s">
        <v>26</v>
      </c>
      <c r="E247" s="1" t="s">
        <v>385</v>
      </c>
      <c r="F247" s="1" t="s">
        <v>34</v>
      </c>
      <c r="G247" s="1" t="s">
        <v>29</v>
      </c>
      <c r="H247" s="1" t="s">
        <v>135</v>
      </c>
      <c r="I247" s="1" t="s">
        <v>136</v>
      </c>
      <c r="J247" s="24" t="s">
        <v>35</v>
      </c>
      <c r="L247" s="1" t="s">
        <v>210</v>
      </c>
      <c r="M247" s="1" t="n">
        <v>150</v>
      </c>
      <c r="N247" s="1" t="n">
        <v>280</v>
      </c>
      <c r="O247" s="1" t="n">
        <v>340</v>
      </c>
      <c r="P247" s="1" t="s">
        <v>31</v>
      </c>
      <c r="Q247" s="19"/>
      <c r="R247" s="19"/>
      <c r="S247" s="19"/>
      <c r="T247" s="16"/>
      <c r="U247" s="16"/>
      <c r="V247" s="16"/>
      <c r="W247" s="23"/>
      <c r="Z247" s="15"/>
    </row>
    <row r="248" ht="15.75" hidden="1" customHeight="1">
      <c r="A248" s="1" t="n">
        <v>630</v>
      </c>
      <c r="B248" s="28" t="n">
        <v>46148</v>
      </c>
      <c r="C248" s="35" t="s">
        <v>26</v>
      </c>
      <c r="E248" s="1" t="s">
        <v>386</v>
      </c>
      <c r="F248" s="1" t="s">
        <v>34</v>
      </c>
      <c r="G248" s="1" t="s">
        <v>29</v>
      </c>
      <c r="H248" s="1" t="s">
        <v>135</v>
      </c>
      <c r="I248" s="1" t="s">
        <v>136</v>
      </c>
      <c r="J248" s="1" t="s">
        <v>387</v>
      </c>
      <c r="L248" s="1" t="s">
        <v>210</v>
      </c>
      <c r="M248" s="1" t="n">
        <v>150</v>
      </c>
      <c r="N248" s="1" t="n">
        <v>280</v>
      </c>
      <c r="O248" s="1" t="n">
        <v>160</v>
      </c>
      <c r="P248" s="1" t="s">
        <v>31</v>
      </c>
      <c r="Q248" s="19"/>
      <c r="R248" s="19"/>
      <c r="S248" s="19"/>
      <c r="T248" s="16"/>
      <c r="U248" s="16"/>
      <c r="V248" s="16"/>
      <c r="W248" s="23"/>
      <c r="Z248" s="15"/>
    </row>
    <row r="249" ht="15.75" customHeight="1">
      <c r="A249" s="1" t="n">
        <v>846</v>
      </c>
      <c r="B249" s="28" t="n">
        <v>46174</v>
      </c>
      <c r="C249" s="1" t="s">
        <v>61</v>
      </c>
      <c r="F249" s="1" t="s">
        <v>199</v>
      </c>
      <c r="G249" s="1" t="s">
        <v>29</v>
      </c>
      <c r="H249" s="1" t="s">
        <v>200</v>
      </c>
      <c r="I249" s="1" t="s">
        <v>201</v>
      </c>
      <c r="J249" s="1" t="s">
        <v>315</v>
      </c>
      <c r="L249" s="1" t="s">
        <v>203</v>
      </c>
      <c r="M249" s="1" t="n">
        <v>148</v>
      </c>
      <c r="N249" s="1" t="n">
        <v>130</v>
      </c>
      <c r="O249" s="1" t="n">
        <v>3</v>
      </c>
      <c r="P249" s="1" t="s">
        <v>31</v>
      </c>
      <c r="Q249" s="19"/>
      <c r="R249" s="19"/>
      <c r="S249" s="19"/>
      <c r="T249" s="16"/>
      <c r="U249" s="16" t="s">
        <v>32</v>
      </c>
      <c r="V249" s="16"/>
      <c r="W249" s="17" t="s">
        <v>31</v>
      </c>
      <c r="Y249" s="67"/>
      <c r="Z249" s="16"/>
      <c r="AA249" s="5" t="s">
        <v>388</v>
      </c>
      <c r="AB249" s="5" t="s">
        <v>317</v>
      </c>
    </row>
    <row r="250" s="55" customFormat="1" ht="15.75" hidden="1" customHeight="1">
      <c r="A250" s="48" t="n">
        <v>706</v>
      </c>
      <c r="B250" s="49" t="n">
        <v>46156</v>
      </c>
      <c r="C250" s="35" t="s">
        <v>26</v>
      </c>
      <c r="D250" s="50"/>
      <c r="E250" s="48" t="s">
        <v>283</v>
      </c>
      <c r="F250" s="51" t="s">
        <v>161</v>
      </c>
      <c r="G250" s="50" t="s">
        <v>29</v>
      </c>
      <c r="H250" s="50" t="s">
        <v>162</v>
      </c>
      <c r="I250" s="50" t="s">
        <v>163</v>
      </c>
      <c r="J250" s="48" t="s">
        <v>389</v>
      </c>
      <c r="K250" s="50"/>
      <c r="L250" s="50" t="s">
        <v>284</v>
      </c>
      <c r="M250" s="50" t="n">
        <v>150</v>
      </c>
      <c r="N250" s="50" t="n">
        <v>280</v>
      </c>
      <c r="O250" s="48" t="n">
        <v>65</v>
      </c>
      <c r="P250" s="50" t="s">
        <v>31</v>
      </c>
      <c r="Q250" s="52"/>
      <c r="R250" s="52"/>
      <c r="S250" s="52"/>
      <c r="T250" s="16" t="n">
        <v>10.900000</v>
      </c>
      <c r="U250" s="16" t="s">
        <v>32</v>
      </c>
      <c r="V250" s="53"/>
      <c r="W250" s="17" t="s">
        <v>31</v>
      </c>
      <c r="X250" s="54"/>
      <c r="Y250" s="68"/>
      <c r="Z250" s="53"/>
    </row>
    <row r="251" ht="15.75" customHeight="1">
      <c r="A251" s="1" t="n">
        <v>779</v>
      </c>
      <c r="B251" s="28" t="n">
        <v>46164</v>
      </c>
      <c r="C251" s="35" t="s">
        <v>26</v>
      </c>
      <c r="F251" s="1" t="s">
        <v>199</v>
      </c>
      <c r="G251" s="1" t="s">
        <v>29</v>
      </c>
      <c r="H251" s="1" t="s">
        <v>200</v>
      </c>
      <c r="I251" s="1" t="s">
        <v>201</v>
      </c>
      <c r="J251" s="1" t="s">
        <v>241</v>
      </c>
      <c r="L251" s="1" t="s">
        <v>203</v>
      </c>
      <c r="M251" s="1" t="n">
        <v>148</v>
      </c>
      <c r="N251" s="1" t="n">
        <v>180</v>
      </c>
      <c r="O251" s="1" t="n">
        <v>150</v>
      </c>
      <c r="P251" s="1" t="s">
        <v>31</v>
      </c>
      <c r="Q251" s="19"/>
      <c r="R251" s="19"/>
      <c r="S251" s="19"/>
      <c r="T251" s="16"/>
      <c r="U251" s="16" t="s">
        <v>32</v>
      </c>
      <c r="V251" s="16"/>
      <c r="W251" s="17" t="s">
        <v>31</v>
      </c>
      <c r="Z251" s="15"/>
    </row>
    <row r="252" ht="15.75" hidden="1" customHeight="1">
      <c r="A252" s="24" t="n">
        <v>1003</v>
      </c>
      <c r="B252" s="28" t="n">
        <v>46190</v>
      </c>
      <c r="C252" s="1" t="s">
        <v>61</v>
      </c>
      <c r="F252" s="24" t="s">
        <v>121</v>
      </c>
      <c r="G252" s="1" t="s">
        <v>29</v>
      </c>
      <c r="H252" s="1" t="s">
        <v>335</v>
      </c>
      <c r="I252" s="1" t="s">
        <v>122</v>
      </c>
      <c r="J252" s="24" t="s">
        <v>54</v>
      </c>
      <c r="L252" s="1" t="s">
        <v>336</v>
      </c>
      <c r="M252" s="1" t="n">
        <v>150</v>
      </c>
      <c r="N252" s="1" t="n">
        <v>170</v>
      </c>
      <c r="O252" s="24" t="n">
        <v>3</v>
      </c>
      <c r="P252" s="1" t="s">
        <v>31</v>
      </c>
      <c r="Q252" s="19"/>
      <c r="R252" s="19"/>
      <c r="S252" s="19" t="n">
        <v>51</v>
      </c>
      <c r="T252" s="16" t="n">
        <v>17</v>
      </c>
      <c r="U252" s="16" t="s">
        <v>32</v>
      </c>
      <c r="V252" s="16" t="n">
        <v>3</v>
      </c>
      <c r="W252" s="23" t="s">
        <v>31</v>
      </c>
      <c r="Y252" s="67" t="n">
        <v>46190</v>
      </c>
      <c r="Z252" s="15"/>
    </row>
    <row r="253" ht="15.75" hidden="1" customHeight="1">
      <c r="A253" s="24" t="n">
        <v>1000</v>
      </c>
      <c r="B253" s="28" t="n">
        <v>46189</v>
      </c>
      <c r="C253" s="1" t="s">
        <v>26</v>
      </c>
      <c r="F253" s="24" t="s">
        <v>73</v>
      </c>
      <c r="G253" s="1" t="s">
        <v>29</v>
      </c>
      <c r="H253" s="1" t="s">
        <v>335</v>
      </c>
      <c r="I253" s="1" t="s">
        <v>236</v>
      </c>
      <c r="J253" s="1" t="s">
        <v>68</v>
      </c>
      <c r="L253" s="24" t="f">
        <f>INDEX('布种信息'!H:H,MATCH(H253,'布种信息'!G:G,0))</f>
      </c>
      <c r="M253" s="25" t="n">
        <v>150</v>
      </c>
      <c r="O253" s="1" t="n">
        <v>21</v>
      </c>
      <c r="P253" s="1" t="s">
        <v>31</v>
      </c>
      <c r="Q253" s="19"/>
      <c r="R253" s="19"/>
      <c r="S253" s="19" t="n">
        <v>290</v>
      </c>
      <c r="T253" s="16" t="n">
        <v>14.500000</v>
      </c>
      <c r="U253" s="16" t="s">
        <v>32</v>
      </c>
      <c r="V253" s="16" t="n">
        <v>20</v>
      </c>
      <c r="W253" s="23" t="s">
        <v>31</v>
      </c>
      <c r="Y253" s="67" t="n">
        <v>46189</v>
      </c>
      <c r="Z253" s="15"/>
    </row>
    <row r="254" ht="15.75" customHeight="1">
      <c r="A254" s="1" t="n">
        <v>780</v>
      </c>
      <c r="B254" s="28" t="n">
        <v>46164</v>
      </c>
      <c r="C254" s="35" t="s">
        <v>26</v>
      </c>
      <c r="F254" s="1" t="s">
        <v>199</v>
      </c>
      <c r="G254" s="1" t="s">
        <v>29</v>
      </c>
      <c r="H254" s="1" t="s">
        <v>200</v>
      </c>
      <c r="I254" s="1" t="s">
        <v>201</v>
      </c>
      <c r="J254" s="1" t="s">
        <v>68</v>
      </c>
      <c r="L254" s="1" t="s">
        <v>203</v>
      </c>
      <c r="M254" s="1" t="n">
        <v>148</v>
      </c>
      <c r="N254" s="1" t="n">
        <v>180</v>
      </c>
      <c r="O254" s="1" t="n">
        <v>150</v>
      </c>
      <c r="P254" s="1" t="s">
        <v>31</v>
      </c>
      <c r="Q254" s="19"/>
      <c r="R254" s="19"/>
      <c r="S254" s="19"/>
      <c r="T254" s="16"/>
      <c r="U254" s="16" t="s">
        <v>32</v>
      </c>
      <c r="V254" s="16"/>
      <c r="W254" s="17" t="s">
        <v>31</v>
      </c>
      <c r="Z254" s="15"/>
    </row>
    <row r="255" ht="15.75" customHeight="1">
      <c r="A255" s="1" t="n">
        <v>811</v>
      </c>
      <c r="B255" s="34" t="n">
        <v>46166</v>
      </c>
      <c r="C255" s="35" t="s">
        <v>26</v>
      </c>
      <c r="D255" s="1"/>
      <c r="F255" s="1" t="s">
        <v>199</v>
      </c>
      <c r="G255" s="1" t="s">
        <v>29</v>
      </c>
      <c r="H255" s="1" t="s">
        <v>200</v>
      </c>
      <c r="I255" s="1" t="s">
        <v>201</v>
      </c>
      <c r="J255" s="1" t="s">
        <v>99</v>
      </c>
      <c r="L255" s="1" t="s">
        <v>203</v>
      </c>
      <c r="M255" s="1" t="n">
        <v>148</v>
      </c>
      <c r="N255" s="1" t="n">
        <v>180</v>
      </c>
      <c r="O255" s="35" t="n">
        <v>15</v>
      </c>
      <c r="P255" s="1" t="s">
        <v>31</v>
      </c>
      <c r="Q255" s="19"/>
      <c r="R255" s="19"/>
      <c r="S255" s="19"/>
      <c r="T255" s="16"/>
      <c r="U255" s="16" t="s">
        <v>32</v>
      </c>
      <c r="V255" s="16"/>
      <c r="W255" s="17" t="s">
        <v>31</v>
      </c>
      <c r="Z255" s="15"/>
    </row>
    <row r="256" ht="15.75" customHeight="1">
      <c r="A256" s="1" t="n">
        <v>812</v>
      </c>
      <c r="B256" s="34" t="n">
        <v>46167</v>
      </c>
      <c r="C256" s="35" t="s">
        <v>26</v>
      </c>
      <c r="F256" s="1" t="s">
        <v>199</v>
      </c>
      <c r="G256" s="1" t="s">
        <v>29</v>
      </c>
      <c r="H256" s="1" t="s">
        <v>200</v>
      </c>
      <c r="I256" s="1" t="s">
        <v>201</v>
      </c>
      <c r="J256" s="1" t="s">
        <v>333</v>
      </c>
      <c r="L256" s="1" t="s">
        <v>203</v>
      </c>
      <c r="M256" s="1" t="n">
        <v>148</v>
      </c>
      <c r="N256" s="1" t="n">
        <v>180</v>
      </c>
      <c r="O256" s="35" t="n">
        <v>244</v>
      </c>
      <c r="P256" s="1" t="s">
        <v>31</v>
      </c>
      <c r="Q256" s="19"/>
      <c r="R256" s="19"/>
      <c r="S256" s="19"/>
      <c r="T256" s="16"/>
      <c r="U256" s="16" t="s">
        <v>32</v>
      </c>
      <c r="V256" s="16"/>
      <c r="W256" s="23"/>
      <c r="Z256" s="15"/>
    </row>
    <row r="257" ht="15.75" hidden="1" customHeight="1">
      <c r="A257" s="35" t="n">
        <v>1028</v>
      </c>
      <c r="B257" s="28" t="n">
        <v>46190</v>
      </c>
      <c r="C257" s="1" t="s">
        <v>61</v>
      </c>
      <c r="E257" s="35" t="s">
        <v>366</v>
      </c>
      <c r="F257" s="35" t="s">
        <v>312</v>
      </c>
      <c r="G257" s="1" t="s">
        <v>29</v>
      </c>
      <c r="H257" s="1" t="s">
        <v>313</v>
      </c>
      <c r="I257" s="1" t="s">
        <v>314</v>
      </c>
      <c r="J257" s="35" t="s">
        <v>390</v>
      </c>
      <c r="L257" s="1" t="s">
        <v>187</v>
      </c>
      <c r="M257" s="1" t="n">
        <v>150</v>
      </c>
      <c r="N257" s="1" t="n">
        <v>85</v>
      </c>
      <c r="O257" s="35" t="n">
        <v>9</v>
      </c>
      <c r="P257" s="1" t="s">
        <v>31</v>
      </c>
      <c r="Q257" s="19"/>
      <c r="R257" s="19"/>
      <c r="S257" s="19" t="n">
        <v>99</v>
      </c>
      <c r="T257" s="16" t="n">
        <v>11</v>
      </c>
      <c r="U257" s="16" t="s">
        <v>32</v>
      </c>
      <c r="V257" s="16" t="n">
        <v>9</v>
      </c>
      <c r="W257" s="17" t="s">
        <v>31</v>
      </c>
      <c r="Y257" s="67" t="n">
        <v>46191</v>
      </c>
      <c r="Z257" s="15"/>
      <c r="AA257" s="5" t="s">
        <v>391</v>
      </c>
    </row>
    <row r="258" ht="15.75" hidden="1" customHeight="1">
      <c r="A258" s="35" t="n">
        <v>857</v>
      </c>
      <c r="B258" s="34" t="n">
        <v>46174</v>
      </c>
      <c r="C258" s="35" t="s">
        <v>26</v>
      </c>
      <c r="E258" s="24" t="s">
        <v>392</v>
      </c>
      <c r="F258" s="35" t="s">
        <v>121</v>
      </c>
      <c r="G258" s="1" t="s">
        <v>29</v>
      </c>
      <c r="H258" s="1" t="s">
        <v>335</v>
      </c>
      <c r="I258" s="1" t="s">
        <v>122</v>
      </c>
      <c r="J258" s="35" t="s">
        <v>393</v>
      </c>
      <c r="L258" s="1" t="s">
        <v>336</v>
      </c>
      <c r="M258" s="1" t="n">
        <v>150</v>
      </c>
      <c r="N258" s="1" t="n">
        <v>170</v>
      </c>
      <c r="O258" s="1" t="n">
        <v>920</v>
      </c>
      <c r="P258" s="1" t="s">
        <v>31</v>
      </c>
      <c r="Q258" s="19"/>
      <c r="R258" s="19"/>
      <c r="S258" s="19" t="n">
        <v>10469</v>
      </c>
      <c r="T258" s="16" t="n">
        <v>10.500000</v>
      </c>
      <c r="U258" s="16" t="s">
        <v>32</v>
      </c>
      <c r="V258" s="16" t="n">
        <v>997</v>
      </c>
      <c r="W258" s="17" t="s">
        <v>31</v>
      </c>
      <c r="Y258" s="67" t="n">
        <v>46214</v>
      </c>
      <c r="Z258" s="15"/>
    </row>
    <row r="259" ht="15.75" customHeight="1">
      <c r="A259" s="1" t="n">
        <v>1035</v>
      </c>
      <c r="B259" s="28" t="n">
        <v>46191</v>
      </c>
      <c r="C259" s="1" t="s">
        <v>61</v>
      </c>
      <c r="E259" s="1" t="s">
        <v>394</v>
      </c>
      <c r="F259" s="1" t="s">
        <v>199</v>
      </c>
      <c r="G259" s="1" t="s">
        <v>29</v>
      </c>
      <c r="H259" s="1" t="s">
        <v>200</v>
      </c>
      <c r="I259" s="1" t="s">
        <v>201</v>
      </c>
      <c r="J259" s="1" t="s">
        <v>395</v>
      </c>
      <c r="L259" s="24" t="s">
        <v>203</v>
      </c>
      <c r="M259" s="25" t="n">
        <v>148</v>
      </c>
      <c r="N259" s="25" t="n">
        <v>180</v>
      </c>
      <c r="O259" s="69" t="n">
        <v>3</v>
      </c>
      <c r="P259" s="1" t="s">
        <v>31</v>
      </c>
      <c r="Q259" s="19"/>
      <c r="R259" s="19"/>
      <c r="S259" s="19" t="n">
        <v>48</v>
      </c>
      <c r="T259" s="16" t="n">
        <v>16</v>
      </c>
      <c r="U259" s="16" t="s">
        <v>32</v>
      </c>
      <c r="V259" s="16" t="n">
        <v>3</v>
      </c>
      <c r="W259" s="17" t="s">
        <v>31</v>
      </c>
      <c r="Y259" s="67" t="n">
        <v>46193</v>
      </c>
      <c r="Z259" s="15"/>
    </row>
    <row r="260" ht="15.75" customHeight="1">
      <c r="A260" s="1" t="n">
        <v>1042</v>
      </c>
      <c r="B260" s="28" t="n">
        <v>46194</v>
      </c>
      <c r="C260" s="1" t="s">
        <v>61</v>
      </c>
      <c r="E260" s="24" t="s">
        <v>396</v>
      </c>
      <c r="F260" s="1" t="s">
        <v>199</v>
      </c>
      <c r="G260" s="1" t="s">
        <v>29</v>
      </c>
      <c r="H260" s="1" t="s">
        <v>200</v>
      </c>
      <c r="I260" s="1" t="s">
        <v>201</v>
      </c>
      <c r="J260" s="1" t="s">
        <v>397</v>
      </c>
      <c r="L260" s="1" t="s">
        <v>203</v>
      </c>
      <c r="M260" s="1" t="n">
        <v>148</v>
      </c>
      <c r="N260" s="1" t="n">
        <v>180</v>
      </c>
      <c r="O260" s="1" t="n">
        <v>1</v>
      </c>
      <c r="P260" s="1" t="s">
        <v>31</v>
      </c>
      <c r="Q260" s="19"/>
      <c r="R260" s="19"/>
      <c r="S260" s="19" t="n">
        <v>16</v>
      </c>
      <c r="T260" s="16" t="n">
        <v>16</v>
      </c>
      <c r="U260" s="16" t="s">
        <v>32</v>
      </c>
      <c r="V260" s="16" t="n">
        <v>1</v>
      </c>
      <c r="W260" s="17" t="s">
        <v>31</v>
      </c>
      <c r="Y260" s="67" t="n">
        <v>46194</v>
      </c>
      <c r="Z260" s="15"/>
      <c r="AB260" s="5" t="s">
        <v>377</v>
      </c>
    </row>
    <row r="261" ht="15.75" customHeight="1">
      <c r="A261" s="1" t="n">
        <v>1043</v>
      </c>
      <c r="B261" s="28" t="n">
        <v>46194</v>
      </c>
      <c r="C261" s="1" t="s">
        <v>61</v>
      </c>
      <c r="E261" s="35" t="s">
        <v>398</v>
      </c>
      <c r="F261" s="1" t="s">
        <v>199</v>
      </c>
      <c r="G261" s="1" t="s">
        <v>29</v>
      </c>
      <c r="H261" s="1" t="s">
        <v>200</v>
      </c>
      <c r="I261" s="1" t="s">
        <v>201</v>
      </c>
      <c r="J261" s="1" t="s">
        <v>397</v>
      </c>
      <c r="L261" s="1" t="s">
        <v>203</v>
      </c>
      <c r="M261" s="1" t="n">
        <v>148</v>
      </c>
      <c r="N261" s="1" t="n">
        <v>180</v>
      </c>
      <c r="O261" s="1" t="n">
        <v>2</v>
      </c>
      <c r="P261" s="1" t="s">
        <v>31</v>
      </c>
      <c r="Q261" s="19"/>
      <c r="R261" s="19"/>
      <c r="S261" s="19" t="n">
        <v>32</v>
      </c>
      <c r="T261" s="16" t="n">
        <v>16</v>
      </c>
      <c r="U261" s="16" t="s">
        <v>32</v>
      </c>
      <c r="V261" s="16" t="n">
        <v>2</v>
      </c>
      <c r="W261" s="17" t="s">
        <v>31</v>
      </c>
      <c r="Y261" s="67" t="n">
        <v>46194</v>
      </c>
      <c r="Z261" s="15"/>
      <c r="AB261" s="5" t="s">
        <v>377</v>
      </c>
    </row>
    <row r="262" ht="15.75" customHeight="1">
      <c r="A262" s="1" t="n">
        <v>1044</v>
      </c>
      <c r="B262" s="28" t="n">
        <v>46194</v>
      </c>
      <c r="C262" s="1" t="s">
        <v>61</v>
      </c>
      <c r="E262" s="35" t="s">
        <v>399</v>
      </c>
      <c r="F262" s="1" t="s">
        <v>199</v>
      </c>
      <c r="G262" s="1" t="s">
        <v>29</v>
      </c>
      <c r="H262" s="1" t="s">
        <v>200</v>
      </c>
      <c r="I262" s="1" t="s">
        <v>201</v>
      </c>
      <c r="J262" s="1" t="s">
        <v>397</v>
      </c>
      <c r="L262" s="1" t="s">
        <v>203</v>
      </c>
      <c r="M262" s="1" t="n">
        <v>148</v>
      </c>
      <c r="N262" s="1" t="n">
        <v>180</v>
      </c>
      <c r="O262" s="1" t="n">
        <v>1</v>
      </c>
      <c r="P262" s="1" t="s">
        <v>31</v>
      </c>
      <c r="Q262" s="19"/>
      <c r="R262" s="19"/>
      <c r="S262" s="19" t="n">
        <v>16</v>
      </c>
      <c r="T262" s="16" t="n">
        <v>16</v>
      </c>
      <c r="U262" s="16" t="s">
        <v>32</v>
      </c>
      <c r="V262" s="16" t="n">
        <v>1</v>
      </c>
      <c r="W262" s="17" t="s">
        <v>31</v>
      </c>
      <c r="Y262" s="67" t="n">
        <v>46194</v>
      </c>
      <c r="Z262" s="15"/>
      <c r="AB262" s="5" t="s">
        <v>377</v>
      </c>
    </row>
    <row r="263" ht="15.75" customHeight="1">
      <c r="A263" s="1" t="n">
        <v>1045</v>
      </c>
      <c r="B263" s="28" t="n">
        <v>46194</v>
      </c>
      <c r="C263" s="1" t="s">
        <v>61</v>
      </c>
      <c r="E263" s="35" t="s">
        <v>400</v>
      </c>
      <c r="F263" s="1" t="s">
        <v>199</v>
      </c>
      <c r="G263" s="1" t="s">
        <v>29</v>
      </c>
      <c r="H263" s="1" t="s">
        <v>200</v>
      </c>
      <c r="I263" s="1" t="s">
        <v>201</v>
      </c>
      <c r="J263" s="1" t="s">
        <v>397</v>
      </c>
      <c r="L263" s="1" t="s">
        <v>203</v>
      </c>
      <c r="M263" s="1" t="n">
        <v>148</v>
      </c>
      <c r="N263" s="1" t="n">
        <v>180</v>
      </c>
      <c r="O263" s="1" t="n">
        <v>3</v>
      </c>
      <c r="P263" s="1" t="s">
        <v>31</v>
      </c>
      <c r="Q263" s="19"/>
      <c r="R263" s="19"/>
      <c r="S263" s="19" t="n">
        <v>48</v>
      </c>
      <c r="T263" s="16" t="n">
        <v>16</v>
      </c>
      <c r="U263" s="16" t="s">
        <v>32</v>
      </c>
      <c r="V263" s="16" t="n">
        <v>3</v>
      </c>
      <c r="W263" s="17" t="s">
        <v>31</v>
      </c>
      <c r="Y263" s="67" t="n">
        <v>46194</v>
      </c>
      <c r="Z263" s="15"/>
      <c r="AB263" s="5" t="s">
        <v>377</v>
      </c>
    </row>
    <row r="264" ht="15.75" hidden="1" customHeight="1">
      <c r="A264" s="24" t="n">
        <v>1046</v>
      </c>
      <c r="B264" s="33" t="n">
        <v>46194</v>
      </c>
      <c r="C264" s="1" t="s">
        <v>61</v>
      </c>
      <c r="E264" s="1"/>
      <c r="F264" s="24" t="s">
        <v>34</v>
      </c>
      <c r="G264" s="1" t="s">
        <v>29</v>
      </c>
      <c r="H264" s="1" t="s">
        <v>135</v>
      </c>
      <c r="I264" s="1" t="s">
        <v>136</v>
      </c>
      <c r="J264" s="24" t="s">
        <v>401</v>
      </c>
      <c r="L264" s="1" t="s">
        <v>360</v>
      </c>
      <c r="M264" s="1" t="n">
        <v>150</v>
      </c>
      <c r="N264" s="1" t="n">
        <v>280</v>
      </c>
      <c r="O264" s="1" t="n">
        <v>4</v>
      </c>
      <c r="P264" s="1" t="s">
        <v>31</v>
      </c>
      <c r="Q264" s="19"/>
      <c r="R264" s="19"/>
      <c r="S264" s="19" t="f">
        <f>T264*V264</f>
      </c>
      <c r="T264" s="16" t="n">
        <v>20</v>
      </c>
      <c r="U264" s="16" t="s">
        <v>32</v>
      </c>
      <c r="V264" s="16" t="n">
        <v>4</v>
      </c>
      <c r="W264" s="17" t="s">
        <v>31</v>
      </c>
      <c r="Y264" s="67" t="n">
        <v>46193</v>
      </c>
      <c r="Z264" s="15"/>
    </row>
    <row r="265" ht="15.75" hidden="1" customHeight="1">
      <c r="A265" s="35" t="n">
        <v>1046</v>
      </c>
      <c r="B265" s="34" t="n">
        <v>46194</v>
      </c>
      <c r="C265" s="1" t="s">
        <v>61</v>
      </c>
      <c r="E265" s="1"/>
      <c r="F265" s="35" t="s">
        <v>34</v>
      </c>
      <c r="G265" s="1" t="s">
        <v>29</v>
      </c>
      <c r="H265" s="1" t="s">
        <v>135</v>
      </c>
      <c r="I265" s="1" t="s">
        <v>136</v>
      </c>
      <c r="J265" s="35" t="s">
        <v>402</v>
      </c>
      <c r="L265" s="1" t="s">
        <v>360</v>
      </c>
      <c r="M265" s="1" t="n">
        <v>150</v>
      </c>
      <c r="N265" s="1" t="n">
        <v>280</v>
      </c>
      <c r="O265" s="1" t="n">
        <v>3</v>
      </c>
      <c r="P265" s="1" t="s">
        <v>31</v>
      </c>
      <c r="Q265" s="19"/>
      <c r="R265" s="19"/>
      <c r="S265" s="19" t="f">
        <f>T265*V265</f>
      </c>
      <c r="T265" s="16" t="n">
        <v>20</v>
      </c>
      <c r="U265" s="16" t="s">
        <v>32</v>
      </c>
      <c r="V265" s="16" t="n">
        <v>3</v>
      </c>
      <c r="W265" s="17" t="s">
        <v>31</v>
      </c>
      <c r="Y265" s="67" t="n">
        <v>46193</v>
      </c>
      <c r="Z265" s="15"/>
    </row>
    <row r="266" ht="15.75" hidden="1" customHeight="1">
      <c r="A266" s="35" t="n">
        <v>1046</v>
      </c>
      <c r="B266" s="34" t="n">
        <v>46194</v>
      </c>
      <c r="C266" s="1" t="s">
        <v>61</v>
      </c>
      <c r="E266" s="1"/>
      <c r="F266" s="35" t="s">
        <v>34</v>
      </c>
      <c r="G266" s="1" t="s">
        <v>29</v>
      </c>
      <c r="H266" s="1" t="s">
        <v>135</v>
      </c>
      <c r="I266" s="1" t="s">
        <v>136</v>
      </c>
      <c r="J266" s="35" t="s">
        <v>403</v>
      </c>
      <c r="L266" s="1" t="s">
        <v>360</v>
      </c>
      <c r="M266" s="1" t="n">
        <v>150</v>
      </c>
      <c r="N266" s="1" t="n">
        <v>280</v>
      </c>
      <c r="O266" s="1" t="n">
        <v>6</v>
      </c>
      <c r="P266" s="1" t="s">
        <v>31</v>
      </c>
      <c r="Q266" s="19"/>
      <c r="R266" s="19"/>
      <c r="S266" s="19" t="f">
        <f>T266*V266</f>
      </c>
      <c r="T266" s="16" t="n">
        <v>20</v>
      </c>
      <c r="U266" s="16" t="s">
        <v>32</v>
      </c>
      <c r="V266" s="16" t="n">
        <v>6</v>
      </c>
      <c r="W266" s="17" t="s">
        <v>31</v>
      </c>
      <c r="Y266" s="67" t="n">
        <v>46193</v>
      </c>
      <c r="Z266" s="15"/>
    </row>
    <row r="267" ht="15.75" hidden="1" customHeight="1">
      <c r="A267" s="35" t="n">
        <v>1049</v>
      </c>
      <c r="B267" s="34" t="n">
        <v>46194</v>
      </c>
      <c r="C267" s="1" t="s">
        <v>61</v>
      </c>
      <c r="E267" s="1"/>
      <c r="F267" s="35" t="s">
        <v>404</v>
      </c>
      <c r="G267" s="1" t="s">
        <v>29</v>
      </c>
      <c r="H267" s="1" t="s">
        <v>405</v>
      </c>
      <c r="I267" s="1" t="s">
        <v>406</v>
      </c>
      <c r="J267" s="35" t="s">
        <v>407</v>
      </c>
      <c r="L267" s="1" t="s">
        <v>203</v>
      </c>
      <c r="M267" s="1" t="n">
        <v>150</v>
      </c>
      <c r="N267" s="1" t="n">
        <v>310</v>
      </c>
      <c r="O267" s="1" t="n">
        <v>2</v>
      </c>
      <c r="P267" s="1" t="s">
        <v>31</v>
      </c>
      <c r="Q267" s="19"/>
      <c r="R267" s="19"/>
      <c r="S267" s="19" t="f">
        <f>T267*V267</f>
      </c>
      <c r="T267" s="16" t="n">
        <v>23</v>
      </c>
      <c r="U267" s="16" t="s">
        <v>32</v>
      </c>
      <c r="V267" s="16" t="n">
        <v>2</v>
      </c>
      <c r="W267" s="17" t="s">
        <v>31</v>
      </c>
      <c r="Y267" s="67" t="n">
        <v>46193</v>
      </c>
      <c r="Z267" s="15"/>
    </row>
    <row r="268" ht="15.75" customHeight="1">
      <c r="A268" s="1" t="n">
        <v>1051</v>
      </c>
      <c r="B268" s="56" t="n">
        <v>46195</v>
      </c>
      <c r="C268" s="1" t="s">
        <v>61</v>
      </c>
      <c r="F268" s="1" t="s">
        <v>199</v>
      </c>
      <c r="G268" s="1" t="s">
        <v>29</v>
      </c>
      <c r="H268" s="1" t="s">
        <v>200</v>
      </c>
      <c r="I268" s="1" t="s">
        <v>201</v>
      </c>
      <c r="J268" s="1" t="s">
        <v>263</v>
      </c>
      <c r="L268" s="1" t="s">
        <v>203</v>
      </c>
      <c r="M268" s="1" t="n">
        <v>148</v>
      </c>
      <c r="N268" s="1" t="n">
        <v>180</v>
      </c>
      <c r="O268" s="1" t="n">
        <v>3</v>
      </c>
      <c r="P268" s="1" t="s">
        <v>31</v>
      </c>
      <c r="Q268" s="19"/>
      <c r="R268" s="19"/>
      <c r="S268" s="19" t="n">
        <v>48</v>
      </c>
      <c r="T268" s="16" t="n">
        <v>16</v>
      </c>
      <c r="U268" s="16" t="s">
        <v>32</v>
      </c>
      <c r="V268" s="16" t="n">
        <v>3</v>
      </c>
      <c r="W268" s="17" t="s">
        <v>31</v>
      </c>
      <c r="Y268" s="67" t="n">
        <v>46195</v>
      </c>
      <c r="Z268" s="15"/>
    </row>
    <row r="269" ht="15.75" hidden="1" customHeight="1">
      <c r="A269" s="1" t="n">
        <v>1053</v>
      </c>
      <c r="B269" s="56" t="n">
        <v>46195</v>
      </c>
      <c r="C269" s="1" t="s">
        <v>61</v>
      </c>
      <c r="F269" s="24" t="s">
        <v>96</v>
      </c>
      <c r="G269" s="25" t="s">
        <v>39</v>
      </c>
      <c r="H269" s="1" t="s">
        <v>97</v>
      </c>
      <c r="I269" s="1" t="s">
        <v>98</v>
      </c>
      <c r="J269" s="1" t="s">
        <v>238</v>
      </c>
      <c r="L269" s="1" t="s">
        <v>239</v>
      </c>
      <c r="M269" s="1" t="n">
        <v>172</v>
      </c>
      <c r="N269" s="1" t="n">
        <v>210</v>
      </c>
      <c r="O269" s="1" t="n">
        <v>2</v>
      </c>
      <c r="P269" s="1" t="s">
        <v>31</v>
      </c>
      <c r="Q269" s="19"/>
      <c r="R269" s="19"/>
      <c r="S269" s="19" t="n">
        <v>40</v>
      </c>
      <c r="T269" s="16" t="n">
        <v>20</v>
      </c>
      <c r="U269" s="16" t="s">
        <v>32</v>
      </c>
      <c r="V269" s="16" t="n">
        <v>2</v>
      </c>
      <c r="W269" s="17" t="s">
        <v>31</v>
      </c>
      <c r="Y269" s="67" t="n">
        <v>46196</v>
      </c>
      <c r="Z269" s="15"/>
    </row>
    <row r="270" ht="15.75" hidden="1" customHeight="1">
      <c r="A270" s="1" t="n">
        <v>1054</v>
      </c>
      <c r="B270" s="56" t="n">
        <v>46195</v>
      </c>
      <c r="C270" s="1" t="s">
        <v>61</v>
      </c>
      <c r="F270" s="35" t="s">
        <v>96</v>
      </c>
      <c r="G270" s="36" t="s">
        <v>39</v>
      </c>
      <c r="H270" s="1" t="s">
        <v>97</v>
      </c>
      <c r="I270" s="1" t="s">
        <v>98</v>
      </c>
      <c r="J270" s="1" t="s">
        <v>408</v>
      </c>
      <c r="L270" s="1" t="s">
        <v>239</v>
      </c>
      <c r="M270" s="1" t="n">
        <v>172</v>
      </c>
      <c r="N270" s="1" t="n">
        <v>210</v>
      </c>
      <c r="O270" s="1" t="n">
        <v>2</v>
      </c>
      <c r="P270" s="1" t="s">
        <v>31</v>
      </c>
      <c r="Q270" s="19"/>
      <c r="R270" s="19"/>
      <c r="S270" s="19" t="n">
        <v>40</v>
      </c>
      <c r="T270" s="16" t="n">
        <v>20</v>
      </c>
      <c r="U270" s="16" t="s">
        <v>32</v>
      </c>
      <c r="V270" s="16" t="n">
        <v>2</v>
      </c>
      <c r="W270" s="17" t="s">
        <v>31</v>
      </c>
      <c r="Y270" s="67" t="n">
        <v>46196</v>
      </c>
      <c r="Z270" s="15"/>
    </row>
    <row r="271" ht="15.75" hidden="1" customHeight="1">
      <c r="A271" s="1" t="n">
        <v>1055</v>
      </c>
      <c r="B271" s="56" t="n">
        <v>46195</v>
      </c>
      <c r="C271" s="1" t="s">
        <v>61</v>
      </c>
      <c r="F271" s="35" t="s">
        <v>96</v>
      </c>
      <c r="G271" s="36" t="s">
        <v>39</v>
      </c>
      <c r="H271" s="1" t="s">
        <v>97</v>
      </c>
      <c r="I271" s="1" t="s">
        <v>98</v>
      </c>
      <c r="J271" s="1" t="s">
        <v>409</v>
      </c>
      <c r="L271" s="1" t="s">
        <v>239</v>
      </c>
      <c r="M271" s="1" t="n">
        <v>172</v>
      </c>
      <c r="N271" s="1" t="n">
        <v>210</v>
      </c>
      <c r="O271" s="1" t="n">
        <v>3</v>
      </c>
      <c r="P271" s="1" t="s">
        <v>31</v>
      </c>
      <c r="Q271" s="19"/>
      <c r="R271" s="19"/>
      <c r="S271" s="19" t="n">
        <v>60</v>
      </c>
      <c r="T271" s="16" t="n">
        <v>20</v>
      </c>
      <c r="U271" s="16" t="s">
        <v>32</v>
      </c>
      <c r="V271" s="16" t="n">
        <v>3</v>
      </c>
      <c r="W271" s="17" t="s">
        <v>31</v>
      </c>
      <c r="Y271" s="67" t="n">
        <v>46196</v>
      </c>
      <c r="Z271" s="15"/>
    </row>
    <row r="272" ht="15.75" hidden="1" customHeight="1">
      <c r="A272" s="1" t="n">
        <v>1056</v>
      </c>
      <c r="B272" s="56" t="n">
        <v>46195</v>
      </c>
      <c r="C272" s="1" t="s">
        <v>61</v>
      </c>
      <c r="F272" s="35" t="s">
        <v>410</v>
      </c>
      <c r="G272" s="36" t="s">
        <v>29</v>
      </c>
      <c r="H272" s="1" t="s">
        <v>329</v>
      </c>
      <c r="I272" s="1" t="s">
        <v>411</v>
      </c>
      <c r="J272" s="1" t="s">
        <v>412</v>
      </c>
      <c r="L272" s="1" t="s">
        <v>239</v>
      </c>
      <c r="M272" s="1" t="n">
        <v>165</v>
      </c>
      <c r="N272" s="1" t="n">
        <v>190</v>
      </c>
      <c r="O272" s="1" t="n">
        <v>5</v>
      </c>
      <c r="P272" s="1" t="s">
        <v>31</v>
      </c>
      <c r="Q272" s="19"/>
      <c r="R272" s="19"/>
      <c r="S272" s="19" t="n">
        <v>125</v>
      </c>
      <c r="T272" s="16" t="n">
        <v>25</v>
      </c>
      <c r="U272" s="16" t="s">
        <v>32</v>
      </c>
      <c r="V272" s="16" t="n">
        <v>5</v>
      </c>
      <c r="W272" s="17" t="s">
        <v>31</v>
      </c>
      <c r="Y272" s="67" t="n">
        <v>46196</v>
      </c>
      <c r="Z272" s="15"/>
    </row>
    <row r="273" ht="15.75" hidden="1" customHeight="1">
      <c r="A273" s="24" t="n">
        <v>1150</v>
      </c>
      <c r="B273" s="56" t="n">
        <v>46195</v>
      </c>
      <c r="C273" s="1" t="s">
        <v>61</v>
      </c>
      <c r="F273" s="24" t="s">
        <v>413</v>
      </c>
      <c r="G273" s="36" t="s">
        <v>29</v>
      </c>
      <c r="H273" s="1" t="s">
        <v>414</v>
      </c>
      <c r="I273" s="1" t="n">
        <v>251180</v>
      </c>
      <c r="J273" s="1" t="s">
        <v>415</v>
      </c>
      <c r="M273" s="1" t="n">
        <v>150</v>
      </c>
      <c r="O273" s="24" t="n">
        <v>6</v>
      </c>
      <c r="P273" s="1" t="s">
        <v>31</v>
      </c>
      <c r="Q273" s="19"/>
      <c r="R273" s="19"/>
      <c r="S273" s="19" t="f">
        <f>T273*V273</f>
      </c>
      <c r="T273" s="16" t="n">
        <v>26</v>
      </c>
      <c r="U273" s="16" t="s">
        <v>32</v>
      </c>
      <c r="V273" s="16" t="n">
        <v>5</v>
      </c>
      <c r="W273" s="17" t="s">
        <v>31</v>
      </c>
      <c r="Y273" s="67" t="n">
        <v>46199</v>
      </c>
      <c r="Z273" s="15"/>
    </row>
    <row r="274" s="55" customFormat="1" ht="15.75" hidden="1" customHeight="1">
      <c r="A274" s="48" t="n">
        <v>1072</v>
      </c>
      <c r="B274" s="64" t="n">
        <v>46195</v>
      </c>
      <c r="C274" s="50" t="s">
        <v>61</v>
      </c>
      <c r="D274" s="50"/>
      <c r="E274" s="50"/>
      <c r="F274" s="48" t="s">
        <v>416</v>
      </c>
      <c r="G274" s="51" t="s">
        <v>29</v>
      </c>
      <c r="H274" s="50" t="s">
        <v>417</v>
      </c>
      <c r="I274" s="50" t="n">
        <v>6002</v>
      </c>
      <c r="J274" s="50" t="s">
        <v>418</v>
      </c>
      <c r="K274" s="50"/>
      <c r="L274" s="50" t="s">
        <v>187</v>
      </c>
      <c r="M274" s="50" t="n">
        <v>150</v>
      </c>
      <c r="N274" s="50" t="n">
        <v>95</v>
      </c>
      <c r="O274" s="48" t="n">
        <v>15</v>
      </c>
      <c r="P274" s="50" t="s">
        <v>31</v>
      </c>
      <c r="Q274" s="52"/>
      <c r="R274" s="52"/>
      <c r="S274" s="52" t="n">
        <v>195</v>
      </c>
      <c r="T274" s="53" t="n">
        <v>13</v>
      </c>
      <c r="U274" s="53" t="s">
        <v>32</v>
      </c>
      <c r="V274" s="53" t="n">
        <v>15</v>
      </c>
      <c r="W274" s="65" t="s">
        <v>31</v>
      </c>
      <c r="X274" s="54"/>
      <c r="Y274" s="68" t="n">
        <v>46198</v>
      </c>
      <c r="Z274" s="53"/>
    </row>
    <row r="275" ht="15.75" hidden="1" customHeight="1">
      <c r="A275" s="24" t="n">
        <v>1077</v>
      </c>
      <c r="B275" s="29" t="n">
        <v>46197</v>
      </c>
      <c r="C275" s="1" t="s">
        <v>61</v>
      </c>
      <c r="F275" s="1" t="s">
        <v>244</v>
      </c>
      <c r="G275" s="36" t="s">
        <v>29</v>
      </c>
      <c r="H275" s="1" t="s">
        <v>245</v>
      </c>
      <c r="I275" s="1" t="s">
        <v>246</v>
      </c>
      <c r="J275" s="1" t="s">
        <v>419</v>
      </c>
      <c r="L275" s="1" t="s">
        <v>248</v>
      </c>
      <c r="M275" s="1" t="n">
        <v>150</v>
      </c>
      <c r="N275" s="1" t="n">
        <v>190</v>
      </c>
      <c r="O275" s="1" t="n">
        <v>3</v>
      </c>
      <c r="P275" s="1" t="s">
        <v>31</v>
      </c>
      <c r="Q275" s="19"/>
      <c r="R275" s="19"/>
      <c r="S275" s="19" t="n">
        <v>48</v>
      </c>
      <c r="T275" s="16" t="n">
        <v>16</v>
      </c>
      <c r="U275" s="16" t="s">
        <v>32</v>
      </c>
      <c r="V275" s="16" t="n">
        <v>3</v>
      </c>
      <c r="W275" s="17" t="s">
        <v>31</v>
      </c>
      <c r="Y275" s="67" t="n">
        <v>46198</v>
      </c>
      <c r="Z275" s="15"/>
    </row>
    <row r="276" ht="15.75" hidden="1" customHeight="1">
      <c r="A276" s="1" t="s">
        <v>420</v>
      </c>
      <c r="B276" s="56" t="n">
        <v>46198.552700</v>
      </c>
      <c r="C276" s="35" t="s">
        <v>421</v>
      </c>
      <c r="F276" s="35" t="s">
        <v>185</v>
      </c>
      <c r="G276" s="1" t="s">
        <v>39</v>
      </c>
      <c r="H276" s="1" t="s">
        <v>119</v>
      </c>
      <c r="I276" s="24" t="s">
        <v>186</v>
      </c>
      <c r="J276" s="35" t="s">
        <v>189</v>
      </c>
      <c r="L276" s="35" t="s">
        <v>187</v>
      </c>
      <c r="M276" s="35" t="n">
        <v>150</v>
      </c>
      <c r="N276" s="36" t="n">
        <v>210</v>
      </c>
      <c r="O276" s="36" t="n">
        <v>82</v>
      </c>
      <c r="P276" s="1" t="s">
        <v>31</v>
      </c>
      <c r="Q276" s="19"/>
      <c r="R276" s="19"/>
      <c r="S276" s="19" t="f">
        <f>T276*X276</f>
      </c>
      <c r="T276" s="16" t="n">
        <v>52</v>
      </c>
      <c r="U276" s="16" t="s">
        <v>32</v>
      </c>
      <c r="V276" s="16" t="n">
        <v>80</v>
      </c>
      <c r="W276" s="17" t="s">
        <v>31</v>
      </c>
      <c r="X276" s="16" t="n">
        <v>25</v>
      </c>
      <c r="Y276" s="67" t="n">
        <v>46199</v>
      </c>
      <c r="Z276" s="15"/>
    </row>
    <row r="277" ht="15.75" customHeight="1">
      <c r="A277" s="1" t="n">
        <v>1082</v>
      </c>
      <c r="B277" s="28" t="n">
        <v>46198</v>
      </c>
      <c r="C277" s="1" t="s">
        <v>61</v>
      </c>
      <c r="E277" s="24" t="s">
        <v>422</v>
      </c>
      <c r="F277" s="1" t="s">
        <v>199</v>
      </c>
      <c r="G277" s="1" t="s">
        <v>29</v>
      </c>
      <c r="H277" s="1" t="s">
        <v>200</v>
      </c>
      <c r="I277" s="1" t="s">
        <v>201</v>
      </c>
      <c r="J277" s="1" t="s">
        <v>118</v>
      </c>
      <c r="L277" s="1" t="s">
        <v>203</v>
      </c>
      <c r="M277" s="1" t="n">
        <v>148</v>
      </c>
      <c r="N277" s="1" t="n">
        <v>168</v>
      </c>
      <c r="O277" s="1" t="n">
        <v>1</v>
      </c>
      <c r="P277" s="1" t="s">
        <v>31</v>
      </c>
      <c r="Q277" s="19"/>
      <c r="R277" s="19"/>
      <c r="S277" s="19" t="n">
        <v>16</v>
      </c>
      <c r="T277" s="16" t="n">
        <v>16</v>
      </c>
      <c r="U277" s="16" t="s">
        <v>32</v>
      </c>
      <c r="V277" s="16" t="n">
        <v>1</v>
      </c>
      <c r="W277" s="17" t="s">
        <v>31</v>
      </c>
      <c r="Y277" s="67" t="n">
        <v>46198</v>
      </c>
      <c r="Z277" s="15"/>
    </row>
    <row r="278" ht="15.75" customHeight="1">
      <c r="A278" s="1" t="n">
        <v>1083</v>
      </c>
      <c r="B278" s="28" t="n">
        <v>46198</v>
      </c>
      <c r="C278" s="1" t="s">
        <v>61</v>
      </c>
      <c r="E278" s="35" t="s">
        <v>423</v>
      </c>
      <c r="F278" s="1" t="s">
        <v>199</v>
      </c>
      <c r="G278" s="1" t="s">
        <v>29</v>
      </c>
      <c r="H278" s="1" t="s">
        <v>200</v>
      </c>
      <c r="I278" s="1" t="s">
        <v>201</v>
      </c>
      <c r="J278" s="1" t="s">
        <v>118</v>
      </c>
      <c r="L278" s="1" t="s">
        <v>203</v>
      </c>
      <c r="M278" s="1" t="n">
        <v>148</v>
      </c>
      <c r="N278" s="1" t="n">
        <v>168</v>
      </c>
      <c r="O278" s="1" t="n">
        <v>2</v>
      </c>
      <c r="P278" s="1" t="s">
        <v>31</v>
      </c>
      <c r="Q278" s="19"/>
      <c r="R278" s="19"/>
      <c r="S278" s="19" t="n">
        <v>32</v>
      </c>
      <c r="T278" s="16" t="n">
        <v>16</v>
      </c>
      <c r="U278" s="16" t="s">
        <v>32</v>
      </c>
      <c r="V278" s="16" t="n">
        <v>2</v>
      </c>
      <c r="W278" s="17" t="s">
        <v>31</v>
      </c>
      <c r="Y278" s="67" t="n">
        <v>46198</v>
      </c>
      <c r="Z278" s="15"/>
    </row>
    <row r="279" ht="15.75" customHeight="1">
      <c r="A279" s="1" t="n">
        <v>1084</v>
      </c>
      <c r="B279" s="28" t="n">
        <v>46198</v>
      </c>
      <c r="C279" s="1" t="s">
        <v>61</v>
      </c>
      <c r="E279" s="35" t="s">
        <v>424</v>
      </c>
      <c r="F279" s="1" t="s">
        <v>199</v>
      </c>
      <c r="G279" s="1" t="s">
        <v>29</v>
      </c>
      <c r="H279" s="1" t="s">
        <v>200</v>
      </c>
      <c r="I279" s="1" t="s">
        <v>201</v>
      </c>
      <c r="J279" s="1" t="s">
        <v>118</v>
      </c>
      <c r="L279" s="1" t="s">
        <v>203</v>
      </c>
      <c r="M279" s="1" t="n">
        <v>148</v>
      </c>
      <c r="N279" s="1" t="n">
        <v>168</v>
      </c>
      <c r="O279" s="1" t="n">
        <v>3</v>
      </c>
      <c r="P279" s="1" t="s">
        <v>31</v>
      </c>
      <c r="Q279" s="19"/>
      <c r="R279" s="19"/>
      <c r="S279" s="19" t="n">
        <v>48</v>
      </c>
      <c r="T279" s="16" t="n">
        <v>16</v>
      </c>
      <c r="U279" s="16" t="s">
        <v>32</v>
      </c>
      <c r="V279" s="16" t="n">
        <v>3</v>
      </c>
      <c r="W279" s="17" t="s">
        <v>31</v>
      </c>
      <c r="Y279" s="67" t="n">
        <v>46198</v>
      </c>
      <c r="Z279" s="15"/>
    </row>
    <row r="280" ht="15.75" customHeight="1">
      <c r="A280" s="1" t="n">
        <v>1090</v>
      </c>
      <c r="B280" s="28" t="n">
        <v>46198</v>
      </c>
      <c r="C280" s="1" t="s">
        <v>61</v>
      </c>
      <c r="F280" s="1" t="s">
        <v>199</v>
      </c>
      <c r="G280" s="1" t="s">
        <v>29</v>
      </c>
      <c r="H280" s="1" t="s">
        <v>200</v>
      </c>
      <c r="I280" s="1" t="s">
        <v>201</v>
      </c>
      <c r="J280" s="1" t="s">
        <v>308</v>
      </c>
      <c r="L280" s="1" t="s">
        <v>203</v>
      </c>
      <c r="M280" s="1" t="n">
        <v>148</v>
      </c>
      <c r="N280" s="1" t="n">
        <v>168</v>
      </c>
      <c r="O280" s="69" t="n">
        <v>5</v>
      </c>
      <c r="P280" s="1" t="s">
        <v>31</v>
      </c>
      <c r="Q280" s="19"/>
      <c r="R280" s="19"/>
      <c r="S280" s="19" t="f">
        <f>T280*V280</f>
      </c>
      <c r="T280" s="16" t="n">
        <v>16</v>
      </c>
      <c r="U280" s="16" t="s">
        <v>32</v>
      </c>
      <c r="V280" s="16" t="n">
        <v>5</v>
      </c>
      <c r="W280" s="17" t="s">
        <v>31</v>
      </c>
      <c r="Y280" s="67" t="n">
        <v>46199</v>
      </c>
      <c r="Z280" s="15"/>
    </row>
    <row r="281" ht="15.75" hidden="1" customHeight="1">
      <c r="A281" s="1" t="n">
        <v>1136</v>
      </c>
      <c r="B281" s="28" t="n">
        <v>46199</v>
      </c>
      <c r="C281" s="35" t="s">
        <v>26</v>
      </c>
      <c r="F281" s="1" t="s">
        <v>96</v>
      </c>
      <c r="G281" s="25" t="s">
        <v>39</v>
      </c>
      <c r="H281" s="1" t="s">
        <v>97</v>
      </c>
      <c r="I281" s="1" t="s">
        <v>98</v>
      </c>
      <c r="J281" s="24" t="s">
        <v>425</v>
      </c>
      <c r="L281" s="1" t="s">
        <v>239</v>
      </c>
      <c r="M281" s="1" t="n">
        <v>172</v>
      </c>
      <c r="N281" s="1" t="n">
        <v>210</v>
      </c>
      <c r="O281" s="1" t="n">
        <v>100</v>
      </c>
      <c r="P281" s="1" t="s">
        <v>31</v>
      </c>
      <c r="Q281" s="19"/>
      <c r="R281" s="19"/>
      <c r="S281" s="19" t="n">
        <v>571</v>
      </c>
      <c r="T281" s="16" t="n">
        <v>21.800000</v>
      </c>
      <c r="U281" s="16" t="s">
        <v>101</v>
      </c>
      <c r="V281" s="16" t="n">
        <v>71</v>
      </c>
      <c r="W281" s="17" t="s">
        <v>31</v>
      </c>
      <c r="X281" s="16" t="n">
        <v>26.200000</v>
      </c>
      <c r="Y281" s="67" t="n">
        <v>46207</v>
      </c>
      <c r="Z281" s="15"/>
    </row>
    <row r="282" ht="15.75" hidden="1" customHeight="1">
      <c r="A282" s="1" t="n">
        <v>1137</v>
      </c>
      <c r="B282" s="28" t="n">
        <v>46199</v>
      </c>
      <c r="C282" s="35" t="s">
        <v>26</v>
      </c>
      <c r="F282" s="1" t="s">
        <v>96</v>
      </c>
      <c r="G282" s="36" t="s">
        <v>39</v>
      </c>
      <c r="H282" s="1" t="s">
        <v>97</v>
      </c>
      <c r="I282" s="1" t="s">
        <v>98</v>
      </c>
      <c r="J282" s="35" t="s">
        <v>426</v>
      </c>
      <c r="L282" s="1" t="s">
        <v>239</v>
      </c>
      <c r="M282" s="1" t="n">
        <v>172</v>
      </c>
      <c r="N282" s="1" t="n">
        <v>210</v>
      </c>
      <c r="O282" s="1" t="n">
        <v>10</v>
      </c>
      <c r="P282" s="1" t="s">
        <v>31</v>
      </c>
      <c r="Q282" s="19"/>
      <c r="R282" s="19"/>
      <c r="S282" s="19" t="n">
        <v>552</v>
      </c>
      <c r="T282" s="16" t="n">
        <v>21.800000</v>
      </c>
      <c r="U282" s="16" t="s">
        <v>101</v>
      </c>
      <c r="V282" s="16" t="n">
        <v>68</v>
      </c>
      <c r="W282" s="17" t="s">
        <v>31</v>
      </c>
      <c r="X282" s="16" t="n">
        <v>25.300000</v>
      </c>
      <c r="Y282" s="67" t="n">
        <v>46207</v>
      </c>
      <c r="Z282" s="15"/>
    </row>
    <row r="283" ht="15.75" hidden="1" customHeight="1">
      <c r="A283" s="1" t="n">
        <v>1138</v>
      </c>
      <c r="B283" s="28" t="n">
        <v>46199</v>
      </c>
      <c r="C283" s="35" t="s">
        <v>26</v>
      </c>
      <c r="F283" s="1" t="s">
        <v>96</v>
      </c>
      <c r="G283" s="36" t="s">
        <v>39</v>
      </c>
      <c r="H283" s="1" t="s">
        <v>97</v>
      </c>
      <c r="I283" s="1" t="s">
        <v>98</v>
      </c>
      <c r="J283" s="35" t="s">
        <v>105</v>
      </c>
      <c r="L283" s="1" t="s">
        <v>239</v>
      </c>
      <c r="M283" s="1" t="n">
        <v>172</v>
      </c>
      <c r="N283" s="1" t="n">
        <v>210</v>
      </c>
      <c r="O283" s="1" t="n">
        <v>100</v>
      </c>
      <c r="P283" s="1" t="s">
        <v>31</v>
      </c>
      <c r="Q283" s="19"/>
      <c r="R283" s="19"/>
      <c r="S283" s="19" t="n">
        <v>573</v>
      </c>
      <c r="T283" s="16" t="n">
        <v>21.800000</v>
      </c>
      <c r="U283" s="16" t="s">
        <v>101</v>
      </c>
      <c r="V283" s="16" t="n">
        <v>71</v>
      </c>
      <c r="W283" s="17" t="s">
        <v>31</v>
      </c>
      <c r="X283" s="16" t="n">
        <v>26.300000</v>
      </c>
      <c r="Y283" s="67" t="n">
        <v>46207</v>
      </c>
      <c r="Z283" s="15"/>
    </row>
    <row r="284" ht="15.75" hidden="1" customHeight="1">
      <c r="A284" s="1" t="n">
        <v>1139</v>
      </c>
      <c r="B284" s="28" t="n">
        <v>46199</v>
      </c>
      <c r="C284" s="35" t="s">
        <v>26</v>
      </c>
      <c r="F284" s="1" t="s">
        <v>96</v>
      </c>
      <c r="G284" s="36" t="s">
        <v>39</v>
      </c>
      <c r="H284" s="1" t="s">
        <v>97</v>
      </c>
      <c r="I284" s="1" t="s">
        <v>98</v>
      </c>
      <c r="J284" s="35" t="s">
        <v>427</v>
      </c>
      <c r="L284" s="1" t="s">
        <v>239</v>
      </c>
      <c r="M284" s="1" t="n">
        <v>172</v>
      </c>
      <c r="N284" s="1" t="n">
        <v>210</v>
      </c>
      <c r="O284" s="1" t="n">
        <v>12</v>
      </c>
      <c r="P284" s="1" t="s">
        <v>31</v>
      </c>
      <c r="Q284" s="19"/>
      <c r="R284" s="19"/>
      <c r="S284" s="19" t="n">
        <v>562</v>
      </c>
      <c r="T284" s="16" t="n">
        <v>21.800000</v>
      </c>
      <c r="U284" s="16" t="s">
        <v>101</v>
      </c>
      <c r="V284" s="16" t="n">
        <v>69</v>
      </c>
      <c r="W284" s="17" t="s">
        <v>31</v>
      </c>
      <c r="X284" s="16" t="n">
        <v>25.800000</v>
      </c>
      <c r="Y284" s="67" t="n">
        <v>46207</v>
      </c>
      <c r="Z284" s="15"/>
    </row>
    <row r="285" ht="15.75" hidden="1" customHeight="1">
      <c r="A285" s="24" t="n">
        <v>1150</v>
      </c>
      <c r="B285" s="33" t="n">
        <v>46195</v>
      </c>
      <c r="C285" s="24" t="s">
        <v>61</v>
      </c>
      <c r="F285" s="24" t="s">
        <v>413</v>
      </c>
      <c r="G285" s="1" t="s">
        <v>29</v>
      </c>
      <c r="H285" s="1" t="s">
        <v>414</v>
      </c>
      <c r="I285" s="1" t="n">
        <v>251180</v>
      </c>
      <c r="J285" s="24" t="s">
        <v>428</v>
      </c>
      <c r="M285" s="1" t="n">
        <v>150</v>
      </c>
      <c r="O285" s="1" t="n">
        <v>6</v>
      </c>
      <c r="P285" s="1" t="s">
        <v>31</v>
      </c>
      <c r="Q285" s="19"/>
      <c r="R285" s="19"/>
      <c r="S285" s="19" t="f">
        <f>T285*V285</f>
      </c>
      <c r="T285" s="16" t="n">
        <v>26</v>
      </c>
      <c r="U285" s="16" t="s">
        <v>32</v>
      </c>
      <c r="V285" s="16" t="n">
        <v>5</v>
      </c>
      <c r="W285" s="17" t="s">
        <v>31</v>
      </c>
      <c r="Y285" s="67" t="n">
        <v>46199</v>
      </c>
      <c r="Z285" s="15"/>
    </row>
    <row r="286" ht="15.75" hidden="1" customHeight="1">
      <c r="A286" s="35" t="n">
        <v>1151</v>
      </c>
      <c r="B286" s="34" t="n">
        <v>46195</v>
      </c>
      <c r="C286" s="35" t="s">
        <v>61</v>
      </c>
      <c r="F286" s="35" t="s">
        <v>416</v>
      </c>
      <c r="G286" s="1" t="s">
        <v>29</v>
      </c>
      <c r="H286" s="1" t="s">
        <v>417</v>
      </c>
      <c r="I286" s="1" t="n">
        <v>6002</v>
      </c>
      <c r="J286" s="35" t="s">
        <v>418</v>
      </c>
      <c r="L286" s="1" t="s">
        <v>187</v>
      </c>
      <c r="M286" s="1" t="n">
        <v>150</v>
      </c>
      <c r="N286" s="1" t="n">
        <v>95</v>
      </c>
      <c r="O286" s="1" t="n">
        <v>15</v>
      </c>
      <c r="P286" s="1" t="s">
        <v>31</v>
      </c>
      <c r="Q286" s="19"/>
      <c r="R286" s="19"/>
      <c r="S286" s="19" t="n">
        <v>195</v>
      </c>
      <c r="T286" s="16" t="n">
        <v>13</v>
      </c>
      <c r="U286" s="16" t="s">
        <v>32</v>
      </c>
      <c r="V286" s="16" t="n">
        <v>15</v>
      </c>
      <c r="W286" s="17" t="s">
        <v>31</v>
      </c>
      <c r="Y286" s="67" t="s">
        <v>429</v>
      </c>
      <c r="Z286" s="15"/>
    </row>
    <row r="287" ht="15.75" hidden="1" customHeight="1">
      <c r="A287" s="35" t="n">
        <v>1152</v>
      </c>
      <c r="B287" s="34" t="n">
        <v>46198</v>
      </c>
      <c r="C287" s="35" t="s">
        <v>61</v>
      </c>
      <c r="F287" s="35" t="s">
        <v>34</v>
      </c>
      <c r="G287" s="1" t="s">
        <v>29</v>
      </c>
      <c r="H287" s="1" t="s">
        <v>135</v>
      </c>
      <c r="I287" s="1" t="s">
        <v>136</v>
      </c>
      <c r="J287" s="35" t="s">
        <v>430</v>
      </c>
      <c r="L287" s="1" t="s">
        <v>360</v>
      </c>
      <c r="M287" s="1" t="n">
        <v>150</v>
      </c>
      <c r="N287" s="1" t="n">
        <v>280</v>
      </c>
      <c r="O287" s="1" t="n">
        <v>1.500000</v>
      </c>
      <c r="P287" s="1" t="s">
        <v>31</v>
      </c>
      <c r="Q287" s="19"/>
      <c r="R287" s="19"/>
      <c r="S287" s="19" t="n">
        <v>30</v>
      </c>
      <c r="T287" s="16" t="n">
        <v>20</v>
      </c>
      <c r="U287" s="16" t="s">
        <v>32</v>
      </c>
      <c r="V287" s="16" t="n">
        <v>1.500000</v>
      </c>
      <c r="W287" s="17" t="s">
        <v>31</v>
      </c>
      <c r="Y287" s="67" t="n">
        <v>46198</v>
      </c>
      <c r="Z287" s="15"/>
    </row>
    <row r="288" ht="15.75" hidden="1" customHeight="1">
      <c r="A288" s="35" t="n">
        <v>1153</v>
      </c>
      <c r="B288" s="34" t="n">
        <v>46199</v>
      </c>
      <c r="C288" s="35" t="s">
        <v>61</v>
      </c>
      <c r="F288" s="35" t="s">
        <v>34</v>
      </c>
      <c r="G288" s="1" t="s">
        <v>29</v>
      </c>
      <c r="H288" s="1" t="s">
        <v>135</v>
      </c>
      <c r="I288" s="1" t="s">
        <v>136</v>
      </c>
      <c r="J288" s="35" t="s">
        <v>54</v>
      </c>
      <c r="L288" s="1" t="s">
        <v>360</v>
      </c>
      <c r="M288" s="1" t="n">
        <v>150</v>
      </c>
      <c r="N288" s="1" t="n">
        <v>280</v>
      </c>
      <c r="O288" s="1" t="n">
        <v>1</v>
      </c>
      <c r="P288" s="1" t="s">
        <v>31</v>
      </c>
      <c r="Q288" s="19"/>
      <c r="R288" s="19"/>
      <c r="S288" s="19" t="n">
        <v>20</v>
      </c>
      <c r="T288" s="16" t="n">
        <v>20</v>
      </c>
      <c r="U288" s="16" t="s">
        <v>32</v>
      </c>
      <c r="V288" s="16" t="n">
        <v>1</v>
      </c>
      <c r="W288" s="17" t="s">
        <v>31</v>
      </c>
      <c r="Y288" s="67" t="n">
        <v>46199</v>
      </c>
      <c r="Z288" s="15"/>
    </row>
    <row r="289" ht="15.75" customHeight="1">
      <c r="A289" s="1" t="n">
        <v>1157</v>
      </c>
      <c r="B289" s="28" t="n">
        <v>46202</v>
      </c>
      <c r="C289" s="1" t="s">
        <v>26</v>
      </c>
      <c r="E289" s="24" t="s">
        <v>431</v>
      </c>
      <c r="F289" s="1" t="s">
        <v>199</v>
      </c>
      <c r="G289" s="1" t="s">
        <v>29</v>
      </c>
      <c r="H289" s="1" t="s">
        <v>200</v>
      </c>
      <c r="I289" s="1" t="s">
        <v>201</v>
      </c>
      <c r="J289" s="24" t="s">
        <v>99</v>
      </c>
      <c r="L289" s="1" t="s">
        <v>203</v>
      </c>
      <c r="M289" s="1" t="n">
        <v>148</v>
      </c>
      <c r="N289" s="1" t="n">
        <v>168</v>
      </c>
      <c r="O289" s="24" t="n">
        <v>158</v>
      </c>
      <c r="P289" s="1" t="s">
        <v>31</v>
      </c>
      <c r="Q289" s="19"/>
      <c r="R289" s="19"/>
      <c r="S289" s="19"/>
      <c r="T289" s="16"/>
      <c r="U289" s="16" t="s">
        <v>32</v>
      </c>
      <c r="V289" s="16"/>
      <c r="W289" s="17" t="s">
        <v>31</v>
      </c>
      <c r="Z289" s="15"/>
    </row>
    <row r="290" ht="15.75" customHeight="1">
      <c r="A290" s="1" t="n">
        <v>1158</v>
      </c>
      <c r="B290" s="28" t="n">
        <v>46202</v>
      </c>
      <c r="C290" s="1" t="s">
        <v>26</v>
      </c>
      <c r="E290" s="35" t="s">
        <v>431</v>
      </c>
      <c r="F290" s="1" t="s">
        <v>199</v>
      </c>
      <c r="G290" s="1" t="s">
        <v>29</v>
      </c>
      <c r="H290" s="1" t="s">
        <v>200</v>
      </c>
      <c r="I290" s="1" t="s">
        <v>201</v>
      </c>
      <c r="J290" s="35" t="s">
        <v>241</v>
      </c>
      <c r="L290" s="1" t="s">
        <v>203</v>
      </c>
      <c r="M290" s="1" t="n">
        <v>148</v>
      </c>
      <c r="N290" s="1" t="n">
        <v>168</v>
      </c>
      <c r="O290" s="35" t="n">
        <v>158</v>
      </c>
      <c r="P290" s="1" t="s">
        <v>31</v>
      </c>
      <c r="Q290" s="19"/>
      <c r="R290" s="19"/>
      <c r="S290" s="19"/>
      <c r="T290" s="16"/>
      <c r="U290" s="16" t="s">
        <v>32</v>
      </c>
      <c r="V290" s="16"/>
      <c r="W290" s="17" t="s">
        <v>31</v>
      </c>
      <c r="Z290" s="15"/>
    </row>
    <row r="291" ht="15.75" hidden="1" customHeight="1">
      <c r="A291" s="1" t="n">
        <v>1159</v>
      </c>
      <c r="B291" s="28" t="n">
        <v>46202</v>
      </c>
      <c r="C291" s="1" t="s">
        <v>26</v>
      </c>
      <c r="E291" s="1" t="s">
        <v>432</v>
      </c>
      <c r="F291" s="1" t="s">
        <v>96</v>
      </c>
      <c r="G291" s="1" t="s">
        <v>39</v>
      </c>
      <c r="H291" s="1" t="s">
        <v>97</v>
      </c>
      <c r="I291" s="61" t="s">
        <v>98</v>
      </c>
      <c r="J291" s="35" t="s">
        <v>103</v>
      </c>
      <c r="K291" s="61" t="s">
        <v>239</v>
      </c>
      <c r="L291" s="1" t="s">
        <v>239</v>
      </c>
      <c r="M291" s="1" t="n">
        <v>172</v>
      </c>
      <c r="N291" s="1" t="n">
        <v>210</v>
      </c>
      <c r="O291" s="35" t="n">
        <v>100</v>
      </c>
      <c r="P291" s="1" t="s">
        <v>31</v>
      </c>
      <c r="Q291" s="19"/>
      <c r="R291" s="19"/>
      <c r="S291" s="19" t="n">
        <v>1121</v>
      </c>
      <c r="T291" s="16" t="n">
        <v>21.800000</v>
      </c>
      <c r="U291" s="16" t="s">
        <v>101</v>
      </c>
      <c r="V291" s="16" t="n">
        <v>139</v>
      </c>
      <c r="W291" s="17" t="s">
        <v>31</v>
      </c>
      <c r="X291" s="16" t="n">
        <v>51.400000</v>
      </c>
      <c r="Y291" s="67" t="n">
        <v>46213</v>
      </c>
      <c r="Z291" s="15"/>
    </row>
    <row r="292" ht="15.75" hidden="1" customHeight="1">
      <c r="A292" s="1" t="n">
        <v>1160</v>
      </c>
      <c r="B292" s="28" t="n">
        <v>46202</v>
      </c>
      <c r="C292" s="1" t="s">
        <v>26</v>
      </c>
      <c r="E292" s="1" t="s">
        <v>433</v>
      </c>
      <c r="F292" s="1" t="s">
        <v>96</v>
      </c>
      <c r="G292" s="1" t="s">
        <v>39</v>
      </c>
      <c r="H292" s="62" t="s">
        <v>97</v>
      </c>
      <c r="I292" s="63" t="s">
        <v>98</v>
      </c>
      <c r="J292" s="35" t="s">
        <v>434</v>
      </c>
      <c r="K292" s="63" t="s">
        <v>239</v>
      </c>
      <c r="L292" s="1" t="s">
        <v>239</v>
      </c>
      <c r="M292" s="1" t="n">
        <v>172</v>
      </c>
      <c r="N292" s="1" t="n">
        <v>210</v>
      </c>
      <c r="O292" s="35" t="n">
        <v>50</v>
      </c>
      <c r="P292" s="1" t="s">
        <v>31</v>
      </c>
      <c r="Q292" s="19"/>
      <c r="R292" s="19"/>
      <c r="S292" s="19" t="n">
        <v>558</v>
      </c>
      <c r="T292" s="16" t="n">
        <v>21.800000</v>
      </c>
      <c r="U292" s="16" t="s">
        <v>101</v>
      </c>
      <c r="V292" s="16" t="n">
        <v>70</v>
      </c>
      <c r="W292" s="17" t="s">
        <v>31</v>
      </c>
      <c r="X292" s="16" t="n">
        <v>25.600000</v>
      </c>
      <c r="Y292" s="67" t="n">
        <v>46213</v>
      </c>
      <c r="Z292" s="15"/>
    </row>
    <row r="293" ht="15.75" hidden="1" customHeight="1">
      <c r="A293" s="1" t="n">
        <v>1161</v>
      </c>
      <c r="B293" s="28" t="n">
        <v>46202</v>
      </c>
      <c r="C293" s="1" t="s">
        <v>26</v>
      </c>
      <c r="E293" s="1" t="s">
        <v>435</v>
      </c>
      <c r="F293" s="1" t="s">
        <v>96</v>
      </c>
      <c r="G293" s="1" t="s">
        <v>39</v>
      </c>
      <c r="H293" s="62" t="s">
        <v>97</v>
      </c>
      <c r="I293" s="63" t="s">
        <v>98</v>
      </c>
      <c r="J293" s="35" t="s">
        <v>99</v>
      </c>
      <c r="K293" s="63" t="s">
        <v>239</v>
      </c>
      <c r="L293" s="1" t="s">
        <v>239</v>
      </c>
      <c r="M293" s="1" t="n">
        <v>172</v>
      </c>
      <c r="N293" s="1" t="n">
        <v>210</v>
      </c>
      <c r="O293" s="35" t="n">
        <v>75</v>
      </c>
      <c r="P293" s="1" t="s">
        <v>31</v>
      </c>
      <c r="Q293" s="19"/>
      <c r="R293" s="19"/>
      <c r="S293" s="19" t="n">
        <v>556</v>
      </c>
      <c r="T293" s="16" t="n">
        <v>21.800000</v>
      </c>
      <c r="U293" s="16" t="s">
        <v>101</v>
      </c>
      <c r="V293" s="16" t="n">
        <v>70</v>
      </c>
      <c r="W293" s="17" t="s">
        <v>31</v>
      </c>
      <c r="X293" s="16" t="n">
        <v>25.500000</v>
      </c>
      <c r="Y293" s="67" t="n">
        <v>46207</v>
      </c>
      <c r="Z293" s="15"/>
    </row>
    <row r="294" ht="15.75" hidden="1" customHeight="1">
      <c r="A294" s="1" t="n">
        <v>1162</v>
      </c>
      <c r="B294" s="28" t="n">
        <v>46202</v>
      </c>
      <c r="C294" s="1" t="s">
        <v>26</v>
      </c>
      <c r="E294" s="1" t="s">
        <v>435</v>
      </c>
      <c r="F294" s="1" t="s">
        <v>96</v>
      </c>
      <c r="G294" s="1" t="s">
        <v>39</v>
      </c>
      <c r="H294" s="62" t="s">
        <v>97</v>
      </c>
      <c r="I294" s="63" t="s">
        <v>98</v>
      </c>
      <c r="J294" s="35" t="s">
        <v>103</v>
      </c>
      <c r="K294" s="63" t="s">
        <v>239</v>
      </c>
      <c r="L294" s="1" t="s">
        <v>239</v>
      </c>
      <c r="M294" s="1" t="n">
        <v>172</v>
      </c>
      <c r="N294" s="1" t="n">
        <v>210</v>
      </c>
      <c r="O294" s="35" t="n">
        <v>65</v>
      </c>
      <c r="P294" s="1" t="s">
        <v>31</v>
      </c>
      <c r="Q294" s="19"/>
      <c r="R294" s="19"/>
      <c r="S294" s="19" t="n">
        <v>562</v>
      </c>
      <c r="T294" s="16" t="n">
        <v>21.800000</v>
      </c>
      <c r="U294" s="16" t="s">
        <v>101</v>
      </c>
      <c r="V294" s="16" t="n">
        <v>70</v>
      </c>
      <c r="W294" s="17" t="s">
        <v>31</v>
      </c>
      <c r="X294" s="16" t="n">
        <v>25.800000</v>
      </c>
      <c r="Y294" s="67" t="n">
        <v>46207</v>
      </c>
      <c r="Z294" s="15"/>
    </row>
    <row r="295" ht="15.75" hidden="1" customHeight="1">
      <c r="A295" s="1" t="n">
        <v>1163</v>
      </c>
      <c r="B295" s="28" t="n">
        <v>46202</v>
      </c>
      <c r="C295" s="1" t="s">
        <v>26</v>
      </c>
      <c r="E295" s="1" t="s">
        <v>436</v>
      </c>
      <c r="F295" s="1" t="s">
        <v>96</v>
      </c>
      <c r="G295" s="1" t="s">
        <v>39</v>
      </c>
      <c r="H295" s="62" t="s">
        <v>97</v>
      </c>
      <c r="I295" s="63" t="s">
        <v>98</v>
      </c>
      <c r="J295" s="35" t="s">
        <v>103</v>
      </c>
      <c r="K295" s="63" t="s">
        <v>239</v>
      </c>
      <c r="L295" s="1" t="s">
        <v>239</v>
      </c>
      <c r="M295" s="1" t="n">
        <v>172</v>
      </c>
      <c r="N295" s="1" t="n">
        <v>210</v>
      </c>
      <c r="O295" s="35" t="n">
        <v>88</v>
      </c>
      <c r="P295" s="1" t="s">
        <v>31</v>
      </c>
      <c r="Q295" s="19"/>
      <c r="R295" s="19"/>
      <c r="S295" s="19"/>
      <c r="T295" s="16"/>
      <c r="U295" s="16" t="s">
        <v>32</v>
      </c>
      <c r="V295" s="16"/>
      <c r="W295" s="17" t="s">
        <v>31</v>
      </c>
      <c r="Z295" s="15"/>
      <c r="AB295" s="5" t="s">
        <v>437</v>
      </c>
    </row>
    <row r="296" ht="15.75" hidden="1" customHeight="1">
      <c r="A296" s="1" t="n">
        <v>1164</v>
      </c>
      <c r="B296" s="28" t="n">
        <v>46202</v>
      </c>
      <c r="C296" s="35" t="s">
        <v>61</v>
      </c>
      <c r="E296" s="1" t="s">
        <v>438</v>
      </c>
      <c r="F296" s="1" t="s">
        <v>96</v>
      </c>
      <c r="G296" s="1" t="s">
        <v>39</v>
      </c>
      <c r="H296" s="62" t="s">
        <v>97</v>
      </c>
      <c r="I296" s="63" t="s">
        <v>98</v>
      </c>
      <c r="J296" s="35" t="s">
        <v>439</v>
      </c>
      <c r="K296" s="63" t="s">
        <v>239</v>
      </c>
      <c r="L296" s="1" t="s">
        <v>239</v>
      </c>
      <c r="M296" s="1" t="n">
        <v>172</v>
      </c>
      <c r="N296" s="1" t="n">
        <v>210</v>
      </c>
      <c r="O296" s="1" t="n">
        <v>2</v>
      </c>
      <c r="P296" s="1" t="s">
        <v>31</v>
      </c>
      <c r="Q296" s="19"/>
      <c r="R296" s="19"/>
      <c r="S296" s="19" t="n">
        <v>40</v>
      </c>
      <c r="T296" s="16" t="n">
        <v>20</v>
      </c>
      <c r="U296" s="16" t="s">
        <v>32</v>
      </c>
      <c r="V296" s="16" t="n">
        <v>2</v>
      </c>
      <c r="W296" s="17" t="s">
        <v>31</v>
      </c>
      <c r="Y296" s="67" t="n">
        <v>46203</v>
      </c>
      <c r="Z296" s="15"/>
    </row>
    <row r="297" ht="15.75" hidden="1" customHeight="1">
      <c r="A297" s="24" t="n">
        <v>1171</v>
      </c>
      <c r="B297" s="33" t="n">
        <v>46203</v>
      </c>
      <c r="C297" s="35" t="s">
        <v>61</v>
      </c>
      <c r="F297" s="24" t="s">
        <v>179</v>
      </c>
      <c r="G297" s="1" t="s">
        <v>29</v>
      </c>
      <c r="H297" s="1" t="s">
        <v>180</v>
      </c>
      <c r="I297" s="1" t="s">
        <v>181</v>
      </c>
      <c r="J297" s="1" t="s">
        <v>62</v>
      </c>
      <c r="L297" s="1" t="s">
        <v>239</v>
      </c>
      <c r="M297" s="1" t="n">
        <v>165</v>
      </c>
      <c r="N297" s="1" t="n">
        <v>250</v>
      </c>
      <c r="O297" s="1" t="n">
        <v>2</v>
      </c>
      <c r="P297" s="1" t="s">
        <v>31</v>
      </c>
      <c r="Q297" s="19"/>
      <c r="R297" s="19"/>
      <c r="S297" s="19" t="n">
        <v>60</v>
      </c>
      <c r="T297" s="16" t="n">
        <v>30</v>
      </c>
      <c r="U297" s="16" t="s">
        <v>32</v>
      </c>
      <c r="V297" s="16" t="n">
        <v>2</v>
      </c>
      <c r="W297" s="17" t="s">
        <v>31</v>
      </c>
      <c r="Y297" s="67" t="n">
        <v>46205</v>
      </c>
      <c r="Z297" s="15"/>
      <c r="AB297" s="5" t="s">
        <v>440</v>
      </c>
    </row>
    <row r="298" ht="15.75" hidden="1" customHeight="1">
      <c r="A298" s="1" t="n">
        <v>1172</v>
      </c>
      <c r="B298" s="33" t="n">
        <v>46203</v>
      </c>
      <c r="C298" s="35" t="s">
        <v>61</v>
      </c>
      <c r="F298" s="1" t="s">
        <v>34</v>
      </c>
      <c r="G298" s="1" t="s">
        <v>29</v>
      </c>
      <c r="H298" s="1" t="s">
        <v>135</v>
      </c>
      <c r="I298" s="1" t="s">
        <v>136</v>
      </c>
      <c r="J298" s="35" t="s">
        <v>379</v>
      </c>
      <c r="L298" s="1" t="s">
        <v>360</v>
      </c>
      <c r="M298" s="1" t="n">
        <v>150</v>
      </c>
      <c r="N298" s="1" t="n">
        <v>280</v>
      </c>
      <c r="O298" s="1" t="n">
        <v>4</v>
      </c>
      <c r="P298" s="1" t="s">
        <v>31</v>
      </c>
      <c r="Q298" s="19"/>
      <c r="R298" s="19"/>
      <c r="S298" s="19" t="n">
        <v>80</v>
      </c>
      <c r="T298" s="16" t="n">
        <v>20</v>
      </c>
      <c r="U298" s="16" t="s">
        <v>32</v>
      </c>
      <c r="V298" s="16" t="n">
        <v>4</v>
      </c>
      <c r="W298" s="17" t="s">
        <v>31</v>
      </c>
      <c r="Y298" s="67" t="n">
        <v>46203</v>
      </c>
      <c r="Z298" s="15"/>
    </row>
    <row r="299" ht="15.75" hidden="1" customHeight="1">
      <c r="A299" s="1" t="n">
        <v>1180</v>
      </c>
      <c r="B299" s="28" t="n">
        <v>46204</v>
      </c>
      <c r="C299" s="1" t="s">
        <v>26</v>
      </c>
      <c r="E299" s="1" t="s">
        <v>436</v>
      </c>
      <c r="F299" s="1" t="s">
        <v>96</v>
      </c>
      <c r="G299" s="1" t="s">
        <v>39</v>
      </c>
      <c r="H299" s="62" t="s">
        <v>97</v>
      </c>
      <c r="I299" s="63" t="s">
        <v>98</v>
      </c>
      <c r="J299" s="1" t="s">
        <v>441</v>
      </c>
      <c r="L299" s="1" t="s">
        <v>239</v>
      </c>
      <c r="M299" s="1" t="n">
        <v>172</v>
      </c>
      <c r="N299" s="1" t="n">
        <v>210</v>
      </c>
      <c r="O299" s="1" t="n">
        <v>5</v>
      </c>
      <c r="P299" s="1" t="s">
        <v>31</v>
      </c>
      <c r="Q299" s="19"/>
      <c r="R299" s="19"/>
      <c r="S299" s="19" t="n">
        <v>100</v>
      </c>
      <c r="T299" s="16" t="n">
        <v>20</v>
      </c>
      <c r="U299" s="16" t="s">
        <v>32</v>
      </c>
      <c r="V299" s="16" t="n">
        <v>5</v>
      </c>
      <c r="W299" s="17" t="s">
        <v>31</v>
      </c>
      <c r="Y299" s="67" t="n">
        <v>46213</v>
      </c>
      <c r="Z299" s="15"/>
    </row>
    <row r="300" ht="15.75" hidden="1" customHeight="1">
      <c r="A300" s="1" t="n">
        <v>1191</v>
      </c>
      <c r="B300" s="28" t="n">
        <v>46205</v>
      </c>
      <c r="C300" s="1" t="s">
        <v>26</v>
      </c>
      <c r="F300" s="1" t="s">
        <v>96</v>
      </c>
      <c r="G300" s="1" t="s">
        <v>39</v>
      </c>
      <c r="H300" s="62" t="s">
        <v>97</v>
      </c>
      <c r="I300" s="63" t="s">
        <v>98</v>
      </c>
      <c r="J300" s="24" t="s">
        <v>103</v>
      </c>
      <c r="L300" s="1" t="s">
        <v>239</v>
      </c>
      <c r="M300" s="1" t="n">
        <v>172</v>
      </c>
      <c r="N300" s="1" t="n">
        <v>210</v>
      </c>
      <c r="O300" s="1" t="n">
        <v>128</v>
      </c>
      <c r="P300" s="1" t="s">
        <v>31</v>
      </c>
      <c r="Q300" s="19"/>
      <c r="R300" s="19"/>
      <c r="S300" s="19" t="n">
        <v>1121</v>
      </c>
      <c r="T300" s="16" t="n">
        <v>21.800000</v>
      </c>
      <c r="U300" s="16" t="s">
        <v>101</v>
      </c>
      <c r="V300" s="16" t="n">
        <v>138</v>
      </c>
      <c r="W300" s="17" t="s">
        <v>31</v>
      </c>
      <c r="X300" s="16" t="n">
        <v>51.400000</v>
      </c>
      <c r="Y300" s="67" t="n">
        <v>46214</v>
      </c>
      <c r="Z300" s="15"/>
    </row>
    <row r="301" ht="15.75" hidden="1" customHeight="1">
      <c r="A301" s="1" t="n">
        <v>1192</v>
      </c>
      <c r="B301" s="28" t="n">
        <v>46205</v>
      </c>
      <c r="C301" s="1" t="s">
        <v>26</v>
      </c>
      <c r="F301" s="1" t="s">
        <v>96</v>
      </c>
      <c r="G301" s="1" t="s">
        <v>39</v>
      </c>
      <c r="H301" s="62" t="s">
        <v>97</v>
      </c>
      <c r="I301" s="63" t="s">
        <v>98</v>
      </c>
      <c r="J301" s="35" t="s">
        <v>99</v>
      </c>
      <c r="L301" s="1" t="s">
        <v>239</v>
      </c>
      <c r="M301" s="1" t="n">
        <v>172</v>
      </c>
      <c r="N301" s="1" t="n">
        <v>210</v>
      </c>
      <c r="O301" s="1" t="n">
        <v>186</v>
      </c>
      <c r="P301" s="1" t="s">
        <v>31</v>
      </c>
      <c r="Q301" s="19"/>
      <c r="R301" s="19"/>
      <c r="S301" s="19" t="n">
        <v>1931</v>
      </c>
      <c r="T301" s="16" t="n">
        <v>21.800000</v>
      </c>
      <c r="U301" s="16" t="s">
        <v>101</v>
      </c>
      <c r="V301" s="16" t="n">
        <v>239</v>
      </c>
      <c r="W301" s="17" t="s">
        <v>31</v>
      </c>
      <c r="X301" s="16" t="n">
        <v>88.600000</v>
      </c>
      <c r="Y301" s="67" t="n">
        <v>46214</v>
      </c>
      <c r="Z301" s="15"/>
    </row>
    <row r="302" ht="15.75" hidden="1" customHeight="1">
      <c r="A302" s="24" t="n">
        <v>879</v>
      </c>
      <c r="B302" s="28" t="n">
        <v>46174</v>
      </c>
      <c r="C302" s="35" t="s">
        <v>61</v>
      </c>
      <c r="F302" s="1" t="s">
        <v>442</v>
      </c>
      <c r="G302" s="1" t="s">
        <v>29</v>
      </c>
      <c r="H302" s="1" t="s">
        <v>119</v>
      </c>
      <c r="I302" s="1" t="n">
        <v>8907</v>
      </c>
      <c r="J302" s="1" t="s">
        <v>443</v>
      </c>
      <c r="L302" s="1" t="s">
        <v>444</v>
      </c>
      <c r="M302" s="1" t="n">
        <v>150</v>
      </c>
      <c r="N302" s="1" t="n">
        <v>400</v>
      </c>
      <c r="O302" s="1" t="n">
        <v>1.500000</v>
      </c>
      <c r="P302" s="1" t="s">
        <v>31</v>
      </c>
      <c r="Q302" s="19"/>
      <c r="R302" s="19"/>
      <c r="S302" s="19" t="n">
        <v>40.500000</v>
      </c>
      <c r="T302" s="16" t="n">
        <v>27</v>
      </c>
      <c r="U302" s="16" t="s">
        <v>32</v>
      </c>
      <c r="V302" s="16" t="n">
        <v>1.500000</v>
      </c>
      <c r="W302" s="17" t="s">
        <v>31</v>
      </c>
      <c r="Y302" s="67" t="n">
        <v>46176</v>
      </c>
      <c r="Z302" s="15"/>
    </row>
    <row r="303" ht="15.75" hidden="1" customHeight="1">
      <c r="A303" s="35" t="n">
        <v>880</v>
      </c>
      <c r="B303" s="28" t="n">
        <v>46174</v>
      </c>
      <c r="C303" s="35" t="s">
        <v>61</v>
      </c>
      <c r="F303" s="1" t="s">
        <v>442</v>
      </c>
      <c r="G303" s="1" t="s">
        <v>29</v>
      </c>
      <c r="H303" s="1" t="s">
        <v>119</v>
      </c>
      <c r="I303" s="1" t="n">
        <v>8907</v>
      </c>
      <c r="J303" s="1" t="s">
        <v>445</v>
      </c>
      <c r="L303" s="1" t="s">
        <v>444</v>
      </c>
      <c r="M303" s="1" t="n">
        <v>150</v>
      </c>
      <c r="N303" s="1" t="n">
        <v>400</v>
      </c>
      <c r="O303" s="1" t="n">
        <v>1.500000</v>
      </c>
      <c r="P303" s="1" t="s">
        <v>31</v>
      </c>
      <c r="Q303" s="19"/>
      <c r="R303" s="19"/>
      <c r="S303" s="19" t="n">
        <v>40.500000</v>
      </c>
      <c r="T303" s="16" t="n">
        <v>27</v>
      </c>
      <c r="U303" s="16" t="s">
        <v>32</v>
      </c>
      <c r="V303" s="16" t="n">
        <v>1.500000</v>
      </c>
      <c r="W303" s="23" t="s">
        <v>31</v>
      </c>
      <c r="Y303" s="67" t="n">
        <v>46176</v>
      </c>
      <c r="Z303" s="15"/>
    </row>
    <row r="304" ht="15.75" hidden="1" customHeight="1">
      <c r="A304" s="1" t="n">
        <v>1201</v>
      </c>
      <c r="B304" s="28" t="n">
        <v>46203</v>
      </c>
      <c r="C304" s="35" t="s">
        <v>61</v>
      </c>
      <c r="F304" s="24" t="s">
        <v>121</v>
      </c>
      <c r="G304" s="1" t="s">
        <v>29</v>
      </c>
      <c r="H304" s="1" t="s">
        <v>119</v>
      </c>
      <c r="I304" s="1" t="s">
        <v>122</v>
      </c>
      <c r="J304" s="1" t="s">
        <v>54</v>
      </c>
      <c r="K304" s="1"/>
      <c r="L304" s="1" t="s">
        <v>336</v>
      </c>
      <c r="M304" s="1" t="n">
        <v>150</v>
      </c>
      <c r="N304" s="1" t="n">
        <v>170</v>
      </c>
      <c r="O304" s="1" t="n">
        <v>2.500000</v>
      </c>
      <c r="P304" s="1" t="s">
        <v>31</v>
      </c>
      <c r="Q304" s="19"/>
      <c r="R304" s="19"/>
      <c r="S304" s="19" t="n">
        <v>43</v>
      </c>
      <c r="T304" s="16" t="n">
        <v>17</v>
      </c>
      <c r="U304" s="16" t="s">
        <v>32</v>
      </c>
      <c r="V304" s="16" t="n">
        <v>2.500000</v>
      </c>
      <c r="W304" s="23" t="s">
        <v>31</v>
      </c>
      <c r="Y304" s="67" t="n">
        <v>46205</v>
      </c>
      <c r="Z304" s="15"/>
    </row>
    <row r="305" ht="15.75" hidden="1" customHeight="1">
      <c r="A305" s="24" t="n">
        <v>1206</v>
      </c>
      <c r="B305" s="33" t="n">
        <v>46207</v>
      </c>
      <c r="C305" s="35" t="s">
        <v>61</v>
      </c>
      <c r="E305" s="24" t="s">
        <v>446</v>
      </c>
      <c r="F305" s="24" t="s">
        <v>447</v>
      </c>
      <c r="G305" s="1" t="s">
        <v>29</v>
      </c>
      <c r="H305" s="1" t="s">
        <v>448</v>
      </c>
      <c r="I305" s="1" t="s">
        <v>449</v>
      </c>
      <c r="J305" s="1" t="s">
        <v>450</v>
      </c>
      <c r="L305" s="1" t="s">
        <v>284</v>
      </c>
      <c r="M305" s="1" t="n">
        <v>150</v>
      </c>
      <c r="N305" s="1" t="n">
        <v>280</v>
      </c>
      <c r="O305" s="1" t="n">
        <v>5</v>
      </c>
      <c r="P305" s="1" t="s">
        <v>31</v>
      </c>
      <c r="Q305" s="19"/>
      <c r="R305" s="19"/>
      <c r="S305" s="19" t="n">
        <v>100</v>
      </c>
      <c r="T305" s="16" t="n">
        <v>20</v>
      </c>
      <c r="U305" s="16" t="s">
        <v>32</v>
      </c>
      <c r="V305" s="16" t="n">
        <v>5</v>
      </c>
      <c r="W305" s="17" t="s">
        <v>31</v>
      </c>
      <c r="Y305" s="67" t="n">
        <v>46209</v>
      </c>
      <c r="Z305" s="16"/>
      <c r="AB305" s="5" t="s">
        <v>451</v>
      </c>
    </row>
    <row r="306" ht="15.75" hidden="1" customHeight="1">
      <c r="A306" s="35" t="n">
        <v>1207</v>
      </c>
      <c r="B306" s="34" t="n">
        <v>46207</v>
      </c>
      <c r="C306" s="35" t="s">
        <v>61</v>
      </c>
      <c r="E306" s="35" t="s">
        <v>452</v>
      </c>
      <c r="F306" s="35" t="s">
        <v>447</v>
      </c>
      <c r="G306" s="1" t="s">
        <v>29</v>
      </c>
      <c r="H306" s="1" t="s">
        <v>448</v>
      </c>
      <c r="I306" s="1" t="s">
        <v>449</v>
      </c>
      <c r="J306" s="1" t="s">
        <v>453</v>
      </c>
      <c r="L306" s="1" t="s">
        <v>284</v>
      </c>
      <c r="M306" s="1" t="n">
        <v>150</v>
      </c>
      <c r="N306" s="1" t="n">
        <v>280</v>
      </c>
      <c r="O306" s="1" t="n">
        <v>5</v>
      </c>
      <c r="P306" s="1" t="s">
        <v>31</v>
      </c>
      <c r="Q306" s="19"/>
      <c r="R306" s="19"/>
      <c r="S306" s="19" t="n">
        <v>100</v>
      </c>
      <c r="T306" s="16" t="n">
        <v>20</v>
      </c>
      <c r="U306" s="16" t="s">
        <v>32</v>
      </c>
      <c r="V306" s="16" t="n">
        <v>5</v>
      </c>
      <c r="W306" s="17" t="s">
        <v>31</v>
      </c>
      <c r="Y306" s="67" t="n">
        <v>46209</v>
      </c>
      <c r="Z306" s="16"/>
    </row>
    <row r="307" ht="15.75" hidden="1" customHeight="1">
      <c r="A307" s="35" t="n">
        <v>1208</v>
      </c>
      <c r="B307" s="34" t="n">
        <v>46207</v>
      </c>
      <c r="C307" s="35" t="s">
        <v>61</v>
      </c>
      <c r="E307" s="35" t="s">
        <v>454</v>
      </c>
      <c r="F307" s="35" t="s">
        <v>447</v>
      </c>
      <c r="G307" s="1" t="s">
        <v>29</v>
      </c>
      <c r="H307" s="1" t="s">
        <v>448</v>
      </c>
      <c r="I307" s="1" t="s">
        <v>449</v>
      </c>
      <c r="J307" s="1" t="s">
        <v>455</v>
      </c>
      <c r="L307" s="1" t="s">
        <v>284</v>
      </c>
      <c r="M307" s="1" t="n">
        <v>150</v>
      </c>
      <c r="N307" s="1" t="n">
        <v>280</v>
      </c>
      <c r="O307" s="1" t="n">
        <v>6</v>
      </c>
      <c r="P307" s="1" t="s">
        <v>31</v>
      </c>
      <c r="Q307" s="19"/>
      <c r="R307" s="19"/>
      <c r="S307" s="19" t="n">
        <v>120</v>
      </c>
      <c r="T307" s="16" t="n">
        <v>20</v>
      </c>
      <c r="U307" s="16" t="s">
        <v>32</v>
      </c>
      <c r="V307" s="16" t="n">
        <v>6</v>
      </c>
      <c r="W307" s="17" t="s">
        <v>31</v>
      </c>
      <c r="Y307" s="67" t="n">
        <v>46209</v>
      </c>
      <c r="Z307" s="16"/>
    </row>
    <row r="308" ht="15.75" hidden="1" customHeight="1">
      <c r="A308" s="35" t="n">
        <v>1209</v>
      </c>
      <c r="B308" s="34" t="n">
        <v>46207</v>
      </c>
      <c r="C308" s="35" t="s">
        <v>61</v>
      </c>
      <c r="E308" s="35"/>
      <c r="F308" s="35" t="s">
        <v>456</v>
      </c>
      <c r="G308" s="1" t="s">
        <v>29</v>
      </c>
      <c r="H308" s="1" t="s">
        <v>200</v>
      </c>
      <c r="I308" s="1" t="s">
        <v>457</v>
      </c>
      <c r="J308" s="1" t="s">
        <v>458</v>
      </c>
      <c r="L308" s="1" t="s">
        <v>239</v>
      </c>
      <c r="M308" s="1" t="n">
        <v>150</v>
      </c>
      <c r="N308" s="1" t="n">
        <v>182</v>
      </c>
      <c r="O308" s="1" t="n">
        <v>6</v>
      </c>
      <c r="P308" s="1" t="s">
        <v>31</v>
      </c>
      <c r="Q308" s="19"/>
      <c r="R308" s="19"/>
      <c r="S308" s="19" t="n">
        <v>96</v>
      </c>
      <c r="T308" s="16" t="n">
        <v>16</v>
      </c>
      <c r="U308" s="16" t="s">
        <v>32</v>
      </c>
      <c r="V308" s="16" t="n">
        <v>6</v>
      </c>
      <c r="W308" s="17" t="s">
        <v>31</v>
      </c>
      <c r="Y308" s="67" t="n">
        <v>46209</v>
      </c>
      <c r="Z308" s="16"/>
    </row>
    <row r="309" ht="15.75" hidden="1" customHeight="1">
      <c r="A309" s="35" t="n">
        <v>1210</v>
      </c>
      <c r="B309" s="34" t="n">
        <v>46207</v>
      </c>
      <c r="C309" s="35" t="s">
        <v>61</v>
      </c>
      <c r="E309" s="35" t="s">
        <v>459</v>
      </c>
      <c r="F309" s="35" t="s">
        <v>456</v>
      </c>
      <c r="G309" s="1" t="s">
        <v>29</v>
      </c>
      <c r="H309" s="1" t="s">
        <v>200</v>
      </c>
      <c r="I309" s="1" t="s">
        <v>457</v>
      </c>
      <c r="J309" s="1" t="s">
        <v>460</v>
      </c>
      <c r="L309" s="1" t="s">
        <v>239</v>
      </c>
      <c r="M309" s="1" t="n">
        <v>150</v>
      </c>
      <c r="N309" s="1" t="n">
        <v>182</v>
      </c>
      <c r="O309" s="1" t="n">
        <v>2</v>
      </c>
      <c r="P309" s="1" t="s">
        <v>31</v>
      </c>
      <c r="Q309" s="19"/>
      <c r="R309" s="19"/>
      <c r="S309" s="19" t="n">
        <v>32</v>
      </c>
      <c r="T309" s="16" t="n">
        <v>16</v>
      </c>
      <c r="U309" s="16" t="s">
        <v>32</v>
      </c>
      <c r="V309" s="16" t="n">
        <v>2</v>
      </c>
      <c r="W309" s="17" t="s">
        <v>31</v>
      </c>
      <c r="Y309" s="67" t="n">
        <v>46209</v>
      </c>
      <c r="Z309" s="16"/>
    </row>
    <row r="310" ht="15.75" hidden="1" customHeight="1">
      <c r="A310" s="35" t="n">
        <v>1211</v>
      </c>
      <c r="B310" s="34" t="n">
        <v>46207</v>
      </c>
      <c r="C310" s="35" t="s">
        <v>61</v>
      </c>
      <c r="E310" s="35" t="s">
        <v>461</v>
      </c>
      <c r="F310" s="35" t="s">
        <v>34</v>
      </c>
      <c r="G310" s="1" t="s">
        <v>29</v>
      </c>
      <c r="H310" s="1" t="s">
        <v>135</v>
      </c>
      <c r="I310" s="1" t="s">
        <v>136</v>
      </c>
      <c r="J310" s="1" t="s">
        <v>68</v>
      </c>
      <c r="L310" s="1" t="s">
        <v>360</v>
      </c>
      <c r="M310" s="1" t="n">
        <v>150</v>
      </c>
      <c r="N310" s="1" t="n">
        <v>280</v>
      </c>
      <c r="O310" s="1" t="n">
        <v>2</v>
      </c>
      <c r="P310" s="1" t="s">
        <v>31</v>
      </c>
      <c r="Q310" s="19"/>
      <c r="R310" s="19"/>
      <c r="S310" s="19" t="n">
        <v>40</v>
      </c>
      <c r="T310" s="16" t="n">
        <v>20</v>
      </c>
      <c r="U310" s="16" t="s">
        <v>32</v>
      </c>
      <c r="V310" s="16" t="n">
        <v>2</v>
      </c>
      <c r="W310" s="17" t="s">
        <v>31</v>
      </c>
      <c r="Y310" s="67" t="n">
        <v>46209</v>
      </c>
      <c r="Z310" s="16"/>
    </row>
    <row r="311" ht="15.75" hidden="1" customHeight="1">
      <c r="A311" s="24" t="n">
        <v>1212</v>
      </c>
      <c r="B311" s="33" t="n">
        <v>46209</v>
      </c>
      <c r="C311" s="24" t="s">
        <v>26</v>
      </c>
      <c r="D311" s="24" t="s">
        <v>462</v>
      </c>
      <c r="E311" s="25" t="s">
        <v>463</v>
      </c>
      <c r="F311" s="24" t="s">
        <v>328</v>
      </c>
      <c r="G311" s="1" t="s">
        <v>29</v>
      </c>
      <c r="H311" s="1" t="s">
        <v>329</v>
      </c>
      <c r="I311" s="1" t="n">
        <v>938</v>
      </c>
      <c r="J311" s="1" t="s">
        <v>68</v>
      </c>
      <c r="L311" s="1" t="s">
        <v>187</v>
      </c>
      <c r="M311" s="1" t="n">
        <v>150</v>
      </c>
      <c r="N311" s="1" t="n">
        <v>180</v>
      </c>
      <c r="O311" s="1" t="n">
        <v>295</v>
      </c>
      <c r="P311" s="1" t="s">
        <v>31</v>
      </c>
      <c r="Q311" s="19"/>
      <c r="R311" s="19"/>
      <c r="S311" s="19" t="n">
        <v>3392</v>
      </c>
      <c r="T311" s="16" t="n">
        <v>10.500000</v>
      </c>
      <c r="U311" s="16" t="s">
        <v>32</v>
      </c>
      <c r="V311" s="16" t="n">
        <v>323</v>
      </c>
      <c r="W311" s="17" t="s">
        <v>31</v>
      </c>
      <c r="Y311" s="67" t="n">
        <v>46216</v>
      </c>
      <c r="Z311" s="15"/>
      <c r="AB311" s="5" t="s">
        <v>464</v>
      </c>
    </row>
    <row r="312" ht="15.75" hidden="1" customHeight="1">
      <c r="A312" s="35" t="n">
        <v>1213</v>
      </c>
      <c r="B312" s="34" t="n">
        <v>46209</v>
      </c>
      <c r="C312" s="35" t="s">
        <v>26</v>
      </c>
      <c r="D312" s="35" t="s">
        <v>465</v>
      </c>
      <c r="E312" s="36" t="s">
        <v>463</v>
      </c>
      <c r="F312" s="35" t="s">
        <v>328</v>
      </c>
      <c r="G312" s="1" t="s">
        <v>29</v>
      </c>
      <c r="H312" s="1" t="s">
        <v>329</v>
      </c>
      <c r="I312" s="1" t="n">
        <v>938</v>
      </c>
      <c r="J312" s="1" t="s">
        <v>330</v>
      </c>
      <c r="L312" s="1" t="s">
        <v>187</v>
      </c>
      <c r="M312" s="1" t="n">
        <v>150</v>
      </c>
      <c r="N312" s="1" t="n">
        <v>180</v>
      </c>
      <c r="O312" s="1" t="n">
        <v>221</v>
      </c>
      <c r="P312" s="1" t="s">
        <v>31</v>
      </c>
      <c r="Q312" s="19"/>
      <c r="R312" s="19"/>
      <c r="S312" s="19" t="n">
        <v>2289</v>
      </c>
      <c r="T312" s="16" t="n">
        <v>10.500000</v>
      </c>
      <c r="U312" s="16" t="s">
        <v>32</v>
      </c>
      <c r="V312" s="16" t="n">
        <v>218</v>
      </c>
      <c r="W312" s="17" t="s">
        <v>31</v>
      </c>
      <c r="Y312" s="67" t="n">
        <v>46216</v>
      </c>
      <c r="Z312" s="15"/>
    </row>
    <row r="313" ht="15.75" hidden="1" customHeight="1">
      <c r="A313" s="35" t="n">
        <v>1214</v>
      </c>
      <c r="B313" s="34" t="n">
        <v>46209</v>
      </c>
      <c r="C313" s="35" t="s">
        <v>26</v>
      </c>
      <c r="D313" s="35" t="s">
        <v>466</v>
      </c>
      <c r="E313" s="36" t="s">
        <v>467</v>
      </c>
      <c r="F313" s="35" t="s">
        <v>328</v>
      </c>
      <c r="G313" s="1" t="s">
        <v>29</v>
      </c>
      <c r="H313" s="1" t="s">
        <v>329</v>
      </c>
      <c r="I313" s="1" t="n">
        <v>938</v>
      </c>
      <c r="J313" s="1" t="s">
        <v>68</v>
      </c>
      <c r="L313" s="1" t="s">
        <v>187</v>
      </c>
      <c r="M313" s="1" t="n">
        <v>150</v>
      </c>
      <c r="N313" s="1" t="n">
        <v>180</v>
      </c>
      <c r="O313" s="1" t="n">
        <v>225</v>
      </c>
      <c r="P313" s="1" t="s">
        <v>31</v>
      </c>
      <c r="Q313" s="19"/>
      <c r="R313" s="19"/>
      <c r="S313" s="19" t="n">
        <v>2741</v>
      </c>
      <c r="T313" s="16" t="n">
        <v>10.500000</v>
      </c>
      <c r="U313" s="16" t="s">
        <v>32</v>
      </c>
      <c r="V313" s="16" t="n">
        <v>261</v>
      </c>
      <c r="W313" s="17" t="s">
        <v>31</v>
      </c>
      <c r="Y313" s="67" t="n">
        <v>46216</v>
      </c>
      <c r="Z313" s="15"/>
    </row>
    <row r="314" ht="15.75" hidden="1" customHeight="1">
      <c r="A314" s="35" t="n">
        <v>1215</v>
      </c>
      <c r="B314" s="34" t="n">
        <v>46209</v>
      </c>
      <c r="C314" s="35" t="s">
        <v>26</v>
      </c>
      <c r="D314" s="35" t="s">
        <v>466</v>
      </c>
      <c r="E314" s="36" t="s">
        <v>467</v>
      </c>
      <c r="F314" s="35" t="s">
        <v>328</v>
      </c>
      <c r="G314" s="1" t="s">
        <v>29</v>
      </c>
      <c r="H314" s="1" t="s">
        <v>329</v>
      </c>
      <c r="I314" s="1" t="n">
        <v>938</v>
      </c>
      <c r="J314" s="1" t="s">
        <v>330</v>
      </c>
      <c r="L314" s="1" t="s">
        <v>187</v>
      </c>
      <c r="M314" s="1" t="n">
        <v>150</v>
      </c>
      <c r="N314" s="1" t="n">
        <v>180</v>
      </c>
      <c r="O314" s="1" t="n">
        <v>225</v>
      </c>
      <c r="P314" s="1" t="s">
        <v>31</v>
      </c>
      <c r="Q314" s="19"/>
      <c r="R314" s="19"/>
      <c r="S314" s="19" t="n">
        <v>2331</v>
      </c>
      <c r="T314" s="16" t="n">
        <v>10.500000</v>
      </c>
      <c r="U314" s="16" t="s">
        <v>32</v>
      </c>
      <c r="V314" s="16" t="n">
        <v>222</v>
      </c>
      <c r="W314" s="17" t="s">
        <v>31</v>
      </c>
      <c r="Y314" s="67" t="n">
        <v>46216</v>
      </c>
      <c r="Z314" s="15"/>
    </row>
    <row r="315" ht="15.75" hidden="1" customHeight="1">
      <c r="A315" s="35" t="n">
        <v>1216</v>
      </c>
      <c r="B315" s="34" t="n">
        <v>46209</v>
      </c>
      <c r="C315" s="35" t="s">
        <v>61</v>
      </c>
      <c r="F315" s="35" t="s">
        <v>328</v>
      </c>
      <c r="G315" s="1" t="s">
        <v>29</v>
      </c>
      <c r="H315" s="1" t="s">
        <v>329</v>
      </c>
      <c r="I315" s="1" t="n">
        <v>938</v>
      </c>
      <c r="J315" s="1" t="s">
        <v>468</v>
      </c>
      <c r="L315" s="1" t="s">
        <v>187</v>
      </c>
      <c r="M315" s="1" t="n">
        <v>150</v>
      </c>
      <c r="N315" s="1" t="n">
        <v>180</v>
      </c>
      <c r="O315" s="1" t="n">
        <v>6</v>
      </c>
      <c r="P315" s="1" t="s">
        <v>31</v>
      </c>
      <c r="Q315" s="19"/>
      <c r="R315" s="19"/>
      <c r="S315" s="19" t="n">
        <v>102</v>
      </c>
      <c r="T315" s="16" t="n">
        <v>17</v>
      </c>
      <c r="U315" s="16" t="s">
        <v>32</v>
      </c>
      <c r="V315" s="16" t="n">
        <v>6</v>
      </c>
      <c r="W315" s="17" t="s">
        <v>31</v>
      </c>
      <c r="X315" s="16"/>
      <c r="Y315" s="67" t="n">
        <v>46209</v>
      </c>
      <c r="Z315" s="15"/>
    </row>
    <row r="316" ht="15.75" hidden="1" customHeight="1">
      <c r="A316" s="1" t="n">
        <v>1227</v>
      </c>
      <c r="B316" s="28" t="n">
        <v>46210</v>
      </c>
      <c r="C316" s="35" t="s">
        <v>26</v>
      </c>
      <c r="F316" s="1" t="s">
        <v>96</v>
      </c>
      <c r="G316" s="1" t="s">
        <v>39</v>
      </c>
      <c r="H316" s="62" t="s">
        <v>97</v>
      </c>
      <c r="I316" s="63" t="s">
        <v>98</v>
      </c>
      <c r="J316" s="1" t="s">
        <v>469</v>
      </c>
      <c r="L316" s="1" t="s">
        <v>239</v>
      </c>
      <c r="M316" s="1" t="n">
        <v>172</v>
      </c>
      <c r="N316" s="1" t="n">
        <v>210</v>
      </c>
      <c r="O316" s="1" t="n">
        <v>60</v>
      </c>
      <c r="P316" s="1" t="s">
        <v>31</v>
      </c>
      <c r="Q316" s="19"/>
      <c r="R316" s="19"/>
      <c r="S316" s="19" t="n">
        <v>512</v>
      </c>
      <c r="T316" s="16" t="n">
        <v>21.800000</v>
      </c>
      <c r="U316" s="16" t="s">
        <v>334</v>
      </c>
      <c r="V316" s="16" t="n">
        <v>63</v>
      </c>
      <c r="W316" s="17" t="s">
        <v>31</v>
      </c>
      <c r="X316" s="16" t="n">
        <v>23.500000</v>
      </c>
      <c r="Y316" s="67" t="n">
        <v>46220</v>
      </c>
      <c r="Z316" s="15"/>
    </row>
    <row r="317" ht="15.75" hidden="1" customHeight="1">
      <c r="A317" s="24" t="n">
        <v>1229</v>
      </c>
      <c r="B317" s="28" t="n">
        <v>46211</v>
      </c>
      <c r="C317" s="35" t="s">
        <v>26</v>
      </c>
      <c r="E317" s="24" t="s">
        <v>470</v>
      </c>
      <c r="F317" s="1" t="s">
        <v>244</v>
      </c>
      <c r="G317" s="1" t="s">
        <v>29</v>
      </c>
      <c r="H317" s="1" t="s">
        <v>245</v>
      </c>
      <c r="I317" s="1" t="s">
        <v>246</v>
      </c>
      <c r="J317" s="24" t="s">
        <v>247</v>
      </c>
      <c r="L317" s="1" t="s">
        <v>248</v>
      </c>
      <c r="M317" s="1" t="n">
        <v>150</v>
      </c>
      <c r="N317" s="1" t="n">
        <v>190</v>
      </c>
      <c r="O317" s="1" t="n">
        <v>253</v>
      </c>
      <c r="P317" s="1" t="s">
        <v>31</v>
      </c>
      <c r="Q317" s="19"/>
      <c r="R317" s="19"/>
      <c r="S317" s="19" t="n">
        <v>2640</v>
      </c>
      <c r="T317" s="16" t="n">
        <v>10</v>
      </c>
      <c r="U317" s="16" t="s">
        <v>32</v>
      </c>
      <c r="V317" s="16" t="n">
        <v>264</v>
      </c>
      <c r="W317" s="17" t="s">
        <v>31</v>
      </c>
      <c r="Y317" s="67" t="n">
        <v>46213</v>
      </c>
      <c r="Z317" s="15"/>
      <c r="AB317" s="5" t="s">
        <v>471</v>
      </c>
    </row>
    <row r="318" ht="15.75" hidden="1" customHeight="1">
      <c r="A318" s="1" t="n">
        <v>1239</v>
      </c>
      <c r="B318" s="28" t="n">
        <v>46211</v>
      </c>
      <c r="C318" s="1" t="s">
        <v>61</v>
      </c>
      <c r="E318" s="24" t="s">
        <v>472</v>
      </c>
      <c r="F318" s="1" t="s">
        <v>328</v>
      </c>
      <c r="G318" s="1" t="s">
        <v>29</v>
      </c>
      <c r="H318" s="1" t="s">
        <v>329</v>
      </c>
      <c r="I318" s="1" t="n">
        <v>938</v>
      </c>
      <c r="J318" s="1" t="s">
        <v>473</v>
      </c>
      <c r="L318" s="1" t="s">
        <v>187</v>
      </c>
      <c r="M318" s="1" t="n">
        <v>150</v>
      </c>
      <c r="N318" s="1" t="n">
        <v>180</v>
      </c>
      <c r="O318" s="1" t="n">
        <v>1</v>
      </c>
      <c r="P318" s="1" t="s">
        <v>31</v>
      </c>
      <c r="Q318" s="19"/>
      <c r="R318" s="19"/>
      <c r="S318" s="19" t="n">
        <v>17</v>
      </c>
      <c r="T318" s="16" t="n">
        <v>17</v>
      </c>
      <c r="U318" s="16" t="s">
        <v>32</v>
      </c>
      <c r="V318" s="16" t="n">
        <v>1</v>
      </c>
      <c r="W318" s="17" t="s">
        <v>31</v>
      </c>
      <c r="Y318" s="67" t="n">
        <v>46211</v>
      </c>
      <c r="Z318" s="15"/>
    </row>
    <row r="319" ht="15.75" hidden="1" customHeight="1">
      <c r="A319" s="1" t="n">
        <v>1240</v>
      </c>
      <c r="B319" s="28" t="n">
        <v>46211</v>
      </c>
      <c r="C319" s="1" t="s">
        <v>61</v>
      </c>
      <c r="F319" s="1" t="s">
        <v>474</v>
      </c>
      <c r="G319" s="1" t="s">
        <v>39</v>
      </c>
      <c r="H319" s="1" t="s">
        <v>217</v>
      </c>
      <c r="I319" s="1" t="s">
        <v>229</v>
      </c>
      <c r="J319" s="24" t="s">
        <v>103</v>
      </c>
      <c r="L319" s="1" t="s">
        <v>177</v>
      </c>
      <c r="M319" s="1" t="n">
        <v>165</v>
      </c>
      <c r="N319" s="1" t="n">
        <v>200</v>
      </c>
      <c r="O319" s="1" t="n">
        <v>4</v>
      </c>
      <c r="P319" s="1" t="s">
        <v>31</v>
      </c>
      <c r="Q319" s="19"/>
      <c r="R319" s="19"/>
      <c r="S319" s="19" t="n">
        <v>100</v>
      </c>
      <c r="T319" s="16" t="n">
        <v>25</v>
      </c>
      <c r="U319" s="16" t="s">
        <v>32</v>
      </c>
      <c r="V319" s="16" t="n">
        <v>4</v>
      </c>
      <c r="W319" s="17" t="s">
        <v>31</v>
      </c>
      <c r="Y319" s="67" t="n">
        <v>46212</v>
      </c>
      <c r="Z319" s="15"/>
    </row>
    <row r="320" ht="15.75" hidden="1" customHeight="1">
      <c r="A320" s="1" t="n">
        <v>1241</v>
      </c>
      <c r="B320" s="28" t="n">
        <v>46211</v>
      </c>
      <c r="C320" s="1" t="s">
        <v>61</v>
      </c>
      <c r="F320" s="1" t="s">
        <v>474</v>
      </c>
      <c r="G320" s="1" t="s">
        <v>39</v>
      </c>
      <c r="H320" s="1" t="s">
        <v>217</v>
      </c>
      <c r="I320" s="1" t="s">
        <v>229</v>
      </c>
      <c r="J320" s="35" t="s">
        <v>475</v>
      </c>
      <c r="L320" s="1" t="s">
        <v>177</v>
      </c>
      <c r="M320" s="1" t="n">
        <v>165</v>
      </c>
      <c r="N320" s="1" t="n">
        <v>200</v>
      </c>
      <c r="O320" s="1" t="n">
        <v>4</v>
      </c>
      <c r="P320" s="1" t="s">
        <v>31</v>
      </c>
      <c r="Q320" s="19"/>
      <c r="R320" s="19"/>
      <c r="S320" s="19" t="n">
        <v>100</v>
      </c>
      <c r="T320" s="16" t="n">
        <v>25</v>
      </c>
      <c r="U320" s="16" t="s">
        <v>32</v>
      </c>
      <c r="V320" s="16" t="n">
        <v>4</v>
      </c>
      <c r="W320" s="17" t="s">
        <v>31</v>
      </c>
      <c r="Y320" s="67" t="n">
        <v>46212</v>
      </c>
      <c r="Z320" s="15"/>
    </row>
    <row r="321" ht="15.75" hidden="1" customHeight="1">
      <c r="A321" s="1" t="n">
        <v>1247</v>
      </c>
      <c r="B321" s="28" t="n">
        <v>46210</v>
      </c>
      <c r="C321" s="1" t="s">
        <v>61</v>
      </c>
      <c r="F321" s="1" t="s">
        <v>161</v>
      </c>
      <c r="G321" s="1" t="s">
        <v>29</v>
      </c>
      <c r="H321" s="1" t="s">
        <v>162</v>
      </c>
      <c r="I321" s="1" t="s">
        <v>163</v>
      </c>
      <c r="J321" s="1" t="s">
        <v>292</v>
      </c>
      <c r="L321" s="1" t="s">
        <v>344</v>
      </c>
      <c r="M321" s="1" t="n">
        <v>150</v>
      </c>
      <c r="N321" s="1" t="n">
        <v>280</v>
      </c>
      <c r="O321" s="1" t="n">
        <v>2</v>
      </c>
      <c r="P321" s="1" t="s">
        <v>31</v>
      </c>
      <c r="Q321" s="19"/>
      <c r="R321" s="19"/>
      <c r="S321" s="19" t="n">
        <v>46</v>
      </c>
      <c r="T321" s="16" t="n">
        <v>23</v>
      </c>
      <c r="U321" s="16" t="s">
        <v>32</v>
      </c>
      <c r="V321" s="16" t="n">
        <v>2</v>
      </c>
      <c r="W321" s="17" t="s">
        <v>31</v>
      </c>
      <c r="Y321" s="67" t="n">
        <v>46212</v>
      </c>
      <c r="Z321" s="15"/>
      <c r="AB321" s="5" t="s">
        <v>476</v>
      </c>
    </row>
    <row r="322" ht="15.75" hidden="1" customHeight="1">
      <c r="A322" s="24" t="n">
        <v>1238</v>
      </c>
      <c r="B322" s="33" t="n">
        <v>46211</v>
      </c>
      <c r="C322" s="1" t="s">
        <v>61</v>
      </c>
      <c r="F322" s="24" t="s">
        <v>477</v>
      </c>
      <c r="G322" s="1" t="s">
        <v>29</v>
      </c>
      <c r="H322" s="1" t="s">
        <v>478</v>
      </c>
      <c r="I322" s="1" t="s">
        <v>479</v>
      </c>
      <c r="J322" s="24" t="s">
        <v>480</v>
      </c>
      <c r="L322" s="1" t="s">
        <v>187</v>
      </c>
      <c r="M322" s="1" t="n">
        <v>150</v>
      </c>
      <c r="N322" s="1" t="n">
        <v>61</v>
      </c>
      <c r="O322" s="1" t="n">
        <v>3</v>
      </c>
      <c r="P322" s="1" t="s">
        <v>31</v>
      </c>
      <c r="Q322" s="19"/>
      <c r="R322" s="19"/>
      <c r="S322" s="19" t="n">
        <v>45</v>
      </c>
      <c r="T322" s="16" t="n">
        <v>15</v>
      </c>
      <c r="U322" s="16" t="s">
        <v>32</v>
      </c>
      <c r="V322" s="16" t="n">
        <v>3</v>
      </c>
      <c r="W322" s="17" t="s">
        <v>31</v>
      </c>
      <c r="Y322" s="67" t="n">
        <v>46213</v>
      </c>
      <c r="Z322" s="15"/>
      <c r="AB322" s="5" t="s">
        <v>481</v>
      </c>
    </row>
    <row r="323" ht="15.75" hidden="1" customHeight="1">
      <c r="A323" s="35" t="n">
        <v>1249</v>
      </c>
      <c r="B323" s="34" t="n">
        <v>46212</v>
      </c>
      <c r="C323" s="1" t="s">
        <v>61</v>
      </c>
      <c r="F323" s="35" t="s">
        <v>244</v>
      </c>
      <c r="G323" s="1" t="s">
        <v>29</v>
      </c>
      <c r="H323" s="1" t="s">
        <v>245</v>
      </c>
      <c r="I323" s="1" t="s">
        <v>246</v>
      </c>
      <c r="J323" s="35" t="s">
        <v>482</v>
      </c>
      <c r="L323" s="1" t="s">
        <v>248</v>
      </c>
      <c r="M323" s="1" t="n">
        <v>150</v>
      </c>
      <c r="N323" s="1" t="n">
        <v>190</v>
      </c>
      <c r="O323" s="1" t="n">
        <v>1</v>
      </c>
      <c r="P323" s="1" t="s">
        <v>31</v>
      </c>
      <c r="Q323" s="19"/>
      <c r="R323" s="19"/>
      <c r="S323" s="19" t="n">
        <v>17</v>
      </c>
      <c r="T323" s="16" t="n">
        <v>17</v>
      </c>
      <c r="U323" s="16" t="s">
        <v>32</v>
      </c>
      <c r="V323" s="16" t="n">
        <v>1</v>
      </c>
      <c r="W323" s="17" t="s">
        <v>31</v>
      </c>
      <c r="Y323" s="67" t="n">
        <v>46213</v>
      </c>
      <c r="Z323" s="15"/>
      <c r="AB323" s="5" t="s">
        <v>481</v>
      </c>
    </row>
    <row r="324" ht="15.75" hidden="1" customHeight="1">
      <c r="A324" s="1" t="n">
        <v>1266</v>
      </c>
      <c r="B324" s="28" t="n">
        <v>46214</v>
      </c>
      <c r="C324" s="1" t="s">
        <v>61</v>
      </c>
      <c r="F324" s="1" t="s">
        <v>483</v>
      </c>
      <c r="G324" s="1" t="s">
        <v>29</v>
      </c>
      <c r="H324" s="1" t="s">
        <v>484</v>
      </c>
      <c r="I324" s="1" t="s">
        <v>485</v>
      </c>
      <c r="J324" s="24" t="s">
        <v>486</v>
      </c>
      <c r="L324" s="1" t="s">
        <v>248</v>
      </c>
      <c r="M324" s="1" t="n">
        <v>150</v>
      </c>
      <c r="N324" s="1" t="n">
        <v>130</v>
      </c>
      <c r="O324" s="1" t="n">
        <v>6</v>
      </c>
      <c r="P324" s="1" t="s">
        <v>31</v>
      </c>
      <c r="Q324" s="19"/>
      <c r="R324" s="19"/>
      <c r="S324" s="19" t="n">
        <v>192</v>
      </c>
      <c r="T324" s="16" t="n">
        <v>32</v>
      </c>
      <c r="U324" s="16" t="s">
        <v>32</v>
      </c>
      <c r="V324" s="16" t="n">
        <v>6</v>
      </c>
      <c r="W324" s="17" t="s">
        <v>31</v>
      </c>
      <c r="Y324" s="67" t="n">
        <v>46216</v>
      </c>
      <c r="Z324" s="15"/>
    </row>
    <row r="325" ht="15.75" hidden="1" customHeight="1">
      <c r="A325" s="24" t="n">
        <v>1273</v>
      </c>
      <c r="B325" s="28" t="n">
        <v>46216</v>
      </c>
      <c r="C325" s="35" t="s">
        <v>26</v>
      </c>
      <c r="F325" s="1" t="s">
        <v>244</v>
      </c>
      <c r="G325" s="1" t="s">
        <v>29</v>
      </c>
      <c r="H325" s="1" t="s">
        <v>245</v>
      </c>
      <c r="I325" s="1" t="s">
        <v>246</v>
      </c>
      <c r="J325" s="1" t="s">
        <v>247</v>
      </c>
      <c r="L325" s="1" t="s">
        <v>248</v>
      </c>
      <c r="M325" s="1" t="n">
        <v>150</v>
      </c>
      <c r="N325" s="1" t="n">
        <v>190</v>
      </c>
      <c r="O325" s="1" t="n">
        <v>157</v>
      </c>
      <c r="P325" s="1" t="s">
        <v>31</v>
      </c>
      <c r="Q325" s="19"/>
      <c r="R325" s="19"/>
      <c r="S325" s="19" t="n">
        <v>1150</v>
      </c>
      <c r="T325" s="16" t="n">
        <v>10</v>
      </c>
      <c r="U325" s="16" t="s">
        <v>32</v>
      </c>
      <c r="V325" s="16" t="n">
        <v>115</v>
      </c>
      <c r="W325" s="17" t="s">
        <v>31</v>
      </c>
      <c r="Y325" s="67" t="n">
        <v>46218</v>
      </c>
      <c r="Z325" s="15"/>
    </row>
    <row r="326" ht="15.75" hidden="1" customHeight="1">
      <c r="A326" s="35" t="n">
        <v>1274</v>
      </c>
      <c r="B326" s="28" t="n">
        <v>46216</v>
      </c>
      <c r="C326" s="35" t="s">
        <v>26</v>
      </c>
      <c r="E326" s="24" t="s">
        <v>487</v>
      </c>
      <c r="F326" s="1" t="s">
        <v>244</v>
      </c>
      <c r="G326" s="1" t="s">
        <v>29</v>
      </c>
      <c r="H326" s="1" t="s">
        <v>245</v>
      </c>
      <c r="I326" s="1" t="s">
        <v>246</v>
      </c>
      <c r="J326" s="24" t="s">
        <v>488</v>
      </c>
      <c r="L326" s="1" t="s">
        <v>248</v>
      </c>
      <c r="M326" s="1" t="n">
        <v>150</v>
      </c>
      <c r="N326" s="1" t="n">
        <v>190</v>
      </c>
      <c r="O326" s="1" t="n">
        <v>351</v>
      </c>
      <c r="P326" s="1" t="s">
        <v>31</v>
      </c>
      <c r="Q326" s="19"/>
      <c r="R326" s="19"/>
      <c r="S326" s="19" t="n">
        <v>3510</v>
      </c>
      <c r="T326" s="16" t="n">
        <v>10</v>
      </c>
      <c r="U326" s="16" t="s">
        <v>32</v>
      </c>
      <c r="V326" s="16" t="n">
        <v>351</v>
      </c>
      <c r="W326" s="17" t="s">
        <v>31</v>
      </c>
      <c r="Y326" s="67" t="n">
        <v>46220</v>
      </c>
      <c r="Z326" s="15"/>
    </row>
    <row r="327" ht="15.75" hidden="1" customHeight="1">
      <c r="A327" s="35" t="n">
        <v>1275</v>
      </c>
      <c r="B327" s="28" t="n">
        <v>46216</v>
      </c>
      <c r="C327" s="35" t="s">
        <v>26</v>
      </c>
      <c r="E327" s="35" t="s">
        <v>487</v>
      </c>
      <c r="F327" s="1" t="s">
        <v>244</v>
      </c>
      <c r="G327" s="1" t="s">
        <v>29</v>
      </c>
      <c r="H327" s="1" t="s">
        <v>245</v>
      </c>
      <c r="I327" s="1" t="s">
        <v>246</v>
      </c>
      <c r="J327" s="35" t="s">
        <v>489</v>
      </c>
      <c r="L327" s="1" t="s">
        <v>248</v>
      </c>
      <c r="M327" s="1" t="n">
        <v>150</v>
      </c>
      <c r="N327" s="1" t="n">
        <v>190</v>
      </c>
      <c r="O327" s="1" t="n">
        <v>180</v>
      </c>
      <c r="P327" s="1" t="s">
        <v>31</v>
      </c>
      <c r="Q327" s="19"/>
      <c r="R327" s="19"/>
      <c r="S327" s="19" t="n">
        <v>1880</v>
      </c>
      <c r="T327" s="16" t="n">
        <v>10</v>
      </c>
      <c r="U327" s="16" t="s">
        <v>32</v>
      </c>
      <c r="V327" s="16" t="n">
        <v>188</v>
      </c>
      <c r="W327" s="17" t="s">
        <v>31</v>
      </c>
      <c r="Y327" s="67" t="n">
        <v>46220</v>
      </c>
      <c r="Z327" s="15"/>
    </row>
    <row r="328" ht="15.75" hidden="1" customHeight="1">
      <c r="A328" s="1" t="n">
        <v>1330</v>
      </c>
      <c r="B328" s="28" t="n">
        <v>46218</v>
      </c>
      <c r="C328" s="1" t="s">
        <v>61</v>
      </c>
      <c r="E328" s="24" t="s">
        <v>490</v>
      </c>
      <c r="F328" s="24" t="s">
        <v>96</v>
      </c>
      <c r="G328" s="1" t="s">
        <v>29</v>
      </c>
      <c r="H328" s="1" t="s">
        <v>97</v>
      </c>
      <c r="I328" s="1" t="s">
        <v>98</v>
      </c>
      <c r="J328" s="24" t="s">
        <v>103</v>
      </c>
      <c r="L328" s="24" t="s">
        <v>239</v>
      </c>
      <c r="M328" s="25" t="n">
        <v>172</v>
      </c>
      <c r="N328" s="25" t="n">
        <v>210</v>
      </c>
      <c r="O328" s="1" t="n">
        <v>2</v>
      </c>
      <c r="P328" s="1" t="s">
        <v>31</v>
      </c>
      <c r="Q328" s="19"/>
      <c r="R328" s="19"/>
      <c r="S328" s="19" t="n">
        <v>40</v>
      </c>
      <c r="T328" s="16" t="n">
        <v>20</v>
      </c>
      <c r="U328" s="16" t="s">
        <v>32</v>
      </c>
      <c r="V328" s="16" t="n">
        <v>2</v>
      </c>
      <c r="W328" s="17" t="s">
        <v>31</v>
      </c>
      <c r="Y328" s="67" t="n">
        <v>46220</v>
      </c>
      <c r="Z328" s="15"/>
    </row>
    <row r="329" ht="15.75" hidden="1" customHeight="1">
      <c r="A329" s="1" t="n">
        <v>1331</v>
      </c>
      <c r="B329" s="28" t="n">
        <v>46218</v>
      </c>
      <c r="C329" s="1" t="s">
        <v>61</v>
      </c>
      <c r="E329" s="35" t="s">
        <v>491</v>
      </c>
      <c r="F329" s="35" t="s">
        <v>96</v>
      </c>
      <c r="G329" s="1" t="s">
        <v>29</v>
      </c>
      <c r="H329" s="1" t="s">
        <v>97</v>
      </c>
      <c r="I329" s="1" t="s">
        <v>98</v>
      </c>
      <c r="J329" s="35" t="s">
        <v>492</v>
      </c>
      <c r="L329" s="35" t="s">
        <v>239</v>
      </c>
      <c r="M329" s="36" t="n">
        <v>172</v>
      </c>
      <c r="N329" s="36" t="n">
        <v>210</v>
      </c>
      <c r="O329" s="1" t="n">
        <v>2</v>
      </c>
      <c r="P329" s="1" t="s">
        <v>31</v>
      </c>
      <c r="Q329" s="19"/>
      <c r="R329" s="19"/>
      <c r="S329" s="19" t="n">
        <v>40</v>
      </c>
      <c r="T329" s="16" t="n">
        <v>20</v>
      </c>
      <c r="U329" s="16" t="s">
        <v>32</v>
      </c>
      <c r="V329" s="16" t="n">
        <v>2</v>
      </c>
      <c r="W329" s="17" t="s">
        <v>31</v>
      </c>
      <c r="Y329" s="67" t="n">
        <v>46220</v>
      </c>
      <c r="Z329" s="15"/>
    </row>
    <row r="330" ht="15.75" hidden="1" customHeight="1">
      <c r="A330" s="1" t="n">
        <v>1334</v>
      </c>
      <c r="B330" s="28" t="n">
        <v>46218</v>
      </c>
      <c r="C330" s="1" t="s">
        <v>61</v>
      </c>
      <c r="E330" s="24" t="s">
        <v>493</v>
      </c>
      <c r="F330" s="24" t="s">
        <v>96</v>
      </c>
      <c r="G330" s="1" t="s">
        <v>29</v>
      </c>
      <c r="H330" s="1" t="s">
        <v>97</v>
      </c>
      <c r="I330" s="1" t="s">
        <v>98</v>
      </c>
      <c r="J330" s="35" t="s">
        <v>494</v>
      </c>
      <c r="L330" s="35" t="s">
        <v>239</v>
      </c>
      <c r="M330" s="36" t="n">
        <v>172</v>
      </c>
      <c r="N330" s="36" t="n">
        <v>210</v>
      </c>
      <c r="O330" s="1" t="n">
        <v>2</v>
      </c>
      <c r="P330" s="1" t="s">
        <v>31</v>
      </c>
      <c r="Q330" s="19"/>
      <c r="R330" s="19"/>
      <c r="S330" s="19" t="n">
        <v>40</v>
      </c>
      <c r="T330" s="16" t="n">
        <v>20</v>
      </c>
      <c r="U330" s="16" t="s">
        <v>32</v>
      </c>
      <c r="V330" s="16" t="n">
        <v>2</v>
      </c>
      <c r="W330" s="17" t="s">
        <v>31</v>
      </c>
      <c r="Y330" s="67" t="n">
        <v>46220</v>
      </c>
      <c r="Z330" s="15"/>
    </row>
    <row r="331" ht="15.75" hidden="1" customHeight="1">
      <c r="A331" s="1" t="n">
        <v>1337</v>
      </c>
      <c r="B331" s="28" t="n">
        <v>46218</v>
      </c>
      <c r="C331" s="1" t="s">
        <v>61</v>
      </c>
      <c r="E331" s="24" t="s">
        <v>495</v>
      </c>
      <c r="F331" s="24" t="s">
        <v>96</v>
      </c>
      <c r="G331" s="1" t="s">
        <v>29</v>
      </c>
      <c r="H331" s="1" t="s">
        <v>97</v>
      </c>
      <c r="I331" s="1" t="s">
        <v>98</v>
      </c>
      <c r="J331" s="35" t="s">
        <v>492</v>
      </c>
      <c r="L331" s="35" t="s">
        <v>239</v>
      </c>
      <c r="M331" s="36" t="n">
        <v>172</v>
      </c>
      <c r="N331" s="36" t="n">
        <v>210</v>
      </c>
      <c r="O331" s="1" t="n">
        <v>2</v>
      </c>
      <c r="P331" s="1" t="s">
        <v>31</v>
      </c>
      <c r="Q331" s="19"/>
      <c r="R331" s="19"/>
      <c r="S331" s="19" t="n">
        <v>40</v>
      </c>
      <c r="T331" s="16" t="n">
        <v>20</v>
      </c>
      <c r="U331" s="16" t="s">
        <v>32</v>
      </c>
      <c r="V331" s="16" t="n">
        <v>2</v>
      </c>
      <c r="W331" s="17" t="s">
        <v>31</v>
      </c>
      <c r="Y331" s="67" t="n">
        <v>46220</v>
      </c>
      <c r="Z331" s="15"/>
    </row>
    <row r="332" ht="15.75" hidden="1" customHeight="1">
      <c r="A332" s="24" t="n">
        <v>1338</v>
      </c>
      <c r="B332" s="28" t="n">
        <v>46218</v>
      </c>
      <c r="C332" s="1" t="s">
        <v>61</v>
      </c>
      <c r="D332" s="24"/>
      <c r="E332" s="35" t="s">
        <v>496</v>
      </c>
      <c r="F332" s="24" t="s">
        <v>96</v>
      </c>
      <c r="G332" s="1" t="s">
        <v>29</v>
      </c>
      <c r="H332" s="1" t="s">
        <v>97</v>
      </c>
      <c r="I332" s="1" t="s">
        <v>98</v>
      </c>
      <c r="J332" s="35" t="s">
        <v>492</v>
      </c>
      <c r="L332" s="35" t="s">
        <v>239</v>
      </c>
      <c r="M332" s="36" t="n">
        <v>172</v>
      </c>
      <c r="N332" s="36" t="n">
        <v>210</v>
      </c>
      <c r="O332" s="24" t="n">
        <v>2</v>
      </c>
      <c r="P332" s="1" t="s">
        <v>31</v>
      </c>
      <c r="Q332" s="19"/>
      <c r="R332" s="19"/>
      <c r="S332" s="19" t="n">
        <v>40</v>
      </c>
      <c r="T332" s="16" t="n">
        <v>20</v>
      </c>
      <c r="U332" s="16" t="s">
        <v>32</v>
      </c>
      <c r="V332" s="16" t="n">
        <v>2</v>
      </c>
      <c r="W332" s="17" t="s">
        <v>31</v>
      </c>
      <c r="Y332" s="67" t="n">
        <v>46220</v>
      </c>
      <c r="Z332" s="15"/>
    </row>
    <row r="333" ht="15.75" hidden="1" customHeight="1">
      <c r="A333" s="24" t="n">
        <v>1339</v>
      </c>
      <c r="B333" s="28" t="n">
        <v>46218</v>
      </c>
      <c r="C333" s="1" t="s">
        <v>61</v>
      </c>
      <c r="D333" s="1"/>
      <c r="E333" s="1"/>
      <c r="F333" s="1" t="s">
        <v>244</v>
      </c>
      <c r="G333" s="1" t="s">
        <v>29</v>
      </c>
      <c r="H333" s="1" t="s">
        <v>245</v>
      </c>
      <c r="I333" s="1" t="s">
        <v>246</v>
      </c>
      <c r="J333" s="59" t="s">
        <v>251</v>
      </c>
      <c r="L333" s="1" t="s">
        <v>248</v>
      </c>
      <c r="M333" s="1" t="n">
        <v>150</v>
      </c>
      <c r="N333" s="1" t="n">
        <v>190</v>
      </c>
      <c r="O333" s="35" t="n">
        <v>5</v>
      </c>
      <c r="P333" s="1" t="s">
        <v>31</v>
      </c>
      <c r="Q333" s="19"/>
      <c r="R333" s="19"/>
      <c r="S333" s="19" t="n">
        <v>85</v>
      </c>
      <c r="T333" s="16" t="n">
        <v>17</v>
      </c>
      <c r="U333" s="16" t="s">
        <v>32</v>
      </c>
      <c r="V333" s="16" t="n">
        <v>5</v>
      </c>
      <c r="W333" s="17" t="s">
        <v>31</v>
      </c>
      <c r="Y333" s="67" t="n">
        <v>46219</v>
      </c>
      <c r="Z333" s="15"/>
      <c r="AB333" s="5" t="s">
        <v>497</v>
      </c>
    </row>
    <row r="334" ht="15.75" hidden="1" customHeight="1">
      <c r="A334" s="24" t="n">
        <v>1342</v>
      </c>
      <c r="B334" s="28" t="n">
        <v>46219</v>
      </c>
      <c r="C334" s="1" t="s">
        <v>61</v>
      </c>
      <c r="D334" s="1"/>
      <c r="E334" s="24" t="s">
        <v>345</v>
      </c>
      <c r="F334" s="24" t="s">
        <v>161</v>
      </c>
      <c r="G334" s="1" t="s">
        <v>29</v>
      </c>
      <c r="H334" s="1" t="s">
        <v>162</v>
      </c>
      <c r="I334" s="1" t="s">
        <v>163</v>
      </c>
      <c r="J334" s="24" t="s">
        <v>346</v>
      </c>
      <c r="L334" s="1" t="s">
        <v>344</v>
      </c>
      <c r="M334" s="1" t="n">
        <v>150</v>
      </c>
      <c r="N334" s="1" t="n">
        <v>280</v>
      </c>
      <c r="O334" s="1" t="n">
        <v>45</v>
      </c>
      <c r="P334" s="1" t="s">
        <v>31</v>
      </c>
      <c r="Q334" s="19"/>
      <c r="R334" s="19"/>
      <c r="S334" s="19" t="n">
        <v>547</v>
      </c>
      <c r="T334" s="16" t="n">
        <v>11.900000</v>
      </c>
      <c r="U334" s="16" t="s">
        <v>32</v>
      </c>
      <c r="V334" s="16" t="n">
        <v>46</v>
      </c>
      <c r="W334" s="17" t="s">
        <v>31</v>
      </c>
      <c r="Y334" s="67" t="n">
        <v>46219</v>
      </c>
      <c r="Z334" s="15"/>
      <c r="AB334" s="5" t="s">
        <v>498</v>
      </c>
    </row>
    <row r="335" ht="15.75" hidden="1" customHeight="1">
      <c r="A335" s="24" t="n">
        <v>1351</v>
      </c>
      <c r="B335" s="28" t="n">
        <v>46219</v>
      </c>
      <c r="C335" s="1" t="s">
        <v>61</v>
      </c>
      <c r="D335" s="1"/>
      <c r="F335" s="1" t="s">
        <v>312</v>
      </c>
      <c r="G335" s="1" t="s">
        <v>29</v>
      </c>
      <c r="H335" s="1" t="s">
        <v>313</v>
      </c>
      <c r="I335" s="1" t="s">
        <v>314</v>
      </c>
      <c r="J335" s="24" t="s">
        <v>390</v>
      </c>
      <c r="L335" s="1" t="s">
        <v>187</v>
      </c>
      <c r="M335" s="1" t="n">
        <v>150</v>
      </c>
      <c r="N335" s="1" t="n">
        <v>85</v>
      </c>
      <c r="O335" s="1" t="n">
        <v>1</v>
      </c>
      <c r="P335" s="1" t="s">
        <v>31</v>
      </c>
      <c r="Q335" s="19"/>
      <c r="R335" s="19"/>
      <c r="S335" s="19" t="n">
        <v>11</v>
      </c>
      <c r="T335" s="16" t="n">
        <v>11</v>
      </c>
      <c r="U335" s="16" t="s">
        <v>32</v>
      </c>
      <c r="V335" s="16" t="n">
        <v>1</v>
      </c>
      <c r="W335" s="17" t="s">
        <v>31</v>
      </c>
      <c r="Y335" s="67" t="n">
        <v>46219</v>
      </c>
      <c r="Z335" s="15"/>
      <c r="AA335" s="5"/>
      <c r="AB335" s="5" t="s">
        <v>497</v>
      </c>
    </row>
    <row r="336" ht="15.75" hidden="1" customHeight="1">
      <c r="A336" s="24" t="n">
        <v>1354</v>
      </c>
      <c r="B336" s="29" t="n">
        <v>46219</v>
      </c>
      <c r="C336" s="24" t="s">
        <v>61</v>
      </c>
      <c r="E336" s="24" t="s">
        <v>499</v>
      </c>
      <c r="F336" s="24" t="s">
        <v>500</v>
      </c>
      <c r="G336" s="24" t="s">
        <v>29</v>
      </c>
      <c r="H336" s="1" t="s">
        <v>501</v>
      </c>
      <c r="I336" s="1" t="n">
        <v>18220</v>
      </c>
      <c r="J336" s="25" t="s">
        <v>502</v>
      </c>
      <c r="L336" s="1" t="s">
        <v>187</v>
      </c>
      <c r="M336" s="1" t="n">
        <v>150</v>
      </c>
      <c r="O336" s="24" t="n">
        <v>3</v>
      </c>
      <c r="P336" s="1" t="s">
        <v>31</v>
      </c>
      <c r="Q336" s="19"/>
      <c r="R336" s="19"/>
      <c r="S336" s="19" t="n">
        <v>51</v>
      </c>
      <c r="T336" s="16" t="n">
        <v>17</v>
      </c>
      <c r="U336" s="16" t="s">
        <v>32</v>
      </c>
      <c r="V336" s="16" t="n">
        <v>3</v>
      </c>
      <c r="W336" s="17" t="s">
        <v>31</v>
      </c>
      <c r="Y336" s="67" t="n">
        <v>46221</v>
      </c>
      <c r="Z336" s="15"/>
    </row>
    <row r="337" ht="15.75" hidden="1" customHeight="1">
      <c r="A337" s="35" t="n">
        <v>1355</v>
      </c>
      <c r="B337" s="37" t="n">
        <v>46219</v>
      </c>
      <c r="C337" s="35" t="s">
        <v>61</v>
      </c>
      <c r="E337" s="35" t="s">
        <v>503</v>
      </c>
      <c r="F337" s="35" t="s">
        <v>500</v>
      </c>
      <c r="G337" s="35" t="s">
        <v>29</v>
      </c>
      <c r="H337" s="1" t="s">
        <v>501</v>
      </c>
      <c r="I337" s="1" t="n">
        <v>18220</v>
      </c>
      <c r="J337" s="36" t="s">
        <v>504</v>
      </c>
      <c r="L337" s="1" t="s">
        <v>187</v>
      </c>
      <c r="M337" s="1" t="n">
        <v>150</v>
      </c>
      <c r="O337" s="35" t="n">
        <v>1</v>
      </c>
      <c r="P337" s="1" t="s">
        <v>31</v>
      </c>
      <c r="Q337" s="19"/>
      <c r="R337" s="19"/>
      <c r="S337" s="19" t="n">
        <v>17</v>
      </c>
      <c r="T337" s="16" t="n">
        <v>17</v>
      </c>
      <c r="U337" s="16" t="s">
        <v>32</v>
      </c>
      <c r="V337" s="16" t="n">
        <v>1</v>
      </c>
      <c r="W337" s="17" t="s">
        <v>31</v>
      </c>
      <c r="Y337" s="67" t="n">
        <v>46221</v>
      </c>
      <c r="Z337" s="15"/>
    </row>
    <row r="338" ht="15.75" hidden="1" customHeight="1">
      <c r="A338" s="35" t="n">
        <v>1356</v>
      </c>
      <c r="B338" s="37" t="n">
        <v>46219</v>
      </c>
      <c r="C338" s="35" t="s">
        <v>61</v>
      </c>
      <c r="E338" s="35" t="s">
        <v>505</v>
      </c>
      <c r="F338" s="35" t="s">
        <v>500</v>
      </c>
      <c r="G338" s="35" t="s">
        <v>29</v>
      </c>
      <c r="H338" s="1" t="s">
        <v>501</v>
      </c>
      <c r="I338" s="1" t="n">
        <v>18220</v>
      </c>
      <c r="J338" s="36" t="s">
        <v>506</v>
      </c>
      <c r="L338" s="1" t="s">
        <v>187</v>
      </c>
      <c r="M338" s="1" t="n">
        <v>150</v>
      </c>
      <c r="O338" s="35" t="n">
        <v>1.500000</v>
      </c>
      <c r="P338" s="1" t="s">
        <v>31</v>
      </c>
      <c r="Q338" s="19"/>
      <c r="R338" s="19"/>
      <c r="S338" s="19" t="n">
        <v>26</v>
      </c>
      <c r="T338" s="16" t="n">
        <v>17</v>
      </c>
      <c r="U338" s="16" t="s">
        <v>32</v>
      </c>
      <c r="V338" s="16" t="n">
        <v>1.500000</v>
      </c>
      <c r="W338" s="17" t="s">
        <v>31</v>
      </c>
      <c r="Y338" s="67" t="n">
        <v>46221</v>
      </c>
      <c r="Z338" s="15"/>
    </row>
    <row r="339" ht="15.75" hidden="1" customHeight="1">
      <c r="A339" s="35" t="n">
        <v>1357</v>
      </c>
      <c r="B339" s="37" t="n">
        <v>46219</v>
      </c>
      <c r="C339" s="35" t="s">
        <v>61</v>
      </c>
      <c r="E339" s="35" t="s">
        <v>507</v>
      </c>
      <c r="F339" s="35" t="s">
        <v>416</v>
      </c>
      <c r="G339" s="35" t="s">
        <v>29</v>
      </c>
      <c r="H339" s="1" t="s">
        <v>417</v>
      </c>
      <c r="I339" s="1" t="n">
        <v>6002</v>
      </c>
      <c r="J339" s="36" t="s">
        <v>508</v>
      </c>
      <c r="L339" s="1" t="s">
        <v>187</v>
      </c>
      <c r="M339" s="1" t="n">
        <v>150</v>
      </c>
      <c r="N339" s="1" t="n">
        <v>95</v>
      </c>
      <c r="O339" s="35" t="n">
        <v>5</v>
      </c>
      <c r="P339" s="1" t="s">
        <v>31</v>
      </c>
      <c r="Q339" s="19"/>
      <c r="R339" s="19"/>
      <c r="S339" s="19" t="n">
        <v>65</v>
      </c>
      <c r="T339" s="16" t="n">
        <v>13</v>
      </c>
      <c r="U339" s="16" t="s">
        <v>32</v>
      </c>
      <c r="V339" s="16" t="n">
        <v>5</v>
      </c>
      <c r="W339" s="17" t="s">
        <v>31</v>
      </c>
      <c r="Y339" s="67" t="n">
        <v>46221</v>
      </c>
      <c r="Z339" s="15"/>
    </row>
    <row r="340" ht="15.75" hidden="1" customHeight="1">
      <c r="A340" s="35" t="n">
        <v>1358</v>
      </c>
      <c r="B340" s="37" t="n">
        <v>46219</v>
      </c>
      <c r="C340" s="35" t="s">
        <v>61</v>
      </c>
      <c r="E340" s="35" t="s">
        <v>509</v>
      </c>
      <c r="F340" s="35" t="s">
        <v>416</v>
      </c>
      <c r="G340" s="35" t="s">
        <v>29</v>
      </c>
      <c r="H340" s="1" t="s">
        <v>417</v>
      </c>
      <c r="I340" s="1" t="n">
        <v>6002</v>
      </c>
      <c r="J340" s="36" t="s">
        <v>510</v>
      </c>
      <c r="L340" s="1" t="s">
        <v>187</v>
      </c>
      <c r="M340" s="1" t="n">
        <v>150</v>
      </c>
      <c r="N340" s="1" t="n">
        <v>95</v>
      </c>
      <c r="O340" s="35" t="n">
        <v>3</v>
      </c>
      <c r="P340" s="1" t="s">
        <v>31</v>
      </c>
      <c r="Q340" s="19"/>
      <c r="R340" s="19"/>
      <c r="S340" s="19" t="n">
        <v>39</v>
      </c>
      <c r="T340" s="16" t="n">
        <v>13</v>
      </c>
      <c r="U340" s="16" t="s">
        <v>32</v>
      </c>
      <c r="V340" s="16" t="n">
        <v>3</v>
      </c>
      <c r="W340" s="17" t="s">
        <v>31</v>
      </c>
      <c r="Y340" s="67" t="n">
        <v>46221</v>
      </c>
      <c r="Z340" s="15"/>
    </row>
    <row r="341" ht="15.75" hidden="1" customHeight="1">
      <c r="A341" s="35" t="n">
        <v>1359</v>
      </c>
      <c r="B341" s="37" t="n">
        <v>46219</v>
      </c>
      <c r="C341" s="35" t="s">
        <v>61</v>
      </c>
      <c r="E341" s="35" t="s">
        <v>511</v>
      </c>
      <c r="F341" s="35" t="s">
        <v>512</v>
      </c>
      <c r="G341" s="35" t="s">
        <v>29</v>
      </c>
      <c r="H341" s="1" t="s">
        <v>417</v>
      </c>
      <c r="I341" s="1" t="n">
        <v>6002</v>
      </c>
      <c r="J341" s="36" t="s">
        <v>513</v>
      </c>
      <c r="L341" s="1" t="s">
        <v>514</v>
      </c>
      <c r="M341" s="1" t="n">
        <v>150</v>
      </c>
      <c r="N341" s="1" t="n">
        <v>95</v>
      </c>
      <c r="O341" s="35" t="n">
        <v>0.500000</v>
      </c>
      <c r="P341" s="1" t="s">
        <v>31</v>
      </c>
      <c r="Q341" s="19"/>
      <c r="R341" s="19"/>
      <c r="S341" s="19" t="n">
        <v>13</v>
      </c>
      <c r="T341" s="16" t="n">
        <v>13</v>
      </c>
      <c r="U341" s="16" t="s">
        <v>32</v>
      </c>
      <c r="V341" s="16" t="n">
        <v>1</v>
      </c>
      <c r="W341" s="17" t="s">
        <v>31</v>
      </c>
      <c r="Y341" s="67" t="n">
        <v>46221</v>
      </c>
      <c r="Z341" s="15"/>
    </row>
    <row r="342" ht="15.75" customHeight="1">
      <c r="A342" s="24" t="n">
        <v>1363</v>
      </c>
      <c r="B342" s="28" t="n">
        <v>46221</v>
      </c>
      <c r="C342" s="35" t="s">
        <v>61</v>
      </c>
      <c r="E342" s="1" t="s">
        <v>394</v>
      </c>
      <c r="F342" s="24" t="s">
        <v>199</v>
      </c>
      <c r="G342" s="25" t="s">
        <v>29</v>
      </c>
      <c r="H342" s="70" t="s">
        <v>200</v>
      </c>
      <c r="I342" s="70" t="s">
        <v>201</v>
      </c>
      <c r="J342" s="24" t="s">
        <v>395</v>
      </c>
      <c r="L342" s="24" t="s">
        <v>203</v>
      </c>
      <c r="M342" s="25" t="n">
        <v>148</v>
      </c>
      <c r="N342" s="25" t="n">
        <v>180</v>
      </c>
      <c r="O342" s="1" t="n">
        <v>2</v>
      </c>
      <c r="P342" s="1" t="s">
        <v>31</v>
      </c>
      <c r="Q342" s="19"/>
      <c r="R342" s="19"/>
      <c r="S342" s="19" t="n">
        <v>32</v>
      </c>
      <c r="T342" s="16" t="n">
        <v>16</v>
      </c>
      <c r="U342" s="16" t="s">
        <v>32</v>
      </c>
      <c r="V342" s="16" t="n">
        <v>2</v>
      </c>
      <c r="W342" s="17" t="s">
        <v>31</v>
      </c>
      <c r="Y342" s="67" t="n">
        <v>46221</v>
      </c>
      <c r="Z342" s="15"/>
    </row>
    <row r="343" ht="15.75" customHeight="1">
      <c r="A343" s="35" t="n">
        <v>1364</v>
      </c>
      <c r="B343" s="28" t="n">
        <v>46221</v>
      </c>
      <c r="C343" s="35" t="s">
        <v>61</v>
      </c>
      <c r="E343" s="1" t="s">
        <v>515</v>
      </c>
      <c r="F343" s="35" t="s">
        <v>199</v>
      </c>
      <c r="G343" s="36" t="s">
        <v>29</v>
      </c>
      <c r="H343" s="71" t="s">
        <v>200</v>
      </c>
      <c r="I343" s="71" t="s">
        <v>201</v>
      </c>
      <c r="J343" s="35" t="s">
        <v>287</v>
      </c>
      <c r="L343" s="35" t="s">
        <v>203</v>
      </c>
      <c r="M343" s="36" t="n">
        <v>148</v>
      </c>
      <c r="N343" s="36" t="n">
        <v>180</v>
      </c>
      <c r="O343" s="1" t="n">
        <v>6</v>
      </c>
      <c r="P343" s="1" t="s">
        <v>31</v>
      </c>
      <c r="Q343" s="19"/>
      <c r="R343" s="19"/>
      <c r="S343" s="19" t="n">
        <v>96</v>
      </c>
      <c r="T343" s="16" t="n">
        <v>16</v>
      </c>
      <c r="U343" s="16" t="s">
        <v>32</v>
      </c>
      <c r="V343" s="16" t="n">
        <v>6</v>
      </c>
      <c r="W343" s="17" t="s">
        <v>31</v>
      </c>
      <c r="Y343" s="67" t="n">
        <v>46221</v>
      </c>
      <c r="Z343" s="15"/>
    </row>
    <row r="344" ht="15.75" hidden="1" customHeight="1">
      <c r="A344" s="35" t="n">
        <v>1365</v>
      </c>
      <c r="B344" s="28" t="n">
        <v>46221</v>
      </c>
      <c r="C344" s="35" t="s">
        <v>61</v>
      </c>
      <c r="E344" s="1" t="s">
        <v>516</v>
      </c>
      <c r="F344" s="35" t="s">
        <v>96</v>
      </c>
      <c r="G344" s="36" t="s">
        <v>29</v>
      </c>
      <c r="H344" s="71" t="s">
        <v>97</v>
      </c>
      <c r="I344" s="71" t="s">
        <v>98</v>
      </c>
      <c r="J344" s="35" t="s">
        <v>492</v>
      </c>
      <c r="L344" s="35" t="s">
        <v>239</v>
      </c>
      <c r="M344" s="36" t="n">
        <v>172</v>
      </c>
      <c r="N344" s="36" t="n">
        <v>210</v>
      </c>
      <c r="O344" s="1" t="n">
        <v>1</v>
      </c>
      <c r="P344" s="1" t="s">
        <v>31</v>
      </c>
      <c r="Q344" s="19"/>
      <c r="R344" s="19"/>
      <c r="S344" s="19" t="n">
        <v>20</v>
      </c>
      <c r="T344" s="16" t="n">
        <v>20</v>
      </c>
      <c r="U344" s="16" t="s">
        <v>32</v>
      </c>
      <c r="V344" s="16" t="n">
        <v>1</v>
      </c>
      <c r="W344" s="17" t="s">
        <v>31</v>
      </c>
      <c r="Y344" s="67" t="n">
        <v>46221</v>
      </c>
      <c r="Z344" s="15"/>
    </row>
    <row r="345" ht="15.75" hidden="1" customHeight="1">
      <c r="A345" s="24" t="n">
        <v>1369</v>
      </c>
      <c r="B345" s="28" t="n">
        <v>46221</v>
      </c>
      <c r="C345" s="35" t="s">
        <v>61</v>
      </c>
      <c r="E345" s="1" t="s">
        <v>517</v>
      </c>
      <c r="F345" s="24" t="s">
        <v>328</v>
      </c>
      <c r="G345" s="1" t="s">
        <v>29</v>
      </c>
      <c r="H345" s="1" t="s">
        <v>329</v>
      </c>
      <c r="I345" s="1" t="n">
        <v>938</v>
      </c>
      <c r="J345" s="1" t="s">
        <v>518</v>
      </c>
      <c r="L345" s="1" t="s">
        <v>187</v>
      </c>
      <c r="M345" s="1" t="n">
        <v>150</v>
      </c>
      <c r="N345" s="1" t="n">
        <v>180</v>
      </c>
      <c r="O345" s="1" t="n">
        <v>4</v>
      </c>
      <c r="P345" s="1" t="s">
        <v>31</v>
      </c>
      <c r="Q345" s="19"/>
      <c r="R345" s="19"/>
      <c r="S345" s="19" t="n">
        <v>68</v>
      </c>
      <c r="T345" s="16" t="n">
        <v>17</v>
      </c>
      <c r="U345" s="16" t="s">
        <v>32</v>
      </c>
      <c r="V345" s="16" t="n">
        <v>4</v>
      </c>
      <c r="W345" s="17" t="s">
        <v>31</v>
      </c>
      <c r="Y345" s="67" t="n">
        <v>46222</v>
      </c>
      <c r="Z345" s="15"/>
      <c r="AB345" s="5" t="s">
        <v>497</v>
      </c>
    </row>
    <row r="346" ht="15.75" hidden="1" customHeight="1">
      <c r="Q346" s="19"/>
      <c r="R346" s="19"/>
      <c r="S346" s="19"/>
      <c r="T346" s="16"/>
      <c r="U346" s="16"/>
      <c r="V346" s="16"/>
      <c r="W346" s="17" t="s">
        <v>31</v>
      </c>
      <c r="Z346" s="15"/>
    </row>
    <row r="347" ht="15.75" hidden="1" customHeight="1">
      <c r="Q347" s="19"/>
      <c r="R347" s="19"/>
      <c r="S347" s="19"/>
      <c r="T347" s="16"/>
      <c r="U347" s="16"/>
      <c r="V347" s="16"/>
      <c r="W347" s="23"/>
      <c r="Z347" s="15"/>
    </row>
    <row r="348" ht="15.75" hidden="1" customHeight="1">
      <c r="Q348" s="19"/>
      <c r="R348" s="19"/>
      <c r="S348" s="19"/>
      <c r="T348" s="16"/>
      <c r="U348" s="16"/>
      <c r="V348" s="16"/>
      <c r="W348" s="23"/>
      <c r="Z348" s="15"/>
    </row>
    <row r="349" ht="15.75" hidden="1" customHeight="1">
      <c r="Q349" s="19"/>
      <c r="R349" s="19"/>
      <c r="S349" s="19"/>
      <c r="T349" s="16"/>
      <c r="U349" s="16"/>
      <c r="V349" s="16"/>
      <c r="W349" s="23"/>
      <c r="Z349" s="15"/>
    </row>
    <row r="350" ht="15.75" hidden="1" customHeight="1">
      <c r="Q350" s="19"/>
      <c r="R350" s="19"/>
      <c r="S350" s="19"/>
      <c r="T350" s="16"/>
      <c r="U350" s="16"/>
      <c r="V350" s="16"/>
      <c r="W350" s="23"/>
      <c r="Z350" s="15"/>
    </row>
    <row r="351" ht="15.75" hidden="1" customHeight="1">
      <c r="Q351" s="19"/>
      <c r="R351" s="19"/>
      <c r="S351" s="19"/>
      <c r="T351" s="16"/>
      <c r="U351" s="16"/>
      <c r="V351" s="16"/>
      <c r="W351" s="23"/>
      <c r="Z351" s="15"/>
    </row>
    <row r="352" ht="15.75" hidden="1" customHeight="1">
      <c r="Q352" s="19"/>
      <c r="R352" s="19"/>
      <c r="S352" s="19"/>
      <c r="T352" s="16"/>
      <c r="U352" s="16"/>
      <c r="V352" s="16"/>
      <c r="W352" s="23"/>
      <c r="Z352" s="15"/>
    </row>
    <row r="353" ht="15.75" hidden="1" customHeight="1">
      <c r="Q353" s="19"/>
      <c r="R353" s="19"/>
      <c r="S353" s="19"/>
      <c r="T353" s="16"/>
      <c r="U353" s="16"/>
      <c r="V353" s="16"/>
      <c r="W353" s="23"/>
      <c r="Z353" s="15"/>
    </row>
    <row r="354" ht="15.75" hidden="1" customHeight="1">
      <c r="Q354" s="19"/>
      <c r="R354" s="19"/>
      <c r="S354" s="19"/>
      <c r="T354" s="16"/>
      <c r="U354" s="16"/>
      <c r="V354" s="16"/>
      <c r="W354" s="23"/>
      <c r="Z354" s="15"/>
    </row>
    <row r="355" ht="15.75" hidden="1" customHeight="1">
      <c r="Q355" s="19"/>
      <c r="R355" s="19"/>
      <c r="S355" s="19"/>
      <c r="T355" s="16"/>
      <c r="U355" s="16"/>
      <c r="V355" s="16"/>
      <c r="W355" s="23"/>
      <c r="Z355" s="15"/>
    </row>
    <row r="356" ht="15.75" hidden="1" customHeight="1">
      <c r="Q356" s="19"/>
      <c r="R356" s="19"/>
      <c r="S356" s="19"/>
      <c r="T356" s="16"/>
      <c r="U356" s="16"/>
      <c r="V356" s="16"/>
      <c r="W356" s="23"/>
      <c r="Z356" s="15"/>
    </row>
    <row r="357" ht="15.75" hidden="1" customHeight="1">
      <c r="Q357" s="19"/>
      <c r="R357" s="19"/>
      <c r="S357" s="19"/>
      <c r="T357" s="16"/>
      <c r="U357" s="16"/>
      <c r="V357" s="16"/>
      <c r="W357" s="23"/>
      <c r="Z357" s="15"/>
    </row>
    <row r="358" ht="15.75" hidden="1" customHeight="1">
      <c r="Q358" s="19"/>
      <c r="R358" s="19"/>
      <c r="S358" s="19"/>
      <c r="T358" s="16"/>
      <c r="U358" s="16"/>
      <c r="V358" s="16"/>
      <c r="W358" s="23"/>
      <c r="Z358" s="15"/>
    </row>
    <row r="359" ht="15.75" hidden="1" customHeight="1">
      <c r="Q359" s="19"/>
      <c r="R359" s="19"/>
      <c r="S359" s="19"/>
      <c r="T359" s="16"/>
      <c r="U359" s="16"/>
      <c r="V359" s="16"/>
      <c r="W359" s="23"/>
      <c r="Z359" s="15"/>
    </row>
    <row r="360" ht="15.75" hidden="1" customHeight="1">
      <c r="Q360" s="19"/>
      <c r="R360" s="19"/>
      <c r="S360" s="19"/>
      <c r="T360" s="16"/>
      <c r="U360" s="16"/>
      <c r="V360" s="16"/>
      <c r="W360" s="23"/>
      <c r="Z360" s="15"/>
    </row>
    <row r="361" ht="15.75" hidden="1" customHeight="1">
      <c r="Q361" s="19"/>
      <c r="R361" s="19"/>
      <c r="S361" s="19"/>
      <c r="T361" s="16"/>
      <c r="U361" s="16"/>
      <c r="V361" s="16"/>
      <c r="W361" s="23"/>
      <c r="Z361" s="15"/>
    </row>
    <row r="362" ht="15.75" hidden="1" customHeight="1">
      <c r="Q362" s="19"/>
      <c r="R362" s="19"/>
      <c r="S362" s="19"/>
      <c r="T362" s="16"/>
      <c r="U362" s="16"/>
      <c r="V362" s="16"/>
      <c r="W362" s="23"/>
      <c r="Z362" s="15"/>
    </row>
    <row r="363" ht="15.75" hidden="1" customHeight="1">
      <c r="Q363" s="19"/>
      <c r="R363" s="19"/>
      <c r="S363" s="19"/>
      <c r="T363" s="16"/>
      <c r="U363" s="16"/>
      <c r="V363" s="16"/>
      <c r="W363" s="23"/>
      <c r="Z363" s="15"/>
    </row>
    <row r="364" ht="15.75" hidden="1" customHeight="1">
      <c r="Q364" s="19"/>
      <c r="R364" s="19"/>
      <c r="S364" s="19"/>
      <c r="T364" s="16"/>
      <c r="U364" s="16"/>
      <c r="V364" s="16"/>
      <c r="W364" s="23"/>
      <c r="Z364" s="15"/>
    </row>
    <row r="365" ht="15.75" hidden="1" customHeight="1">
      <c r="Q365" s="19"/>
      <c r="R365" s="19"/>
      <c r="S365" s="19"/>
      <c r="T365" s="16"/>
      <c r="U365" s="16"/>
      <c r="V365" s="16"/>
      <c r="W365" s="23"/>
      <c r="Z365" s="15"/>
    </row>
    <row r="366" ht="15.75" hidden="1" customHeight="1">
      <c r="Q366" s="19"/>
      <c r="R366" s="19"/>
      <c r="S366" s="19"/>
      <c r="T366" s="16"/>
      <c r="U366" s="16"/>
      <c r="V366" s="16"/>
      <c r="W366" s="23"/>
      <c r="Z366" s="15"/>
    </row>
    <row r="367" ht="15.75" hidden="1" customHeight="1">
      <c r="Q367" s="19"/>
      <c r="R367" s="19"/>
      <c r="S367" s="19"/>
      <c r="T367" s="16"/>
      <c r="U367" s="16"/>
      <c r="V367" s="16"/>
      <c r="W367" s="23"/>
      <c r="Z367" s="15"/>
    </row>
    <row r="368" ht="15.75" hidden="1" customHeight="1">
      <c r="Q368" s="19"/>
      <c r="R368" s="19"/>
      <c r="S368" s="19"/>
      <c r="T368" s="16"/>
      <c r="U368" s="16"/>
      <c r="V368" s="16"/>
      <c r="W368" s="23"/>
      <c r="Z368" s="15"/>
    </row>
    <row r="369" ht="15.75" hidden="1" customHeight="1">
      <c r="Q369" s="19"/>
      <c r="R369" s="19"/>
      <c r="S369" s="19"/>
      <c r="T369" s="16"/>
      <c r="U369" s="16"/>
      <c r="V369" s="16"/>
      <c r="W369" s="23"/>
      <c r="Z369" s="15"/>
    </row>
    <row r="370" ht="15.75" hidden="1" customHeight="1">
      <c r="Q370" s="19"/>
      <c r="R370" s="19"/>
      <c r="S370" s="19"/>
      <c r="T370" s="16"/>
      <c r="U370" s="16"/>
      <c r="V370" s="16"/>
      <c r="W370" s="23"/>
      <c r="Z370" s="15"/>
    </row>
    <row r="371" ht="15.75" hidden="1" customHeight="1">
      <c r="Q371" s="19"/>
      <c r="R371" s="19"/>
      <c r="S371" s="19"/>
      <c r="T371" s="16"/>
      <c r="U371" s="16"/>
      <c r="V371" s="16"/>
      <c r="W371" s="23"/>
      <c r="Z371" s="15"/>
    </row>
    <row r="372" ht="15.75" hidden="1" customHeight="1">
      <c r="Q372" s="19"/>
      <c r="R372" s="19"/>
      <c r="S372" s="19"/>
      <c r="T372" s="16"/>
      <c r="U372" s="16"/>
      <c r="V372" s="16"/>
      <c r="W372" s="23"/>
      <c r="Z372" s="15"/>
    </row>
    <row r="373" ht="15.75" hidden="1" customHeight="1">
      <c r="Q373" s="19"/>
      <c r="R373" s="19"/>
      <c r="S373" s="19"/>
      <c r="T373" s="16"/>
      <c r="U373" s="16"/>
      <c r="V373" s="16"/>
      <c r="W373" s="23"/>
      <c r="Z373" s="15"/>
    </row>
    <row r="374" ht="15.75" hidden="1" customHeight="1">
      <c r="Q374" s="19"/>
      <c r="R374" s="19"/>
      <c r="S374" s="19"/>
      <c r="T374" s="16"/>
      <c r="U374" s="16"/>
      <c r="V374" s="16"/>
      <c r="W374" s="23"/>
      <c r="Z374" s="15"/>
    </row>
    <row r="375" ht="15.75" hidden="1" customHeight="1">
      <c r="Q375" s="19"/>
      <c r="R375" s="19"/>
      <c r="S375" s="19"/>
      <c r="T375" s="16"/>
      <c r="U375" s="16"/>
      <c r="V375" s="16"/>
      <c r="W375" s="23"/>
      <c r="Z375" s="15"/>
    </row>
    <row r="376" ht="15.75" hidden="1" customHeight="1">
      <c r="Q376" s="19"/>
      <c r="R376" s="19"/>
      <c r="S376" s="19"/>
      <c r="T376" s="16"/>
      <c r="U376" s="16"/>
      <c r="V376" s="16"/>
      <c r="W376" s="23"/>
      <c r="Z376" s="15"/>
    </row>
    <row r="377" ht="15.75" hidden="1" customHeight="1">
      <c r="Q377" s="19"/>
      <c r="R377" s="19"/>
      <c r="S377" s="19"/>
      <c r="T377" s="16"/>
      <c r="U377" s="16"/>
      <c r="V377" s="16"/>
      <c r="W377" s="23"/>
      <c r="Z377" s="15"/>
    </row>
    <row r="378" ht="15.75" hidden="1" customHeight="1">
      <c r="Q378" s="19"/>
      <c r="R378" s="19"/>
      <c r="S378" s="19"/>
      <c r="T378" s="16"/>
      <c r="U378" s="16"/>
      <c r="V378" s="16"/>
      <c r="W378" s="23"/>
      <c r="Z378" s="15"/>
    </row>
    <row r="379" ht="15.75" hidden="1" customHeight="1">
      <c r="Q379" s="19"/>
      <c r="R379" s="19"/>
      <c r="S379" s="19"/>
      <c r="T379" s="16"/>
      <c r="U379" s="16"/>
      <c r="V379" s="16"/>
      <c r="W379" s="23"/>
      <c r="Z379" s="15"/>
    </row>
    <row r="380" ht="15.75" hidden="1" customHeight="1">
      <c r="Q380" s="19"/>
      <c r="R380" s="19"/>
      <c r="S380" s="19"/>
      <c r="T380" s="16"/>
      <c r="U380" s="16"/>
      <c r="V380" s="16"/>
      <c r="W380" s="23"/>
      <c r="Z380" s="15"/>
    </row>
    <row r="381" ht="15.75" hidden="1" customHeight="1">
      <c r="Q381" s="19"/>
      <c r="R381" s="19"/>
      <c r="S381" s="19"/>
      <c r="T381" s="16"/>
      <c r="U381" s="16"/>
      <c r="V381" s="16"/>
      <c r="W381" s="23"/>
      <c r="Z381" s="15"/>
    </row>
    <row r="382" ht="15.75" hidden="1" customHeight="1">
      <c r="Q382" s="19"/>
      <c r="R382" s="19"/>
      <c r="S382" s="19"/>
      <c r="T382" s="16"/>
      <c r="U382" s="16"/>
      <c r="V382" s="16"/>
      <c r="W382" s="23"/>
      <c r="Z382" s="15"/>
    </row>
    <row r="383" ht="15.75" hidden="1" customHeight="1">
      <c r="Q383" s="19"/>
      <c r="R383" s="19"/>
      <c r="S383" s="19"/>
      <c r="T383" s="16"/>
      <c r="U383" s="16"/>
      <c r="V383" s="16"/>
      <c r="W383" s="23"/>
      <c r="Z383" s="15"/>
    </row>
    <row r="384" ht="15.75" hidden="1" customHeight="1">
      <c r="Q384" s="19"/>
      <c r="R384" s="19"/>
      <c r="S384" s="19"/>
      <c r="T384" s="16"/>
      <c r="U384" s="16"/>
      <c r="V384" s="16"/>
      <c r="W384" s="23"/>
      <c r="Z384" s="15"/>
    </row>
    <row r="385" ht="15.75" hidden="1" customHeight="1">
      <c r="Q385" s="19"/>
      <c r="R385" s="19"/>
      <c r="S385" s="19"/>
      <c r="T385" s="16"/>
      <c r="U385" s="16"/>
      <c r="V385" s="16"/>
      <c r="W385" s="23"/>
      <c r="Z385" s="15"/>
    </row>
    <row r="386" ht="15.75" hidden="1" customHeight="1">
      <c r="Q386" s="19"/>
      <c r="R386" s="19"/>
      <c r="S386" s="19"/>
      <c r="T386" s="16"/>
      <c r="U386" s="16"/>
      <c r="V386" s="16"/>
      <c r="W386" s="23"/>
      <c r="Z386" s="15"/>
    </row>
    <row r="387" ht="15.75" hidden="1" customHeight="1">
      <c r="Q387" s="19"/>
      <c r="R387" s="19"/>
      <c r="S387" s="19"/>
      <c r="T387" s="16"/>
      <c r="U387" s="16"/>
      <c r="V387" s="16"/>
      <c r="W387" s="23"/>
      <c r="Z387" s="15"/>
    </row>
    <row r="388" ht="15.75" hidden="1" customHeight="1">
      <c r="Q388" s="19"/>
      <c r="R388" s="19"/>
      <c r="S388" s="19"/>
      <c r="T388" s="16"/>
      <c r="U388" s="16"/>
      <c r="V388" s="16"/>
      <c r="W388" s="23"/>
      <c r="Z388" s="15"/>
    </row>
    <row r="389" ht="15.75" hidden="1" customHeight="1">
      <c r="Q389" s="19"/>
      <c r="R389" s="19"/>
      <c r="S389" s="19"/>
      <c r="T389" s="16"/>
      <c r="U389" s="16"/>
      <c r="V389" s="16"/>
      <c r="W389" s="23"/>
      <c r="Z389" s="15"/>
    </row>
    <row r="390" ht="15.75" hidden="1" customHeight="1">
      <c r="Q390" s="19"/>
      <c r="R390" s="19"/>
      <c r="S390" s="19"/>
      <c r="T390" s="16"/>
      <c r="U390" s="16"/>
      <c r="V390" s="16"/>
      <c r="W390" s="23"/>
      <c r="Z390" s="15"/>
    </row>
    <row r="391" ht="15.75" hidden="1" customHeight="1">
      <c r="Q391" s="19"/>
      <c r="R391" s="19"/>
      <c r="S391" s="19"/>
      <c r="T391" s="16"/>
      <c r="U391" s="16"/>
      <c r="V391" s="16"/>
      <c r="W391" s="23"/>
      <c r="Z391" s="15"/>
    </row>
    <row r="392" ht="15.75" hidden="1" customHeight="1">
      <c r="Q392" s="19"/>
      <c r="R392" s="19"/>
      <c r="S392" s="19"/>
      <c r="T392" s="16"/>
      <c r="U392" s="16"/>
      <c r="V392" s="16"/>
      <c r="W392" s="23"/>
      <c r="Z392" s="15"/>
    </row>
    <row r="393" ht="15.75" hidden="1" customHeight="1">
      <c r="Q393" s="19"/>
      <c r="R393" s="19"/>
      <c r="S393" s="19"/>
      <c r="T393" s="16"/>
      <c r="U393" s="16"/>
      <c r="V393" s="16"/>
      <c r="W393" s="23"/>
      <c r="Z393" s="15"/>
    </row>
    <row r="394" ht="15.75" hidden="1" customHeight="1">
      <c r="Q394" s="19"/>
      <c r="R394" s="19"/>
      <c r="S394" s="19"/>
      <c r="T394" s="16"/>
      <c r="U394" s="16"/>
      <c r="V394" s="16"/>
      <c r="W394" s="23"/>
      <c r="Z394" s="15"/>
    </row>
    <row r="395" ht="15.75" hidden="1" customHeight="1">
      <c r="Q395" s="19"/>
      <c r="R395" s="19"/>
      <c r="S395" s="19"/>
      <c r="T395" s="16"/>
      <c r="U395" s="16"/>
      <c r="V395" s="16"/>
      <c r="W395" s="23"/>
      <c r="Z395" s="15"/>
    </row>
    <row r="396" ht="15.75" hidden="1" customHeight="1">
      <c r="Q396" s="19"/>
      <c r="R396" s="19"/>
      <c r="S396" s="19"/>
      <c r="T396" s="16"/>
      <c r="U396" s="16"/>
      <c r="V396" s="16"/>
      <c r="W396" s="23"/>
      <c r="Z396" s="15"/>
    </row>
    <row r="397" ht="15.75" hidden="1" customHeight="1">
      <c r="Q397" s="19"/>
      <c r="R397" s="19"/>
      <c r="S397" s="19"/>
      <c r="T397" s="16"/>
      <c r="U397" s="16"/>
      <c r="V397" s="16"/>
      <c r="W397" s="23"/>
      <c r="Z397" s="15"/>
    </row>
    <row r="398" ht="15.75" hidden="1" customHeight="1">
      <c r="Q398" s="19"/>
      <c r="R398" s="19"/>
      <c r="S398" s="19"/>
      <c r="T398" s="16"/>
      <c r="U398" s="16"/>
      <c r="V398" s="16"/>
      <c r="W398" s="23"/>
      <c r="Z398" s="15"/>
    </row>
    <row r="399" ht="15.75" hidden="1" customHeight="1">
      <c r="Q399" s="19"/>
      <c r="R399" s="19"/>
      <c r="S399" s="19"/>
      <c r="T399" s="16"/>
      <c r="U399" s="16"/>
      <c r="V399" s="16"/>
      <c r="W399" s="23"/>
      <c r="Z399" s="15"/>
    </row>
    <row r="400" ht="15.75" hidden="1" customHeight="1">
      <c r="Q400" s="19"/>
      <c r="R400" s="19"/>
      <c r="S400" s="19"/>
      <c r="T400" s="16"/>
      <c r="U400" s="16"/>
      <c r="V400" s="16"/>
      <c r="W400" s="23"/>
      <c r="Z400" s="15"/>
    </row>
    <row r="401" ht="15.75" hidden="1" customHeight="1">
      <c r="Q401" s="19"/>
      <c r="R401" s="19"/>
      <c r="S401" s="19"/>
      <c r="T401" s="16"/>
      <c r="U401" s="16"/>
      <c r="V401" s="16"/>
      <c r="W401" s="23"/>
      <c r="Z401" s="15"/>
    </row>
    <row r="402" ht="15.75" hidden="1" customHeight="1">
      <c r="Q402" s="19"/>
      <c r="R402" s="19"/>
      <c r="S402" s="19"/>
      <c r="T402" s="16"/>
      <c r="U402" s="16"/>
      <c r="V402" s="16"/>
      <c r="W402" s="23"/>
      <c r="Z402" s="15"/>
    </row>
    <row r="403" ht="15.75" hidden="1" customHeight="1">
      <c r="Q403" s="19"/>
      <c r="R403" s="19"/>
      <c r="S403" s="19"/>
      <c r="T403" s="16"/>
      <c r="U403" s="16"/>
      <c r="V403" s="16"/>
      <c r="W403" s="23"/>
      <c r="Z403" s="15"/>
    </row>
    <row r="404" ht="15.75" hidden="1" customHeight="1">
      <c r="Q404" s="19"/>
      <c r="R404" s="19"/>
      <c r="S404" s="19"/>
      <c r="T404" s="16"/>
      <c r="U404" s="16"/>
      <c r="V404" s="16"/>
      <c r="W404" s="23"/>
      <c r="Z404" s="15"/>
    </row>
    <row r="405" ht="15.75" hidden="1" customHeight="1">
      <c r="Q405" s="19"/>
      <c r="R405" s="19"/>
      <c r="S405" s="19"/>
      <c r="T405" s="16"/>
      <c r="U405" s="16"/>
      <c r="V405" s="16"/>
      <c r="W405" s="23"/>
      <c r="Z405" s="15"/>
    </row>
    <row r="406" ht="15.75" hidden="1" customHeight="1">
      <c r="Q406" s="19"/>
      <c r="R406" s="19"/>
      <c r="S406" s="19"/>
      <c r="T406" s="16"/>
      <c r="U406" s="16"/>
      <c r="V406" s="16"/>
      <c r="W406" s="23"/>
      <c r="Z406" s="15"/>
    </row>
    <row r="407" ht="15.75" hidden="1" customHeight="1">
      <c r="Q407" s="19"/>
      <c r="R407" s="19"/>
      <c r="S407" s="19"/>
      <c r="T407" s="16"/>
      <c r="U407" s="16"/>
      <c r="V407" s="16"/>
      <c r="W407" s="23"/>
      <c r="Z407" s="15"/>
    </row>
    <row r="408" ht="15.75" hidden="1" customHeight="1">
      <c r="Q408" s="19"/>
      <c r="R408" s="19"/>
      <c r="S408" s="19"/>
      <c r="T408" s="16"/>
      <c r="U408" s="16"/>
      <c r="V408" s="16"/>
      <c r="W408" s="23"/>
      <c r="Z408" s="15"/>
    </row>
    <row r="409" ht="15.75" hidden="1" customHeight="1">
      <c r="Q409" s="19"/>
      <c r="R409" s="19"/>
      <c r="S409" s="19"/>
      <c r="T409" s="16"/>
      <c r="U409" s="16"/>
      <c r="V409" s="16"/>
      <c r="W409" s="23"/>
      <c r="Z409" s="15"/>
    </row>
    <row r="410" ht="15.75" hidden="1" customHeight="1">
      <c r="Q410" s="19"/>
      <c r="R410" s="19"/>
      <c r="S410" s="19"/>
      <c r="T410" s="16"/>
      <c r="U410" s="16"/>
      <c r="V410" s="16"/>
      <c r="W410" s="23"/>
      <c r="Z410" s="15"/>
    </row>
    <row r="411" ht="15.75" hidden="1" customHeight="1">
      <c r="Q411" s="19"/>
      <c r="R411" s="19"/>
      <c r="S411" s="19"/>
      <c r="T411" s="16"/>
      <c r="U411" s="16"/>
      <c r="V411" s="16"/>
      <c r="W411" s="23"/>
      <c r="Z411" s="15"/>
    </row>
    <row r="412" ht="15.75" hidden="1" customHeight="1">
      <c r="Q412" s="19"/>
      <c r="R412" s="19"/>
      <c r="S412" s="19"/>
      <c r="T412" s="16"/>
      <c r="U412" s="16"/>
      <c r="V412" s="16"/>
      <c r="W412" s="23"/>
      <c r="Z412" s="15"/>
    </row>
    <row r="413" ht="15.75" hidden="1" customHeight="1">
      <c r="Q413" s="19"/>
      <c r="R413" s="19"/>
      <c r="S413" s="19"/>
      <c r="T413" s="16"/>
      <c r="U413" s="16"/>
      <c r="V413" s="16"/>
      <c r="W413" s="23"/>
      <c r="Z413" s="15"/>
    </row>
    <row r="414" ht="15.75" hidden="1" customHeight="1">
      <c r="Q414" s="19"/>
      <c r="R414" s="19"/>
      <c r="S414" s="19"/>
      <c r="T414" s="16"/>
      <c r="U414" s="16"/>
      <c r="V414" s="16"/>
      <c r="W414" s="23"/>
      <c r="Z414" s="15"/>
    </row>
    <row r="415" ht="15.75" hidden="1" customHeight="1">
      <c r="Q415" s="19"/>
      <c r="R415" s="19"/>
      <c r="S415" s="19"/>
      <c r="T415" s="16"/>
      <c r="U415" s="16"/>
      <c r="V415" s="16"/>
      <c r="W415" s="23"/>
      <c r="Z415" s="15"/>
    </row>
    <row r="416" ht="15.75" hidden="1" customHeight="1">
      <c r="Q416" s="19"/>
      <c r="R416" s="19"/>
      <c r="S416" s="19"/>
      <c r="T416" s="16"/>
      <c r="U416" s="16"/>
      <c r="V416" s="16"/>
      <c r="W416" s="23"/>
      <c r="Z416" s="15"/>
    </row>
    <row r="417" ht="15.75" hidden="1" customHeight="1">
      <c r="Q417" s="19"/>
      <c r="R417" s="19"/>
      <c r="S417" s="19"/>
      <c r="T417" s="16"/>
      <c r="U417" s="16"/>
      <c r="V417" s="16"/>
      <c r="W417" s="23"/>
      <c r="Z417" s="15"/>
    </row>
    <row r="418" ht="15.75" hidden="1" customHeight="1">
      <c r="Q418" s="19"/>
      <c r="R418" s="19"/>
      <c r="S418" s="19"/>
      <c r="T418" s="16"/>
      <c r="U418" s="16"/>
      <c r="V418" s="16"/>
      <c r="W418" s="23"/>
      <c r="Z418" s="15"/>
    </row>
    <row r="419" ht="15.75" hidden="1" customHeight="1">
      <c r="Q419" s="19"/>
      <c r="R419" s="19"/>
      <c r="S419" s="19"/>
      <c r="T419" s="16"/>
      <c r="U419" s="16"/>
      <c r="V419" s="16"/>
      <c r="W419" s="23"/>
      <c r="Z419" s="15"/>
    </row>
    <row r="420" ht="15.75" hidden="1" customHeight="1">
      <c r="Q420" s="19"/>
      <c r="R420" s="19"/>
      <c r="S420" s="19"/>
      <c r="T420" s="16"/>
      <c r="U420" s="16"/>
      <c r="V420" s="16"/>
      <c r="W420" s="23"/>
      <c r="Z420" s="15"/>
    </row>
    <row r="421" ht="15.75" hidden="1" customHeight="1">
      <c r="Q421" s="19"/>
      <c r="R421" s="19"/>
      <c r="S421" s="19"/>
      <c r="T421" s="16"/>
      <c r="U421" s="16"/>
      <c r="V421" s="16"/>
      <c r="W421" s="23"/>
      <c r="Z421" s="15"/>
    </row>
    <row r="422" ht="15.75" hidden="1" customHeight="1">
      <c r="Q422" s="19"/>
      <c r="R422" s="19"/>
      <c r="S422" s="19"/>
      <c r="T422" s="16"/>
      <c r="U422" s="16"/>
      <c r="V422" s="16"/>
      <c r="W422" s="23"/>
      <c r="Z422" s="15"/>
    </row>
    <row r="423" ht="15.75" hidden="1" customHeight="1">
      <c r="Q423" s="19"/>
      <c r="R423" s="19"/>
      <c r="S423" s="19"/>
      <c r="T423" s="16"/>
      <c r="U423" s="16"/>
      <c r="V423" s="16"/>
      <c r="W423" s="23"/>
      <c r="Z423" s="15"/>
    </row>
    <row r="424" ht="15.75" hidden="1" customHeight="1">
      <c r="Q424" s="19"/>
      <c r="R424" s="19"/>
      <c r="S424" s="19"/>
      <c r="T424" s="16"/>
      <c r="U424" s="16"/>
      <c r="V424" s="16"/>
      <c r="W424" s="23"/>
      <c r="Z424" s="15"/>
    </row>
    <row r="425" ht="15.75" hidden="1" customHeight="1">
      <c r="Q425" s="19"/>
      <c r="R425" s="19"/>
      <c r="S425" s="19"/>
      <c r="T425" s="16"/>
      <c r="U425" s="16"/>
      <c r="V425" s="16"/>
      <c r="W425" s="23"/>
      <c r="Z425" s="15"/>
    </row>
    <row r="426" ht="15.75" hidden="1" customHeight="1">
      <c r="Q426" s="19"/>
      <c r="R426" s="19"/>
      <c r="S426" s="19"/>
      <c r="T426" s="16"/>
      <c r="U426" s="16"/>
      <c r="V426" s="16"/>
      <c r="W426" s="23"/>
      <c r="Z426" s="15"/>
    </row>
    <row r="427" ht="15.75" hidden="1" customHeight="1">
      <c r="Q427" s="19"/>
      <c r="R427" s="19"/>
      <c r="S427" s="19"/>
      <c r="T427" s="16"/>
      <c r="U427" s="16"/>
      <c r="V427" s="16"/>
      <c r="W427" s="23"/>
      <c r="Z427" s="15"/>
    </row>
    <row r="428" ht="15.75" hidden="1" customHeight="1">
      <c r="Q428" s="19"/>
      <c r="R428" s="19"/>
      <c r="S428" s="19"/>
      <c r="T428" s="16"/>
      <c r="U428" s="16"/>
      <c r="V428" s="16"/>
      <c r="W428" s="23"/>
      <c r="Z428" s="15"/>
    </row>
    <row r="429" ht="15.75" hidden="1" customHeight="1">
      <c r="Q429" s="19"/>
      <c r="R429" s="19"/>
      <c r="S429" s="19"/>
      <c r="T429" s="16"/>
      <c r="U429" s="16"/>
      <c r="V429" s="16"/>
      <c r="W429" s="23"/>
      <c r="Z429" s="15"/>
    </row>
    <row r="430" ht="15.75" hidden="1" customHeight="1">
      <c r="Q430" s="19"/>
      <c r="R430" s="19"/>
      <c r="S430" s="19"/>
      <c r="T430" s="16"/>
      <c r="U430" s="16"/>
      <c r="V430" s="16"/>
      <c r="W430" s="23"/>
      <c r="Z430" s="15"/>
    </row>
    <row r="431" ht="15.75" hidden="1" customHeight="1">
      <c r="Q431" s="19"/>
      <c r="R431" s="19"/>
      <c r="S431" s="19"/>
      <c r="T431" s="16"/>
      <c r="U431" s="16"/>
      <c r="V431" s="16"/>
      <c r="W431" s="23"/>
      <c r="Z431" s="15"/>
    </row>
    <row r="432" ht="15.75" hidden="1" customHeight="1">
      <c r="Q432" s="19"/>
      <c r="R432" s="19"/>
      <c r="S432" s="19"/>
      <c r="T432" s="16"/>
      <c r="U432" s="16"/>
      <c r="V432" s="16"/>
      <c r="W432" s="23"/>
      <c r="Z432" s="15"/>
    </row>
    <row r="433" ht="15.75" hidden="1" customHeight="1">
      <c r="Q433" s="19"/>
      <c r="R433" s="19"/>
      <c r="S433" s="19"/>
      <c r="T433" s="16"/>
      <c r="U433" s="16"/>
      <c r="V433" s="16"/>
      <c r="W433" s="23"/>
      <c r="Z433" s="15"/>
    </row>
    <row r="434" ht="15.75" hidden="1" customHeight="1">
      <c r="Q434" s="19"/>
      <c r="R434" s="19"/>
      <c r="S434" s="19"/>
      <c r="T434" s="16"/>
      <c r="U434" s="16"/>
      <c r="V434" s="16"/>
      <c r="W434" s="23"/>
      <c r="Z434" s="15"/>
    </row>
    <row r="435" ht="15.75" hidden="1" customHeight="1">
      <c r="Q435" s="19"/>
      <c r="R435" s="19"/>
      <c r="S435" s="19"/>
      <c r="T435" s="16"/>
      <c r="U435" s="16"/>
      <c r="V435" s="16"/>
      <c r="W435" s="23"/>
      <c r="Z435" s="15"/>
    </row>
    <row r="436" ht="15.75" hidden="1" customHeight="1">
      <c r="Q436" s="19"/>
      <c r="R436" s="19"/>
      <c r="S436" s="19"/>
      <c r="T436" s="16"/>
      <c r="U436" s="16"/>
      <c r="V436" s="16"/>
      <c r="W436" s="23"/>
      <c r="Z436" s="15"/>
    </row>
    <row r="437" ht="15.75" hidden="1" customHeight="1">
      <c r="Q437" s="19"/>
      <c r="R437" s="19"/>
      <c r="S437" s="19"/>
      <c r="T437" s="16"/>
      <c r="U437" s="16"/>
      <c r="V437" s="16"/>
      <c r="W437" s="23"/>
      <c r="Z437" s="15"/>
    </row>
    <row r="438" ht="15.75" hidden="1" customHeight="1">
      <c r="Q438" s="19"/>
      <c r="R438" s="19"/>
      <c r="S438" s="19"/>
      <c r="T438" s="16"/>
      <c r="U438" s="16"/>
      <c r="V438" s="16"/>
      <c r="W438" s="23"/>
      <c r="Z438" s="15"/>
    </row>
    <row r="439" ht="15.75" hidden="1" customHeight="1">
      <c r="Q439" s="19"/>
      <c r="R439" s="19"/>
      <c r="S439" s="19"/>
      <c r="T439" s="16"/>
      <c r="U439" s="16"/>
      <c r="V439" s="16"/>
      <c r="W439" s="23"/>
      <c r="Z439" s="15"/>
    </row>
    <row r="440" ht="15.75" hidden="1" customHeight="1">
      <c r="Q440" s="19"/>
      <c r="R440" s="19"/>
      <c r="S440" s="19"/>
      <c r="T440" s="16"/>
      <c r="U440" s="16"/>
      <c r="V440" s="16"/>
      <c r="W440" s="23"/>
      <c r="Z440" s="15"/>
    </row>
    <row r="441" ht="15.75" hidden="1" customHeight="1">
      <c r="Q441" s="19"/>
      <c r="R441" s="19"/>
      <c r="S441" s="19"/>
      <c r="T441" s="16"/>
      <c r="U441" s="16"/>
      <c r="V441" s="16"/>
      <c r="W441" s="23"/>
      <c r="Z441" s="15"/>
    </row>
    <row r="442" ht="15.75" hidden="1" customHeight="1">
      <c r="Q442" s="19"/>
      <c r="R442" s="19"/>
      <c r="S442" s="19"/>
      <c r="T442" s="16"/>
      <c r="U442" s="16"/>
      <c r="V442" s="16"/>
      <c r="W442" s="23"/>
      <c r="Z442" s="15"/>
    </row>
    <row r="443" ht="15.75" hidden="1" customHeight="1">
      <c r="Q443" s="19"/>
      <c r="R443" s="19"/>
      <c r="S443" s="19"/>
      <c r="T443" s="16"/>
      <c r="U443" s="16"/>
      <c r="V443" s="16"/>
      <c r="W443" s="23"/>
      <c r="Z443" s="15"/>
    </row>
    <row r="444" ht="15.75" hidden="1" customHeight="1">
      <c r="Q444" s="19"/>
      <c r="R444" s="19"/>
      <c r="S444" s="19"/>
      <c r="T444" s="16"/>
      <c r="U444" s="16"/>
      <c r="V444" s="16"/>
      <c r="W444" s="23"/>
      <c r="Z444" s="15"/>
    </row>
    <row r="445" ht="15.75" hidden="1" customHeight="1">
      <c r="Q445" s="19"/>
      <c r="R445" s="19"/>
      <c r="S445" s="19"/>
      <c r="T445" s="16"/>
      <c r="U445" s="16"/>
      <c r="V445" s="16"/>
      <c r="W445" s="23"/>
      <c r="Z445" s="15"/>
    </row>
    <row r="446" ht="15.75" hidden="1" customHeight="1">
      <c r="Q446" s="19"/>
      <c r="R446" s="19"/>
      <c r="S446" s="19"/>
      <c r="T446" s="16"/>
      <c r="U446" s="16"/>
      <c r="V446" s="16"/>
      <c r="W446" s="23"/>
      <c r="Z446" s="15"/>
    </row>
    <row r="447" ht="15.75" hidden="1" customHeight="1">
      <c r="Q447" s="19"/>
      <c r="R447" s="19"/>
      <c r="S447" s="19"/>
      <c r="T447" s="16"/>
      <c r="U447" s="16"/>
      <c r="V447" s="16"/>
      <c r="W447" s="23"/>
      <c r="Z447" s="15"/>
    </row>
    <row r="448" ht="15.75" hidden="1" customHeight="1">
      <c r="Q448" s="19"/>
      <c r="R448" s="19"/>
      <c r="S448" s="19"/>
      <c r="T448" s="16"/>
      <c r="U448" s="16"/>
      <c r="V448" s="16"/>
      <c r="W448" s="23"/>
      <c r="Z448" s="15"/>
    </row>
    <row r="449" ht="15.75" hidden="1" customHeight="1">
      <c r="Q449" s="19"/>
      <c r="R449" s="19"/>
      <c r="S449" s="19"/>
      <c r="T449" s="16"/>
      <c r="U449" s="16"/>
      <c r="V449" s="16"/>
      <c r="W449" s="23"/>
      <c r="Z449" s="15"/>
    </row>
    <row r="450" ht="15.75" hidden="1" customHeight="1">
      <c r="Q450" s="19"/>
      <c r="R450" s="19"/>
      <c r="S450" s="19"/>
      <c r="T450" s="16"/>
      <c r="U450" s="16"/>
      <c r="V450" s="16"/>
      <c r="W450" s="23"/>
      <c r="Z450" s="15"/>
    </row>
    <row r="451" ht="15.75" hidden="1" customHeight="1">
      <c r="Q451" s="19"/>
      <c r="R451" s="19"/>
      <c r="S451" s="19"/>
      <c r="T451" s="16"/>
      <c r="U451" s="16"/>
      <c r="V451" s="16"/>
      <c r="W451" s="23"/>
      <c r="Z451" s="15"/>
    </row>
    <row r="452" ht="15.75" hidden="1" customHeight="1">
      <c r="Q452" s="19"/>
      <c r="R452" s="19"/>
      <c r="S452" s="19"/>
      <c r="T452" s="16"/>
      <c r="U452" s="16"/>
      <c r="V452" s="16"/>
      <c r="W452" s="23"/>
      <c r="Z452" s="15"/>
    </row>
    <row r="453" ht="15.75" hidden="1" customHeight="1">
      <c r="Q453" s="19"/>
      <c r="R453" s="19"/>
      <c r="S453" s="19"/>
      <c r="T453" s="16"/>
      <c r="U453" s="16"/>
      <c r="V453" s="16"/>
      <c r="W453" s="23"/>
      <c r="Z453" s="15"/>
    </row>
    <row r="454" ht="15.75" hidden="1" customHeight="1">
      <c r="Q454" s="19"/>
      <c r="R454" s="19"/>
      <c r="S454" s="19"/>
      <c r="T454" s="16"/>
      <c r="U454" s="16"/>
      <c r="V454" s="16"/>
      <c r="W454" s="23"/>
      <c r="Z454" s="15"/>
    </row>
    <row r="455" ht="15.75" hidden="1" customHeight="1">
      <c r="Q455" s="19"/>
      <c r="R455" s="19"/>
      <c r="S455" s="19"/>
      <c r="T455" s="16"/>
      <c r="U455" s="16"/>
      <c r="V455" s="16"/>
      <c r="W455" s="23"/>
      <c r="Z455" s="15"/>
    </row>
    <row r="456" ht="15.75" hidden="1" customHeight="1">
      <c r="Q456" s="19"/>
      <c r="R456" s="19"/>
      <c r="S456" s="19"/>
      <c r="T456" s="16"/>
      <c r="U456" s="16"/>
      <c r="V456" s="16"/>
      <c r="W456" s="23"/>
      <c r="Z456" s="15"/>
    </row>
    <row r="457" ht="15.75" hidden="1" customHeight="1">
      <c r="Q457" s="19"/>
      <c r="R457" s="19"/>
      <c r="S457" s="19"/>
      <c r="T457" s="16"/>
      <c r="U457" s="16"/>
      <c r="V457" s="16"/>
      <c r="W457" s="23"/>
      <c r="Z457" s="15"/>
    </row>
    <row r="458" ht="15.75" hidden="1" customHeight="1">
      <c r="Q458" s="19"/>
      <c r="R458" s="19"/>
      <c r="S458" s="19"/>
      <c r="T458" s="16"/>
      <c r="U458" s="16"/>
      <c r="V458" s="16"/>
      <c r="W458" s="23"/>
      <c r="Z458" s="15"/>
    </row>
    <row r="459" ht="15.75" hidden="1" customHeight="1">
      <c r="Q459" s="19"/>
      <c r="R459" s="19"/>
      <c r="S459" s="19"/>
      <c r="T459" s="16"/>
      <c r="U459" s="16"/>
      <c r="V459" s="16"/>
      <c r="W459" s="23"/>
      <c r="Z459" s="15"/>
    </row>
    <row r="460" ht="15.75" hidden="1" customHeight="1">
      <c r="Q460" s="19"/>
      <c r="R460" s="19"/>
      <c r="S460" s="19"/>
      <c r="T460" s="16"/>
      <c r="U460" s="16"/>
      <c r="V460" s="16"/>
      <c r="W460" s="23"/>
      <c r="Z460" s="15"/>
    </row>
    <row r="461" ht="15.75" hidden="1" customHeight="1">
      <c r="Q461" s="19"/>
      <c r="R461" s="19"/>
      <c r="S461" s="19"/>
      <c r="T461" s="16"/>
      <c r="U461" s="16"/>
      <c r="V461" s="16"/>
      <c r="W461" s="23"/>
      <c r="Z461" s="15"/>
    </row>
    <row r="462" ht="15.75" hidden="1" customHeight="1">
      <c r="Q462" s="19"/>
      <c r="R462" s="19"/>
      <c r="S462" s="19"/>
      <c r="T462" s="16"/>
      <c r="U462" s="16"/>
      <c r="V462" s="16"/>
      <c r="W462" s="23"/>
      <c r="Z462" s="15"/>
    </row>
    <row r="463" ht="15.75" hidden="1" customHeight="1">
      <c r="Q463" s="19"/>
      <c r="R463" s="19"/>
      <c r="S463" s="19"/>
      <c r="T463" s="16"/>
      <c r="U463" s="16"/>
      <c r="V463" s="16"/>
      <c r="W463" s="23"/>
      <c r="Z463" s="15"/>
    </row>
    <row r="464" ht="15.75" hidden="1" customHeight="1">
      <c r="Q464" s="19"/>
      <c r="R464" s="19"/>
      <c r="S464" s="19"/>
      <c r="T464" s="16"/>
      <c r="U464" s="16"/>
      <c r="V464" s="16"/>
      <c r="W464" s="23"/>
      <c r="Z464" s="15"/>
    </row>
    <row r="465" ht="15.75" hidden="1" customHeight="1">
      <c r="Q465" s="19"/>
      <c r="R465" s="19"/>
      <c r="S465" s="19"/>
      <c r="T465" s="16"/>
      <c r="U465" s="16"/>
      <c r="V465" s="16"/>
      <c r="W465" s="23"/>
      <c r="Z465" s="15"/>
    </row>
    <row r="466" ht="15.75" hidden="1" customHeight="1">
      <c r="Q466" s="19"/>
      <c r="R466" s="19"/>
      <c r="S466" s="19"/>
      <c r="T466" s="16"/>
      <c r="U466" s="16"/>
      <c r="V466" s="16"/>
      <c r="W466" s="23"/>
      <c r="Z466" s="15"/>
    </row>
    <row r="467" ht="15.75" hidden="1" customHeight="1">
      <c r="Q467" s="19"/>
      <c r="R467" s="19"/>
      <c r="S467" s="19"/>
      <c r="T467" s="16"/>
      <c r="U467" s="16"/>
      <c r="V467" s="16"/>
      <c r="W467" s="23"/>
      <c r="Z467" s="15"/>
    </row>
    <row r="468" ht="15.75" hidden="1" customHeight="1">
      <c r="Q468" s="19"/>
      <c r="R468" s="19"/>
      <c r="S468" s="19"/>
      <c r="T468" s="16"/>
      <c r="U468" s="16"/>
      <c r="V468" s="16"/>
      <c r="W468" s="23"/>
      <c r="Z468" s="15"/>
    </row>
    <row r="469" ht="15.75" hidden="1" customHeight="1">
      <c r="Q469" s="19"/>
      <c r="R469" s="19"/>
      <c r="S469" s="19"/>
      <c r="T469" s="16"/>
      <c r="U469" s="16"/>
      <c r="V469" s="16"/>
      <c r="W469" s="23"/>
      <c r="Z469" s="15"/>
    </row>
    <row r="470" ht="15.75" hidden="1" customHeight="1">
      <c r="Q470" s="19"/>
      <c r="R470" s="19"/>
      <c r="S470" s="19"/>
      <c r="T470" s="16"/>
      <c r="U470" s="16"/>
      <c r="V470" s="16"/>
      <c r="W470" s="23"/>
      <c r="Z470" s="15"/>
    </row>
    <row r="471" ht="15.75" hidden="1" customHeight="1">
      <c r="Q471" s="19"/>
      <c r="R471" s="19"/>
      <c r="S471" s="19"/>
      <c r="T471" s="16"/>
      <c r="U471" s="16"/>
      <c r="V471" s="16"/>
      <c r="W471" s="23"/>
      <c r="Z471" s="15"/>
    </row>
    <row r="472" ht="15.75" hidden="1" customHeight="1">
      <c r="Q472" s="19"/>
      <c r="R472" s="19"/>
      <c r="S472" s="19"/>
      <c r="T472" s="16"/>
      <c r="U472" s="16"/>
      <c r="V472" s="16"/>
      <c r="W472" s="23"/>
      <c r="Z472" s="15"/>
    </row>
    <row r="473" ht="15.75" hidden="1" customHeight="1">
      <c r="Q473" s="19"/>
      <c r="R473" s="19"/>
      <c r="S473" s="19"/>
      <c r="T473" s="16"/>
      <c r="U473" s="16"/>
      <c r="V473" s="16"/>
      <c r="W473" s="23"/>
      <c r="Z473" s="15"/>
    </row>
    <row r="474" ht="15.75" hidden="1" customHeight="1">
      <c r="Q474" s="19"/>
      <c r="R474" s="19"/>
      <c r="S474" s="19"/>
      <c r="T474" s="16"/>
      <c r="U474" s="16"/>
      <c r="V474" s="16"/>
      <c r="W474" s="23"/>
      <c r="Z474" s="15"/>
    </row>
    <row r="475" ht="15.75" hidden="1" customHeight="1">
      <c r="Q475" s="19"/>
      <c r="R475" s="19"/>
      <c r="S475" s="19"/>
      <c r="T475" s="16"/>
      <c r="U475" s="16"/>
      <c r="V475" s="16"/>
      <c r="W475" s="23"/>
      <c r="Z475" s="15"/>
    </row>
    <row r="476" ht="15.75" hidden="1" customHeight="1">
      <c r="Q476" s="19"/>
      <c r="R476" s="19"/>
      <c r="S476" s="19"/>
      <c r="T476" s="16"/>
      <c r="U476" s="16"/>
      <c r="V476" s="16"/>
      <c r="W476" s="23"/>
      <c r="Z476" s="15"/>
    </row>
    <row r="477" ht="15.75" hidden="1" customHeight="1">
      <c r="Q477" s="19"/>
      <c r="R477" s="19"/>
      <c r="S477" s="19"/>
      <c r="T477" s="16"/>
      <c r="U477" s="16"/>
      <c r="V477" s="16"/>
      <c r="W477" s="23"/>
      <c r="Z477" s="15"/>
    </row>
    <row r="478" ht="15.75" hidden="1" customHeight="1">
      <c r="Q478" s="19"/>
      <c r="R478" s="19"/>
      <c r="S478" s="19"/>
      <c r="T478" s="16"/>
      <c r="U478" s="16"/>
      <c r="V478" s="16"/>
      <c r="W478" s="23"/>
      <c r="Z478" s="15"/>
    </row>
    <row r="479" ht="15.75" hidden="1" customHeight="1">
      <c r="Q479" s="19"/>
      <c r="R479" s="19"/>
      <c r="S479" s="19"/>
      <c r="T479" s="16"/>
      <c r="U479" s="16"/>
      <c r="V479" s="16"/>
      <c r="W479" s="23"/>
      <c r="Z479" s="15"/>
    </row>
    <row r="480" ht="15.75" hidden="1" customHeight="1">
      <c r="Q480" s="19"/>
      <c r="R480" s="19"/>
      <c r="S480" s="19"/>
      <c r="T480" s="16"/>
      <c r="U480" s="16"/>
      <c r="V480" s="16"/>
      <c r="W480" s="23"/>
      <c r="Z480" s="15"/>
    </row>
    <row r="481" ht="15.75" hidden="1" customHeight="1">
      <c r="Q481" s="19"/>
      <c r="R481" s="19"/>
      <c r="S481" s="19"/>
      <c r="T481" s="16"/>
      <c r="U481" s="16"/>
      <c r="V481" s="16"/>
      <c r="W481" s="23"/>
      <c r="Z481" s="15"/>
    </row>
    <row r="482" ht="15.75" hidden="1" customHeight="1">
      <c r="Q482" s="19"/>
      <c r="R482" s="19"/>
      <c r="S482" s="19"/>
      <c r="T482" s="16"/>
      <c r="U482" s="16"/>
      <c r="V482" s="16"/>
      <c r="W482" s="23"/>
      <c r="Z482" s="15"/>
    </row>
    <row r="483" ht="15.75" hidden="1" customHeight="1">
      <c r="Q483" s="19"/>
      <c r="R483" s="19"/>
      <c r="S483" s="19"/>
      <c r="T483" s="16"/>
      <c r="U483" s="16"/>
      <c r="V483" s="16"/>
      <c r="W483" s="23"/>
      <c r="Z483" s="15"/>
    </row>
    <row r="484" ht="15.75" hidden="1" customHeight="1">
      <c r="Q484" s="19"/>
      <c r="R484" s="19"/>
      <c r="S484" s="19"/>
      <c r="T484" s="16"/>
      <c r="U484" s="16"/>
      <c r="V484" s="16"/>
      <c r="W484" s="23"/>
      <c r="Z484" s="15"/>
    </row>
    <row r="485" ht="15.75" hidden="1" customHeight="1">
      <c r="Q485" s="19"/>
      <c r="R485" s="19"/>
      <c r="S485" s="19"/>
      <c r="T485" s="16"/>
      <c r="U485" s="16"/>
      <c r="V485" s="16"/>
      <c r="W485" s="23"/>
      <c r="Z485" s="15"/>
    </row>
    <row r="486" ht="15.75" hidden="1" customHeight="1">
      <c r="Q486" s="19"/>
      <c r="R486" s="19"/>
      <c r="S486" s="19"/>
      <c r="T486" s="16"/>
      <c r="U486" s="16"/>
      <c r="V486" s="16"/>
      <c r="W486" s="23"/>
      <c r="Z486" s="15"/>
    </row>
    <row r="487" ht="15.75" hidden="1" customHeight="1">
      <c r="Q487" s="19"/>
      <c r="R487" s="19"/>
      <c r="S487" s="19"/>
      <c r="T487" s="16"/>
      <c r="U487" s="16"/>
      <c r="V487" s="16"/>
      <c r="W487" s="23"/>
      <c r="Z487" s="15"/>
    </row>
    <row r="488" ht="15.75" hidden="1" customHeight="1">
      <c r="Q488" s="19"/>
      <c r="R488" s="19"/>
      <c r="S488" s="19"/>
      <c r="T488" s="16"/>
      <c r="U488" s="16"/>
      <c r="V488" s="16"/>
      <c r="W488" s="23"/>
      <c r="Z488" s="15"/>
    </row>
    <row r="489" ht="15.75" hidden="1" customHeight="1">
      <c r="Q489" s="19"/>
      <c r="R489" s="19"/>
      <c r="S489" s="19"/>
      <c r="T489" s="16"/>
      <c r="U489" s="16"/>
      <c r="V489" s="16"/>
      <c r="W489" s="23"/>
      <c r="Z489" s="15"/>
    </row>
    <row r="490" ht="15.75" hidden="1" customHeight="1">
      <c r="Q490" s="19"/>
      <c r="R490" s="19"/>
      <c r="S490" s="19"/>
      <c r="T490" s="16"/>
      <c r="U490" s="16"/>
      <c r="V490" s="16"/>
      <c r="W490" s="23"/>
      <c r="Z490" s="15"/>
    </row>
    <row r="491" ht="15.75" hidden="1" customHeight="1">
      <c r="Q491" s="19"/>
      <c r="R491" s="19"/>
      <c r="S491" s="19"/>
      <c r="T491" s="16"/>
      <c r="U491" s="16"/>
      <c r="V491" s="16"/>
      <c r="W491" s="23"/>
      <c r="Z491" s="15"/>
    </row>
    <row r="492" ht="15.75" hidden="1" customHeight="1">
      <c r="Q492" s="19"/>
      <c r="R492" s="19"/>
      <c r="S492" s="19"/>
      <c r="T492" s="16"/>
      <c r="U492" s="16"/>
      <c r="V492" s="16"/>
      <c r="W492" s="23"/>
      <c r="Z492" s="15"/>
    </row>
    <row r="493" ht="15.75" hidden="1" customHeight="1">
      <c r="Q493" s="19"/>
      <c r="R493" s="19"/>
      <c r="S493" s="19"/>
      <c r="T493" s="16"/>
      <c r="U493" s="16"/>
      <c r="V493" s="16"/>
      <c r="W493" s="23"/>
      <c r="Z493" s="15"/>
    </row>
    <row r="494" ht="15.75" hidden="1" customHeight="1">
      <c r="Q494" s="19"/>
      <c r="R494" s="19"/>
      <c r="S494" s="19"/>
      <c r="T494" s="16"/>
      <c r="U494" s="16"/>
      <c r="V494" s="16"/>
      <c r="W494" s="23"/>
      <c r="Z494" s="15"/>
    </row>
    <row r="495" ht="15.75" hidden="1" customHeight="1">
      <c r="Q495" s="19"/>
      <c r="R495" s="19"/>
      <c r="S495" s="19"/>
      <c r="T495" s="16"/>
      <c r="U495" s="16"/>
      <c r="V495" s="16"/>
      <c r="W495" s="23"/>
      <c r="Z495" s="15"/>
    </row>
    <row r="496" ht="15.75" hidden="1" customHeight="1">
      <c r="Q496" s="19"/>
      <c r="R496" s="19"/>
      <c r="S496" s="19"/>
      <c r="T496" s="16"/>
      <c r="U496" s="16"/>
      <c r="V496" s="16"/>
      <c r="W496" s="23"/>
      <c r="Z496" s="15"/>
    </row>
    <row r="497" ht="15.75" hidden="1" customHeight="1">
      <c r="Q497" s="19"/>
      <c r="R497" s="19"/>
      <c r="S497" s="19"/>
      <c r="T497" s="16"/>
      <c r="U497" s="16"/>
      <c r="V497" s="16"/>
      <c r="W497" s="23"/>
      <c r="Z497" s="15"/>
    </row>
    <row r="498" ht="15.75" hidden="1" customHeight="1">
      <c r="Q498" s="19"/>
      <c r="R498" s="19"/>
      <c r="S498" s="19"/>
      <c r="T498" s="16"/>
      <c r="U498" s="16"/>
      <c r="V498" s="16"/>
      <c r="W498" s="23"/>
      <c r="Z498" s="15"/>
    </row>
    <row r="499" ht="15.75" hidden="1" customHeight="1">
      <c r="Q499" s="19"/>
      <c r="R499" s="19"/>
      <c r="S499" s="19"/>
      <c r="T499" s="16"/>
      <c r="U499" s="16"/>
      <c r="V499" s="16"/>
      <c r="W499" s="23"/>
      <c r="Z499" s="15"/>
    </row>
    <row r="500" ht="15.75" hidden="1" customHeight="1">
      <c r="Q500" s="19"/>
      <c r="R500" s="19"/>
      <c r="S500" s="19"/>
      <c r="T500" s="16"/>
      <c r="U500" s="16"/>
      <c r="V500" s="16"/>
      <c r="W500" s="23"/>
      <c r="Z500" s="15"/>
    </row>
    <row r="501" ht="15.75" hidden="1" customHeight="1">
      <c r="Q501" s="19"/>
      <c r="R501" s="19"/>
      <c r="S501" s="19"/>
      <c r="T501" s="16"/>
      <c r="U501" s="16"/>
      <c r="V501" s="16"/>
      <c r="W501" s="23"/>
      <c r="Z501" s="15"/>
    </row>
    <row r="502" ht="15.75" hidden="1" customHeight="1">
      <c r="Q502" s="19"/>
      <c r="R502" s="19"/>
      <c r="S502" s="19"/>
      <c r="T502" s="16"/>
      <c r="U502" s="16"/>
      <c r="V502" s="16"/>
      <c r="W502" s="23"/>
      <c r="Z502" s="15"/>
    </row>
    <row r="503" ht="15.75" hidden="1" customHeight="1">
      <c r="Q503" s="19"/>
      <c r="R503" s="19"/>
      <c r="S503" s="19"/>
      <c r="T503" s="16"/>
      <c r="U503" s="16"/>
      <c r="V503" s="16"/>
      <c r="W503" s="23"/>
      <c r="Z503" s="15"/>
    </row>
    <row r="504" ht="15.75" hidden="1" customHeight="1">
      <c r="Q504" s="19"/>
      <c r="R504" s="19"/>
      <c r="S504" s="19"/>
      <c r="T504" s="16"/>
      <c r="U504" s="16"/>
      <c r="V504" s="16"/>
      <c r="W504" s="23"/>
      <c r="Z504" s="15"/>
    </row>
    <row r="505" ht="15.75" hidden="1" customHeight="1">
      <c r="Q505" s="19"/>
      <c r="R505" s="19"/>
      <c r="S505" s="19"/>
      <c r="T505" s="16"/>
      <c r="U505" s="16"/>
      <c r="V505" s="16"/>
      <c r="W505" s="23"/>
      <c r="Z505" s="15"/>
    </row>
    <row r="506" ht="15.75" hidden="1" customHeight="1">
      <c r="Q506" s="19"/>
      <c r="R506" s="19"/>
      <c r="S506" s="19"/>
      <c r="T506" s="16"/>
      <c r="U506" s="16"/>
      <c r="V506" s="16"/>
      <c r="W506" s="23"/>
      <c r="Z506" s="15"/>
    </row>
    <row r="507" ht="15.75" hidden="1" customHeight="1">
      <c r="Q507" s="19"/>
      <c r="R507" s="19"/>
      <c r="S507" s="19"/>
      <c r="T507" s="16"/>
      <c r="U507" s="16"/>
      <c r="V507" s="16"/>
      <c r="W507" s="23"/>
      <c r="Z507" s="15"/>
    </row>
    <row r="508" ht="15.75" hidden="1" customHeight="1">
      <c r="Q508" s="19"/>
      <c r="R508" s="19"/>
      <c r="S508" s="19"/>
      <c r="T508" s="16"/>
      <c r="U508" s="16"/>
      <c r="V508" s="16"/>
      <c r="W508" s="23"/>
      <c r="Z508" s="15"/>
    </row>
    <row r="509" ht="15.75" hidden="1" customHeight="1">
      <c r="Q509" s="19"/>
      <c r="R509" s="19"/>
      <c r="S509" s="19"/>
      <c r="T509" s="16"/>
      <c r="U509" s="16"/>
      <c r="V509" s="16"/>
      <c r="W509" s="23"/>
      <c r="Z509" s="15"/>
    </row>
    <row r="510" ht="15.75" hidden="1" customHeight="1">
      <c r="Q510" s="19"/>
      <c r="R510" s="19"/>
      <c r="S510" s="19"/>
      <c r="T510" s="16"/>
      <c r="U510" s="16"/>
      <c r="V510" s="16"/>
      <c r="W510" s="23"/>
      <c r="Z510" s="15"/>
    </row>
    <row r="511" ht="15.75" hidden="1" customHeight="1">
      <c r="Q511" s="19"/>
      <c r="R511" s="19"/>
      <c r="S511" s="19"/>
      <c r="T511" s="16"/>
      <c r="U511" s="16"/>
      <c r="V511" s="16"/>
      <c r="W511" s="23"/>
      <c r="Z511" s="15"/>
    </row>
    <row r="512" ht="15.75" hidden="1" customHeight="1">
      <c r="Q512" s="19"/>
      <c r="R512" s="19"/>
      <c r="S512" s="19"/>
      <c r="T512" s="16"/>
      <c r="U512" s="16"/>
      <c r="V512" s="16"/>
      <c r="W512" s="23"/>
      <c r="Z512" s="15"/>
    </row>
    <row r="513" ht="15.75" hidden="1" customHeight="1">
      <c r="Q513" s="19"/>
      <c r="R513" s="19"/>
      <c r="S513" s="19"/>
      <c r="T513" s="16"/>
      <c r="U513" s="16"/>
      <c r="V513" s="16"/>
      <c r="W513" s="23"/>
      <c r="Z513" s="15"/>
    </row>
    <row r="514" ht="15.75" hidden="1" customHeight="1">
      <c r="Q514" s="19"/>
      <c r="R514" s="19"/>
      <c r="S514" s="19"/>
      <c r="T514" s="16"/>
      <c r="U514" s="16"/>
      <c r="V514" s="16"/>
      <c r="W514" s="23"/>
      <c r="Z514" s="15"/>
    </row>
    <row r="515" ht="15.75" hidden="1" customHeight="1">
      <c r="Q515" s="19"/>
      <c r="R515" s="19"/>
      <c r="S515" s="19"/>
      <c r="T515" s="16"/>
      <c r="U515" s="16"/>
      <c r="V515" s="16"/>
      <c r="W515" s="23"/>
      <c r="Z515" s="15"/>
    </row>
    <row r="516" ht="15.75" hidden="1" customHeight="1">
      <c r="Q516" s="19"/>
      <c r="R516" s="19"/>
      <c r="S516" s="19"/>
      <c r="T516" s="16"/>
      <c r="U516" s="16"/>
      <c r="V516" s="16"/>
      <c r="W516" s="23"/>
      <c r="Z516" s="15"/>
    </row>
    <row r="517" ht="15.75" hidden="1" customHeight="1">
      <c r="Q517" s="19"/>
      <c r="R517" s="19"/>
      <c r="S517" s="19"/>
      <c r="T517" s="16"/>
      <c r="U517" s="16"/>
      <c r="V517" s="16"/>
      <c r="W517" s="23"/>
      <c r="Z517" s="15"/>
    </row>
    <row r="518" ht="15.75" hidden="1" customHeight="1">
      <c r="Q518" s="19"/>
      <c r="R518" s="19"/>
      <c r="S518" s="19"/>
      <c r="T518" s="16"/>
      <c r="U518" s="16"/>
      <c r="V518" s="16"/>
      <c r="W518" s="23"/>
      <c r="Z518" s="15"/>
    </row>
    <row r="519" ht="15.75" hidden="1" customHeight="1">
      <c r="Q519" s="19"/>
      <c r="R519" s="19"/>
      <c r="S519" s="19"/>
      <c r="T519" s="16"/>
      <c r="U519" s="16"/>
      <c r="V519" s="16"/>
      <c r="W519" s="23"/>
      <c r="Z519" s="15"/>
    </row>
    <row r="520" ht="15.75" hidden="1" customHeight="1">
      <c r="Q520" s="19"/>
      <c r="R520" s="19"/>
      <c r="S520" s="19"/>
      <c r="T520" s="16"/>
      <c r="U520" s="16"/>
      <c r="V520" s="16"/>
      <c r="W520" s="23"/>
      <c r="Z520" s="15"/>
    </row>
    <row r="521" ht="15.75" hidden="1" customHeight="1">
      <c r="Q521" s="19"/>
      <c r="R521" s="19"/>
      <c r="S521" s="19"/>
      <c r="T521" s="16"/>
      <c r="U521" s="16"/>
      <c r="V521" s="16"/>
      <c r="W521" s="23"/>
      <c r="Z521" s="15"/>
    </row>
    <row r="522" ht="15.75" hidden="1" customHeight="1">
      <c r="Q522" s="19"/>
      <c r="R522" s="19"/>
      <c r="S522" s="19"/>
      <c r="T522" s="16"/>
      <c r="U522" s="16"/>
      <c r="V522" s="16"/>
      <c r="W522" s="23"/>
      <c r="Z522" s="15"/>
    </row>
    <row r="523" ht="15.75" hidden="1" customHeight="1">
      <c r="Q523" s="19"/>
      <c r="R523" s="19"/>
      <c r="S523" s="19"/>
      <c r="T523" s="16"/>
      <c r="U523" s="16"/>
      <c r="V523" s="16"/>
      <c r="W523" s="23"/>
      <c r="Z523" s="15"/>
    </row>
    <row r="524" ht="15.75" hidden="1" customHeight="1">
      <c r="Q524" s="19"/>
      <c r="R524" s="19"/>
      <c r="S524" s="19"/>
      <c r="T524" s="16"/>
      <c r="U524" s="16"/>
      <c r="V524" s="16"/>
      <c r="W524" s="23"/>
      <c r="Z524" s="15"/>
    </row>
    <row r="525" ht="15.75" hidden="1" customHeight="1">
      <c r="Q525" s="19"/>
      <c r="R525" s="19"/>
      <c r="S525" s="19"/>
      <c r="T525" s="16"/>
      <c r="U525" s="16"/>
      <c r="V525" s="16"/>
      <c r="W525" s="23"/>
      <c r="Z525" s="15"/>
    </row>
    <row r="526" ht="15.75" hidden="1" customHeight="1">
      <c r="Q526" s="19"/>
      <c r="R526" s="19"/>
      <c r="S526" s="19"/>
      <c r="T526" s="16"/>
      <c r="U526" s="16"/>
      <c r="V526" s="16"/>
      <c r="W526" s="23"/>
      <c r="Z526" s="15"/>
    </row>
    <row r="527" ht="15.75" hidden="1" customHeight="1">
      <c r="Q527" s="19"/>
      <c r="R527" s="19"/>
      <c r="S527" s="19"/>
      <c r="T527" s="16"/>
      <c r="U527" s="16"/>
      <c r="V527" s="16"/>
      <c r="W527" s="23"/>
      <c r="Z527" s="15"/>
    </row>
    <row r="528" ht="15.75" hidden="1" customHeight="1">
      <c r="Q528" s="19"/>
      <c r="R528" s="19"/>
      <c r="S528" s="19"/>
      <c r="T528" s="16"/>
      <c r="U528" s="16"/>
      <c r="V528" s="16"/>
      <c r="W528" s="23"/>
      <c r="Z528" s="15"/>
    </row>
    <row r="529" ht="15.75" hidden="1" customHeight="1">
      <c r="Q529" s="19"/>
      <c r="R529" s="19"/>
      <c r="S529" s="19"/>
      <c r="T529" s="16"/>
      <c r="U529" s="16"/>
      <c r="V529" s="16"/>
      <c r="W529" s="23"/>
      <c r="Z529" s="15"/>
    </row>
    <row r="530" ht="15.75" hidden="1" customHeight="1">
      <c r="Q530" s="19"/>
      <c r="R530" s="19"/>
      <c r="S530" s="19"/>
      <c r="T530" s="16"/>
      <c r="U530" s="16"/>
      <c r="V530" s="16"/>
      <c r="W530" s="23"/>
      <c r="Z530" s="15"/>
    </row>
    <row r="531" ht="15.75" hidden="1" customHeight="1">
      <c r="Q531" s="19"/>
      <c r="R531" s="19"/>
      <c r="S531" s="19"/>
      <c r="T531" s="16"/>
      <c r="U531" s="16"/>
      <c r="V531" s="16"/>
      <c r="W531" s="23"/>
      <c r="Z531" s="15"/>
    </row>
    <row r="532" ht="15.75" hidden="1" customHeight="1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</row>
    <row r="533" ht="15.75" hidden="1" customHeight="1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</row>
    <row r="534" ht="15.75" hidden="1" customHeight="1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</row>
    <row r="535" ht="15.75" hidden="1" customHeight="1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</row>
    <row r="536" ht="15.75" hidden="1" customHeight="1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</row>
    <row r="537" ht="15.75" hidden="1" customHeight="1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</row>
    <row r="538" ht="15.75" hidden="1" customHeight="1">
      <c r="E538" s="35"/>
      <c r="F538" s="35"/>
      <c r="G538" s="1"/>
      <c r="Q538" s="19"/>
      <c r="R538" s="19"/>
      <c r="S538" s="19"/>
      <c r="T538" s="16"/>
      <c r="U538" s="16"/>
      <c r="V538" s="16"/>
      <c r="W538" s="23"/>
      <c r="Z538" s="15"/>
    </row>
    <row r="539" ht="15.75" hidden="1" customHeight="1">
      <c r="A539" s="24" t="n">
        <v>1397</v>
      </c>
      <c r="B539" s="28" t="n">
        <v>46225</v>
      </c>
      <c r="C539" s="1" t="s">
        <v>26</v>
      </c>
      <c r="E539" s="1" t="s">
        <v>519</v>
      </c>
      <c r="F539" s="1" t="s">
        <v>121</v>
      </c>
      <c r="G539" s="36" t="s">
        <v>29</v>
      </c>
      <c r="H539" s="1" t="s">
        <v>335</v>
      </c>
      <c r="I539" s="1" t="s">
        <v>122</v>
      </c>
      <c r="J539" s="1" t="s">
        <v>520</v>
      </c>
      <c r="L539" s="1" t="s">
        <v>336</v>
      </c>
      <c r="M539" s="1" t="n">
        <v>150</v>
      </c>
      <c r="N539" s="1" t="n">
        <v>170</v>
      </c>
      <c r="O539" s="1" t="n">
        <v>35</v>
      </c>
      <c r="P539" s="1" t="s">
        <v>31</v>
      </c>
      <c r="Q539" s="19"/>
      <c r="R539" s="19"/>
      <c r="S539" s="19"/>
      <c r="T539" s="16"/>
      <c r="U539" s="16"/>
      <c r="V539" s="16"/>
      <c r="W539" s="23"/>
      <c r="Z539" s="15"/>
    </row>
    <row r="540" ht="15.75" customHeight="1">
      <c r="Q540" s="19"/>
      <c r="R540" s="19"/>
      <c r="S540" s="19"/>
      <c r="T540" s="16"/>
      <c r="U540" s="16"/>
      <c r="V540" s="16"/>
      <c r="W540" s="23"/>
      <c r="Z540" s="15"/>
    </row>
    <row r="541" ht="15.75" customHeight="1">
      <c r="Q541" s="19"/>
      <c r="R541" s="19"/>
      <c r="S541" s="19"/>
      <c r="T541" s="16"/>
      <c r="U541" s="16"/>
      <c r="V541" s="16"/>
      <c r="W541" s="23"/>
      <c r="Z541" s="15"/>
    </row>
    <row r="542" ht="15.75" customHeight="1">
      <c r="Q542" s="19"/>
      <c r="R542" s="19"/>
      <c r="S542" s="19"/>
      <c r="T542" s="16"/>
      <c r="U542" s="16"/>
      <c r="V542" s="16"/>
      <c r="W542" s="23"/>
      <c r="Z542" s="15"/>
    </row>
    <row r="543" ht="15.75" customHeight="1">
      <c r="Q543" s="19"/>
      <c r="R543" s="19"/>
      <c r="S543" s="19"/>
      <c r="T543" s="16"/>
      <c r="U543" s="16"/>
      <c r="V543" s="16"/>
      <c r="W543" s="23"/>
      <c r="Z543" s="15"/>
    </row>
    <row r="544" ht="15.75" customHeight="1">
      <c r="Q544" s="19"/>
      <c r="R544" s="19"/>
      <c r="S544" s="19"/>
      <c r="T544" s="16"/>
      <c r="U544" s="16"/>
      <c r="V544" s="16"/>
      <c r="W544" s="23"/>
      <c r="Z544" s="15"/>
    </row>
    <row r="545" ht="15.75" customHeight="1">
      <c r="Q545" s="19"/>
      <c r="R545" s="19"/>
      <c r="S545" s="19"/>
      <c r="T545" s="16"/>
      <c r="U545" s="16"/>
      <c r="V545" s="16"/>
      <c r="W545" s="23"/>
      <c r="Z545" s="15"/>
    </row>
    <row r="546" ht="15.75" customHeight="1">
      <c r="Q546" s="19"/>
      <c r="R546" s="19"/>
      <c r="S546" s="19"/>
      <c r="T546" s="16"/>
      <c r="U546" s="16"/>
      <c r="V546" s="16"/>
      <c r="W546" s="23"/>
      <c r="Z546" s="15"/>
    </row>
    <row r="547" ht="15.75" customHeight="1">
      <c r="Q547" s="19"/>
      <c r="R547" s="19"/>
      <c r="S547" s="19"/>
      <c r="T547" s="16"/>
      <c r="U547" s="16"/>
      <c r="V547" s="16"/>
      <c r="W547" s="23"/>
      <c r="Z547" s="15"/>
    </row>
    <row r="548" ht="15.75" customHeight="1">
      <c r="Q548" s="19"/>
      <c r="R548" s="19"/>
      <c r="S548" s="19"/>
      <c r="T548" s="16"/>
      <c r="U548" s="16"/>
      <c r="V548" s="16"/>
      <c r="W548" s="23"/>
      <c r="Z548" s="15"/>
    </row>
    <row r="549" ht="15.75" customHeight="1">
      <c r="Q549" s="19"/>
      <c r="R549" s="19"/>
      <c r="S549" s="19"/>
      <c r="T549" s="16"/>
      <c r="U549" s="16"/>
      <c r="V549" s="16"/>
      <c r="W549" s="23"/>
      <c r="Z549" s="15"/>
    </row>
    <row r="550" ht="15.75" customHeight="1">
      <c r="Q550" s="19"/>
      <c r="R550" s="19"/>
      <c r="S550" s="19"/>
      <c r="T550" s="16"/>
      <c r="U550" s="16"/>
      <c r="V550" s="16"/>
      <c r="W550" s="23"/>
      <c r="Z550" s="15"/>
    </row>
    <row r="551" ht="15.75" customHeight="1">
      <c r="Q551" s="19"/>
      <c r="R551" s="19"/>
      <c r="S551" s="19"/>
      <c r="T551" s="16"/>
      <c r="U551" s="16"/>
      <c r="V551" s="16"/>
      <c r="W551" s="23"/>
      <c r="Z551" s="15"/>
    </row>
    <row r="552" ht="15.75" customHeight="1">
      <c r="Q552" s="19"/>
      <c r="R552" s="19"/>
      <c r="S552" s="19"/>
      <c r="T552" s="16"/>
      <c r="U552" s="16"/>
      <c r="V552" s="16"/>
      <c r="W552" s="23"/>
      <c r="Z552" s="15"/>
    </row>
    <row r="553" ht="15.75" customHeight="1">
      <c r="Q553" s="19"/>
      <c r="R553" s="19"/>
      <c r="S553" s="19"/>
      <c r="T553" s="16"/>
      <c r="U553" s="16"/>
      <c r="V553" s="16"/>
      <c r="W553" s="23"/>
      <c r="Z553" s="15"/>
    </row>
    <row r="554" ht="15.75" customHeight="1">
      <c r="Q554" s="19"/>
      <c r="R554" s="19"/>
      <c r="S554" s="19"/>
      <c r="T554" s="16"/>
      <c r="U554" s="16"/>
      <c r="V554" s="16"/>
      <c r="W554" s="23"/>
      <c r="Z554" s="15"/>
    </row>
    <row r="555" ht="15.75" customHeight="1">
      <c r="Q555" s="19"/>
      <c r="R555" s="19"/>
      <c r="S555" s="19"/>
      <c r="T555" s="16"/>
      <c r="U555" s="16"/>
      <c r="V555" s="16"/>
      <c r="W555" s="23"/>
      <c r="Z555" s="15"/>
    </row>
    <row r="556" ht="15.75" customHeight="1">
      <c r="Q556" s="19"/>
      <c r="R556" s="19"/>
      <c r="S556" s="19"/>
      <c r="T556" s="16"/>
      <c r="U556" s="16"/>
      <c r="V556" s="16"/>
      <c r="W556" s="23"/>
      <c r="Z556" s="15"/>
    </row>
    <row r="557" ht="15.75" customHeight="1">
      <c r="Q557" s="19"/>
      <c r="R557" s="19"/>
      <c r="S557" s="19"/>
      <c r="T557" s="16"/>
      <c r="U557" s="16"/>
      <c r="V557" s="16"/>
      <c r="W557" s="23"/>
      <c r="Z557" s="15"/>
    </row>
    <row r="558" ht="15.75" customHeight="1">
      <c r="Q558" s="19"/>
      <c r="R558" s="19"/>
      <c r="S558" s="19"/>
      <c r="T558" s="16"/>
      <c r="U558" s="16"/>
      <c r="V558" s="16"/>
      <c r="W558" s="23"/>
      <c r="Z558" s="15"/>
    </row>
    <row r="559" ht="15.75" customHeight="1">
      <c r="Q559" s="19"/>
      <c r="R559" s="19"/>
      <c r="S559" s="19"/>
      <c r="T559" s="16"/>
      <c r="U559" s="16"/>
      <c r="V559" s="16"/>
      <c r="W559" s="23"/>
      <c r="Z559" s="15"/>
    </row>
    <row r="560" ht="15.75" customHeight="1">
      <c r="Q560" s="19"/>
      <c r="R560" s="19"/>
      <c r="S560" s="19"/>
      <c r="T560" s="16"/>
      <c r="U560" s="16"/>
      <c r="V560" s="16"/>
      <c r="W560" s="23"/>
      <c r="Z560" s="15"/>
    </row>
    <row r="561" ht="15.75" customHeight="1">
      <c r="Q561" s="19"/>
      <c r="R561" s="19"/>
      <c r="S561" s="19"/>
      <c r="T561" s="16"/>
      <c r="U561" s="16"/>
      <c r="V561" s="16"/>
      <c r="W561" s="23"/>
      <c r="Z561" s="15"/>
    </row>
    <row r="562" ht="15.75" customHeight="1">
      <c r="Q562" s="19"/>
      <c r="R562" s="19"/>
      <c r="S562" s="19"/>
      <c r="T562" s="16"/>
      <c r="U562" s="16"/>
      <c r="V562" s="16"/>
      <c r="W562" s="23"/>
      <c r="Z562" s="15"/>
    </row>
    <row r="563" ht="15.75" customHeight="1">
      <c r="Q563" s="19"/>
      <c r="R563" s="19"/>
      <c r="S563" s="19"/>
      <c r="T563" s="16"/>
      <c r="U563" s="16"/>
      <c r="V563" s="16"/>
      <c r="W563" s="23"/>
      <c r="Z563" s="15"/>
    </row>
    <row r="564" ht="15.75" customHeight="1">
      <c r="Q564" s="19"/>
      <c r="R564" s="19"/>
      <c r="S564" s="19"/>
      <c r="T564" s="16"/>
      <c r="U564" s="16"/>
      <c r="V564" s="16"/>
      <c r="W564" s="23"/>
      <c r="Z564" s="15"/>
    </row>
    <row r="565" ht="15.75" customHeight="1">
      <c r="Q565" s="19"/>
      <c r="R565" s="19"/>
      <c r="S565" s="19"/>
      <c r="T565" s="16"/>
      <c r="U565" s="16"/>
      <c r="V565" s="16"/>
      <c r="W565" s="23"/>
      <c r="Z565" s="15"/>
    </row>
    <row r="566" ht="15.75" customHeight="1">
      <c r="Q566" s="19"/>
      <c r="R566" s="19"/>
      <c r="S566" s="19"/>
      <c r="T566" s="16"/>
      <c r="U566" s="16"/>
      <c r="V566" s="16"/>
      <c r="W566" s="23"/>
      <c r="Z566" s="15"/>
    </row>
    <row r="567" ht="15.75" customHeight="1">
      <c r="Q567" s="19"/>
      <c r="R567" s="19"/>
      <c r="S567" s="19"/>
      <c r="T567" s="16"/>
      <c r="U567" s="16"/>
      <c r="V567" s="16"/>
      <c r="W567" s="23"/>
      <c r="Z567" s="15"/>
    </row>
    <row r="568" ht="15.75" customHeight="1">
      <c r="Q568" s="19"/>
      <c r="R568" s="19"/>
      <c r="S568" s="19"/>
      <c r="T568" s="16"/>
      <c r="U568" s="16"/>
      <c r="V568" s="16"/>
      <c r="W568" s="23"/>
      <c r="Z568" s="15"/>
    </row>
    <row r="569" ht="15.75" customHeight="1">
      <c r="Q569" s="19"/>
      <c r="R569" s="19"/>
      <c r="S569" s="19"/>
      <c r="T569" s="16"/>
      <c r="U569" s="16"/>
      <c r="V569" s="16"/>
      <c r="W569" s="23"/>
      <c r="Z569" s="15"/>
    </row>
    <row r="570" ht="15.75" customHeight="1">
      <c r="Q570" s="19"/>
      <c r="R570" s="19"/>
      <c r="S570" s="19"/>
      <c r="T570" s="16"/>
      <c r="U570" s="16"/>
      <c r="V570" s="16"/>
      <c r="W570" s="23"/>
      <c r="Z570" s="15"/>
    </row>
    <row r="571" ht="15.75" customHeight="1">
      <c r="Q571" s="19"/>
      <c r="R571" s="19"/>
      <c r="S571" s="19"/>
      <c r="T571" s="16"/>
      <c r="U571" s="16"/>
      <c r="V571" s="16"/>
      <c r="W571" s="23"/>
      <c r="Z571" s="15"/>
    </row>
    <row r="572" ht="15.75" customHeight="1">
      <c r="Q572" s="19"/>
      <c r="R572" s="19"/>
      <c r="S572" s="19"/>
      <c r="T572" s="16"/>
      <c r="U572" s="16"/>
      <c r="V572" s="16"/>
      <c r="W572" s="23"/>
      <c r="Z572" s="15"/>
    </row>
    <row r="573" ht="15.75" customHeight="1">
      <c r="Q573" s="19"/>
      <c r="R573" s="19"/>
      <c r="S573" s="19"/>
      <c r="T573" s="16"/>
      <c r="U573" s="16"/>
      <c r="V573" s="16"/>
      <c r="W573" s="23"/>
      <c r="Z573" s="15"/>
    </row>
    <row r="574" ht="15.75" customHeight="1">
      <c r="Q574" s="19"/>
      <c r="R574" s="19"/>
      <c r="S574" s="19"/>
      <c r="T574" s="16"/>
      <c r="U574" s="16"/>
      <c r="V574" s="16"/>
      <c r="W574" s="23"/>
      <c r="Z574" s="15"/>
    </row>
    <row r="575" ht="15.75" customHeight="1">
      <c r="Q575" s="19"/>
      <c r="R575" s="19"/>
      <c r="S575" s="19"/>
      <c r="T575" s="16"/>
      <c r="U575" s="16"/>
      <c r="V575" s="16"/>
      <c r="W575" s="23"/>
      <c r="Z575" s="15"/>
    </row>
    <row r="576" ht="15.75" customHeight="1">
      <c r="Q576" s="19"/>
      <c r="R576" s="19"/>
      <c r="S576" s="19"/>
      <c r="T576" s="16"/>
      <c r="U576" s="16"/>
      <c r="V576" s="16"/>
      <c r="W576" s="23"/>
      <c r="Z576" s="15"/>
    </row>
    <row r="577" ht="15.75" customHeight="1">
      <c r="Q577" s="19"/>
      <c r="R577" s="19"/>
      <c r="S577" s="19"/>
      <c r="T577" s="16"/>
      <c r="U577" s="16"/>
      <c r="V577" s="16"/>
      <c r="W577" s="23"/>
      <c r="Z577" s="15"/>
    </row>
    <row r="578" ht="15.75" customHeight="1">
      <c r="Q578" s="19"/>
      <c r="R578" s="19"/>
      <c r="S578" s="19"/>
      <c r="T578" s="16"/>
      <c r="U578" s="16"/>
      <c r="V578" s="16"/>
      <c r="W578" s="23"/>
      <c r="Z578" s="15"/>
    </row>
    <row r="579" ht="15.75" customHeight="1">
      <c r="Q579" s="19"/>
      <c r="R579" s="19"/>
      <c r="S579" s="19"/>
      <c r="T579" s="16"/>
      <c r="U579" s="16"/>
      <c r="V579" s="16"/>
      <c r="W579" s="23"/>
      <c r="Z579" s="15"/>
    </row>
    <row r="580" ht="15.75" customHeight="1">
      <c r="Q580" s="19"/>
      <c r="R580" s="19"/>
      <c r="S580" s="19"/>
      <c r="T580" s="16"/>
      <c r="U580" s="16"/>
      <c r="V580" s="16"/>
      <c r="W580" s="23"/>
      <c r="Z580" s="15"/>
    </row>
    <row r="581" ht="15.75" customHeight="1">
      <c r="Q581" s="19"/>
      <c r="R581" s="19"/>
      <c r="S581" s="19"/>
      <c r="T581" s="16"/>
      <c r="U581" s="16"/>
      <c r="V581" s="16"/>
      <c r="W581" s="23"/>
      <c r="Z581" s="15"/>
    </row>
    <row r="582" ht="15.75" customHeight="1">
      <c r="Q582" s="19"/>
      <c r="R582" s="19"/>
      <c r="S582" s="19"/>
      <c r="T582" s="16"/>
      <c r="U582" s="16"/>
      <c r="V582" s="16"/>
      <c r="W582" s="23"/>
      <c r="Z582" s="15"/>
    </row>
    <row r="583" ht="15.75" customHeight="1">
      <c r="Q583" s="19"/>
      <c r="R583" s="19"/>
      <c r="S583" s="19"/>
      <c r="T583" s="16"/>
      <c r="U583" s="16"/>
      <c r="V583" s="16"/>
      <c r="W583" s="23"/>
      <c r="Z583" s="15"/>
    </row>
    <row r="584" ht="15.75" customHeight="1">
      <c r="Q584" s="19"/>
      <c r="R584" s="19"/>
      <c r="S584" s="19"/>
      <c r="T584" s="16"/>
      <c r="U584" s="16"/>
      <c r="V584" s="16"/>
      <c r="W584" s="23"/>
      <c r="Z584" s="15"/>
    </row>
    <row r="585" ht="15.75" customHeight="1">
      <c r="Q585" s="19"/>
      <c r="R585" s="19"/>
      <c r="S585" s="19"/>
      <c r="T585" s="16"/>
      <c r="U585" s="16"/>
      <c r="V585" s="16"/>
      <c r="W585" s="23"/>
      <c r="Z585" s="15"/>
    </row>
    <row r="586" ht="15.75" customHeight="1">
      <c r="Q586" s="19"/>
      <c r="R586" s="19"/>
      <c r="S586" s="19"/>
      <c r="T586" s="16"/>
      <c r="U586" s="16"/>
      <c r="V586" s="16"/>
      <c r="W586" s="23"/>
      <c r="Z586" s="15"/>
    </row>
    <row r="587" ht="15.75" customHeight="1">
      <c r="Q587" s="19"/>
      <c r="R587" s="19"/>
      <c r="S587" s="19"/>
      <c r="T587" s="16"/>
      <c r="U587" s="16"/>
      <c r="V587" s="16"/>
      <c r="W587" s="23"/>
      <c r="Z587" s="15"/>
    </row>
    <row r="588" ht="15.75" customHeight="1">
      <c r="Q588" s="19"/>
      <c r="R588" s="19"/>
      <c r="S588" s="19"/>
      <c r="T588" s="16"/>
      <c r="U588" s="16"/>
      <c r="V588" s="16"/>
      <c r="W588" s="23"/>
      <c r="Z588" s="15"/>
    </row>
    <row r="589" ht="15.75" customHeight="1">
      <c r="Q589" s="19"/>
      <c r="R589" s="19"/>
      <c r="S589" s="19"/>
      <c r="T589" s="16"/>
      <c r="U589" s="16"/>
      <c r="V589" s="16"/>
      <c r="W589" s="23"/>
      <c r="Z589" s="15"/>
    </row>
    <row r="590" ht="15.75" customHeight="1">
      <c r="Q590" s="19"/>
      <c r="R590" s="19"/>
      <c r="S590" s="19"/>
      <c r="T590" s="16"/>
      <c r="U590" s="16"/>
      <c r="V590" s="16"/>
      <c r="W590" s="23"/>
      <c r="Z590" s="15"/>
    </row>
    <row r="591" ht="15.75" customHeight="1">
      <c r="Q591" s="19"/>
      <c r="R591" s="19"/>
      <c r="S591" s="19"/>
      <c r="T591" s="16"/>
      <c r="U591" s="16"/>
      <c r="V591" s="16"/>
      <c r="W591" s="23"/>
      <c r="Z591" s="15"/>
    </row>
    <row r="592" ht="15.75" customHeight="1">
      <c r="Q592" s="19"/>
      <c r="R592" s="19"/>
      <c r="S592" s="19"/>
      <c r="T592" s="16"/>
      <c r="U592" s="16"/>
      <c r="V592" s="16"/>
      <c r="W592" s="23"/>
      <c r="Z592" s="15"/>
    </row>
    <row r="593" ht="15.75" customHeight="1">
      <c r="Q593" s="19"/>
      <c r="R593" s="19"/>
      <c r="S593" s="19"/>
      <c r="T593" s="16"/>
      <c r="U593" s="16"/>
      <c r="V593" s="16"/>
      <c r="W593" s="23"/>
      <c r="Z593" s="15"/>
    </row>
    <row r="594" ht="15.75" customHeight="1">
      <c r="Q594" s="19"/>
      <c r="R594" s="19"/>
      <c r="S594" s="19"/>
      <c r="T594" s="16"/>
      <c r="U594" s="16"/>
      <c r="V594" s="16"/>
      <c r="W594" s="23"/>
      <c r="Z594" s="15"/>
    </row>
    <row r="595" ht="15.75" customHeight="1">
      <c r="Q595" s="19"/>
      <c r="R595" s="19"/>
      <c r="S595" s="19"/>
      <c r="T595" s="16"/>
      <c r="U595" s="16"/>
      <c r="V595" s="16"/>
      <c r="W595" s="23"/>
      <c r="Z595" s="15"/>
    </row>
    <row r="596" ht="15.75" customHeight="1">
      <c r="Q596" s="19"/>
      <c r="R596" s="19"/>
      <c r="S596" s="19"/>
      <c r="T596" s="16"/>
      <c r="U596" s="16"/>
      <c r="V596" s="16"/>
      <c r="W596" s="23"/>
      <c r="Z596" s="15"/>
    </row>
    <row r="597" ht="15.75" customHeight="1">
      <c r="Q597" s="19"/>
      <c r="R597" s="19"/>
      <c r="S597" s="19"/>
      <c r="T597" s="16"/>
      <c r="U597" s="16"/>
      <c r="V597" s="16"/>
      <c r="W597" s="23"/>
      <c r="Z597" s="15"/>
    </row>
    <row r="598" ht="15.75" customHeight="1">
      <c r="Q598" s="19"/>
      <c r="R598" s="19"/>
      <c r="S598" s="19"/>
      <c r="T598" s="16"/>
      <c r="U598" s="16"/>
      <c r="V598" s="16"/>
      <c r="W598" s="23"/>
      <c r="Z598" s="15"/>
    </row>
    <row r="599" ht="15.75" customHeight="1">
      <c r="Q599" s="19"/>
      <c r="R599" s="19"/>
      <c r="S599" s="19"/>
      <c r="T599" s="16"/>
      <c r="U599" s="16"/>
      <c r="V599" s="16"/>
      <c r="W599" s="23"/>
      <c r="Z599" s="15"/>
    </row>
    <row r="600" ht="15.75" customHeight="1">
      <c r="Q600" s="19"/>
      <c r="R600" s="19"/>
      <c r="S600" s="19"/>
      <c r="T600" s="16"/>
      <c r="U600" s="16"/>
      <c r="V600" s="16"/>
      <c r="W600" s="23"/>
      <c r="Z600" s="15"/>
    </row>
    <row r="601" ht="15.75" customHeight="1">
      <c r="Q601" s="19"/>
      <c r="R601" s="19"/>
      <c r="S601" s="19"/>
      <c r="T601" s="16"/>
      <c r="U601" s="16"/>
      <c r="V601" s="16"/>
      <c r="W601" s="23"/>
      <c r="Z601" s="15"/>
    </row>
    <row r="602" ht="15.75" customHeight="1">
      <c r="Q602" s="19"/>
      <c r="R602" s="19"/>
      <c r="S602" s="19"/>
      <c r="T602" s="16"/>
      <c r="U602" s="16"/>
      <c r="V602" s="16"/>
      <c r="W602" s="23"/>
      <c r="Z602" s="15"/>
    </row>
    <row r="603" ht="15.75" customHeight="1">
      <c r="Q603" s="19"/>
      <c r="R603" s="19"/>
      <c r="S603" s="19"/>
      <c r="T603" s="16"/>
      <c r="U603" s="16"/>
      <c r="V603" s="16"/>
      <c r="W603" s="23"/>
      <c r="Z603" s="15"/>
    </row>
    <row r="604" ht="15.75" customHeight="1">
      <c r="Q604" s="19"/>
      <c r="R604" s="19"/>
      <c r="S604" s="19"/>
      <c r="T604" s="16"/>
      <c r="U604" s="16"/>
      <c r="V604" s="16"/>
      <c r="W604" s="23"/>
      <c r="Z604" s="15"/>
    </row>
    <row r="605" ht="15.75" customHeight="1">
      <c r="Q605" s="19"/>
      <c r="R605" s="19"/>
      <c r="S605" s="19"/>
      <c r="T605" s="16"/>
      <c r="U605" s="16"/>
      <c r="V605" s="16"/>
      <c r="W605" s="23"/>
      <c r="Z605" s="15"/>
    </row>
    <row r="606" ht="15.75" customHeight="1">
      <c r="Q606" s="19"/>
      <c r="R606" s="19"/>
      <c r="S606" s="19"/>
      <c r="T606" s="16"/>
      <c r="U606" s="16"/>
      <c r="V606" s="16"/>
      <c r="W606" s="23"/>
      <c r="Z606" s="15"/>
    </row>
    <row r="607" ht="15.75" customHeight="1">
      <c r="Q607" s="19"/>
      <c r="R607" s="19"/>
      <c r="S607" s="19"/>
      <c r="T607" s="16"/>
      <c r="U607" s="16"/>
      <c r="V607" s="16"/>
      <c r="W607" s="23"/>
      <c r="Z607" s="15"/>
    </row>
    <row r="608" ht="15.75" customHeight="1">
      <c r="Q608" s="19"/>
      <c r="R608" s="19"/>
      <c r="S608" s="19"/>
      <c r="T608" s="16"/>
      <c r="U608" s="16"/>
      <c r="V608" s="16"/>
      <c r="W608" s="23"/>
      <c r="Z608" s="15"/>
    </row>
    <row r="609" ht="15.75" customHeight="1">
      <c r="Q609" s="19"/>
      <c r="R609" s="19"/>
      <c r="S609" s="19"/>
      <c r="T609" s="16"/>
      <c r="U609" s="16"/>
      <c r="V609" s="16"/>
      <c r="W609" s="23"/>
      <c r="Z609" s="15"/>
    </row>
    <row r="610" ht="15.75" customHeight="1">
      <c r="Q610" s="19"/>
      <c r="R610" s="19"/>
      <c r="S610" s="19"/>
      <c r="T610" s="16"/>
      <c r="U610" s="16"/>
      <c r="V610" s="16"/>
      <c r="W610" s="23"/>
      <c r="Z610" s="15"/>
    </row>
    <row r="611" ht="15.75" customHeight="1">
      <c r="Q611" s="19"/>
      <c r="R611" s="19"/>
      <c r="S611" s="19"/>
      <c r="T611" s="16"/>
      <c r="U611" s="16"/>
      <c r="V611" s="16"/>
      <c r="W611" s="23"/>
      <c r="Z611" s="15"/>
    </row>
    <row r="612" ht="15.75" customHeight="1">
      <c r="Q612" s="19"/>
      <c r="R612" s="19"/>
      <c r="S612" s="19"/>
      <c r="T612" s="16"/>
      <c r="U612" s="16"/>
      <c r="V612" s="16"/>
      <c r="W612" s="23"/>
      <c r="Z612" s="15"/>
    </row>
    <row r="613" ht="15.75" customHeight="1">
      <c r="Q613" s="19"/>
      <c r="R613" s="19"/>
      <c r="S613" s="19"/>
      <c r="T613" s="16"/>
      <c r="U613" s="16"/>
      <c r="V613" s="16"/>
      <c r="W613" s="23"/>
      <c r="Z613" s="15"/>
    </row>
    <row r="614" ht="15.75" customHeight="1">
      <c r="Q614" s="19"/>
      <c r="R614" s="19"/>
      <c r="S614" s="19"/>
      <c r="T614" s="16"/>
      <c r="U614" s="16"/>
      <c r="V614" s="16"/>
      <c r="W614" s="23"/>
      <c r="Z614" s="15"/>
    </row>
    <row r="615" ht="15.75" customHeight="1">
      <c r="Q615" s="19"/>
      <c r="R615" s="19"/>
      <c r="S615" s="19"/>
      <c r="T615" s="16"/>
      <c r="U615" s="16"/>
      <c r="V615" s="16"/>
      <c r="W615" s="23"/>
      <c r="Z615" s="15"/>
    </row>
    <row r="616" ht="15.75" customHeight="1">
      <c r="Q616" s="19"/>
      <c r="R616" s="19"/>
      <c r="S616" s="19"/>
      <c r="T616" s="16"/>
      <c r="U616" s="16"/>
      <c r="V616" s="16"/>
      <c r="W616" s="23"/>
      <c r="Z616" s="15"/>
    </row>
    <row r="617" ht="15.75" customHeight="1">
      <c r="Q617" s="19"/>
      <c r="R617" s="19"/>
      <c r="S617" s="19"/>
      <c r="T617" s="16"/>
      <c r="U617" s="16"/>
      <c r="V617" s="16"/>
      <c r="W617" s="23"/>
      <c r="Z617" s="15"/>
    </row>
    <row r="618" ht="15.75" customHeight="1">
      <c r="Q618" s="19"/>
      <c r="R618" s="19"/>
      <c r="S618" s="19"/>
      <c r="T618" s="16"/>
      <c r="U618" s="16"/>
      <c r="V618" s="16"/>
      <c r="W618" s="23"/>
      <c r="Z618" s="15"/>
    </row>
    <row r="619" ht="15.75" customHeight="1">
      <c r="Q619" s="19"/>
      <c r="R619" s="19"/>
      <c r="S619" s="19"/>
      <c r="T619" s="16"/>
      <c r="U619" s="16"/>
      <c r="V619" s="16"/>
      <c r="W619" s="23"/>
      <c r="Z619" s="15"/>
    </row>
    <row r="620" ht="15.75" customHeight="1">
      <c r="Q620" s="19"/>
      <c r="R620" s="19"/>
      <c r="S620" s="19"/>
      <c r="T620" s="16"/>
      <c r="U620" s="16"/>
      <c r="V620" s="16"/>
      <c r="W620" s="23"/>
      <c r="Z620" s="15"/>
    </row>
    <row r="621" ht="15.75" customHeight="1">
      <c r="Q621" s="19"/>
      <c r="R621" s="19"/>
      <c r="S621" s="19"/>
      <c r="T621" s="16"/>
      <c r="U621" s="16"/>
      <c r="V621" s="16"/>
      <c r="W621" s="23"/>
      <c r="Z621" s="15"/>
    </row>
    <row r="622" ht="15.75" customHeight="1">
      <c r="Q622" s="19"/>
      <c r="R622" s="19"/>
      <c r="S622" s="19"/>
      <c r="T622" s="16"/>
      <c r="U622" s="16"/>
      <c r="V622" s="16"/>
      <c r="W622" s="23"/>
      <c r="Z622" s="15"/>
    </row>
    <row r="623" ht="15.75" customHeight="1">
      <c r="Q623" s="19"/>
      <c r="R623" s="19"/>
      <c r="S623" s="19"/>
      <c r="T623" s="16"/>
      <c r="U623" s="16"/>
      <c r="V623" s="16"/>
      <c r="W623" s="23"/>
      <c r="Z623" s="15"/>
    </row>
    <row r="624" ht="15.75" customHeight="1">
      <c r="Q624" s="19"/>
      <c r="R624" s="19"/>
      <c r="S624" s="19"/>
      <c r="T624" s="16"/>
      <c r="U624" s="16"/>
      <c r="V624" s="16"/>
      <c r="W624" s="23"/>
      <c r="Z624" s="15"/>
    </row>
    <row r="625" ht="15.75" customHeight="1">
      <c r="Q625" s="19"/>
      <c r="R625" s="19"/>
      <c r="S625" s="19"/>
      <c r="T625" s="16"/>
      <c r="U625" s="16"/>
      <c r="V625" s="16"/>
      <c r="W625" s="23"/>
      <c r="Z625" s="15"/>
    </row>
    <row r="626" ht="15.75" customHeight="1">
      <c r="Q626" s="19"/>
      <c r="R626" s="19"/>
      <c r="S626" s="19"/>
      <c r="T626" s="16"/>
      <c r="U626" s="16"/>
      <c r="V626" s="16"/>
      <c r="W626" s="23"/>
      <c r="Z626" s="15"/>
    </row>
    <row r="627" ht="15.75" customHeight="1">
      <c r="Q627" s="19"/>
      <c r="R627" s="19"/>
      <c r="S627" s="19"/>
      <c r="T627" s="16"/>
      <c r="U627" s="16"/>
      <c r="V627" s="16"/>
      <c r="W627" s="23"/>
      <c r="Z627" s="15"/>
    </row>
    <row r="628" ht="15.75" customHeight="1">
      <c r="Q628" s="19"/>
      <c r="R628" s="19"/>
      <c r="S628" s="19"/>
      <c r="T628" s="16"/>
      <c r="U628" s="16"/>
      <c r="V628" s="16"/>
      <c r="W628" s="23"/>
      <c r="Z628" s="15"/>
    </row>
    <row r="629" ht="15.75" customHeight="1">
      <c r="Q629" s="19"/>
      <c r="R629" s="19"/>
      <c r="S629" s="19"/>
      <c r="T629" s="16"/>
      <c r="U629" s="16"/>
      <c r="V629" s="16"/>
      <c r="W629" s="23"/>
      <c r="Z629" s="15"/>
    </row>
    <row r="630" ht="15.75" customHeight="1">
      <c r="Q630" s="19"/>
      <c r="R630" s="19"/>
      <c r="S630" s="19"/>
      <c r="T630" s="16"/>
      <c r="U630" s="16"/>
      <c r="V630" s="16"/>
      <c r="W630" s="23"/>
      <c r="Z630" s="15"/>
    </row>
    <row r="631" ht="15.75" customHeight="1">
      <c r="Q631" s="19"/>
      <c r="R631" s="19"/>
      <c r="S631" s="19"/>
      <c r="T631" s="16"/>
      <c r="U631" s="16"/>
      <c r="V631" s="16"/>
      <c r="W631" s="23"/>
      <c r="Z631" s="15"/>
    </row>
  </sheetData>
  <autoFilter ref="A1:AH539">
    <filterColumn colId="5">
      <filters>
        <filter val="SY25016"/>
      </filters>
    </filterColumn>
  </autoFilter>
  <mergeCells count="2">
    <mergeCell ref="AB305:AB309"/>
    <mergeCell ref="AB311:AB315"/>
  </mergeCells>
  <dataValidations count="4">
    <dataValidation type="list" errorStyle="stop" allowBlank="1" showErrorMessage="1" sqref="U1:U47 U48:U50 U51:U55 U56:U62 U63:U73 U74:U91 U92:U94 U339:U345 U346:U531 U538:U631 U235 U246:U274 U275:U284 U285:U286">
      <formula1>'工作表2'!$D:$D</formula1>
    </dataValidation>
    <dataValidation type="list" errorStyle="stop" allowBlank="1" showErrorMessage="1" sqref="P1:P44 P45:P48 P49:P59 P69:P94 P538:P631 W1:W39 W40:W47 W48:W74 W75:W94 W339:W346 W347:W531 W538:W631 P235 W235:W286 P246:P258">
      <formula1>'工作表2'!$C:$C</formula1>
    </dataValidation>
    <dataValidation type="list" errorStyle="stop" allowBlank="1" showErrorMessage="1" sqref="C1:C13 C538:C631 C224:C226 C16 C19 C34:C39 C56:C59 C74 C77 C92:C94 C103:C109 C116:C121 C126:C128 C132:C133 C136 C142:C150 C152:C159 C164:C165 C171:C172 C174 C179:C185 C190 C192:C193 C199:C201 C228:C231 C235 C242:C243 C246:C256 C257:C275 E260 C281:C284">
      <formula1>'工作表2'!$A:$A</formula1>
    </dataValidation>
    <dataValidation type="list" errorStyle="warning" allowBlank="1" showErrorMessage="1" sqref="G1:G94 G539:G631 F223 G235 G241:G243 G246:G249 G252:G268 G277:G280 G285:G288 G297:G298 G302:G303 G305:G315 G317:G318 G321:G323 G324:G332 G333:G334 G335:G343">
      <formula1>'工作表2'!$B:$B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/>
  <dimension ref="A1:E100"/>
  <sheetViews>
    <sheetView workbookViewId="0">
      <selection activeCell="A1" sqref="A1"/>
    </sheetView>
  </sheetViews>
  <sheetFormatPr defaultRowHeight="15.75" defaultColWidth="14.4286"/>
  <sheetData>
    <row r="1">
      <c r="A1" s="0" t="s">
        <v>61</v>
      </c>
      <c r="B1" s="0" t="s">
        <v>29</v>
      </c>
      <c r="C1" s="30" t="s">
        <v>521</v>
      </c>
      <c r="D1" s="30" t="s">
        <v>522</v>
      </c>
      <c r="E1" s="31" t="s">
        <v>523</v>
      </c>
    </row>
    <row r="2">
      <c r="A2" s="0" t="s">
        <v>26</v>
      </c>
      <c r="B2" s="0" t="s">
        <v>39</v>
      </c>
      <c r="C2" s="30" t="s">
        <v>31</v>
      </c>
      <c r="D2" s="30" t="s">
        <v>32</v>
      </c>
      <c r="E2" s="31" t="s">
        <v>524</v>
      </c>
    </row>
    <row r="3">
      <c r="C3" s="30" t="s">
        <v>230</v>
      </c>
      <c r="D3" s="30" t="s">
        <v>525</v>
      </c>
      <c r="E3" s="30"/>
    </row>
    <row r="4">
      <c r="C4" s="30"/>
      <c r="D4" s="30" t="s">
        <v>526</v>
      </c>
      <c r="E4" s="30"/>
    </row>
    <row r="5">
      <c r="C5" s="30"/>
      <c r="D5" s="30" t="s">
        <v>101</v>
      </c>
      <c r="E5" s="30"/>
    </row>
    <row r="6">
      <c r="C6" s="30"/>
      <c r="D6" s="30"/>
      <c r="E6" s="30"/>
    </row>
    <row r="7">
      <c r="C7" s="30"/>
      <c r="D7" s="30"/>
      <c r="E7" s="30"/>
    </row>
    <row r="8">
      <c r="C8" s="30"/>
      <c r="D8" s="30"/>
      <c r="E8" s="30"/>
    </row>
    <row r="9">
      <c r="C9" s="30"/>
      <c r="D9" s="30"/>
      <c r="E9" s="30"/>
    </row>
    <row r="10">
      <c r="C10" s="30"/>
      <c r="D10" s="30"/>
      <c r="E10" s="30"/>
    </row>
    <row r="11">
      <c r="C11" s="30"/>
      <c r="D11" s="30"/>
      <c r="E11" s="30"/>
    </row>
    <row r="12">
      <c r="C12" s="30"/>
      <c r="D12" s="30"/>
      <c r="E12" s="30"/>
    </row>
    <row r="13">
      <c r="C13" s="30"/>
      <c r="D13" s="30"/>
      <c r="E13" s="30"/>
    </row>
    <row r="14">
      <c r="C14" s="30"/>
      <c r="D14" s="30"/>
      <c r="E14" s="30"/>
    </row>
    <row r="15">
      <c r="C15" s="30"/>
      <c r="D15" s="30"/>
      <c r="E15" s="30"/>
    </row>
    <row r="16">
      <c r="C16" s="30"/>
      <c r="D16" s="30"/>
      <c r="E16" s="30"/>
    </row>
    <row r="17">
      <c r="C17" s="30"/>
      <c r="D17" s="30"/>
      <c r="E17" s="30"/>
    </row>
    <row r="18">
      <c r="C18" s="30"/>
      <c r="D18" s="30"/>
      <c r="E18" s="30"/>
    </row>
    <row r="19">
      <c r="C19" s="30"/>
      <c r="D19" s="30"/>
      <c r="E19" s="30"/>
    </row>
    <row r="20">
      <c r="C20" s="30"/>
      <c r="D20" s="30"/>
      <c r="E20" s="30"/>
    </row>
    <row r="21">
      <c r="C21" s="30"/>
      <c r="D21" s="30"/>
      <c r="E21" s="30"/>
    </row>
    <row r="22">
      <c r="C22" s="30"/>
      <c r="D22" s="30"/>
      <c r="E22" s="30"/>
    </row>
    <row r="23">
      <c r="C23" s="30"/>
      <c r="D23" s="30"/>
      <c r="E23" s="30"/>
    </row>
    <row r="24">
      <c r="C24" s="30"/>
      <c r="D24" s="30"/>
      <c r="E24" s="30"/>
    </row>
    <row r="25">
      <c r="C25" s="30"/>
      <c r="D25" s="30"/>
      <c r="E25" s="30"/>
    </row>
    <row r="26">
      <c r="C26" s="30"/>
      <c r="D26" s="30"/>
      <c r="E26" s="30"/>
    </row>
    <row r="27">
      <c r="C27" s="30"/>
      <c r="D27" s="30"/>
      <c r="E27" s="30"/>
    </row>
    <row r="28">
      <c r="C28" s="30"/>
      <c r="D28" s="30"/>
      <c r="E28" s="30"/>
    </row>
    <row r="29">
      <c r="C29" s="30"/>
      <c r="D29" s="30"/>
      <c r="E29" s="30"/>
    </row>
    <row r="30">
      <c r="C30" s="30"/>
      <c r="D30" s="30"/>
      <c r="E30" s="30"/>
    </row>
    <row r="31">
      <c r="C31" s="30"/>
      <c r="D31" s="30"/>
      <c r="E31" s="30"/>
    </row>
    <row r="32">
      <c r="C32" s="30"/>
      <c r="D32" s="30"/>
      <c r="E32" s="30"/>
    </row>
    <row r="33">
      <c r="C33" s="30"/>
      <c r="D33" s="30"/>
      <c r="E33" s="30"/>
    </row>
    <row r="34">
      <c r="C34" s="30"/>
      <c r="D34" s="30"/>
      <c r="E34" s="30"/>
    </row>
    <row r="35">
      <c r="C35" s="30"/>
      <c r="D35" s="30"/>
      <c r="E35" s="30"/>
    </row>
    <row r="36">
      <c r="C36" s="30"/>
      <c r="D36" s="30"/>
      <c r="E36" s="30"/>
    </row>
    <row r="37">
      <c r="C37" s="30"/>
      <c r="D37" s="30"/>
      <c r="E37" s="30"/>
    </row>
    <row r="38">
      <c r="C38" s="30"/>
      <c r="D38" s="30"/>
      <c r="E38" s="30"/>
    </row>
    <row r="39">
      <c r="C39" s="30"/>
      <c r="D39" s="30"/>
      <c r="E39" s="30"/>
    </row>
    <row r="40">
      <c r="C40" s="30"/>
      <c r="D40" s="30"/>
      <c r="E40" s="30"/>
    </row>
    <row r="41">
      <c r="C41" s="30"/>
      <c r="D41" s="30"/>
      <c r="E41" s="30"/>
    </row>
    <row r="42">
      <c r="C42" s="30"/>
      <c r="D42" s="30"/>
      <c r="E42" s="30"/>
    </row>
    <row r="43">
      <c r="C43" s="30"/>
      <c r="D43" s="30"/>
      <c r="E43" s="30"/>
    </row>
    <row r="44">
      <c r="C44" s="30"/>
      <c r="D44" s="30"/>
      <c r="E44" s="30"/>
    </row>
    <row r="45">
      <c r="C45" s="30"/>
      <c r="D45" s="30"/>
      <c r="E45" s="30"/>
    </row>
    <row r="46">
      <c r="C46" s="30"/>
      <c r="D46" s="30"/>
      <c r="E46" s="30"/>
    </row>
    <row r="47">
      <c r="C47" s="30"/>
      <c r="D47" s="30"/>
      <c r="E47" s="30"/>
    </row>
    <row r="48">
      <c r="C48" s="30"/>
      <c r="D48" s="30"/>
      <c r="E48" s="30"/>
    </row>
    <row r="49">
      <c r="C49" s="30"/>
      <c r="D49" s="30"/>
      <c r="E49" s="30"/>
    </row>
    <row r="50">
      <c r="C50" s="30"/>
      <c r="D50" s="30"/>
      <c r="E50" s="30"/>
    </row>
    <row r="51">
      <c r="C51" s="30"/>
      <c r="D51" s="30"/>
      <c r="E51" s="30"/>
    </row>
    <row r="52">
      <c r="C52" s="30"/>
      <c r="D52" s="30"/>
      <c r="E52" s="30"/>
    </row>
    <row r="53">
      <c r="C53" s="30"/>
      <c r="D53" s="30"/>
      <c r="E53" s="30"/>
    </row>
    <row r="54">
      <c r="C54" s="30"/>
      <c r="D54" s="30"/>
      <c r="E54" s="30"/>
    </row>
    <row r="55">
      <c r="C55" s="30"/>
      <c r="D55" s="30"/>
      <c r="E55" s="30"/>
    </row>
    <row r="56">
      <c r="C56" s="30"/>
      <c r="D56" s="30"/>
      <c r="E56" s="30"/>
    </row>
    <row r="57">
      <c r="C57" s="30"/>
      <c r="D57" s="30"/>
      <c r="E57" s="30"/>
    </row>
    <row r="58">
      <c r="C58" s="30"/>
      <c r="D58" s="30"/>
      <c r="E58" s="30"/>
    </row>
    <row r="59">
      <c r="C59" s="30"/>
      <c r="D59" s="30"/>
      <c r="E59" s="30"/>
    </row>
    <row r="60">
      <c r="C60" s="30"/>
      <c r="D60" s="30"/>
      <c r="E60" s="30"/>
    </row>
    <row r="61">
      <c r="C61" s="30"/>
      <c r="D61" s="30"/>
      <c r="E61" s="30"/>
    </row>
    <row r="62">
      <c r="C62" s="30"/>
      <c r="D62" s="30"/>
      <c r="E62" s="30"/>
    </row>
    <row r="63">
      <c r="C63" s="30"/>
      <c r="D63" s="30"/>
      <c r="E63" s="30"/>
    </row>
    <row r="64">
      <c r="C64" s="30"/>
      <c r="D64" s="30"/>
      <c r="E64" s="30"/>
    </row>
    <row r="65">
      <c r="C65" s="30"/>
      <c r="D65" s="30"/>
      <c r="E65" s="30"/>
    </row>
    <row r="66">
      <c r="C66" s="30"/>
      <c r="D66" s="30"/>
      <c r="E66" s="30"/>
    </row>
    <row r="67">
      <c r="C67" s="30"/>
      <c r="D67" s="30"/>
      <c r="E67" s="30"/>
    </row>
    <row r="68">
      <c r="C68" s="30"/>
      <c r="D68" s="30"/>
      <c r="E68" s="30"/>
    </row>
    <row r="69">
      <c r="C69" s="30"/>
      <c r="D69" s="30"/>
      <c r="E69" s="30"/>
    </row>
    <row r="70">
      <c r="C70" s="30"/>
      <c r="D70" s="30"/>
      <c r="E70" s="30"/>
    </row>
    <row r="71">
      <c r="C71" s="30"/>
      <c r="D71" s="30"/>
      <c r="E71" s="30"/>
    </row>
    <row r="72">
      <c r="C72" s="30"/>
      <c r="D72" s="30"/>
      <c r="E72" s="30"/>
    </row>
    <row r="73">
      <c r="C73" s="30"/>
      <c r="D73" s="30"/>
      <c r="E73" s="30"/>
    </row>
    <row r="74">
      <c r="C74" s="30"/>
      <c r="D74" s="30"/>
      <c r="E74" s="30"/>
    </row>
    <row r="75">
      <c r="C75" s="30"/>
      <c r="D75" s="30"/>
      <c r="E75" s="30"/>
    </row>
    <row r="76">
      <c r="C76" s="30"/>
      <c r="D76" s="30"/>
      <c r="E76" s="30"/>
    </row>
    <row r="77">
      <c r="C77" s="30"/>
      <c r="D77" s="30"/>
      <c r="E77" s="30"/>
    </row>
    <row r="78">
      <c r="C78" s="30"/>
      <c r="D78" s="30"/>
      <c r="E78" s="30"/>
    </row>
    <row r="79">
      <c r="C79" s="30"/>
      <c r="D79" s="30"/>
      <c r="E79" s="30"/>
    </row>
    <row r="80">
      <c r="C80" s="30"/>
      <c r="D80" s="30"/>
      <c r="E80" s="30"/>
    </row>
    <row r="81">
      <c r="C81" s="30"/>
      <c r="D81" s="30"/>
      <c r="E81" s="30"/>
    </row>
    <row r="82">
      <c r="C82" s="30"/>
      <c r="D82" s="30"/>
      <c r="E82" s="30"/>
    </row>
    <row r="83">
      <c r="C83" s="30"/>
      <c r="D83" s="30"/>
      <c r="E83" s="30"/>
    </row>
    <row r="84">
      <c r="C84" s="30"/>
      <c r="D84" s="30"/>
      <c r="E84" s="30"/>
    </row>
    <row r="85">
      <c r="C85" s="30"/>
      <c r="D85" s="30"/>
      <c r="E85" s="30"/>
    </row>
    <row r="86">
      <c r="C86" s="30"/>
      <c r="D86" s="30"/>
      <c r="E86" s="30"/>
    </row>
    <row r="87">
      <c r="C87" s="30"/>
      <c r="D87" s="30"/>
      <c r="E87" s="30"/>
    </row>
    <row r="88">
      <c r="C88" s="30"/>
      <c r="D88" s="30"/>
      <c r="E88" s="30"/>
    </row>
    <row r="89">
      <c r="C89" s="30"/>
      <c r="D89" s="30"/>
      <c r="E89" s="30"/>
    </row>
    <row r="90">
      <c r="C90" s="30"/>
      <c r="D90" s="30"/>
      <c r="E90" s="30"/>
    </row>
    <row r="91">
      <c r="C91" s="30"/>
      <c r="D91" s="30"/>
      <c r="E91" s="30"/>
    </row>
    <row r="92">
      <c r="C92" s="30"/>
      <c r="D92" s="30"/>
      <c r="E92" s="30"/>
    </row>
    <row r="93">
      <c r="C93" s="30"/>
      <c r="D93" s="30"/>
      <c r="E93" s="30"/>
    </row>
    <row r="94">
      <c r="C94" s="30"/>
      <c r="D94" s="30"/>
      <c r="E94" s="30"/>
    </row>
    <row r="95">
      <c r="C95" s="30"/>
      <c r="D95" s="30"/>
      <c r="E95" s="30"/>
    </row>
    <row r="96">
      <c r="C96" s="30"/>
      <c r="D96" s="30"/>
      <c r="E96" s="30"/>
    </row>
    <row r="97">
      <c r="C97" s="30"/>
      <c r="D97" s="30"/>
      <c r="E97" s="30"/>
    </row>
    <row r="98">
      <c r="C98" s="30"/>
      <c r="D98" s="30"/>
      <c r="E98" s="30"/>
    </row>
    <row r="99">
      <c r="C99" s="30"/>
      <c r="D99" s="30"/>
      <c r="E99" s="30"/>
    </row>
    <row r="100">
      <c r="C100" s="30"/>
      <c r="D100" s="30"/>
      <c r="E100" s="3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Synology Office</Application>
  <AppVersion>2.326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2026-07-22T08:08:38Z</dcterms:created>
  <dcterms:modified xsi:type="dcterms:W3CDTF">2026-07-22T08:08:38Z</dcterms:modified>
</cp:coreProperties>
</file>