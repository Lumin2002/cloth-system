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 tabRatio="815"/>
  </bookViews>
  <sheets>
    <sheet name="样品编号表" sheetId="23" r:id="rId1"/>
    <sheet name="正式编号化纤加工别" sheetId="20" state="hidden" r:id="rId2"/>
    <sheet name="正式编号棉布加工别" sheetId="11" state="hidden" r:id="rId3"/>
    <sheet name="编号规则" sheetId="32" r:id="rId4"/>
    <sheet name="SYL编号表" sheetId="29" r:id="rId5"/>
    <sheet name="剪样" sheetId="25" r:id="rId6"/>
    <sheet name="大货" sheetId="31" r:id="rId7"/>
    <sheet name="留底" sheetId="26" r:id="rId8"/>
    <sheet name="加工厂" sheetId="28" r:id="rId9"/>
    <sheet name="Sheet1" sheetId="30" r:id="rId10"/>
  </sheets>
  <definedNames>
    <definedName name="_xlnm._FilterDatabase" localSheetId="0" hidden="1">样品编号表!$A$1:$AN$4165</definedName>
    <definedName name="_xlnm._FilterDatabase" localSheetId="5" hidden="1">剪样!$A$1:$Q$264</definedName>
    <definedName name="_xlnm._FilterDatabase" localSheetId="6" hidden="1">大货!$A$1:$W$171</definedName>
    <definedName name="_xlnm._FilterDatabase" localSheetId="7" hidden="1">留底!$A$1:$M$54</definedName>
    <definedName name="_xlnm.Print_Area" localSheetId="1">正式编号化纤加工别!$A$1:$N$45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dell</author>
  </authors>
  <commentList>
    <comment ref="I976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成分有100%高弹丝更新为70%涤纶，30%人棉</t>
        </r>
      </text>
    </comment>
    <comment ref="L976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克重由260更新为165</t>
        </r>
      </text>
    </comment>
    <comment ref="Z976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编号有1478#更新为1808</t>
        </r>
      </text>
    </comment>
    <comment ref="AA976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单价有6.8更新为12.8</t>
        </r>
      </text>
    </comment>
  </commentList>
</comments>
</file>

<file path=xl/comments2.xml><?xml version="1.0" encoding="utf-8"?>
<comments xmlns="http://schemas.openxmlformats.org/spreadsheetml/2006/main">
  <authors>
    <author>dell</author>
  </authors>
  <commentList>
    <comment ref="K37" authorId="0">
      <text>
        <r>
          <rPr>
            <b/>
            <sz val="9"/>
            <rFont val="宋体"/>
            <charset val="134"/>
          </rPr>
          <t>dell:</t>
        </r>
        <r>
          <rPr>
            <sz val="9"/>
            <rFont val="宋体"/>
            <charset val="134"/>
          </rPr>
          <t xml:space="preserve">
单价搞错，后续剪版得改为25元/米</t>
        </r>
      </text>
    </comment>
  </commentList>
</comments>
</file>

<file path=xl/sharedStrings.xml><?xml version="1.0" encoding="utf-8"?>
<sst xmlns="http://schemas.openxmlformats.org/spreadsheetml/2006/main" count="44610" uniqueCount="12596">
  <si>
    <r>
      <rPr>
        <b/>
        <sz val="10"/>
        <rFont val="宋体"/>
        <charset val="134"/>
      </rPr>
      <t>样品编号表</t>
    </r>
  </si>
  <si>
    <r>
      <rPr>
        <sz val="10"/>
        <color theme="1"/>
        <rFont val="宋体"/>
        <charset val="134"/>
      </rPr>
      <t>胚布信息</t>
    </r>
  </si>
  <si>
    <r>
      <rPr>
        <sz val="10"/>
        <color theme="1"/>
        <rFont val="宋体"/>
        <charset val="134"/>
      </rPr>
      <t>现货信息</t>
    </r>
  </si>
  <si>
    <r>
      <rPr>
        <sz val="10"/>
        <rFont val="宋体"/>
        <charset val="134"/>
      </rPr>
      <t>序列号</t>
    </r>
  </si>
  <si>
    <r>
      <rPr>
        <sz val="10"/>
        <color rgb="FFFF0000"/>
        <rFont val="Calibri Light"/>
        <charset val="134"/>
      </rPr>
      <t>*</t>
    </r>
    <r>
      <rPr>
        <sz val="10"/>
        <rFont val="宋体"/>
        <charset val="134"/>
      </rPr>
      <t>创建</t>
    </r>
    <r>
      <rPr>
        <sz val="10"/>
        <color theme="1"/>
        <rFont val="宋体"/>
        <charset val="134"/>
      </rPr>
      <t>日期</t>
    </r>
    <r>
      <rPr>
        <sz val="10"/>
        <color theme="1"/>
        <rFont val="Calibri Light"/>
        <charset val="134"/>
      </rPr>
      <t xml:space="preserve">
Creative Date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</si>
  <si>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业务员</t>
    </r>
    <r>
      <rPr>
        <sz val="10"/>
        <color theme="1"/>
        <rFont val="Calibri Light"/>
        <charset val="134"/>
      </rPr>
      <t xml:space="preserve">
Owner</t>
    </r>
  </si>
  <si>
    <r>
      <rPr>
        <sz val="10"/>
        <color theme="1"/>
        <rFont val="宋体"/>
        <charset val="134"/>
      </rPr>
      <t>客户</t>
    </r>
  </si>
  <si>
    <r>
      <rPr>
        <sz val="10"/>
        <color theme="1"/>
        <rFont val="宋体"/>
        <charset val="134"/>
      </rPr>
      <t>项目当日编号</t>
    </r>
  </si>
  <si>
    <r>
      <rPr>
        <sz val="10"/>
        <color theme="1"/>
        <rFont val="宋体"/>
        <charset val="134"/>
      </rPr>
      <t>材料名称</t>
    </r>
    <r>
      <rPr>
        <sz val="10"/>
        <color theme="1"/>
        <rFont val="Calibri Light"/>
        <charset val="134"/>
      </rPr>
      <t xml:space="preserve">
Name</t>
    </r>
  </si>
  <si>
    <t>布种类型</t>
  </si>
  <si>
    <r>
      <rPr>
        <sz val="10"/>
        <color rgb="FFFF0000"/>
        <rFont val="Calibri Light"/>
        <charset val="134"/>
      </rPr>
      <t>*</t>
    </r>
    <r>
      <rPr>
        <sz val="10"/>
        <rFont val="宋体"/>
        <charset val="134"/>
      </rPr>
      <t>布种编号</t>
    </r>
    <r>
      <rPr>
        <sz val="10"/>
        <rFont val="Calibri Light"/>
        <charset val="134"/>
      </rPr>
      <t xml:space="preserve">
#Base</t>
    </r>
  </si>
  <si>
    <r>
      <rPr>
        <sz val="10"/>
        <rFont val="宋体"/>
        <charset val="134"/>
      </rPr>
      <t>成份（中文</t>
    </r>
    <r>
      <rPr>
        <sz val="10"/>
        <rFont val="Calibri Light"/>
        <charset val="134"/>
      </rPr>
      <t>)
Composition</t>
    </r>
  </si>
  <si>
    <r>
      <rPr>
        <sz val="10"/>
        <color rgb="FFFF0000"/>
        <rFont val="Calibri Light"/>
        <charset val="134"/>
      </rPr>
      <t>*</t>
    </r>
    <r>
      <rPr>
        <sz val="10"/>
        <rFont val="宋体"/>
        <charset val="134"/>
      </rPr>
      <t>成份（英文）</t>
    </r>
    <r>
      <rPr>
        <sz val="10"/>
        <rFont val="Calibri Light"/>
        <charset val="134"/>
      </rPr>
      <t xml:space="preserve">
Composition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</si>
  <si>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可裁门幅</t>
    </r>
    <r>
      <rPr>
        <sz val="10"/>
        <color theme="1"/>
        <rFont val="Calibri Light"/>
        <charset val="134"/>
      </rPr>
      <t xml:space="preserve">
Width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</si>
  <si>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克重</t>
    </r>
    <r>
      <rPr>
        <sz val="10"/>
        <color theme="1"/>
        <rFont val="Calibri Light"/>
        <charset val="134"/>
      </rPr>
      <t>GSM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</si>
  <si>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Calibri Light"/>
        <charset val="134"/>
      </rPr>
      <t>SPECIFICATION/</t>
    </r>
    <r>
      <rPr>
        <sz val="10"/>
        <color theme="1"/>
        <rFont val="宋体"/>
        <charset val="134"/>
      </rPr>
      <t>规格</t>
    </r>
    <r>
      <rPr>
        <sz val="10"/>
        <color theme="1"/>
        <rFont val="Calibri Light"/>
        <charset val="134"/>
      </rPr>
      <t xml:space="preserve">
</t>
    </r>
    <r>
      <rPr>
        <sz val="10"/>
        <color theme="1"/>
        <rFont val="宋体"/>
        <charset val="134"/>
      </rPr>
      <t>（经纱支</t>
    </r>
    <r>
      <rPr>
        <sz val="10"/>
        <color theme="1"/>
        <rFont val="Calibri Light"/>
        <charset val="134"/>
      </rPr>
      <t>x</t>
    </r>
    <r>
      <rPr>
        <sz val="10"/>
        <color theme="1"/>
        <rFont val="宋体"/>
        <charset val="134"/>
      </rPr>
      <t>纬纱支）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</si>
  <si>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Calibri Light"/>
        <charset val="134"/>
      </rPr>
      <t>SPECIFICATION/</t>
    </r>
    <r>
      <rPr>
        <sz val="10"/>
        <color theme="1"/>
        <rFont val="宋体"/>
        <charset val="134"/>
      </rPr>
      <t>密度</t>
    </r>
    <r>
      <rPr>
        <sz val="10"/>
        <color theme="1"/>
        <rFont val="Calibri Light"/>
        <charset val="134"/>
      </rPr>
      <t xml:space="preserve">
</t>
    </r>
    <r>
      <rPr>
        <sz val="10"/>
        <color theme="1"/>
        <rFont val="宋体"/>
        <charset val="134"/>
      </rPr>
      <t>（经密度</t>
    </r>
    <r>
      <rPr>
        <sz val="10"/>
        <color theme="1"/>
        <rFont val="Calibri Light"/>
        <charset val="134"/>
      </rPr>
      <t>x</t>
    </r>
    <r>
      <rPr>
        <sz val="10"/>
        <color theme="1"/>
        <rFont val="宋体"/>
        <charset val="134"/>
      </rPr>
      <t>纬密度）</t>
    </r>
  </si>
  <si>
    <r>
      <rPr>
        <sz val="10"/>
        <color theme="1"/>
        <rFont val="宋体"/>
        <charset val="134"/>
      </rPr>
      <t>全部加工工艺（中文）</t>
    </r>
    <r>
      <rPr>
        <sz val="10"/>
        <color theme="1"/>
        <rFont val="Calibri Light"/>
        <charset val="134"/>
      </rPr>
      <t xml:space="preserve">
Processes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</si>
  <si>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全部加工工艺（英文）</t>
    </r>
    <r>
      <rPr>
        <sz val="10"/>
        <color theme="1"/>
        <rFont val="Calibri Light"/>
        <charset val="134"/>
      </rPr>
      <t xml:space="preserve">
Processes</t>
    </r>
  </si>
  <si>
    <r>
      <rPr>
        <sz val="10"/>
        <color theme="1"/>
        <rFont val="宋体"/>
        <charset val="134"/>
      </rPr>
      <t>备注（纱，组织，染整及功能特殊要求，指标等）</t>
    </r>
    <r>
      <rPr>
        <sz val="10"/>
        <color theme="1"/>
        <rFont val="Calibri Light"/>
        <charset val="134"/>
      </rPr>
      <t xml:space="preserve">
Remark special yarn, weave, process, function,etc</t>
    </r>
  </si>
  <si>
    <r>
      <rPr>
        <sz val="10"/>
        <color rgb="FFFF0000"/>
        <rFont val="Calibri Light"/>
        <charset val="134"/>
      </rPr>
      <t>*</t>
    </r>
    <r>
      <rPr>
        <sz val="10"/>
        <color rgb="FFFF0000"/>
        <rFont val="宋体"/>
        <charset val="134"/>
      </rPr>
      <t>塑胶类</t>
    </r>
    <r>
      <rPr>
        <sz val="10"/>
        <color rgb="FFFF0000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厚度</t>
    </r>
    <r>
      <rPr>
        <sz val="10"/>
        <color theme="1"/>
        <rFont val="Calibri Light"/>
        <charset val="134"/>
      </rPr>
      <t>mm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</si>
  <si>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胚布厂</t>
    </r>
    <r>
      <rPr>
        <sz val="10"/>
        <color theme="1"/>
        <rFont val="Calibri Light"/>
        <charset val="134"/>
      </rPr>
      <t xml:space="preserve">
Greige mill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</si>
  <si>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胚布厂胚布编码</t>
    </r>
    <r>
      <rPr>
        <sz val="10"/>
        <color theme="1"/>
        <rFont val="Calibri Light"/>
        <charset val="134"/>
      </rPr>
      <t xml:space="preserve">
Greige #article</t>
    </r>
  </si>
  <si>
    <r>
      <rPr>
        <sz val="10"/>
        <color rgb="FFFF0000"/>
        <rFont val="Calibri Light"/>
        <charset val="134"/>
      </rPr>
      <t>*</t>
    </r>
    <r>
      <rPr>
        <sz val="10"/>
        <color theme="1"/>
        <rFont val="宋体"/>
        <charset val="134"/>
      </rPr>
      <t>胚布采购价格</t>
    </r>
    <r>
      <rPr>
        <sz val="10"/>
        <color theme="1"/>
        <rFont val="Calibri Light"/>
        <charset val="134"/>
      </rPr>
      <t>RMB/M</t>
    </r>
  </si>
  <si>
    <r>
      <rPr>
        <sz val="10"/>
        <rFont val="Calibri Light"/>
        <charset val="134"/>
      </rPr>
      <t>*</t>
    </r>
    <r>
      <rPr>
        <sz val="10"/>
        <rFont val="宋体"/>
        <charset val="134"/>
      </rPr>
      <t>一级</t>
    </r>
    <r>
      <rPr>
        <sz val="10"/>
        <color theme="1"/>
        <rFont val="宋体"/>
        <charset val="134"/>
      </rPr>
      <t>供应商</t>
    </r>
    <r>
      <rPr>
        <sz val="10"/>
        <color theme="1"/>
        <rFont val="Calibri Light"/>
        <charset val="134"/>
      </rPr>
      <t>/mill</t>
    </r>
  </si>
  <si>
    <r>
      <rPr>
        <sz val="10"/>
        <color rgb="FFFF0000"/>
        <rFont val="Calibri Light"/>
        <charset val="134"/>
      </rPr>
      <t>*</t>
    </r>
    <r>
      <rPr>
        <sz val="10"/>
        <rFont val="宋体"/>
        <charset val="134"/>
      </rPr>
      <t>供应商编码</t>
    </r>
    <r>
      <rPr>
        <sz val="10"/>
        <rFont val="Calibri Light"/>
        <charset val="134"/>
      </rPr>
      <t>/ #article</t>
    </r>
  </si>
  <si>
    <r>
      <rPr>
        <sz val="10"/>
        <rFont val="Calibri Light"/>
        <charset val="134"/>
      </rPr>
      <t>*</t>
    </r>
    <r>
      <rPr>
        <sz val="10"/>
        <rFont val="宋体"/>
        <charset val="134"/>
      </rPr>
      <t>二级</t>
    </r>
    <r>
      <rPr>
        <sz val="10"/>
        <color theme="1"/>
        <rFont val="宋体"/>
        <charset val="134"/>
      </rPr>
      <t>供应商</t>
    </r>
    <r>
      <rPr>
        <sz val="10"/>
        <color theme="1"/>
        <rFont val="Calibri Light"/>
        <charset val="134"/>
      </rPr>
      <t>/mill</t>
    </r>
  </si>
  <si>
    <r>
      <rPr>
        <sz val="10"/>
        <rFont val="Calibri Light"/>
        <charset val="134"/>
      </rPr>
      <t>*</t>
    </r>
    <r>
      <rPr>
        <sz val="10"/>
        <rFont val="宋体"/>
        <charset val="134"/>
      </rPr>
      <t>现货采购价格</t>
    </r>
    <r>
      <rPr>
        <sz val="10"/>
        <rFont val="Calibri Light"/>
        <charset val="134"/>
      </rPr>
      <t>RMB/M</t>
    </r>
  </si>
  <si>
    <r>
      <rPr>
        <sz val="10"/>
        <color theme="1"/>
        <rFont val="宋体"/>
        <charset val="134"/>
      </rPr>
      <t>报价日期</t>
    </r>
    <r>
      <rPr>
        <sz val="10"/>
        <color theme="1"/>
        <rFont val="Calibri Light"/>
        <charset val="134"/>
      </rPr>
      <t xml:space="preserve"> Date
</t>
    </r>
    <r>
      <rPr>
        <sz val="10"/>
        <color theme="1"/>
        <rFont val="宋体"/>
        <charset val="134"/>
      </rPr>
      <t>年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月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日</t>
    </r>
  </si>
  <si>
    <r>
      <rPr>
        <sz val="10"/>
        <rFont val="Calibri Light"/>
        <charset val="134"/>
      </rPr>
      <t xml:space="preserve">YDGE MOQ/Bulk MOQ
</t>
    </r>
    <r>
      <rPr>
        <sz val="10"/>
        <rFont val="宋体"/>
        <charset val="134"/>
      </rPr>
      <t>成品码样</t>
    </r>
    <r>
      <rPr>
        <sz val="10"/>
        <rFont val="Calibri Light"/>
        <charset val="134"/>
      </rPr>
      <t>MOQ/</t>
    </r>
    <r>
      <rPr>
        <sz val="10"/>
        <rFont val="宋体"/>
        <charset val="134"/>
      </rPr>
      <t>成品大货</t>
    </r>
    <r>
      <rPr>
        <sz val="10"/>
        <rFont val="Calibri Light"/>
        <charset val="134"/>
      </rPr>
      <t>MOQ</t>
    </r>
  </si>
  <si>
    <r>
      <rPr>
        <sz val="10"/>
        <rFont val="Calibri Light"/>
        <charset val="134"/>
      </rPr>
      <t xml:space="preserve">YDGE L/T/Bulk L/T
</t>
    </r>
    <r>
      <rPr>
        <sz val="10"/>
        <rFont val="宋体"/>
        <charset val="134"/>
      </rPr>
      <t>成品码样货期</t>
    </r>
    <r>
      <rPr>
        <sz val="10"/>
        <rFont val="Calibri Light"/>
        <charset val="134"/>
      </rPr>
      <t>/</t>
    </r>
    <r>
      <rPr>
        <sz val="10"/>
        <rFont val="宋体"/>
        <charset val="134"/>
      </rPr>
      <t>成品大货货期</t>
    </r>
  </si>
  <si>
    <r>
      <rPr>
        <sz val="10"/>
        <rFont val="Calibri Light"/>
        <charset val="134"/>
      </rPr>
      <t xml:space="preserve">YDGE Surcharge/Bulk Surcharge
</t>
    </r>
    <r>
      <rPr>
        <sz val="10"/>
        <rFont val="宋体"/>
        <charset val="134"/>
      </rPr>
      <t>成品码样费用</t>
    </r>
    <r>
      <rPr>
        <sz val="10"/>
        <rFont val="Calibri Light"/>
        <charset val="134"/>
      </rPr>
      <t>/</t>
    </r>
    <r>
      <rPr>
        <sz val="10"/>
        <rFont val="宋体"/>
        <charset val="134"/>
      </rPr>
      <t>成品大货费用</t>
    </r>
  </si>
  <si>
    <r>
      <rPr>
        <sz val="10"/>
        <rFont val="Calibri Light"/>
        <charset val="134"/>
      </rPr>
      <t xml:space="preserve">Stock available
</t>
    </r>
    <r>
      <rPr>
        <sz val="10"/>
        <rFont val="宋体"/>
        <charset val="134"/>
      </rPr>
      <t>成品是否有库存</t>
    </r>
  </si>
  <si>
    <r>
      <rPr>
        <sz val="10"/>
        <color theme="1"/>
        <rFont val="微软雅黑"/>
        <charset val="134"/>
      </rPr>
      <t>小类别</t>
    </r>
  </si>
  <si>
    <r>
      <rPr>
        <sz val="10"/>
        <color theme="1"/>
        <rFont val="微软雅黑"/>
        <charset val="134"/>
      </rPr>
      <t>备注</t>
    </r>
  </si>
  <si>
    <r>
      <rPr>
        <sz val="10"/>
        <color theme="1"/>
        <rFont val="微软雅黑"/>
        <charset val="134"/>
      </rPr>
      <t>提供人员</t>
    </r>
  </si>
  <si>
    <r>
      <rPr>
        <sz val="10"/>
        <color theme="1"/>
        <rFont val="微软雅黑"/>
        <charset val="134"/>
      </rPr>
      <t>布料存放位置</t>
    </r>
  </si>
  <si>
    <r>
      <rPr>
        <sz val="10"/>
        <color theme="1"/>
        <rFont val="微软雅黑"/>
        <charset val="134"/>
      </rPr>
      <t>数量</t>
    </r>
  </si>
  <si>
    <r>
      <rPr>
        <sz val="10"/>
        <color theme="1"/>
        <rFont val="微软雅黑"/>
        <charset val="134"/>
      </rPr>
      <t>存放人员</t>
    </r>
  </si>
  <si>
    <r>
      <rPr>
        <sz val="10"/>
        <color theme="1"/>
        <rFont val="微软雅黑"/>
        <charset val="134"/>
      </rPr>
      <t>是否已拍照</t>
    </r>
  </si>
  <si>
    <r>
      <rPr>
        <sz val="10"/>
        <color theme="1"/>
        <rFont val="宋体"/>
        <charset val="134"/>
      </rPr>
      <t>陈炎林</t>
    </r>
  </si>
  <si>
    <t>GFG</t>
  </si>
  <si>
    <t>D18-1</t>
  </si>
  <si>
    <r>
      <rPr>
        <sz val="10"/>
        <color theme="1"/>
        <rFont val="宋体"/>
        <charset val="134"/>
      </rPr>
      <t>尚源纺织色卡或者类似</t>
    </r>
  </si>
  <si>
    <t>SC25001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</si>
  <si>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棉</t>
    </r>
  </si>
  <si>
    <t>100%BCI COTTON</t>
  </si>
  <si>
    <r>
      <rPr>
        <sz val="10"/>
        <color theme="1"/>
        <rFont val="宋体"/>
        <charset val="134"/>
      </rPr>
      <t>染定</t>
    </r>
  </si>
  <si>
    <t>P/D</t>
  </si>
  <si>
    <r>
      <rPr>
        <sz val="10"/>
        <color theme="1"/>
        <rFont val="宋体"/>
        <charset val="134"/>
      </rPr>
      <t>欧纺时尚</t>
    </r>
  </si>
  <si>
    <t>K321</t>
  </si>
  <si>
    <t>尚源</t>
  </si>
  <si>
    <r>
      <rPr>
        <sz val="10"/>
        <color theme="1"/>
        <rFont val="宋体"/>
        <charset val="134"/>
      </rPr>
      <t>小块样布</t>
    </r>
  </si>
  <si>
    <r>
      <rPr>
        <sz val="10"/>
        <color theme="1"/>
        <rFont val="宋体"/>
        <charset val="134"/>
      </rPr>
      <t>是</t>
    </r>
  </si>
  <si>
    <r>
      <rPr>
        <sz val="10"/>
        <color theme="1"/>
        <rFont val="宋体"/>
        <charset val="134"/>
      </rPr>
      <t>新丰花边</t>
    </r>
  </si>
  <si>
    <t>SC25001-1</t>
  </si>
  <si>
    <t>花边</t>
  </si>
  <si>
    <t>A-ONE</t>
  </si>
  <si>
    <t>SC25001-2</t>
  </si>
  <si>
    <t>SC25001-3</t>
  </si>
  <si>
    <r>
      <rPr>
        <sz val="10"/>
        <color theme="1"/>
        <rFont val="宋体"/>
        <charset val="134"/>
      </rPr>
      <t>永成花边行李佩莲</t>
    </r>
    <r>
      <rPr>
        <sz val="10"/>
        <color theme="1"/>
        <rFont val="Calibri Light"/>
        <charset val="134"/>
      </rPr>
      <t>13424008907/</t>
    </r>
    <r>
      <rPr>
        <sz val="10"/>
        <color theme="1"/>
        <rFont val="宋体"/>
        <charset val="134"/>
      </rPr>
      <t>许晓程</t>
    </r>
    <r>
      <rPr>
        <sz val="10"/>
        <color theme="1"/>
        <rFont val="Calibri Light"/>
        <charset val="134"/>
      </rPr>
      <t>13570899693</t>
    </r>
  </si>
  <si>
    <t>SC25001-4</t>
  </si>
  <si>
    <t>永成花边行</t>
  </si>
  <si>
    <t>D18-3</t>
  </si>
  <si>
    <r>
      <rPr>
        <sz val="10"/>
        <color theme="1"/>
        <rFont val="宋体"/>
        <charset val="134"/>
      </rPr>
      <t>花边</t>
    </r>
    <r>
      <rPr>
        <sz val="10"/>
        <color theme="1"/>
        <rFont val="Calibri Light"/>
        <charset val="134"/>
      </rPr>
      <t>1.5-2</t>
    </r>
    <r>
      <rPr>
        <sz val="10"/>
        <color theme="1"/>
        <rFont val="宋体"/>
        <charset val="134"/>
      </rPr>
      <t>厘米有圈圈或格子</t>
    </r>
  </si>
  <si>
    <t>SC25002</t>
  </si>
  <si>
    <r>
      <rPr>
        <sz val="10"/>
        <color theme="1"/>
        <rFont val="Calibri Light"/>
        <charset val="134"/>
      </rPr>
      <t>1.5-2</t>
    </r>
    <r>
      <rPr>
        <sz val="10"/>
        <color theme="1"/>
        <rFont val="宋体"/>
        <charset val="134"/>
      </rPr>
      <t>厘米圈圈或格子</t>
    </r>
  </si>
  <si>
    <r>
      <rPr>
        <sz val="10"/>
        <color theme="1"/>
        <rFont val="宋体"/>
        <charset val="134"/>
      </rPr>
      <t>瑞康</t>
    </r>
    <r>
      <rPr>
        <sz val="10"/>
        <color theme="1"/>
        <rFont val="Calibri Light"/>
        <charset val="134"/>
      </rPr>
      <t xml:space="preserve">3 </t>
    </r>
    <r>
      <rPr>
        <sz val="10"/>
        <color theme="1"/>
        <rFont val="宋体"/>
        <charset val="134"/>
      </rPr>
      <t>楼</t>
    </r>
    <r>
      <rPr>
        <sz val="10"/>
        <color theme="1"/>
        <rFont val="Calibri Light"/>
        <charset val="134"/>
      </rPr>
      <t xml:space="preserve">C032 </t>
    </r>
    <r>
      <rPr>
        <sz val="10"/>
        <color theme="1"/>
        <rFont val="宋体"/>
        <charset val="134"/>
      </rPr>
      <t>花边</t>
    </r>
  </si>
  <si>
    <t>SC25003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</si>
  <si>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</si>
  <si>
    <t>SC25004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</si>
  <si>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鑫隆</t>
    </r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字花</t>
    </r>
  </si>
  <si>
    <t>SC25004-1</t>
  </si>
  <si>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字花</t>
    </r>
  </si>
  <si>
    <t>鑫隆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</si>
  <si>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鑫隆</t>
    </r>
    <r>
      <rPr>
        <sz val="10"/>
        <color theme="1"/>
        <rFont val="Calibri Light"/>
        <charset val="134"/>
      </rPr>
      <t>578</t>
    </r>
  </si>
  <si>
    <t>SC25004-2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</si>
  <si>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鑫隆</t>
    </r>
    <r>
      <rPr>
        <sz val="10"/>
        <color theme="1"/>
        <rFont val="Calibri Light"/>
        <charset val="134"/>
      </rPr>
      <t>A9065</t>
    </r>
  </si>
  <si>
    <t>SC25004-3</t>
  </si>
  <si>
    <t>A9065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</si>
  <si>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鑫隆双层太阳</t>
    </r>
  </si>
  <si>
    <t>SC25004-4</t>
  </si>
  <si>
    <t>双层太阳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</si>
  <si>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鑫隆</t>
    </r>
    <r>
      <rPr>
        <sz val="10"/>
        <color theme="1"/>
        <rFont val="Calibri Light"/>
        <charset val="134"/>
      </rPr>
      <t>C-5</t>
    </r>
  </si>
  <si>
    <t>SC25004-5</t>
  </si>
  <si>
    <t>C-5</t>
  </si>
  <si>
    <r>
      <rPr>
        <sz val="10"/>
        <color theme="1"/>
        <rFont val="宋体"/>
        <charset val="134"/>
      </rPr>
      <t>刺绣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绣花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鑫隆</t>
    </r>
    <r>
      <rPr>
        <sz val="10"/>
        <color theme="1"/>
        <rFont val="Calibri Light"/>
        <charset val="134"/>
      </rPr>
      <t>C-1</t>
    </r>
  </si>
  <si>
    <t>SC25004-6</t>
  </si>
  <si>
    <t>C-1</t>
  </si>
  <si>
    <t>SC25004-7</t>
  </si>
  <si>
    <r>
      <rPr>
        <sz val="10"/>
        <color theme="1"/>
        <rFont val="宋体"/>
        <charset val="134"/>
      </rPr>
      <t>永叙</t>
    </r>
  </si>
  <si>
    <t>D19-1</t>
  </si>
  <si>
    <t>SC25005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</si>
  <si>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</si>
  <si>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95%COTTON 5%SP</t>
  </si>
  <si>
    <r>
      <rPr>
        <sz val="10"/>
        <color theme="1"/>
        <rFont val="宋体"/>
        <charset val="134"/>
      </rPr>
      <t>文涛布业</t>
    </r>
  </si>
  <si>
    <r>
      <rPr>
        <sz val="10"/>
        <color theme="1"/>
        <rFont val="宋体"/>
        <charset val="134"/>
      </rPr>
      <t>色卡</t>
    </r>
  </si>
  <si>
    <r>
      <rPr>
        <sz val="10"/>
        <color theme="1"/>
        <rFont val="Calibri Light"/>
        <charset val="134"/>
      </rPr>
      <t>41112</t>
    </r>
    <r>
      <rPr>
        <sz val="10"/>
        <color theme="1"/>
        <rFont val="宋体"/>
        <charset val="134"/>
      </rPr>
      <t>精棉</t>
    </r>
  </si>
  <si>
    <t>SC25006</t>
  </si>
  <si>
    <r>
      <rPr>
        <sz val="10"/>
        <color theme="1"/>
        <rFont val="Calibri Light"/>
        <charset val="134"/>
      </rPr>
      <t>3</t>
    </r>
    <r>
      <rPr>
        <sz val="10"/>
        <color theme="1"/>
        <rFont val="Calibri Light"/>
        <charset val="134"/>
      </rPr>
      <t>C1005-</t>
    </r>
    <r>
      <rPr>
        <sz val="10"/>
        <color theme="1"/>
        <rFont val="宋体"/>
        <charset val="134"/>
      </rPr>
      <t>精棉拉架</t>
    </r>
  </si>
  <si>
    <t>SC25007</t>
  </si>
  <si>
    <t>3C1005</t>
  </si>
  <si>
    <r>
      <rPr>
        <sz val="10"/>
        <color theme="1"/>
        <rFont val="宋体"/>
        <charset val="134"/>
      </rPr>
      <t>恒信布业</t>
    </r>
  </si>
  <si>
    <r>
      <rPr>
        <sz val="10"/>
        <color theme="1"/>
        <rFont val="Calibri Light"/>
        <charset val="134"/>
      </rPr>
      <t>3S1203-32</t>
    </r>
    <r>
      <rPr>
        <sz val="10"/>
        <color theme="1"/>
        <rFont val="宋体"/>
        <charset val="134"/>
      </rPr>
      <t>支精棉双纱</t>
    </r>
  </si>
  <si>
    <t>SC25008</t>
  </si>
  <si>
    <t>100%COTTON</t>
  </si>
  <si>
    <t>3S1203</t>
  </si>
  <si>
    <r>
      <rPr>
        <sz val="10"/>
        <color theme="1"/>
        <rFont val="Calibri Light"/>
        <charset val="134"/>
      </rPr>
      <t>12339#-</t>
    </r>
    <r>
      <rPr>
        <sz val="10"/>
        <color theme="1"/>
        <rFont val="宋体"/>
        <charset val="134"/>
      </rPr>
      <t>优棉罗纹</t>
    </r>
  </si>
  <si>
    <t>SC25009</t>
  </si>
  <si>
    <r>
      <rPr>
        <sz val="10"/>
        <color theme="1"/>
        <rFont val="宋体"/>
        <charset val="134"/>
      </rPr>
      <t>锦盛纺织</t>
    </r>
  </si>
  <si>
    <t>12339#</t>
  </si>
  <si>
    <r>
      <rPr>
        <sz val="10"/>
        <color theme="1"/>
        <rFont val="Calibri Light"/>
        <charset val="134"/>
      </rPr>
      <t>12005#-</t>
    </r>
    <r>
      <rPr>
        <sz val="10"/>
        <color theme="1"/>
        <rFont val="宋体"/>
        <charset val="134"/>
      </rPr>
      <t>摩登潮棉</t>
    </r>
  </si>
  <si>
    <t>SC25010</t>
  </si>
  <si>
    <t>12005#</t>
  </si>
  <si>
    <r>
      <rPr>
        <sz val="10"/>
        <color theme="1"/>
        <rFont val="Calibri Light"/>
        <charset val="134"/>
      </rPr>
      <t>2031-</t>
    </r>
    <r>
      <rPr>
        <sz val="10"/>
        <color theme="1"/>
        <rFont val="宋体"/>
        <charset val="134"/>
      </rPr>
      <t>纯棉满天星网布</t>
    </r>
  </si>
  <si>
    <t>SC25011</t>
  </si>
  <si>
    <r>
      <rPr>
        <sz val="10"/>
        <color theme="1"/>
        <rFont val="宋体"/>
        <charset val="134"/>
      </rPr>
      <t>华联</t>
    </r>
  </si>
  <si>
    <t>S450</t>
  </si>
  <si>
    <t>SC25012</t>
  </si>
  <si>
    <r>
      <rPr>
        <sz val="10"/>
        <color theme="1"/>
        <rFont val="宋体"/>
        <charset val="134"/>
      </rPr>
      <t>盛业纺织</t>
    </r>
  </si>
  <si>
    <r>
      <rPr>
        <sz val="10"/>
        <color theme="1"/>
        <rFont val="Calibri Light"/>
        <charset val="134"/>
      </rPr>
      <t>2C1505-21</t>
    </r>
    <r>
      <rPr>
        <sz val="10"/>
        <color theme="1"/>
        <rFont val="宋体"/>
        <charset val="134"/>
      </rPr>
      <t>支精棉平纹</t>
    </r>
  </si>
  <si>
    <t>SC25013</t>
  </si>
  <si>
    <t>2C1505</t>
  </si>
  <si>
    <r>
      <rPr>
        <sz val="10"/>
        <color theme="1"/>
        <rFont val="宋体"/>
        <charset val="134"/>
      </rPr>
      <t>星海</t>
    </r>
  </si>
  <si>
    <r>
      <rPr>
        <sz val="10"/>
        <color theme="1"/>
        <rFont val="Calibri Light"/>
        <charset val="134"/>
      </rPr>
      <t>3C1505-32</t>
    </r>
    <r>
      <rPr>
        <sz val="10"/>
        <color theme="1"/>
        <rFont val="宋体"/>
        <charset val="134"/>
      </rPr>
      <t>支棉平纹拉架</t>
    </r>
  </si>
  <si>
    <t>SC25014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</si>
  <si>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</si>
  <si>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95%BCI COTTON 5%SP</t>
  </si>
  <si>
    <t>3C1505</t>
  </si>
  <si>
    <r>
      <rPr>
        <sz val="10"/>
        <color theme="1"/>
        <rFont val="Calibri Light"/>
        <charset val="134"/>
      </rPr>
      <t>RM3010-</t>
    </r>
    <r>
      <rPr>
        <sz val="10"/>
        <color theme="1"/>
        <rFont val="宋体"/>
        <charset val="134"/>
      </rPr>
      <t>欧丽棉</t>
    </r>
  </si>
  <si>
    <t>SC25015</t>
  </si>
  <si>
    <t>RM3010</t>
  </si>
  <si>
    <r>
      <rPr>
        <sz val="10"/>
        <color theme="1"/>
        <rFont val="Calibri Light"/>
        <charset val="134"/>
      </rPr>
      <t>2615#-</t>
    </r>
    <r>
      <rPr>
        <sz val="10"/>
        <color theme="1"/>
        <rFont val="宋体"/>
        <charset val="134"/>
      </rPr>
      <t>精棉拉架</t>
    </r>
  </si>
  <si>
    <t>SC25016</t>
  </si>
  <si>
    <t>2615#</t>
  </si>
  <si>
    <r>
      <rPr>
        <sz val="10"/>
        <color theme="1"/>
        <rFont val="宋体"/>
        <charset val="134"/>
      </rPr>
      <t>伊彩儿</t>
    </r>
  </si>
  <si>
    <r>
      <rPr>
        <sz val="10"/>
        <color theme="1"/>
        <rFont val="Calibri Light"/>
        <charset val="134"/>
      </rPr>
      <t>2619#-</t>
    </r>
    <r>
      <rPr>
        <sz val="10"/>
        <color theme="1"/>
        <rFont val="宋体"/>
        <charset val="134"/>
      </rPr>
      <t>纯棉拉架</t>
    </r>
  </si>
  <si>
    <t>SC25017</t>
  </si>
  <si>
    <t>2619#</t>
  </si>
  <si>
    <r>
      <rPr>
        <sz val="10"/>
        <color theme="1"/>
        <rFont val="Calibri Light"/>
        <charset val="134"/>
      </rPr>
      <t>D14454#-32S</t>
    </r>
    <r>
      <rPr>
        <sz val="10"/>
        <color theme="1"/>
        <rFont val="宋体"/>
        <charset val="134"/>
      </rPr>
      <t>彩间</t>
    </r>
  </si>
  <si>
    <t>SC25018</t>
  </si>
  <si>
    <t>D14454#</t>
  </si>
  <si>
    <r>
      <rPr>
        <sz val="10"/>
        <color theme="1"/>
        <rFont val="宋体"/>
        <charset val="134"/>
      </rPr>
      <t>布布昇</t>
    </r>
    <r>
      <rPr>
        <sz val="10"/>
        <color theme="1"/>
        <rFont val="Calibri Light"/>
        <charset val="134"/>
      </rPr>
      <t xml:space="preserve"> </t>
    </r>
  </si>
  <si>
    <r>
      <rPr>
        <sz val="10"/>
        <color theme="1"/>
        <rFont val="Calibri Light"/>
        <charset val="134"/>
      </rPr>
      <t>52049#-</t>
    </r>
    <r>
      <rPr>
        <sz val="10"/>
        <color theme="1"/>
        <rFont val="宋体"/>
        <charset val="134"/>
      </rPr>
      <t>棉纺系列</t>
    </r>
  </si>
  <si>
    <t>SC25019</t>
  </si>
  <si>
    <t>52049#</t>
  </si>
  <si>
    <r>
      <rPr>
        <sz val="10"/>
        <color theme="1"/>
        <rFont val="宋体"/>
        <charset val="134"/>
      </rPr>
      <t>盛氏布行</t>
    </r>
  </si>
  <si>
    <t>D24-3</t>
  </si>
  <si>
    <t>B-0171</t>
  </si>
  <si>
    <t>SC25020</t>
  </si>
  <si>
    <r>
      <rPr>
        <sz val="10"/>
        <color theme="1"/>
        <rFont val="宋体"/>
        <charset val="134"/>
      </rPr>
      <t>真成纺织</t>
    </r>
  </si>
  <si>
    <r>
      <rPr>
        <sz val="10"/>
        <color theme="1"/>
        <rFont val="宋体"/>
        <charset val="134"/>
      </rPr>
      <t>一个循环条</t>
    </r>
  </si>
  <si>
    <t>B-029</t>
  </si>
  <si>
    <t>SC25020-1</t>
  </si>
  <si>
    <t>A2164</t>
  </si>
  <si>
    <t>SC25020-10</t>
  </si>
  <si>
    <r>
      <rPr>
        <sz val="10"/>
        <color theme="1"/>
        <rFont val="宋体"/>
        <charset val="134"/>
      </rPr>
      <t>金绣</t>
    </r>
  </si>
  <si>
    <t>A2207</t>
  </si>
  <si>
    <t>SC25020-11</t>
  </si>
  <si>
    <t>A2471</t>
  </si>
  <si>
    <t>SC25020-12</t>
  </si>
  <si>
    <t>A2376</t>
  </si>
  <si>
    <t>SC25020-13</t>
  </si>
  <si>
    <t>A2185</t>
  </si>
  <si>
    <t>SC25020-14</t>
  </si>
  <si>
    <t>F571</t>
  </si>
  <si>
    <t>SC25020-15</t>
  </si>
  <si>
    <r>
      <rPr>
        <sz val="10"/>
        <color theme="1"/>
        <rFont val="宋体"/>
        <charset val="134"/>
      </rPr>
      <t>新发布行</t>
    </r>
  </si>
  <si>
    <t>SC25020-16</t>
  </si>
  <si>
    <r>
      <rPr>
        <sz val="10"/>
        <color theme="1"/>
        <rFont val="宋体"/>
        <charset val="134"/>
      </rPr>
      <t>元宝</t>
    </r>
  </si>
  <si>
    <t>SC25020-17</t>
  </si>
  <si>
    <r>
      <rPr>
        <sz val="10"/>
        <color theme="1"/>
        <rFont val="宋体"/>
        <charset val="134"/>
      </rPr>
      <t>定位打孔</t>
    </r>
  </si>
  <si>
    <t>SC25020-18</t>
  </si>
  <si>
    <t>B-894</t>
  </si>
  <si>
    <t>SC25020-2</t>
  </si>
  <si>
    <t>D8028</t>
  </si>
  <si>
    <t>SC25020-3</t>
  </si>
  <si>
    <r>
      <rPr>
        <sz val="10"/>
        <color theme="1"/>
        <rFont val="宋体"/>
        <charset val="134"/>
      </rPr>
      <t>利诚</t>
    </r>
  </si>
  <si>
    <t>D8135</t>
  </si>
  <si>
    <t>SC25020-4</t>
  </si>
  <si>
    <t>D8019</t>
  </si>
  <si>
    <t>SC25020-5</t>
  </si>
  <si>
    <t>D8060</t>
  </si>
  <si>
    <t>SC25020-6</t>
  </si>
  <si>
    <t>D8001</t>
  </si>
  <si>
    <t>SC25020-7</t>
  </si>
  <si>
    <t>A2330</t>
  </si>
  <si>
    <t>SC25020-8</t>
  </si>
  <si>
    <t>A2046</t>
  </si>
  <si>
    <t>SC25020-9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</si>
  <si>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支全面皱</t>
    </r>
  </si>
  <si>
    <t>SC25021</t>
  </si>
  <si>
    <r>
      <rPr>
        <sz val="10"/>
        <color theme="1"/>
        <rFont val="宋体"/>
        <charset val="134"/>
      </rPr>
      <t>宇成纺织</t>
    </r>
  </si>
  <si>
    <r>
      <rPr>
        <sz val="10"/>
        <color theme="1"/>
        <rFont val="宋体"/>
        <charset val="134"/>
      </rPr>
      <t>陈晓彬</t>
    </r>
  </si>
  <si>
    <r>
      <rPr>
        <sz val="10"/>
        <color theme="1"/>
        <rFont val="Calibri Light"/>
        <charset val="134"/>
      </rPr>
      <t>686#</t>
    </r>
    <r>
      <rPr>
        <sz val="10"/>
        <color theme="1"/>
        <rFont val="宋体"/>
        <charset val="134"/>
      </rPr>
      <t>（金丝棉）</t>
    </r>
  </si>
  <si>
    <t>SC25022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</si>
  <si>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棉</t>
    </r>
  </si>
  <si>
    <t>20%COTTON 80%POLY</t>
  </si>
  <si>
    <r>
      <rPr>
        <sz val="10"/>
        <color theme="1"/>
        <rFont val="Calibri Light"/>
        <charset val="134"/>
      </rPr>
      <t>110*110 60</t>
    </r>
    <r>
      <rPr>
        <sz val="10"/>
        <color theme="1"/>
        <rFont val="宋体"/>
        <charset val="134"/>
      </rPr>
      <t>支仿天丝</t>
    </r>
  </si>
  <si>
    <t>SC25023</t>
  </si>
  <si>
    <t>粤东纺织</t>
  </si>
  <si>
    <r>
      <rPr>
        <sz val="10"/>
        <color theme="1"/>
        <rFont val="Calibri Light"/>
        <charset val="134"/>
      </rPr>
      <t xml:space="preserve">9088 </t>
    </r>
    <r>
      <rPr>
        <sz val="10"/>
        <color theme="1"/>
        <rFont val="宋体"/>
        <charset val="134"/>
      </rPr>
      <t>半工艺</t>
    </r>
  </si>
  <si>
    <t>SC25024</t>
  </si>
  <si>
    <t>样样红纺织</t>
  </si>
  <si>
    <t>SOLTO</t>
  </si>
  <si>
    <t>SC25025</t>
  </si>
  <si>
    <t>10S*10S</t>
  </si>
  <si>
    <r>
      <rPr>
        <sz val="10"/>
        <color theme="1"/>
        <rFont val="宋体"/>
        <charset val="134"/>
      </rPr>
      <t>远东纱线，全环保</t>
    </r>
  </si>
  <si>
    <r>
      <rPr>
        <sz val="10"/>
        <color theme="1"/>
        <rFont val="宋体"/>
        <charset val="134"/>
      </rPr>
      <t>世贸</t>
    </r>
  </si>
  <si>
    <t>远东</t>
  </si>
  <si>
    <t>全环保</t>
  </si>
  <si>
    <t>SC25026</t>
  </si>
  <si>
    <t>远东纱线，经向环保，纬向非环保</t>
  </si>
  <si>
    <t>经向环保，纬向非环保</t>
  </si>
  <si>
    <t>SC25027</t>
  </si>
  <si>
    <t>10S/2*10S/2</t>
  </si>
  <si>
    <t>SC25028</t>
  </si>
  <si>
    <r>
      <rPr>
        <sz val="10"/>
        <color theme="1"/>
        <rFont val="宋体"/>
        <charset val="134"/>
      </rPr>
      <t>远东纱线，经向环保，纬向非环保</t>
    </r>
  </si>
  <si>
    <r>
      <rPr>
        <sz val="10"/>
        <color theme="1"/>
        <rFont val="Calibri Light"/>
        <charset val="134"/>
      </rPr>
      <t>5668</t>
    </r>
    <r>
      <rPr>
        <sz val="10"/>
        <color theme="1"/>
        <rFont val="宋体"/>
        <charset val="134"/>
      </rPr>
      <t>精品</t>
    </r>
    <r>
      <rPr>
        <sz val="10"/>
        <color theme="1"/>
        <rFont val="Calibri Light"/>
        <charset val="134"/>
      </rPr>
      <t>2*2</t>
    </r>
    <r>
      <rPr>
        <sz val="10"/>
        <color theme="1"/>
        <rFont val="宋体"/>
        <charset val="134"/>
      </rPr>
      <t>罗纹</t>
    </r>
  </si>
  <si>
    <t>SC25029</t>
  </si>
  <si>
    <r>
      <rPr>
        <sz val="10"/>
        <color theme="1"/>
        <rFont val="宋体"/>
        <charset val="134"/>
      </rPr>
      <t>三联纺织</t>
    </r>
  </si>
  <si>
    <t>D232</t>
  </si>
  <si>
    <t>SC25030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</si>
  <si>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</si>
  <si>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97%BCI COTTON 3%SP</t>
  </si>
  <si>
    <r>
      <rPr>
        <sz val="10"/>
        <color theme="1"/>
        <rFont val="宋体"/>
        <charset val="134"/>
      </rPr>
      <t>德生布业</t>
    </r>
  </si>
  <si>
    <t>0377</t>
  </si>
  <si>
    <t>SC25031</t>
  </si>
  <si>
    <t>SC25032</t>
  </si>
  <si>
    <r>
      <rPr>
        <sz val="10"/>
        <color theme="1"/>
        <rFont val="宋体"/>
        <charset val="134"/>
      </rPr>
      <t>样板房</t>
    </r>
  </si>
  <si>
    <t>SC25033</t>
  </si>
  <si>
    <r>
      <rPr>
        <sz val="10"/>
        <color theme="1"/>
        <rFont val="Calibri Light"/>
        <charset val="134"/>
      </rPr>
      <t>25283(</t>
    </r>
    <r>
      <rPr>
        <sz val="10"/>
        <color theme="1"/>
        <rFont val="宋体"/>
        <charset val="134"/>
      </rPr>
      <t>匹马棉）</t>
    </r>
  </si>
  <si>
    <t>栢利</t>
  </si>
  <si>
    <r>
      <rPr>
        <sz val="10"/>
        <color theme="1"/>
        <rFont val="宋体"/>
        <charset val="134"/>
      </rPr>
      <t>雪纺</t>
    </r>
  </si>
  <si>
    <t>2-3</t>
  </si>
  <si>
    <t>SC25034</t>
  </si>
  <si>
    <r>
      <rPr>
        <sz val="10"/>
        <color theme="1"/>
        <rFont val="宋体"/>
        <charset val="134"/>
      </rPr>
      <t>德盛布行</t>
    </r>
  </si>
  <si>
    <t>F047</t>
  </si>
  <si>
    <t>SC25035</t>
  </si>
  <si>
    <r>
      <rPr>
        <sz val="10"/>
        <color rgb="FF000000"/>
        <rFont val="宋体"/>
        <charset val="134"/>
      </rPr>
      <t>精棉</t>
    </r>
    <r>
      <rPr>
        <sz val="10"/>
        <color rgb="FF000000"/>
        <rFont val="Calibri Light"/>
        <charset val="134"/>
      </rPr>
      <t>2*2 21012</t>
    </r>
  </si>
  <si>
    <t>SC25036</t>
  </si>
  <si>
    <r>
      <rPr>
        <sz val="10"/>
        <color theme="1"/>
        <rFont val="宋体"/>
        <charset val="134"/>
      </rPr>
      <t>享和</t>
    </r>
  </si>
  <si>
    <r>
      <rPr>
        <sz val="10"/>
        <color rgb="FF000000"/>
        <rFont val="宋体"/>
        <charset val="134"/>
      </rPr>
      <t>精棉</t>
    </r>
    <r>
      <rPr>
        <sz val="10"/>
        <color rgb="FF000000"/>
        <rFont val="Calibri Light"/>
        <charset val="134"/>
      </rPr>
      <t>2*2 21004</t>
    </r>
  </si>
  <si>
    <t>SC25037</t>
  </si>
  <si>
    <r>
      <rPr>
        <sz val="10"/>
        <color rgb="FF000000"/>
        <rFont val="宋体"/>
        <charset val="134"/>
      </rPr>
      <t>精棉</t>
    </r>
    <r>
      <rPr>
        <sz val="10"/>
        <color rgb="FF000000"/>
        <rFont val="Calibri Light"/>
        <charset val="134"/>
      </rPr>
      <t>2*2 212017</t>
    </r>
  </si>
  <si>
    <t>SC25038</t>
  </si>
  <si>
    <t>SC25040</t>
  </si>
  <si>
    <t>K830#</t>
  </si>
  <si>
    <r>
      <rPr>
        <sz val="10"/>
        <color theme="1"/>
        <rFont val="宋体"/>
        <charset val="134"/>
      </rPr>
      <t>旭阳纺织</t>
    </r>
  </si>
  <si>
    <r>
      <rPr>
        <sz val="10"/>
        <color theme="1"/>
        <rFont val="宋体"/>
        <charset val="134"/>
      </rPr>
      <t>仿麻系列</t>
    </r>
  </si>
  <si>
    <r>
      <rPr>
        <sz val="10"/>
        <color theme="1"/>
        <rFont val="Calibri Light"/>
        <charset val="134"/>
      </rPr>
      <t>2026/03/14</t>
    </r>
    <r>
      <rPr>
        <sz val="10"/>
        <color theme="1"/>
        <rFont val="宋体"/>
        <charset val="134"/>
      </rPr>
      <t>寄三佰</t>
    </r>
  </si>
  <si>
    <t>4-4</t>
  </si>
  <si>
    <t>SC25041</t>
  </si>
  <si>
    <r>
      <rPr>
        <sz val="10"/>
        <color theme="1"/>
        <rFont val="Calibri Light"/>
        <charset val="134"/>
      </rPr>
      <t>K987#</t>
    </r>
    <r>
      <rPr>
        <sz val="10"/>
        <color theme="1"/>
        <rFont val="宋体"/>
        <charset val="134"/>
      </rPr>
      <t>鱼骨纹</t>
    </r>
  </si>
  <si>
    <t>4-5</t>
  </si>
  <si>
    <t>SC25042</t>
  </si>
  <si>
    <r>
      <rPr>
        <sz val="10"/>
        <color theme="1"/>
        <rFont val="Calibri Light"/>
        <charset val="134"/>
      </rPr>
      <t>K1046#</t>
    </r>
    <r>
      <rPr>
        <sz val="10"/>
        <color theme="1"/>
        <rFont val="宋体"/>
        <charset val="134"/>
      </rPr>
      <t>重磅（可洗褪）</t>
    </r>
  </si>
  <si>
    <t>SC25043</t>
  </si>
  <si>
    <t>K907#</t>
  </si>
  <si>
    <r>
      <rPr>
        <sz val="10"/>
        <color theme="1"/>
        <rFont val="Calibri Light"/>
        <charset val="134"/>
      </rPr>
      <t>2025/7/17 GFG</t>
    </r>
    <r>
      <rPr>
        <sz val="10"/>
        <color theme="1"/>
        <rFont val="宋体"/>
        <charset val="134"/>
      </rPr>
      <t>设计师选中。</t>
    </r>
  </si>
  <si>
    <t>SC25044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</si>
  <si>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</si>
  <si>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97%C 3%SP</t>
  </si>
  <si>
    <t>K786#</t>
  </si>
  <si>
    <t>SC25045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</si>
  <si>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</si>
  <si>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96%C 4%SP</t>
  </si>
  <si>
    <t>41129B</t>
  </si>
  <si>
    <r>
      <rPr>
        <sz val="10"/>
        <color theme="1"/>
        <rFont val="宋体"/>
        <charset val="134"/>
      </rPr>
      <t>永欣贵</t>
    </r>
  </si>
  <si>
    <r>
      <rPr>
        <sz val="10"/>
        <color theme="1"/>
        <rFont val="宋体"/>
        <charset val="134"/>
      </rPr>
      <t>针织罗纹</t>
    </r>
  </si>
  <si>
    <t>6-4</t>
  </si>
  <si>
    <t>SC25046</t>
  </si>
  <si>
    <t>95%C 5%SP</t>
  </si>
  <si>
    <r>
      <rPr>
        <sz val="10"/>
        <color theme="1"/>
        <rFont val="宋体"/>
        <charset val="134"/>
      </rPr>
      <t>新艺（裕兴）纺织</t>
    </r>
  </si>
  <si>
    <r>
      <rPr>
        <sz val="10"/>
        <color theme="1"/>
        <rFont val="宋体"/>
        <charset val="134"/>
      </rPr>
      <t>针织起皱</t>
    </r>
  </si>
  <si>
    <t>6-3</t>
  </si>
  <si>
    <t>SC25047</t>
  </si>
  <si>
    <r>
      <rPr>
        <sz val="10"/>
        <color theme="1"/>
        <rFont val="Calibri Light"/>
        <charset val="134"/>
      </rPr>
      <t>6508#</t>
    </r>
    <r>
      <rPr>
        <sz val="10"/>
        <color theme="1"/>
        <rFont val="宋体"/>
        <charset val="134"/>
      </rPr>
      <t>皱皱布</t>
    </r>
  </si>
  <si>
    <r>
      <rPr>
        <sz val="10"/>
        <color theme="1"/>
        <rFont val="宋体"/>
        <charset val="134"/>
      </rPr>
      <t>优泰</t>
    </r>
  </si>
  <si>
    <r>
      <rPr>
        <sz val="10"/>
        <color theme="1"/>
        <rFont val="Calibri Light"/>
        <charset val="134"/>
      </rPr>
      <t xml:space="preserve">HL-55000 </t>
    </r>
    <r>
      <rPr>
        <sz val="10"/>
        <color theme="1"/>
        <rFont val="宋体"/>
        <charset val="134"/>
      </rPr>
      <t>零感云绉</t>
    </r>
  </si>
  <si>
    <t>SN25001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</si>
  <si>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</si>
  <si>
    <t>100%NYLON</t>
  </si>
  <si>
    <r>
      <rPr>
        <sz val="10"/>
        <color theme="1"/>
        <rFont val="宋体"/>
        <charset val="134"/>
      </rPr>
      <t>染色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泼水</t>
    </r>
  </si>
  <si>
    <t>P/D+W/R</t>
  </si>
  <si>
    <r>
      <rPr>
        <sz val="10"/>
        <color theme="1"/>
        <rFont val="宋体"/>
        <charset val="134"/>
      </rPr>
      <t>采用超细旦尼龙纤维匠心织造而成，搭配先进的染整工艺，布面形成自然立体绉感，呈现不规则肌理，打破尼龙面料传统的光华质感，提升设计层次感（大牌同款面料）</t>
    </r>
  </si>
  <si>
    <r>
      <rPr>
        <sz val="10"/>
        <color theme="1"/>
        <rFont val="宋体"/>
        <charset val="134"/>
      </rPr>
      <t>思科纺</t>
    </r>
  </si>
  <si>
    <t>HL-55000</t>
  </si>
  <si>
    <r>
      <rPr>
        <sz val="10"/>
        <color theme="1"/>
        <rFont val="Calibri Light"/>
        <charset val="134"/>
      </rPr>
      <t>12(</t>
    </r>
    <r>
      <rPr>
        <sz val="10"/>
        <color theme="1"/>
        <rFont val="宋体"/>
        <charset val="134"/>
      </rPr>
      <t>含税含运到广东福建）</t>
    </r>
  </si>
  <si>
    <r>
      <rPr>
        <sz val="10"/>
        <color theme="1"/>
        <rFont val="宋体"/>
        <charset val="134"/>
      </rPr>
      <t>塔丝隆</t>
    </r>
    <r>
      <rPr>
        <sz val="10"/>
        <color theme="1"/>
        <rFont val="Calibri Light"/>
        <charset val="134"/>
      </rPr>
      <t>228</t>
    </r>
  </si>
  <si>
    <t>SN25002</t>
  </si>
  <si>
    <t>70D*160D</t>
  </si>
  <si>
    <r>
      <rPr>
        <sz val="10"/>
        <color theme="1"/>
        <rFont val="宋体"/>
        <charset val="134"/>
      </rPr>
      <t>世贸纺织</t>
    </r>
  </si>
  <si>
    <r>
      <rPr>
        <sz val="10"/>
        <color theme="1"/>
        <rFont val="宋体"/>
        <charset val="134"/>
      </rPr>
      <t>塔丝隆</t>
    </r>
    <r>
      <rPr>
        <sz val="10"/>
        <color theme="1"/>
        <rFont val="Calibri Light"/>
        <charset val="134"/>
      </rPr>
      <t xml:space="preserve">228 </t>
    </r>
    <r>
      <rPr>
        <sz val="10"/>
        <color theme="1"/>
        <rFont val="宋体"/>
        <charset val="134"/>
      </rPr>
      <t>色卡一</t>
    </r>
  </si>
  <si>
    <t>汇恩布行</t>
  </si>
  <si>
    <t>E981 228T消光塔丝隆（防水）</t>
  </si>
  <si>
    <r>
      <rPr>
        <sz val="10"/>
        <color theme="1"/>
        <rFont val="宋体"/>
        <charset val="134"/>
      </rPr>
      <t>汇恩报价，对应</t>
    </r>
    <r>
      <rPr>
        <sz val="10"/>
        <color theme="1"/>
        <rFont val="Calibri Light"/>
        <charset val="134"/>
      </rPr>
      <t>SY252960</t>
    </r>
  </si>
  <si>
    <t>SN25003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</si>
  <si>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</si>
  <si>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93%N 3%SP</t>
  </si>
  <si>
    <r>
      <rPr>
        <sz val="10"/>
        <color theme="1"/>
        <rFont val="宋体"/>
        <charset val="134"/>
      </rPr>
      <t>彩富</t>
    </r>
  </si>
  <si>
    <r>
      <rPr>
        <sz val="10"/>
        <color theme="1"/>
        <rFont val="宋体"/>
        <charset val="134"/>
      </rPr>
      <t>女士梭织外套</t>
    </r>
  </si>
  <si>
    <t>3-1</t>
  </si>
  <si>
    <t>SN25004</t>
  </si>
  <si>
    <t>100%N</t>
  </si>
  <si>
    <t>1-5</t>
  </si>
  <si>
    <t>SN25005</t>
  </si>
  <si>
    <t>SN25016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</si>
  <si>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</si>
  <si>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40%R 47%T 11%N 2%SP</t>
  </si>
  <si>
    <t>A2879-6</t>
  </si>
  <si>
    <r>
      <rPr>
        <sz val="10"/>
        <color theme="1"/>
        <rFont val="宋体"/>
        <charset val="134"/>
      </rPr>
      <t>沃玛</t>
    </r>
  </si>
  <si>
    <r>
      <rPr>
        <sz val="10"/>
        <color theme="1"/>
        <rFont val="宋体"/>
        <charset val="134"/>
      </rPr>
      <t>梭织提花</t>
    </r>
  </si>
  <si>
    <t>6-2</t>
  </si>
  <si>
    <t>SP25001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</si>
  <si>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</si>
  <si>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94%Recycle POLY 6%SP</t>
  </si>
  <si>
    <t>F62</t>
  </si>
  <si>
    <t>SP25002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</si>
  <si>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酷丝棉</t>
    </r>
    <r>
      <rPr>
        <sz val="10"/>
        <color theme="1"/>
        <rFont val="Calibri Light"/>
        <charset val="134"/>
      </rPr>
      <t xml:space="preserve"> 5%SP</t>
    </r>
  </si>
  <si>
    <t>95%Recycle POLY 5%SP</t>
  </si>
  <si>
    <t>D18-2</t>
  </si>
  <si>
    <r>
      <rPr>
        <sz val="10"/>
        <color theme="1"/>
        <rFont val="Calibri Light"/>
        <charset val="134"/>
      </rPr>
      <t>50D</t>
    </r>
    <r>
      <rPr>
        <sz val="10"/>
        <color theme="1"/>
        <rFont val="宋体"/>
        <charset val="134"/>
      </rPr>
      <t>乔其纱</t>
    </r>
  </si>
  <si>
    <t>SP25003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</si>
  <si>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涤纶</t>
    </r>
  </si>
  <si>
    <t>100%Recycle POLY</t>
  </si>
  <si>
    <r>
      <rPr>
        <sz val="10"/>
        <color theme="1"/>
        <rFont val="宋体"/>
        <charset val="134"/>
      </rPr>
      <t>乔其纱</t>
    </r>
  </si>
  <si>
    <r>
      <rPr>
        <sz val="10"/>
        <color theme="1"/>
        <rFont val="宋体"/>
        <charset val="134"/>
      </rPr>
      <t>蓬发</t>
    </r>
  </si>
  <si>
    <r>
      <rPr>
        <sz val="10"/>
        <color theme="1"/>
        <rFont val="Calibri Light"/>
        <charset val="134"/>
      </rPr>
      <t xml:space="preserve">HL-30000 </t>
    </r>
    <r>
      <rPr>
        <sz val="10"/>
        <color theme="1"/>
        <rFont val="宋体"/>
        <charset val="134"/>
      </rPr>
      <t>冬俪（幻影）格</t>
    </r>
  </si>
  <si>
    <t>SP25004</t>
  </si>
  <si>
    <t>100%POLY</t>
  </si>
  <si>
    <r>
      <rPr>
        <sz val="10"/>
        <color theme="1"/>
        <rFont val="Calibri Light"/>
        <charset val="134"/>
      </rPr>
      <t>P/D+</t>
    </r>
    <r>
      <rPr>
        <sz val="10"/>
        <color theme="1"/>
        <rFont val="宋体"/>
        <charset val="134"/>
      </rPr>
      <t>鲁道夫三防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</si>
  <si>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Calibri Light"/>
        <charset val="134"/>
      </rPr>
      <t>15</t>
    </r>
    <r>
      <rPr>
        <sz val="10"/>
        <color theme="1"/>
        <rFont val="Calibri Light"/>
        <charset val="134"/>
      </rPr>
      <t>D</t>
    </r>
    <r>
      <rPr>
        <sz val="10"/>
        <color theme="1"/>
        <rFont val="宋体"/>
        <charset val="134"/>
      </rPr>
      <t>超细纤维匠心织造而成，搭配特殊染整工艺，面料手感细腻爽滑又不失骨感，辅以无胆防绒，拒水防油，易去污等功能，外观超迷你细格，如影似乎似幻，简约而不简单</t>
    </r>
  </si>
  <si>
    <t>HL-30000</t>
  </si>
  <si>
    <r>
      <rPr>
        <sz val="10"/>
        <color theme="1"/>
        <rFont val="Calibri Light"/>
        <charset val="134"/>
      </rPr>
      <t>15.8(</t>
    </r>
    <r>
      <rPr>
        <sz val="10"/>
        <color theme="1"/>
        <rFont val="宋体"/>
        <charset val="134"/>
      </rPr>
      <t>含税含运到广东福建）</t>
    </r>
  </si>
  <si>
    <r>
      <rPr>
        <sz val="10"/>
        <color theme="1"/>
        <rFont val="Calibri Light"/>
        <charset val="134"/>
      </rPr>
      <t xml:space="preserve">HL-66000 </t>
    </r>
    <r>
      <rPr>
        <sz val="10"/>
        <color theme="1"/>
        <rFont val="宋体"/>
        <charset val="134"/>
      </rPr>
      <t>零感纤云</t>
    </r>
  </si>
  <si>
    <t>SP25005</t>
  </si>
  <si>
    <r>
      <rPr>
        <sz val="10"/>
        <color theme="1"/>
        <rFont val="宋体"/>
        <charset val="134"/>
      </rPr>
      <t>染色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三防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压光</t>
    </r>
  </si>
  <si>
    <r>
      <rPr>
        <sz val="10"/>
        <color theme="1"/>
        <rFont val="宋体"/>
        <charset val="134"/>
      </rPr>
      <t>采用超细旦涤纶高</t>
    </r>
    <r>
      <rPr>
        <sz val="10"/>
        <color theme="1"/>
        <rFont val="Calibri Light"/>
        <charset val="134"/>
      </rPr>
      <t>F</t>
    </r>
    <r>
      <rPr>
        <sz val="10"/>
        <color theme="1"/>
        <rFont val="宋体"/>
        <charset val="134"/>
      </rPr>
      <t>匠心织造而成，搭配先进染整工艺，实现亲肤棉柔触感的同时也赋予类似尼龙般爽滑的特性，面料极致轻薄，克重</t>
    </r>
    <r>
      <rPr>
        <sz val="10"/>
        <color theme="1"/>
        <rFont val="Calibri Light"/>
        <charset val="134"/>
      </rPr>
      <t>34</t>
    </r>
    <r>
      <rPr>
        <sz val="10"/>
        <color theme="1"/>
        <rFont val="Calibri Light"/>
        <charset val="134"/>
      </rPr>
      <t>GSM</t>
    </r>
    <r>
      <rPr>
        <sz val="10"/>
        <color theme="1"/>
        <rFont val="宋体"/>
        <charset val="134"/>
      </rPr>
      <t>（三防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防绒亚光）</t>
    </r>
  </si>
  <si>
    <t>HL-66000</t>
  </si>
  <si>
    <r>
      <rPr>
        <sz val="10"/>
        <color theme="1"/>
        <rFont val="Calibri Light"/>
        <charset val="134"/>
      </rPr>
      <t>15.5(</t>
    </r>
    <r>
      <rPr>
        <sz val="10"/>
        <color theme="1"/>
        <rFont val="宋体"/>
        <charset val="134"/>
      </rPr>
      <t>含税含运到广东福建）</t>
    </r>
  </si>
  <si>
    <r>
      <rPr>
        <sz val="10"/>
        <color theme="1"/>
        <rFont val="Calibri Light"/>
        <charset val="134"/>
      </rPr>
      <t xml:space="preserve">HL-20000 </t>
    </r>
    <r>
      <rPr>
        <sz val="10"/>
        <color theme="1"/>
        <rFont val="宋体"/>
        <charset val="134"/>
      </rPr>
      <t>冬俪丝</t>
    </r>
  </si>
  <si>
    <t>SP25006</t>
  </si>
  <si>
    <r>
      <rPr>
        <sz val="10"/>
        <color theme="1"/>
        <rFont val="宋体"/>
        <charset val="134"/>
      </rPr>
      <t>染色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泼水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三防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压光</t>
    </r>
  </si>
  <si>
    <r>
      <rPr>
        <sz val="10"/>
        <color theme="1"/>
        <rFont val="Calibri Light"/>
        <charset val="134"/>
      </rPr>
      <t>P/D+</t>
    </r>
    <r>
      <rPr>
        <sz val="10"/>
        <color theme="1"/>
        <rFont val="宋体"/>
        <charset val="134"/>
      </rPr>
      <t>三防</t>
    </r>
    <r>
      <rPr>
        <sz val="10"/>
        <color theme="1"/>
        <rFont val="Calibri Light"/>
        <charset val="134"/>
      </rPr>
      <t>+CIRE</t>
    </r>
  </si>
  <si>
    <r>
      <rPr>
        <sz val="10"/>
        <color theme="1"/>
        <rFont val="宋体"/>
        <charset val="134"/>
      </rPr>
      <t>采用</t>
    </r>
    <r>
      <rPr>
        <sz val="10"/>
        <color theme="1"/>
        <rFont val="Calibri Light"/>
        <charset val="134"/>
      </rPr>
      <t>15</t>
    </r>
    <r>
      <rPr>
        <sz val="10"/>
        <color theme="1"/>
        <rFont val="Calibri Light"/>
        <charset val="134"/>
      </rPr>
      <t>D</t>
    </r>
    <r>
      <rPr>
        <sz val="10"/>
        <color theme="1"/>
        <rFont val="宋体"/>
        <charset val="134"/>
      </rPr>
      <t>超细纤维匠心织造而成，搭配特殊染整工艺，在保留面料手感轻柔细腻以及无胆防绒的同时，还具备拒水防油，易去污等防护功能</t>
    </r>
  </si>
  <si>
    <t>HL-20000</t>
  </si>
  <si>
    <r>
      <rPr>
        <sz val="10"/>
        <color theme="1"/>
        <rFont val="Calibri Light"/>
        <charset val="134"/>
      </rPr>
      <t>15(</t>
    </r>
    <r>
      <rPr>
        <sz val="10"/>
        <color theme="1"/>
        <rFont val="宋体"/>
        <charset val="134"/>
      </rPr>
      <t>含税含运到广东福建）</t>
    </r>
  </si>
  <si>
    <r>
      <rPr>
        <sz val="10"/>
        <color theme="1"/>
        <rFont val="Calibri Light"/>
        <charset val="134"/>
      </rPr>
      <t xml:space="preserve">HL-10000 </t>
    </r>
    <r>
      <rPr>
        <sz val="10"/>
        <color theme="1"/>
        <rFont val="宋体"/>
        <charset val="134"/>
      </rPr>
      <t>慕丝棉</t>
    </r>
  </si>
  <si>
    <t>SP25007</t>
  </si>
  <si>
    <r>
      <rPr>
        <sz val="10"/>
        <color theme="1"/>
        <rFont val="宋体"/>
        <charset val="134"/>
      </rPr>
      <t>采用</t>
    </r>
    <r>
      <rPr>
        <sz val="10"/>
        <color theme="1"/>
        <rFont val="Calibri Light"/>
        <charset val="134"/>
      </rPr>
      <t>25</t>
    </r>
    <r>
      <rPr>
        <sz val="10"/>
        <color theme="1"/>
        <rFont val="Calibri Light"/>
        <charset val="134"/>
      </rPr>
      <t>D</t>
    </r>
    <r>
      <rPr>
        <sz val="10"/>
        <color theme="1"/>
        <rFont val="宋体"/>
        <charset val="134"/>
      </rPr>
      <t>超细纤维匠心织造而成，搭配特殊的染整工艺，使面料手感不仅棉柔细腻，而且抗皱回弹性良好，成衣成型度俱佳，面料具备三防和无胆防绒等功能</t>
    </r>
  </si>
  <si>
    <t xml:space="preserve">HL-10000 </t>
  </si>
  <si>
    <r>
      <rPr>
        <sz val="10"/>
        <color theme="1"/>
        <rFont val="Calibri Light"/>
        <charset val="134"/>
      </rPr>
      <t>10.5(</t>
    </r>
    <r>
      <rPr>
        <sz val="10"/>
        <color theme="1"/>
        <rFont val="宋体"/>
        <charset val="134"/>
      </rPr>
      <t>含税含运到广东福建）</t>
    </r>
  </si>
  <si>
    <r>
      <rPr>
        <sz val="10"/>
        <color theme="1"/>
        <rFont val="Calibri Light"/>
        <charset val="134"/>
      </rPr>
      <t>119211083-250g</t>
    </r>
    <r>
      <rPr>
        <sz val="10"/>
        <color theme="1"/>
        <rFont val="宋体"/>
        <charset val="134"/>
      </rPr>
      <t>双刷单摇</t>
    </r>
    <r>
      <rPr>
        <sz val="10"/>
        <color theme="1"/>
        <rFont val="Calibri Light"/>
        <charset val="134"/>
      </rPr>
      <t>-186</t>
    </r>
  </si>
  <si>
    <t>SP25008</t>
  </si>
  <si>
    <r>
      <rPr>
        <sz val="10"/>
        <color theme="1"/>
        <rFont val="宋体"/>
        <charset val="134"/>
      </rPr>
      <t>裕丰毛绒</t>
    </r>
  </si>
  <si>
    <r>
      <rPr>
        <sz val="10"/>
        <color theme="1"/>
        <rFont val="Calibri Light"/>
        <charset val="134"/>
      </rPr>
      <t>1172910835-</t>
    </r>
    <r>
      <rPr>
        <sz val="10"/>
        <color theme="1"/>
        <rFont val="宋体"/>
        <charset val="134"/>
      </rPr>
      <t>加厚摇粒绒</t>
    </r>
    <r>
      <rPr>
        <sz val="10"/>
        <color theme="1"/>
        <rFont val="Calibri Light"/>
        <charset val="134"/>
      </rPr>
      <t>-52</t>
    </r>
  </si>
  <si>
    <t>SP25009</t>
  </si>
  <si>
    <r>
      <rPr>
        <sz val="10"/>
        <color theme="1"/>
        <rFont val="Calibri Light"/>
        <charset val="134"/>
      </rPr>
      <t>1265251083-</t>
    </r>
    <r>
      <rPr>
        <sz val="10"/>
        <color theme="1"/>
        <rFont val="宋体"/>
        <charset val="134"/>
      </rPr>
      <t>四面弹格子摇粒</t>
    </r>
    <r>
      <rPr>
        <sz val="10"/>
        <color theme="1"/>
        <rFont val="Calibri Light"/>
        <charset val="134"/>
      </rPr>
      <t>-52</t>
    </r>
  </si>
  <si>
    <t>SP25010</t>
  </si>
  <si>
    <r>
      <rPr>
        <sz val="10"/>
        <color theme="1"/>
        <rFont val="Calibri Light"/>
        <charset val="134"/>
      </rPr>
      <t>21532-300g</t>
    </r>
    <r>
      <rPr>
        <sz val="10"/>
        <color theme="1"/>
        <rFont val="宋体"/>
        <charset val="134"/>
      </rPr>
      <t>单面吸水珊瑚绒</t>
    </r>
    <r>
      <rPr>
        <sz val="10"/>
        <color theme="1"/>
        <rFont val="Calibri Light"/>
        <charset val="134"/>
      </rPr>
      <t>-66</t>
    </r>
  </si>
  <si>
    <t>SP25011</t>
  </si>
  <si>
    <r>
      <rPr>
        <sz val="10"/>
        <color theme="1"/>
        <rFont val="Calibri Light"/>
        <charset val="134"/>
      </rPr>
      <t>9800Y2-</t>
    </r>
    <r>
      <rPr>
        <sz val="10"/>
        <color theme="1"/>
        <rFont val="宋体"/>
        <charset val="134"/>
      </rPr>
      <t>宝宝绒</t>
    </r>
  </si>
  <si>
    <t>SP25012</t>
  </si>
  <si>
    <t>9800Y2</t>
  </si>
  <si>
    <r>
      <rPr>
        <sz val="10"/>
        <color theme="1"/>
        <rFont val="宋体"/>
        <charset val="134"/>
      </rPr>
      <t>江汉纺织</t>
    </r>
  </si>
  <si>
    <r>
      <rPr>
        <sz val="10"/>
        <color theme="1"/>
        <rFont val="Calibri Light"/>
        <charset val="134"/>
      </rPr>
      <t>3682-593-96F</t>
    </r>
    <r>
      <rPr>
        <sz val="10"/>
        <color theme="1"/>
        <rFont val="宋体"/>
        <charset val="134"/>
      </rPr>
      <t>双刷单摇</t>
    </r>
  </si>
  <si>
    <t>SP25013</t>
  </si>
  <si>
    <t>3682-593</t>
  </si>
  <si>
    <r>
      <rPr>
        <sz val="10"/>
        <color theme="1"/>
        <rFont val="宋体"/>
        <charset val="134"/>
      </rPr>
      <t>广源毛绒</t>
    </r>
  </si>
  <si>
    <t>3682-593#</t>
  </si>
  <si>
    <r>
      <rPr>
        <sz val="10"/>
        <color theme="1"/>
        <rFont val="Calibri Light"/>
        <charset val="134"/>
      </rPr>
      <t>A9411-</t>
    </r>
    <r>
      <rPr>
        <sz val="10"/>
        <color theme="1"/>
        <rFont val="宋体"/>
        <charset val="134"/>
      </rPr>
      <t>精品加厚奥尔粒</t>
    </r>
  </si>
  <si>
    <t>SP25014</t>
  </si>
  <si>
    <t>A9411</t>
  </si>
  <si>
    <r>
      <rPr>
        <sz val="10"/>
        <color theme="1"/>
        <rFont val="宋体"/>
        <charset val="134"/>
      </rPr>
      <t>伟利达毛绒</t>
    </r>
  </si>
  <si>
    <t>N35BH</t>
  </si>
  <si>
    <t>SP25015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</si>
  <si>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</si>
  <si>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95%POLY5%SP</t>
  </si>
  <si>
    <r>
      <rPr>
        <sz val="10"/>
        <color theme="1"/>
        <rFont val="宋体"/>
        <charset val="134"/>
      </rPr>
      <t>新宇勋</t>
    </r>
  </si>
  <si>
    <r>
      <rPr>
        <sz val="10"/>
        <color theme="1"/>
        <rFont val="Calibri Light"/>
        <charset val="134"/>
      </rPr>
      <t>T7122-</t>
    </r>
    <r>
      <rPr>
        <sz val="10"/>
        <color theme="1"/>
        <rFont val="宋体"/>
        <charset val="134"/>
      </rPr>
      <t>丹麦提花</t>
    </r>
  </si>
  <si>
    <t>SP25016</t>
  </si>
  <si>
    <t>T7122</t>
  </si>
  <si>
    <r>
      <rPr>
        <sz val="10"/>
        <color theme="1"/>
        <rFont val="宋体"/>
        <charset val="134"/>
      </rPr>
      <t>一朵棉纺织</t>
    </r>
  </si>
  <si>
    <t>T7122#</t>
  </si>
  <si>
    <r>
      <rPr>
        <sz val="10"/>
        <color theme="1"/>
        <rFont val="Calibri Light"/>
        <charset val="134"/>
      </rPr>
      <t>A999</t>
    </r>
    <r>
      <rPr>
        <sz val="10"/>
        <color theme="1"/>
        <rFont val="宋体"/>
        <charset val="134"/>
      </rPr>
      <t>洞布</t>
    </r>
  </si>
  <si>
    <t>SP25017</t>
  </si>
  <si>
    <r>
      <rPr>
        <sz val="10"/>
        <color theme="1"/>
        <rFont val="宋体"/>
        <charset val="134"/>
      </rPr>
      <t>茂源运动</t>
    </r>
  </si>
  <si>
    <r>
      <rPr>
        <sz val="10"/>
        <color theme="1"/>
        <rFont val="Calibri Light"/>
        <charset val="134"/>
      </rPr>
      <t>7.9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35.2/</t>
    </r>
    <r>
      <rPr>
        <sz val="10"/>
        <color theme="1"/>
        <rFont val="Calibri Light"/>
        <charset val="134"/>
      </rPr>
      <t>kg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</si>
  <si>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Calibri Light"/>
        <charset val="134"/>
      </rPr>
      <t>2.5</t>
    </r>
    <r>
      <rPr>
        <sz val="10"/>
        <color theme="1"/>
        <rFont val="宋体"/>
        <charset val="134"/>
      </rPr>
      <t>公分条纹</t>
    </r>
  </si>
  <si>
    <t>SP25018</t>
  </si>
  <si>
    <r>
      <rPr>
        <sz val="10"/>
        <color theme="1"/>
        <rFont val="宋体"/>
        <charset val="134"/>
      </rPr>
      <t>昊源网布</t>
    </r>
  </si>
  <si>
    <r>
      <rPr>
        <sz val="10"/>
        <color theme="1"/>
        <rFont val="宋体"/>
        <charset val="134"/>
      </rPr>
      <t>小块布样</t>
    </r>
  </si>
  <si>
    <r>
      <rPr>
        <sz val="10"/>
        <color theme="1"/>
        <rFont val="Calibri Light"/>
        <charset val="134"/>
      </rPr>
      <t>4.5</t>
    </r>
    <r>
      <rPr>
        <sz val="10"/>
        <color theme="1"/>
        <rFont val="宋体"/>
        <charset val="134"/>
      </rPr>
      <t>公分条纹</t>
    </r>
  </si>
  <si>
    <t>SP25019</t>
  </si>
  <si>
    <t>S2627#</t>
  </si>
  <si>
    <t>SP25020</t>
  </si>
  <si>
    <t>SP25021</t>
  </si>
  <si>
    <r>
      <rPr>
        <sz val="10"/>
        <color theme="1"/>
        <rFont val="宋体"/>
        <charset val="134"/>
      </rPr>
      <t>昌盛纺织</t>
    </r>
  </si>
  <si>
    <r>
      <rPr>
        <sz val="10"/>
        <color theme="1"/>
        <rFont val="Calibri Light"/>
        <charset val="134"/>
      </rPr>
      <t>11286</t>
    </r>
    <r>
      <rPr>
        <sz val="10"/>
        <color rgb="FFFF0000"/>
        <rFont val="宋体"/>
        <charset val="134"/>
      </rPr>
      <t>与</t>
    </r>
    <r>
      <rPr>
        <sz val="10"/>
        <color rgb="FFFF0000"/>
        <rFont val="Calibri Light"/>
        <charset val="134"/>
      </rPr>
      <t>SP25021</t>
    </r>
    <r>
      <rPr>
        <sz val="10"/>
        <color rgb="FFFF0000"/>
        <rFont val="宋体"/>
        <charset val="134"/>
      </rPr>
      <t>一样，所以没寄出</t>
    </r>
  </si>
  <si>
    <t>SP25022</t>
  </si>
  <si>
    <r>
      <rPr>
        <sz val="10"/>
        <color theme="1"/>
        <rFont val="宋体"/>
        <charset val="134"/>
      </rPr>
      <t>杰鑫格子</t>
    </r>
  </si>
  <si>
    <t>102-64#</t>
  </si>
  <si>
    <t>SP25023</t>
  </si>
  <si>
    <t>102-64</t>
  </si>
  <si>
    <r>
      <rPr>
        <sz val="10"/>
        <color theme="1"/>
        <rFont val="宋体"/>
        <charset val="134"/>
      </rPr>
      <t>茂盛纺织</t>
    </r>
  </si>
  <si>
    <t>SP25024</t>
  </si>
  <si>
    <r>
      <rPr>
        <sz val="10"/>
        <color theme="1"/>
        <rFont val="宋体"/>
        <charset val="134"/>
      </rPr>
      <t>佳旺纺织</t>
    </r>
  </si>
  <si>
    <t>3562--2</t>
  </si>
  <si>
    <t>SP25025</t>
  </si>
  <si>
    <r>
      <rPr>
        <sz val="10"/>
        <color theme="1"/>
        <rFont val="Calibri Light"/>
        <charset val="134"/>
      </rPr>
      <t>100%Recycle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</si>
  <si>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宋体"/>
        <charset val="134"/>
      </rPr>
      <t>美淘</t>
    </r>
  </si>
  <si>
    <t>SP25026</t>
  </si>
  <si>
    <r>
      <rPr>
        <sz val="10"/>
        <color theme="1"/>
        <rFont val="宋体"/>
        <charset val="134"/>
      </rPr>
      <t>推荐防晒，套装，连衣裙</t>
    </r>
  </si>
  <si>
    <r>
      <rPr>
        <sz val="10"/>
        <color theme="1"/>
        <rFont val="宋体"/>
        <charset val="134"/>
      </rPr>
      <t>优米时尚</t>
    </r>
  </si>
  <si>
    <t>SP25027</t>
  </si>
  <si>
    <r>
      <rPr>
        <sz val="10"/>
        <color theme="1"/>
        <rFont val="Calibri Light"/>
        <charset val="134"/>
      </rPr>
      <t>6002-</t>
    </r>
    <r>
      <rPr>
        <sz val="10"/>
        <color theme="1"/>
        <rFont val="宋体"/>
        <charset val="134"/>
      </rPr>
      <t>高密珍珠</t>
    </r>
  </si>
  <si>
    <t>SP25028</t>
  </si>
  <si>
    <r>
      <rPr>
        <sz val="10"/>
        <color theme="1"/>
        <rFont val="宋体"/>
        <charset val="134"/>
      </rPr>
      <t>新合盛布业</t>
    </r>
  </si>
  <si>
    <r>
      <rPr>
        <sz val="10"/>
        <color theme="1"/>
        <rFont val="Calibri Light"/>
        <charset val="134"/>
      </rPr>
      <t>6118-</t>
    </r>
    <r>
      <rPr>
        <sz val="10"/>
        <color theme="1"/>
        <rFont val="宋体"/>
        <charset val="134"/>
      </rPr>
      <t>精品珍珠</t>
    </r>
  </si>
  <si>
    <t>SP25029</t>
  </si>
  <si>
    <t>D29-1</t>
  </si>
  <si>
    <t>TR754</t>
  </si>
  <si>
    <t>SP25030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</si>
  <si>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乐力丝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</si>
  <si>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宋体"/>
        <charset val="134"/>
      </rPr>
      <t>光大纺织</t>
    </r>
  </si>
  <si>
    <t>262#</t>
  </si>
  <si>
    <t>SP25031</t>
  </si>
  <si>
    <r>
      <rPr>
        <sz val="10"/>
        <color theme="1"/>
        <rFont val="宋体"/>
        <charset val="134"/>
      </rPr>
      <t>凯盛亨</t>
    </r>
  </si>
  <si>
    <t>C734</t>
  </si>
  <si>
    <t>SP25032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</si>
  <si>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</si>
  <si>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96%Recycle POLY 4%SP</t>
  </si>
  <si>
    <r>
      <rPr>
        <sz val="10"/>
        <color theme="1"/>
        <rFont val="宋体"/>
        <charset val="134"/>
      </rPr>
      <t>昌勋纺织</t>
    </r>
  </si>
  <si>
    <t>H1565</t>
  </si>
  <si>
    <t>SP25033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</si>
  <si>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</si>
  <si>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纤色纺织</t>
  </si>
  <si>
    <r>
      <rPr>
        <sz val="10"/>
        <color theme="1"/>
        <rFont val="宋体"/>
        <charset val="134"/>
      </rPr>
      <t>双色棉</t>
    </r>
    <r>
      <rPr>
        <sz val="10"/>
        <color theme="1"/>
        <rFont val="Calibri Light"/>
        <charset val="134"/>
      </rPr>
      <t>3/3</t>
    </r>
    <r>
      <rPr>
        <sz val="10"/>
        <color theme="1"/>
        <rFont val="宋体"/>
        <charset val="134"/>
      </rPr>
      <t>斜</t>
    </r>
    <r>
      <rPr>
        <sz val="10"/>
        <color theme="1"/>
        <rFont val="Calibri Light"/>
        <charset val="134"/>
      </rPr>
      <t xml:space="preserve"> 610</t>
    </r>
  </si>
  <si>
    <t>SP25034</t>
  </si>
  <si>
    <r>
      <rPr>
        <sz val="10"/>
        <color theme="1"/>
        <rFont val="宋体"/>
        <charset val="134"/>
      </rPr>
      <t>宏达三俊</t>
    </r>
  </si>
  <si>
    <t>3926-10#</t>
  </si>
  <si>
    <t>SP25035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</si>
  <si>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</si>
  <si>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75%POLY 20%Viscose 5%SP</t>
  </si>
  <si>
    <t>华联</t>
  </si>
  <si>
    <t>剪样价格</t>
  </si>
  <si>
    <t>E9-1</t>
  </si>
  <si>
    <t>H6835-1</t>
  </si>
  <si>
    <t>SP25036</t>
  </si>
  <si>
    <r>
      <rPr>
        <sz val="10"/>
        <color theme="1"/>
        <rFont val="宋体"/>
        <charset val="134"/>
      </rPr>
      <t>汇美纺织</t>
    </r>
  </si>
  <si>
    <t>512#</t>
  </si>
  <si>
    <t>SP25037</t>
  </si>
  <si>
    <r>
      <rPr>
        <sz val="10"/>
        <color theme="1"/>
        <rFont val="宋体"/>
        <charset val="134"/>
      </rPr>
      <t>新蓝</t>
    </r>
  </si>
  <si>
    <t>9012#</t>
  </si>
  <si>
    <t>SP25038</t>
  </si>
  <si>
    <r>
      <rPr>
        <sz val="10"/>
        <color theme="1"/>
        <rFont val="宋体"/>
        <charset val="134"/>
      </rPr>
      <t>翰敞数码</t>
    </r>
  </si>
  <si>
    <r>
      <rPr>
        <sz val="10"/>
        <color theme="1"/>
        <rFont val="宋体"/>
        <charset val="134"/>
      </rPr>
      <t>空</t>
    </r>
    <r>
      <rPr>
        <sz val="10"/>
        <color theme="1"/>
        <rFont val="Calibri Light"/>
        <charset val="134"/>
      </rPr>
      <t>95</t>
    </r>
  </si>
  <si>
    <r>
      <rPr>
        <sz val="10"/>
        <color theme="1"/>
        <rFont val="Calibri Light"/>
        <charset val="134"/>
      </rPr>
      <t>50D</t>
    </r>
    <r>
      <rPr>
        <sz val="10"/>
        <color theme="1"/>
        <rFont val="宋体"/>
        <charset val="134"/>
      </rPr>
      <t>全光加厚</t>
    </r>
  </si>
  <si>
    <t>SP25039</t>
  </si>
  <si>
    <r>
      <rPr>
        <sz val="10"/>
        <color theme="1"/>
        <rFont val="Calibri Light"/>
        <charset val="134"/>
      </rPr>
      <t>75D</t>
    </r>
    <r>
      <rPr>
        <sz val="10"/>
        <color theme="1"/>
        <rFont val="宋体"/>
        <charset val="134"/>
      </rPr>
      <t>全光</t>
    </r>
  </si>
  <si>
    <t>SP25040</t>
  </si>
  <si>
    <r>
      <rPr>
        <sz val="10"/>
        <color theme="1"/>
        <rFont val="宋体"/>
        <charset val="134"/>
      </rPr>
      <t>加舒美绸</t>
    </r>
  </si>
  <si>
    <t>SP25041</t>
  </si>
  <si>
    <t>加舒美绸</t>
  </si>
  <si>
    <r>
      <rPr>
        <sz val="10"/>
        <color theme="1"/>
        <rFont val="宋体"/>
        <charset val="134"/>
      </rPr>
      <t>精品里布</t>
    </r>
  </si>
  <si>
    <r>
      <rPr>
        <sz val="10"/>
        <color theme="1"/>
        <rFont val="宋体"/>
        <charset val="134"/>
      </rPr>
      <t>精品韩国里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（加韩）</t>
    </r>
    <r>
      <rPr>
        <sz val="10"/>
        <color theme="1"/>
        <rFont val="Calibri Light"/>
        <charset val="134"/>
      </rPr>
      <t>80</t>
    </r>
    <r>
      <rPr>
        <sz val="10"/>
        <color theme="1"/>
        <rFont val="宋体"/>
        <charset val="134"/>
      </rPr>
      <t>克</t>
    </r>
  </si>
  <si>
    <t>SP25042</t>
  </si>
  <si>
    <r>
      <rPr>
        <sz val="10"/>
        <color theme="1"/>
        <rFont val="宋体"/>
        <charset val="134"/>
      </rPr>
      <t>加密仿人丝（加舒）</t>
    </r>
    <r>
      <rPr>
        <sz val="10"/>
        <color theme="1"/>
        <rFont val="Calibri Light"/>
        <charset val="134"/>
      </rPr>
      <t>110</t>
    </r>
    <r>
      <rPr>
        <sz val="10"/>
        <color theme="1"/>
        <rFont val="宋体"/>
        <charset val="134"/>
      </rPr>
      <t>克</t>
    </r>
  </si>
  <si>
    <t>SP25043</t>
  </si>
  <si>
    <r>
      <rPr>
        <sz val="10"/>
        <color theme="1"/>
        <rFont val="Calibri Light"/>
        <charset val="134"/>
      </rPr>
      <t>50D</t>
    </r>
    <r>
      <rPr>
        <sz val="10"/>
        <color theme="1"/>
        <rFont val="宋体"/>
        <charset val="134"/>
      </rPr>
      <t>超柔四面弹（</t>
    </r>
    <r>
      <rPr>
        <sz val="10"/>
        <color theme="1"/>
        <rFont val="Calibri Light"/>
        <charset val="134"/>
      </rPr>
      <t>88</t>
    </r>
    <r>
      <rPr>
        <sz val="10"/>
        <color theme="1"/>
        <rFont val="宋体"/>
        <charset val="134"/>
      </rPr>
      <t>克）</t>
    </r>
  </si>
  <si>
    <t>SP25044</t>
  </si>
  <si>
    <r>
      <rPr>
        <sz val="10"/>
        <color theme="1"/>
        <rFont val="Calibri Light"/>
        <charset val="134"/>
      </rPr>
      <t>95%Recycle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</si>
  <si>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50D</t>
    </r>
    <r>
      <rPr>
        <sz val="10"/>
        <color theme="1"/>
        <rFont val="宋体"/>
        <charset val="134"/>
      </rPr>
      <t>超柔四面弹</t>
    </r>
  </si>
  <si>
    <t>SP25045</t>
  </si>
  <si>
    <r>
      <rPr>
        <sz val="10"/>
        <color theme="1"/>
        <rFont val="宋体"/>
        <charset val="134"/>
      </rPr>
      <t>众旺纺织</t>
    </r>
  </si>
  <si>
    <t>1410-2#</t>
  </si>
  <si>
    <t>SP25046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</si>
  <si>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</si>
  <si>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97%Recycle POLY 3%SP</t>
  </si>
  <si>
    <r>
      <rPr>
        <sz val="10"/>
        <color theme="1"/>
        <rFont val="宋体"/>
        <charset val="134"/>
      </rPr>
      <t>万利行</t>
    </r>
  </si>
  <si>
    <t>6692#</t>
  </si>
  <si>
    <t>SP25047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</si>
  <si>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12%</t>
    </r>
    <r>
      <rPr>
        <sz val="10"/>
        <color theme="1"/>
        <rFont val="宋体"/>
        <charset val="134"/>
      </rPr>
      <t>氨纶</t>
    </r>
  </si>
  <si>
    <t>88%Recycle POLY 12%SP</t>
  </si>
  <si>
    <t>0953#</t>
  </si>
  <si>
    <t>SP25048</t>
  </si>
  <si>
    <r>
      <rPr>
        <sz val="10"/>
        <color theme="1"/>
        <rFont val="宋体"/>
        <charset val="134"/>
      </rPr>
      <t>三好纺织</t>
    </r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</si>
  <si>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12.5/</t>
    </r>
    <r>
      <rPr>
        <sz val="10"/>
        <color theme="1"/>
        <rFont val="宋体"/>
        <charset val="134"/>
      </rPr>
      <t>米</t>
    </r>
  </si>
  <si>
    <t>1009#</t>
  </si>
  <si>
    <t>SP25049</t>
  </si>
  <si>
    <t>TR439</t>
  </si>
  <si>
    <t>SP25050</t>
  </si>
  <si>
    <t>光大纺织</t>
  </si>
  <si>
    <t>10172#</t>
  </si>
  <si>
    <t>SP25051</t>
  </si>
  <si>
    <t>马利布行</t>
  </si>
  <si>
    <r>
      <rPr>
        <sz val="10"/>
        <color theme="1"/>
        <rFont val="Calibri Light"/>
        <charset val="134"/>
      </rPr>
      <t>5A073</t>
    </r>
    <r>
      <rPr>
        <sz val="10"/>
        <color theme="1"/>
        <rFont val="宋体"/>
        <charset val="134"/>
      </rPr>
      <t>舒爽罗纹</t>
    </r>
  </si>
  <si>
    <t>SP25052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</si>
  <si>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氨纶</t>
    </r>
  </si>
  <si>
    <t>93%Recycle POLY 7%SP</t>
  </si>
  <si>
    <r>
      <rPr>
        <sz val="10"/>
        <color theme="1"/>
        <rFont val="Calibri Light"/>
        <charset val="134"/>
      </rPr>
      <t>5A035</t>
    </r>
    <r>
      <rPr>
        <sz val="10"/>
        <color theme="1"/>
        <rFont val="宋体"/>
        <charset val="134"/>
      </rPr>
      <t>炫彩随身裁</t>
    </r>
  </si>
  <si>
    <t>SP25053</t>
  </si>
  <si>
    <t>SP25054</t>
  </si>
  <si>
    <r>
      <rPr>
        <sz val="10"/>
        <color theme="1"/>
        <rFont val="Calibri Light"/>
        <charset val="134"/>
      </rPr>
      <t>319#</t>
    </r>
    <r>
      <rPr>
        <sz val="10"/>
        <color theme="1"/>
        <rFont val="宋体"/>
        <charset val="134"/>
      </rPr>
      <t>仿丝缎抓花</t>
    </r>
  </si>
  <si>
    <r>
      <rPr>
        <sz val="10"/>
        <color theme="1"/>
        <rFont val="宋体"/>
        <charset val="134"/>
      </rPr>
      <t>金涛纺织</t>
    </r>
  </si>
  <si>
    <r>
      <rPr>
        <sz val="10"/>
        <color theme="1"/>
        <rFont val="宋体"/>
        <charset val="134"/>
      </rPr>
      <t>梭织起皱</t>
    </r>
  </si>
  <si>
    <r>
      <rPr>
        <sz val="10"/>
        <color theme="1"/>
        <rFont val="Calibri Light"/>
        <charset val="134"/>
      </rPr>
      <t>2026/3/13</t>
    </r>
    <r>
      <rPr>
        <sz val="10"/>
        <color theme="1"/>
        <rFont val="宋体"/>
        <charset val="134"/>
      </rPr>
      <t>寄</t>
    </r>
    <r>
      <rPr>
        <sz val="10"/>
        <color theme="1"/>
        <rFont val="Calibri Light"/>
        <charset val="134"/>
      </rPr>
      <t>BTC</t>
    </r>
  </si>
  <si>
    <t>6-1</t>
  </si>
  <si>
    <t>SP25055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</si>
  <si>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</si>
  <si>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95%CA 5%SP</t>
  </si>
  <si>
    <r>
      <rPr>
        <sz val="10"/>
        <color theme="1"/>
        <rFont val="Calibri Light"/>
        <charset val="134"/>
      </rPr>
      <t>1603</t>
    </r>
    <r>
      <rPr>
        <sz val="10"/>
        <color theme="1"/>
        <rFont val="宋体"/>
        <charset val="134"/>
      </rPr>
      <t>绒</t>
    </r>
  </si>
  <si>
    <r>
      <rPr>
        <sz val="10"/>
        <color theme="1"/>
        <rFont val="宋体"/>
        <charset val="134"/>
      </rPr>
      <t>嘉荣德盛</t>
    </r>
  </si>
  <si>
    <r>
      <rPr>
        <sz val="10"/>
        <color theme="1"/>
        <rFont val="宋体"/>
        <charset val="134"/>
      </rPr>
      <t>灯芯绒</t>
    </r>
  </si>
  <si>
    <t>5-5</t>
  </si>
  <si>
    <t>SP25056</t>
  </si>
  <si>
    <t>100%T</t>
  </si>
  <si>
    <t>SP25058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</si>
  <si>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氨纶</t>
    </r>
  </si>
  <si>
    <t>92%CA 8%SP</t>
  </si>
  <si>
    <t>SP25059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</si>
  <si>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氨纶</t>
    </r>
  </si>
  <si>
    <t>88%T 12%SP</t>
  </si>
  <si>
    <t>SP25060</t>
  </si>
  <si>
    <r>
      <rPr>
        <sz val="10"/>
        <color theme="1"/>
        <rFont val="Calibri Light"/>
        <charset val="134"/>
      </rPr>
      <t>93.2%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6.8%</t>
    </r>
    <r>
      <rPr>
        <sz val="10"/>
        <color theme="1"/>
        <rFont val="宋体"/>
        <charset val="134"/>
      </rPr>
      <t>氨纶</t>
    </r>
  </si>
  <si>
    <t>93.2%CA 6.8%SP</t>
  </si>
  <si>
    <t>SP25061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</si>
  <si>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</si>
  <si>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93%CA 7%SP</t>
  </si>
  <si>
    <t>SP25062</t>
  </si>
  <si>
    <r>
      <rPr>
        <sz val="10"/>
        <color theme="1"/>
        <rFont val="Calibri Light"/>
        <charset val="134"/>
      </rPr>
      <t>1926</t>
    </r>
    <r>
      <rPr>
        <sz val="10"/>
        <color theme="1"/>
        <rFont val="宋体"/>
        <charset val="134"/>
      </rPr>
      <t>绒</t>
    </r>
  </si>
  <si>
    <t>SP25063</t>
  </si>
  <si>
    <r>
      <rPr>
        <sz val="10"/>
        <color theme="1"/>
        <rFont val="Calibri Light"/>
        <charset val="134"/>
      </rPr>
      <t>1592</t>
    </r>
    <r>
      <rPr>
        <sz val="10"/>
        <color theme="1"/>
        <rFont val="宋体"/>
        <charset val="134"/>
      </rPr>
      <t>绒</t>
    </r>
  </si>
  <si>
    <t>SP25064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</si>
  <si>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聚酯纤维</t>
    </r>
  </si>
  <si>
    <t>100%CA</t>
  </si>
  <si>
    <t>SP25065</t>
  </si>
  <si>
    <t>KD144</t>
  </si>
  <si>
    <r>
      <rPr>
        <sz val="10"/>
        <color theme="1"/>
        <rFont val="宋体"/>
        <charset val="134"/>
      </rPr>
      <t>开赢</t>
    </r>
  </si>
  <si>
    <t>SP25066</t>
  </si>
  <si>
    <t>KD108</t>
  </si>
  <si>
    <t>SP25067</t>
  </si>
  <si>
    <r>
      <rPr>
        <sz val="10"/>
        <color theme="1"/>
        <rFont val="宋体"/>
        <charset val="134"/>
      </rPr>
      <t>华生纺织</t>
    </r>
  </si>
  <si>
    <t>3-5</t>
  </si>
  <si>
    <t>SP25068</t>
  </si>
  <si>
    <r>
      <rPr>
        <sz val="10"/>
        <color theme="1"/>
        <rFont val="Calibri Light"/>
        <charset val="134"/>
      </rPr>
      <t>96.4%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30.6%</t>
    </r>
    <r>
      <rPr>
        <sz val="10"/>
        <color theme="1"/>
        <rFont val="宋体"/>
        <charset val="134"/>
      </rPr>
      <t>氨纶</t>
    </r>
  </si>
  <si>
    <t>96.4%T 30.6%SP</t>
  </si>
  <si>
    <t>SP25069</t>
  </si>
  <si>
    <t>SP25070</t>
  </si>
  <si>
    <t>SP25072</t>
  </si>
  <si>
    <r>
      <rPr>
        <sz val="10"/>
        <color theme="1"/>
        <rFont val="宋体"/>
        <charset val="134"/>
      </rPr>
      <t>栢利</t>
    </r>
  </si>
  <si>
    <t>SP25073</t>
  </si>
  <si>
    <r>
      <rPr>
        <sz val="10"/>
        <color theme="1"/>
        <rFont val="Calibri Light"/>
        <charset val="134"/>
      </rPr>
      <t>99%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1%</t>
    </r>
    <r>
      <rPr>
        <sz val="10"/>
        <color theme="1"/>
        <rFont val="宋体"/>
        <charset val="134"/>
      </rPr>
      <t>氨纶</t>
    </r>
  </si>
  <si>
    <t>99%T 1%SP</t>
  </si>
  <si>
    <r>
      <rPr>
        <sz val="10"/>
        <color theme="1"/>
        <rFont val="宋体"/>
        <charset val="134"/>
      </rPr>
      <t>柏利</t>
    </r>
  </si>
  <si>
    <t>SP25074</t>
  </si>
  <si>
    <t>样板房/GFG</t>
  </si>
  <si>
    <t>SP25088</t>
  </si>
  <si>
    <t>95%T 5%SP</t>
  </si>
  <si>
    <t>A8207</t>
  </si>
  <si>
    <t>联众</t>
  </si>
  <si>
    <r>
      <rPr>
        <sz val="10"/>
        <color theme="1"/>
        <rFont val="宋体"/>
        <charset val="134"/>
      </rPr>
      <t>针织提花</t>
    </r>
  </si>
  <si>
    <r>
      <rPr>
        <sz val="10"/>
        <color theme="1"/>
        <rFont val="Calibri Light"/>
        <charset val="134"/>
      </rPr>
      <t>2025/7/17 GFG</t>
    </r>
    <r>
      <rPr>
        <sz val="10"/>
        <color theme="1"/>
        <rFont val="宋体"/>
        <charset val="134"/>
      </rPr>
      <t>设计师选中。已从版房拿走寄出给</t>
    </r>
    <r>
      <rPr>
        <sz val="10"/>
        <color theme="1"/>
        <rFont val="Calibri Light"/>
        <charset val="134"/>
      </rPr>
      <t>RICKY</t>
    </r>
  </si>
  <si>
    <t>6-5</t>
  </si>
  <si>
    <t>SP25089</t>
  </si>
  <si>
    <t>A8271</t>
  </si>
  <si>
    <r>
      <rPr>
        <sz val="10"/>
        <color theme="1"/>
        <rFont val="宋体"/>
        <charset val="134"/>
      </rPr>
      <t>联众</t>
    </r>
  </si>
  <si>
    <t>SP25090</t>
  </si>
  <si>
    <t>A8201</t>
  </si>
  <si>
    <t>SP25094</t>
  </si>
  <si>
    <r>
      <rPr>
        <sz val="10"/>
        <color theme="1"/>
        <rFont val="宋体"/>
        <charset val="134"/>
      </rPr>
      <t>爱尚美</t>
    </r>
  </si>
  <si>
    <t>SP25095</t>
  </si>
  <si>
    <t>SP25099</t>
  </si>
  <si>
    <r>
      <rPr>
        <sz val="10"/>
        <color theme="1"/>
        <rFont val="Calibri Light"/>
        <charset val="134"/>
      </rPr>
      <t>98%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</si>
  <si>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98%T 2%SP</t>
  </si>
  <si>
    <r>
      <rPr>
        <sz val="10"/>
        <color theme="1"/>
        <rFont val="Calibri Light"/>
        <charset val="134"/>
      </rPr>
      <t xml:space="preserve">6006# </t>
    </r>
    <r>
      <rPr>
        <sz val="10"/>
        <color theme="1"/>
        <rFont val="宋体"/>
        <charset val="134"/>
      </rPr>
      <t>克罗心华夫格</t>
    </r>
  </si>
  <si>
    <r>
      <rPr>
        <sz val="10"/>
        <color theme="1"/>
        <rFont val="宋体"/>
        <charset val="134"/>
      </rPr>
      <t>英利布业</t>
    </r>
  </si>
  <si>
    <t>SP25100</t>
  </si>
  <si>
    <t>YC315#</t>
  </si>
  <si>
    <r>
      <rPr>
        <sz val="10"/>
        <color theme="1"/>
        <rFont val="宋体"/>
        <charset val="134"/>
      </rPr>
      <t>依纯布业</t>
    </r>
  </si>
  <si>
    <t>SP25102</t>
  </si>
  <si>
    <r>
      <rPr>
        <sz val="10"/>
        <color theme="1"/>
        <rFont val="宋体"/>
        <charset val="134"/>
      </rPr>
      <t>提花仙女皱</t>
    </r>
    <r>
      <rPr>
        <sz val="10"/>
        <color theme="1"/>
        <rFont val="Calibri Light"/>
        <charset val="134"/>
      </rPr>
      <t xml:space="preserve"> A1718-252</t>
    </r>
  </si>
  <si>
    <t>SP25103</t>
  </si>
  <si>
    <r>
      <rPr>
        <sz val="10"/>
        <color theme="1"/>
        <rFont val="宋体"/>
        <charset val="134"/>
      </rPr>
      <t>多蒙丽</t>
    </r>
    <r>
      <rPr>
        <sz val="10"/>
        <color theme="1"/>
        <rFont val="Calibri Light"/>
        <charset val="134"/>
      </rPr>
      <t xml:space="preserve"> A2811-5</t>
    </r>
  </si>
  <si>
    <t>SP25104</t>
  </si>
  <si>
    <t>A1335-81</t>
  </si>
  <si>
    <t>SP25105</t>
  </si>
  <si>
    <t>A1335-128</t>
  </si>
  <si>
    <t>SP25106</t>
  </si>
  <si>
    <r>
      <rPr>
        <sz val="10"/>
        <color theme="1"/>
        <rFont val="Calibri Light"/>
        <charset val="134"/>
      </rPr>
      <t xml:space="preserve">16169 </t>
    </r>
    <r>
      <rPr>
        <sz val="10"/>
        <color theme="1"/>
        <rFont val="宋体"/>
        <charset val="134"/>
      </rPr>
      <t>树皮皱</t>
    </r>
  </si>
  <si>
    <r>
      <rPr>
        <sz val="10"/>
        <color theme="1"/>
        <rFont val="宋体"/>
        <charset val="134"/>
      </rPr>
      <t>腾翔</t>
    </r>
  </si>
  <si>
    <t>SP25107</t>
  </si>
  <si>
    <r>
      <rPr>
        <sz val="11"/>
        <color theme="1"/>
        <rFont val="Calibri Light"/>
        <charset val="134"/>
      </rPr>
      <t>95%</t>
    </r>
    <r>
      <rPr>
        <sz val="11"/>
        <rFont val="微软雅黑"/>
        <charset val="134"/>
      </rPr>
      <t>涤纶</t>
    </r>
    <r>
      <rPr>
        <sz val="11"/>
        <rFont val="Calibri Light"/>
        <charset val="134"/>
      </rPr>
      <t xml:space="preserve"> 5%</t>
    </r>
    <r>
      <rPr>
        <sz val="11"/>
        <rFont val="微软雅黑"/>
        <charset val="134"/>
      </rPr>
      <t>氨纶</t>
    </r>
  </si>
  <si>
    <r>
      <rPr>
        <sz val="10"/>
        <color theme="1"/>
        <rFont val="宋体"/>
        <charset val="134"/>
      </rPr>
      <t>旭丰</t>
    </r>
  </si>
  <si>
    <t>SP25108</t>
  </si>
  <si>
    <t>#28655</t>
  </si>
  <si>
    <t>SP25110</t>
  </si>
  <si>
    <t>A8038</t>
  </si>
  <si>
    <t>SP25111</t>
  </si>
  <si>
    <t>A8206</t>
  </si>
  <si>
    <t>SP25112</t>
  </si>
  <si>
    <t>A8076</t>
  </si>
  <si>
    <t>SP25113</t>
  </si>
  <si>
    <t>A8036</t>
  </si>
  <si>
    <t>SP25114</t>
  </si>
  <si>
    <t>A8137</t>
  </si>
  <si>
    <t>SP25117</t>
  </si>
  <si>
    <r>
      <rPr>
        <sz val="10"/>
        <color theme="1"/>
        <rFont val="宋体"/>
        <charset val="134"/>
      </rPr>
      <t>穗达</t>
    </r>
  </si>
  <si>
    <r>
      <rPr>
        <sz val="10"/>
        <color theme="1"/>
        <rFont val="Calibri Light"/>
        <charset val="134"/>
      </rPr>
      <t>2026/4/24</t>
    </r>
    <r>
      <rPr>
        <sz val="10"/>
        <color theme="1"/>
        <rFont val="宋体"/>
        <charset val="134"/>
      </rPr>
      <t>寄</t>
    </r>
    <r>
      <rPr>
        <sz val="10"/>
        <color theme="1"/>
        <rFont val="Calibri Light"/>
        <charset val="134"/>
      </rPr>
      <t>GFG</t>
    </r>
  </si>
  <si>
    <t>SP25119</t>
  </si>
  <si>
    <t>H1028</t>
  </si>
  <si>
    <r>
      <rPr>
        <sz val="10"/>
        <color theme="1"/>
        <rFont val="宋体"/>
        <charset val="134"/>
      </rPr>
      <t>绘理纺织</t>
    </r>
  </si>
  <si>
    <t>1-4</t>
  </si>
  <si>
    <t>SP25120</t>
  </si>
  <si>
    <t>58"</t>
  </si>
  <si>
    <r>
      <rPr>
        <sz val="10"/>
        <color theme="1"/>
        <rFont val="宋体"/>
        <charset val="134"/>
      </rPr>
      <t>彩思</t>
    </r>
  </si>
  <si>
    <t>SP25121</t>
  </si>
  <si>
    <t>SP25122</t>
  </si>
  <si>
    <t>TX-91090</t>
  </si>
  <si>
    <t>SP25123</t>
  </si>
  <si>
    <t>1-3</t>
  </si>
  <si>
    <t>SP25124</t>
  </si>
  <si>
    <t>TX25121</t>
  </si>
  <si>
    <t>SP25125</t>
  </si>
  <si>
    <t>TX6280</t>
  </si>
  <si>
    <t>SP25126</t>
  </si>
  <si>
    <t>T-9171</t>
  </si>
  <si>
    <t>SP25127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</si>
  <si>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20%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</si>
  <si>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78%T  20%R 2%SP</t>
  </si>
  <si>
    <t>TX3061</t>
  </si>
  <si>
    <t>1-1</t>
  </si>
  <si>
    <t>SP25128</t>
  </si>
  <si>
    <t>TX3128</t>
  </si>
  <si>
    <t>SP25129</t>
  </si>
  <si>
    <t>TX25151</t>
  </si>
  <si>
    <t>SP25131</t>
  </si>
  <si>
    <t>JH-8384</t>
  </si>
  <si>
    <r>
      <rPr>
        <sz val="10"/>
        <color theme="1"/>
        <rFont val="宋体"/>
        <charset val="134"/>
      </rPr>
      <t>珈禾</t>
    </r>
  </si>
  <si>
    <t>SP25132</t>
  </si>
  <si>
    <t>JH-8290</t>
  </si>
  <si>
    <t>SP25133</t>
  </si>
  <si>
    <t>JH-8044</t>
  </si>
  <si>
    <t>SP25134</t>
  </si>
  <si>
    <t>JH-8370</t>
  </si>
  <si>
    <t>SP25135</t>
  </si>
  <si>
    <t>JH-8070</t>
  </si>
  <si>
    <t>1-2</t>
  </si>
  <si>
    <t>SP25136</t>
  </si>
  <si>
    <t>JH-8299</t>
  </si>
  <si>
    <t>SP25137</t>
  </si>
  <si>
    <t>JH-8047</t>
  </si>
  <si>
    <t>SP25138</t>
  </si>
  <si>
    <t>JH-8444</t>
  </si>
  <si>
    <t>SP25139</t>
  </si>
  <si>
    <t>JH-8445</t>
  </si>
  <si>
    <t>SP25140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</si>
  <si>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氨纶</t>
    </r>
  </si>
  <si>
    <t>92%T 8%SP</t>
  </si>
  <si>
    <t>2399#</t>
  </si>
  <si>
    <r>
      <rPr>
        <sz val="10"/>
        <color theme="1"/>
        <rFont val="宋体"/>
        <charset val="134"/>
      </rPr>
      <t>金睿</t>
    </r>
  </si>
  <si>
    <t>SY25001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</si>
  <si>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</si>
  <si>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97%VISCOSE 3%SP</t>
  </si>
  <si>
    <t>135cm</t>
  </si>
  <si>
    <r>
      <rPr>
        <sz val="10"/>
        <color theme="1"/>
        <rFont val="Calibri Light"/>
        <charset val="134"/>
      </rPr>
      <t>C11</t>
    </r>
    <r>
      <rPr>
        <sz val="10"/>
        <color theme="1"/>
        <rFont val="宋体"/>
        <charset val="134"/>
      </rPr>
      <t>弹力维卡丝</t>
    </r>
  </si>
  <si>
    <t>SY25002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</si>
  <si>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</si>
  <si>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96%VISCOSE 4%SP</t>
  </si>
  <si>
    <t>C11</t>
  </si>
  <si>
    <t>SY25003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</si>
  <si>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人丝</t>
    </r>
  </si>
  <si>
    <t>100%VISCOSE</t>
  </si>
  <si>
    <t>SY25004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</si>
  <si>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锦纶</t>
    </r>
  </si>
  <si>
    <t>85%VISCOSE 15%NYLON</t>
  </si>
  <si>
    <t>SY25005</t>
  </si>
  <si>
    <r>
      <rPr>
        <sz val="10"/>
        <color theme="1"/>
        <rFont val="Calibri Light"/>
        <charset val="134"/>
      </rPr>
      <t>53%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47%</t>
    </r>
    <r>
      <rPr>
        <sz val="10"/>
        <color theme="1"/>
        <rFont val="宋体"/>
        <charset val="134"/>
      </rPr>
      <t>人棉</t>
    </r>
  </si>
  <si>
    <t>53%VISCOSE 47%RAYON</t>
  </si>
  <si>
    <t>SY25006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</si>
  <si>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44%</t>
    </r>
    <r>
      <rPr>
        <sz val="10"/>
        <color theme="1"/>
        <rFont val="宋体"/>
        <charset val="134"/>
      </rPr>
      <t>人棉</t>
    </r>
  </si>
  <si>
    <t>56%VISCOSE 44%RAYON</t>
  </si>
  <si>
    <t>A21</t>
  </si>
  <si>
    <t>SY25007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</si>
  <si>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粘胶纤维</t>
    </r>
  </si>
  <si>
    <t>100%RAYON</t>
  </si>
  <si>
    <r>
      <rPr>
        <sz val="10"/>
        <color theme="1"/>
        <rFont val="微软雅黑"/>
        <charset val="134"/>
      </rPr>
      <t>休闲原胚</t>
    </r>
    <r>
      <rPr>
        <sz val="10"/>
        <color theme="1"/>
        <rFont val="Calibri Light"/>
        <charset val="134"/>
      </rPr>
      <t>3599</t>
    </r>
  </si>
  <si>
    <t>SY25008</t>
  </si>
  <si>
    <r>
      <rPr>
        <sz val="10"/>
        <color theme="1"/>
        <rFont val="Calibri Light"/>
        <charset val="134"/>
      </rPr>
      <t>98%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涤纶</t>
    </r>
  </si>
  <si>
    <t>98%COTTON 2%POLY</t>
  </si>
  <si>
    <r>
      <rPr>
        <sz val="10"/>
        <color theme="1"/>
        <rFont val="宋体"/>
        <charset val="134"/>
      </rPr>
      <t>联进布业</t>
    </r>
  </si>
  <si>
    <r>
      <rPr>
        <sz val="10"/>
        <color theme="1"/>
        <rFont val="宋体"/>
        <charset val="134"/>
      </rPr>
      <t>休闲原胚</t>
    </r>
    <r>
      <rPr>
        <sz val="10"/>
        <color theme="1"/>
        <rFont val="Calibri Light"/>
        <charset val="134"/>
      </rPr>
      <t>8496</t>
    </r>
  </si>
  <si>
    <t>SY25009</t>
  </si>
  <si>
    <t>160-400</t>
  </si>
  <si>
    <r>
      <rPr>
        <sz val="10"/>
        <color theme="1"/>
        <rFont val="宋体"/>
        <charset val="134"/>
      </rPr>
      <t>休闲原胚</t>
    </r>
    <r>
      <rPr>
        <sz val="10"/>
        <color theme="1"/>
        <rFont val="Calibri Light"/>
        <charset val="134"/>
      </rPr>
      <t>8500</t>
    </r>
  </si>
  <si>
    <t>SY25010</t>
  </si>
  <si>
    <t>125-350</t>
  </si>
  <si>
    <t>BA2503-29</t>
  </si>
  <si>
    <t>SY25011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</si>
  <si>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29%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麻</t>
    </r>
  </si>
  <si>
    <t>62%BCI COTTON 29%LYOCELL 9%LINEN</t>
  </si>
  <si>
    <r>
      <rPr>
        <sz val="10"/>
        <color theme="1"/>
        <rFont val="Calibri Light"/>
        <charset val="134"/>
      </rPr>
      <t>158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62.5/63.5")</t>
    </r>
  </si>
  <si>
    <r>
      <rPr>
        <sz val="10"/>
        <color theme="1"/>
        <rFont val="Calibri Light"/>
        <charset val="134"/>
      </rPr>
      <t>345</t>
    </r>
    <r>
      <rPr>
        <sz val="10"/>
        <color theme="1"/>
        <rFont val="宋体"/>
        <charset val="134"/>
      </rPr>
      <t>（约</t>
    </r>
    <r>
      <rPr>
        <sz val="10"/>
        <color theme="1"/>
        <rFont val="Calibri Light"/>
        <charset val="134"/>
      </rPr>
      <t>10.2OZ</t>
    </r>
    <r>
      <rPr>
        <sz val="10"/>
        <color theme="1"/>
        <rFont val="宋体"/>
        <charset val="134"/>
      </rPr>
      <t>水前）</t>
    </r>
  </si>
  <si>
    <r>
      <rPr>
        <sz val="10"/>
        <color theme="1"/>
        <rFont val="宋体"/>
        <charset val="134"/>
      </rPr>
      <t>百盈达纺织</t>
    </r>
  </si>
  <si>
    <r>
      <rPr>
        <sz val="10"/>
        <color theme="1"/>
        <rFont val="宋体"/>
        <charset val="134"/>
      </rPr>
      <t>码布</t>
    </r>
  </si>
  <si>
    <t>SY25012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</si>
  <si>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</si>
  <si>
    <t>50%BCI COTTON 10%LINEN 40%POLY</t>
  </si>
  <si>
    <r>
      <rPr>
        <sz val="10"/>
        <color theme="1"/>
        <rFont val="宋体"/>
        <charset val="134"/>
      </rPr>
      <t>华强纺织</t>
    </r>
  </si>
  <si>
    <t>SY25013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</si>
  <si>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</si>
  <si>
    <t>40%BCI COTTON 60%LYOCELL</t>
  </si>
  <si>
    <r>
      <rPr>
        <sz val="10"/>
        <color theme="1"/>
        <rFont val="宋体"/>
        <charset val="134"/>
      </rPr>
      <t>天马布行</t>
    </r>
  </si>
  <si>
    <t>K72203-18</t>
  </si>
  <si>
    <t>SY25014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</si>
  <si>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粘胶</t>
    </r>
  </si>
  <si>
    <t>85%POLY 15%RAYON</t>
  </si>
  <si>
    <r>
      <rPr>
        <sz val="10"/>
        <color theme="1"/>
        <rFont val="宋体"/>
        <charset val="134"/>
      </rPr>
      <t>联兴纺织</t>
    </r>
  </si>
  <si>
    <t>SY25015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</si>
  <si>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棉</t>
    </r>
  </si>
  <si>
    <t>35%POLY 35%RAYON 20%LINEN 10%COTTON</t>
  </si>
  <si>
    <t>C580</t>
  </si>
  <si>
    <t>SY25016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</si>
  <si>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9.5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</si>
  <si>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SY25017</t>
  </si>
  <si>
    <r>
      <rPr>
        <sz val="10"/>
        <color theme="1"/>
        <rFont val="宋体"/>
        <charset val="134"/>
      </rPr>
      <t>花边</t>
    </r>
  </si>
  <si>
    <t>SY25018</t>
  </si>
  <si>
    <r>
      <rPr>
        <sz val="10"/>
        <color theme="1"/>
        <rFont val="宋体"/>
        <charset val="134"/>
      </rPr>
      <t>小条</t>
    </r>
  </si>
  <si>
    <t>SY25019</t>
  </si>
  <si>
    <t>SY25020</t>
  </si>
  <si>
    <t>SY25021</t>
  </si>
  <si>
    <t>SY25022</t>
  </si>
  <si>
    <t>SY25023</t>
  </si>
  <si>
    <t>CVC 18oz</t>
  </si>
  <si>
    <t>SY25024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</si>
  <si>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涤纶（实际</t>
    </r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涤纶）</t>
    </r>
  </si>
  <si>
    <r>
      <rPr>
        <sz val="10"/>
        <color theme="1"/>
        <rFont val="Calibri Light"/>
        <charset val="134"/>
      </rPr>
      <t>60%COTTON 40%POLY (</t>
    </r>
    <r>
      <rPr>
        <sz val="10"/>
        <color theme="1"/>
        <rFont val="宋体"/>
        <charset val="134"/>
      </rPr>
      <t>实际</t>
    </r>
    <r>
      <rPr>
        <sz val="10"/>
        <color theme="1"/>
        <rFont val="Calibri Light"/>
        <charset val="134"/>
      </rPr>
      <t>75%COTTON 25%POLY)</t>
    </r>
  </si>
  <si>
    <t>18oz</t>
  </si>
  <si>
    <r>
      <rPr>
        <sz val="10"/>
        <color theme="1"/>
        <rFont val="宋体"/>
        <charset val="134"/>
      </rPr>
      <t>东益</t>
    </r>
  </si>
  <si>
    <r>
      <rPr>
        <sz val="10"/>
        <color theme="1"/>
        <rFont val="Calibri Light"/>
        <charset val="134"/>
      </rPr>
      <t xml:space="preserve">CVC 16oz </t>
    </r>
    <r>
      <rPr>
        <sz val="10"/>
        <color theme="1"/>
        <rFont val="宋体"/>
        <charset val="134"/>
      </rPr>
      <t>黄色</t>
    </r>
  </si>
  <si>
    <t>SY25025</t>
  </si>
  <si>
    <r>
      <rPr>
        <sz val="10"/>
        <color theme="1"/>
        <rFont val="Calibri Light"/>
        <charset val="134"/>
      </rPr>
      <t>60%COTTON 40%POLY(</t>
    </r>
    <r>
      <rPr>
        <sz val="10"/>
        <color theme="1"/>
        <rFont val="宋体"/>
        <charset val="134"/>
      </rPr>
      <t>实际</t>
    </r>
    <r>
      <rPr>
        <sz val="10"/>
        <color theme="1"/>
        <rFont val="Calibri Light"/>
        <charset val="134"/>
      </rPr>
      <t>75%COTTON 25%POLY)</t>
    </r>
  </si>
  <si>
    <t>16oz</t>
  </si>
  <si>
    <r>
      <rPr>
        <sz val="10"/>
        <color theme="1"/>
        <rFont val="Calibri Light"/>
        <charset val="134"/>
      </rPr>
      <t xml:space="preserve">CVC 16OZ </t>
    </r>
    <r>
      <rPr>
        <sz val="10"/>
        <color theme="1"/>
        <rFont val="宋体"/>
        <charset val="134"/>
      </rPr>
      <t>半漂</t>
    </r>
  </si>
  <si>
    <t>SY25026</t>
  </si>
  <si>
    <r>
      <rPr>
        <sz val="10"/>
        <color theme="1"/>
        <rFont val="Calibri Light"/>
        <charset val="134"/>
      </rPr>
      <t>SK005/TC</t>
    </r>
    <r>
      <rPr>
        <sz val="10"/>
        <color theme="1"/>
        <rFont val="宋体"/>
        <charset val="134"/>
      </rPr>
      <t>回收棉帆布</t>
    </r>
  </si>
  <si>
    <t>SY25027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</si>
  <si>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</si>
  <si>
    <t>65%POLY35%COTTON</t>
  </si>
  <si>
    <t>码价、含税含运福建广东</t>
  </si>
  <si>
    <r>
      <rPr>
        <sz val="10"/>
        <color theme="1"/>
        <rFont val="Calibri Light"/>
        <charset val="134"/>
      </rPr>
      <t>SK005/TC</t>
    </r>
    <r>
      <rPr>
        <sz val="10"/>
        <color theme="1"/>
        <rFont val="微软雅黑"/>
        <charset val="134"/>
      </rPr>
      <t>回收棉帆布</t>
    </r>
  </si>
  <si>
    <r>
      <rPr>
        <sz val="10"/>
        <color theme="1"/>
        <rFont val="Calibri Light"/>
        <charset val="134"/>
      </rPr>
      <t>30</t>
    </r>
    <r>
      <rPr>
        <sz val="10"/>
        <color theme="1"/>
        <rFont val="宋体"/>
        <charset val="134"/>
      </rPr>
      <t>公分布条</t>
    </r>
  </si>
  <si>
    <r>
      <rPr>
        <sz val="10"/>
        <color theme="1"/>
        <rFont val="Calibri Light"/>
        <charset val="134"/>
      </rPr>
      <t>16</t>
    </r>
    <r>
      <rPr>
        <sz val="10"/>
        <color theme="1"/>
        <rFont val="宋体"/>
        <charset val="134"/>
      </rPr>
      <t>安染色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16 OZ DYE
(002#)  3#</t>
    </r>
    <r>
      <rPr>
        <sz val="10"/>
        <color theme="1"/>
        <rFont val="宋体"/>
        <charset val="134"/>
      </rPr>
      <t>半漂</t>
    </r>
  </si>
  <si>
    <t>SY25028</t>
  </si>
  <si>
    <t>145-147</t>
  </si>
  <si>
    <t>16OZ</t>
  </si>
  <si>
    <t>码价、不含税不含运</t>
  </si>
  <si>
    <r>
      <rPr>
        <sz val="10"/>
        <color theme="1"/>
        <rFont val="宋体"/>
        <charset val="134"/>
      </rPr>
      <t>幸隆</t>
    </r>
  </si>
  <si>
    <r>
      <rPr>
        <sz val="10"/>
        <color theme="1"/>
        <rFont val="Calibri Light"/>
        <charset val="134"/>
      </rPr>
      <t>3#</t>
    </r>
    <r>
      <rPr>
        <sz val="10"/>
        <color theme="1"/>
        <rFont val="宋体"/>
        <charset val="134"/>
      </rPr>
      <t>半漂</t>
    </r>
  </si>
  <si>
    <r>
      <rPr>
        <sz val="10"/>
        <color theme="1"/>
        <rFont val="宋体"/>
        <charset val="134"/>
      </rPr>
      <t>经：涤</t>
    </r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，纬：黄麻</t>
    </r>
  </si>
  <si>
    <t>SY25029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</si>
  <si>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涤棉（棉</t>
    </r>
    <r>
      <rPr>
        <sz val="10"/>
        <color theme="1"/>
        <rFont val="Calibri Light"/>
        <charset val="134"/>
      </rPr>
      <t>70%-80%</t>
    </r>
    <r>
      <rPr>
        <sz val="10"/>
        <color theme="1"/>
        <rFont val="宋体"/>
        <charset val="134"/>
      </rPr>
      <t>，剩余人棉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涤）</t>
    </r>
    <r>
      <rPr>
        <sz val="10"/>
        <color theme="1"/>
        <rFont val="Calibri Light"/>
        <charset val="134"/>
      </rPr>
      <t>+50%</t>
    </r>
    <r>
      <rPr>
        <sz val="10"/>
        <color theme="1"/>
        <rFont val="宋体"/>
        <charset val="134"/>
      </rPr>
      <t>黄麻</t>
    </r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</si>
  <si>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Calibri Light"/>
        <charset val="134"/>
      </rPr>
      <t>COTTON</t>
    </r>
    <r>
      <rPr>
        <sz val="10"/>
        <color theme="1"/>
        <rFont val="宋体"/>
        <charset val="134"/>
      </rPr>
      <t>（棉</t>
    </r>
    <r>
      <rPr>
        <sz val="10"/>
        <color theme="1"/>
        <rFont val="Calibri Light"/>
        <charset val="134"/>
      </rPr>
      <t>70%-80%</t>
    </r>
    <r>
      <rPr>
        <sz val="10"/>
        <color theme="1"/>
        <rFont val="宋体"/>
        <charset val="134"/>
      </rPr>
      <t>，剩余人棉</t>
    </r>
    <r>
      <rPr>
        <sz val="10"/>
        <color theme="1"/>
        <rFont val="Calibri Light"/>
        <charset val="134"/>
      </rPr>
      <t>+</t>
    </r>
    <r>
      <rPr>
        <sz val="10"/>
        <color theme="1"/>
        <rFont val="宋体"/>
        <charset val="134"/>
      </rPr>
      <t>涤）</t>
    </r>
    <r>
      <rPr>
        <sz val="10"/>
        <color theme="1"/>
        <rFont val="Calibri Light"/>
        <charset val="134"/>
      </rPr>
      <t>+50%</t>
    </r>
    <r>
      <rPr>
        <sz val="10"/>
        <color theme="1"/>
        <rFont val="Calibri Light"/>
        <charset val="134"/>
      </rPr>
      <t>LINEN</t>
    </r>
  </si>
  <si>
    <r>
      <rPr>
        <sz val="10"/>
        <color theme="1"/>
        <rFont val="宋体"/>
        <charset val="134"/>
      </rPr>
      <t>正昌皮革</t>
    </r>
  </si>
  <si>
    <r>
      <rPr>
        <sz val="10"/>
        <color theme="1"/>
        <rFont val="宋体"/>
        <charset val="134"/>
      </rPr>
      <t>经涤</t>
    </r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，纬黄麻</t>
    </r>
  </si>
  <si>
    <r>
      <rPr>
        <sz val="10"/>
        <color theme="1"/>
        <rFont val="Calibri Light"/>
        <charset val="134"/>
      </rPr>
      <t>10</t>
    </r>
    <r>
      <rPr>
        <sz val="10"/>
        <color theme="1"/>
        <rFont val="宋体"/>
        <charset val="134"/>
      </rPr>
      <t>公分布条</t>
    </r>
  </si>
  <si>
    <r>
      <rPr>
        <sz val="10"/>
        <color theme="1"/>
        <rFont val="宋体"/>
        <charset val="134"/>
      </rPr>
      <t>本色胚布</t>
    </r>
    <r>
      <rPr>
        <sz val="10"/>
        <color theme="1"/>
        <rFont val="Calibri Light"/>
        <charset val="134"/>
      </rPr>
      <t xml:space="preserve"> 28</t>
    </r>
    <r>
      <rPr>
        <sz val="10"/>
        <color theme="1"/>
        <rFont val="宋体"/>
        <charset val="134"/>
      </rPr>
      <t>号色</t>
    </r>
  </si>
  <si>
    <t>SY25030</t>
  </si>
  <si>
    <r>
      <rPr>
        <sz val="10"/>
        <color theme="1"/>
        <rFont val="Calibri Light"/>
        <charset val="134"/>
      </rPr>
      <t>270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10</t>
    </r>
    <r>
      <rPr>
        <sz val="10"/>
        <color theme="1"/>
        <rFont val="Calibri Light"/>
        <charset val="134"/>
      </rPr>
      <t>oz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</si>
  <si>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Calibri Light"/>
        <charset val="134"/>
      </rPr>
      <t xml:space="preserve">K183 </t>
    </r>
    <r>
      <rPr>
        <sz val="10"/>
        <color theme="1"/>
        <rFont val="宋体"/>
        <charset val="134"/>
      </rPr>
      <t>色纱色卡</t>
    </r>
  </si>
  <si>
    <t>SY25031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</si>
  <si>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</si>
  <si>
    <t>50%POLY 50%COTTON</t>
  </si>
  <si>
    <r>
      <rPr>
        <sz val="10"/>
        <color theme="1"/>
        <rFont val="宋体"/>
        <charset val="134"/>
      </rPr>
      <t>色纱</t>
    </r>
  </si>
  <si>
    <t>yarn dye</t>
  </si>
  <si>
    <t>K183</t>
  </si>
  <si>
    <t>AHP089-Z</t>
  </si>
  <si>
    <t>SY25032</t>
  </si>
  <si>
    <t>100% POLY</t>
  </si>
  <si>
    <r>
      <rPr>
        <sz val="10"/>
        <color theme="1"/>
        <rFont val="宋体"/>
        <charset val="134"/>
      </rPr>
      <t>龙兴隆</t>
    </r>
  </si>
  <si>
    <r>
      <rPr>
        <sz val="10"/>
        <color theme="1"/>
        <rFont val="Calibri Light"/>
        <charset val="134"/>
      </rPr>
      <t>SAP069</t>
    </r>
    <r>
      <rPr>
        <sz val="10"/>
        <color theme="1"/>
        <rFont val="宋体"/>
        <charset val="134"/>
      </rPr>
      <t>宝拉绒</t>
    </r>
  </si>
  <si>
    <t>SY25033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</si>
  <si>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</si>
  <si>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95%N 5%SP</t>
  </si>
  <si>
    <t>H0592</t>
  </si>
  <si>
    <t>SY25034</t>
  </si>
  <si>
    <r>
      <rPr>
        <sz val="10"/>
        <color theme="1"/>
        <rFont val="宋体"/>
        <charset val="134"/>
      </rPr>
      <t>实用：连衣裙，衬衫，外套，裤子，防晒衫，半裙</t>
    </r>
  </si>
  <si>
    <r>
      <rPr>
        <sz val="10"/>
        <color theme="1"/>
        <rFont val="宋体"/>
        <charset val="134"/>
      </rPr>
      <t>华帛社纺织</t>
    </r>
  </si>
  <si>
    <t>C201-1</t>
  </si>
  <si>
    <t>SY25035</t>
  </si>
  <si>
    <t>849#</t>
  </si>
  <si>
    <t>SY25036</t>
  </si>
  <si>
    <t>K614#</t>
  </si>
  <si>
    <t>SY25037</t>
  </si>
  <si>
    <r>
      <rPr>
        <sz val="10"/>
        <rFont val="Calibri Light"/>
        <charset val="134"/>
      </rPr>
      <t>K227</t>
    </r>
    <r>
      <rPr>
        <sz val="10"/>
        <rFont val="宋体"/>
        <charset val="134"/>
      </rPr>
      <t>色纱色卡</t>
    </r>
  </si>
  <si>
    <t>SY25038</t>
  </si>
  <si>
    <r>
      <rPr>
        <sz val="10"/>
        <color rgb="FFFF0000"/>
        <rFont val="Calibri Light"/>
        <charset val="134"/>
      </rPr>
      <t>50%</t>
    </r>
    <r>
      <rPr>
        <sz val="10"/>
        <color rgb="FFFF0000"/>
        <rFont val="宋体"/>
        <charset val="134"/>
      </rPr>
      <t>涤纶</t>
    </r>
    <r>
      <rPr>
        <sz val="10"/>
        <color rgb="FFFF0000"/>
        <rFont val="Calibri Light"/>
        <charset val="134"/>
      </rPr>
      <t xml:space="preserve"> 50%</t>
    </r>
    <r>
      <rPr>
        <sz val="10"/>
        <color rgb="FFFF0000"/>
        <rFont val="宋体"/>
        <charset val="134"/>
      </rPr>
      <t>棉</t>
    </r>
  </si>
  <si>
    <t>K227</t>
  </si>
  <si>
    <r>
      <rPr>
        <sz val="10"/>
        <color theme="1"/>
        <rFont val="Calibri Light"/>
        <charset val="134"/>
      </rPr>
      <t>RM1505-</t>
    </r>
    <r>
      <rPr>
        <sz val="10"/>
        <color theme="1"/>
        <rFont val="宋体"/>
        <charset val="134"/>
      </rPr>
      <t>气纺棉</t>
    </r>
  </si>
  <si>
    <t>SY25039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</si>
  <si>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</si>
  <si>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95%R 5%SP</t>
  </si>
  <si>
    <t>RM1505</t>
  </si>
  <si>
    <r>
      <rPr>
        <sz val="10"/>
        <color theme="1"/>
        <rFont val="Calibri Light"/>
        <charset val="134"/>
      </rPr>
      <t>S5020#-</t>
    </r>
    <r>
      <rPr>
        <sz val="10"/>
        <color theme="1"/>
        <rFont val="宋体"/>
        <charset val="134"/>
      </rPr>
      <t>磨毛格</t>
    </r>
  </si>
  <si>
    <t>SY25040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</si>
  <si>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棉</t>
    </r>
  </si>
  <si>
    <t>80%POLY 20%COTTON</t>
  </si>
  <si>
    <t>S5020#</t>
  </si>
  <si>
    <r>
      <rPr>
        <sz val="10"/>
        <color theme="1"/>
        <rFont val="Calibri Light"/>
        <charset val="134"/>
      </rPr>
      <t>S5017#-</t>
    </r>
    <r>
      <rPr>
        <sz val="10"/>
        <color theme="1"/>
        <rFont val="宋体"/>
        <charset val="134"/>
      </rPr>
      <t>磨毛格</t>
    </r>
  </si>
  <si>
    <t>SY25041</t>
  </si>
  <si>
    <r>
      <rPr>
        <sz val="10"/>
        <color theme="1"/>
        <rFont val="宋体"/>
        <charset val="134"/>
      </rPr>
      <t>与</t>
    </r>
    <r>
      <rPr>
        <sz val="10"/>
        <color theme="1"/>
        <rFont val="Calibri Light"/>
        <charset val="134"/>
      </rPr>
      <t>25040</t>
    </r>
    <r>
      <rPr>
        <sz val="10"/>
        <color theme="1"/>
        <rFont val="宋体"/>
        <charset val="134"/>
      </rPr>
      <t>合并色卡</t>
    </r>
    <r>
      <rPr>
        <sz val="10"/>
        <color theme="1"/>
        <rFont val="Calibri Light"/>
        <charset val="134"/>
      </rPr>
      <t>5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6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7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8</t>
    </r>
  </si>
  <si>
    <t>S5017#</t>
  </si>
  <si>
    <r>
      <rPr>
        <sz val="10"/>
        <color theme="1"/>
        <rFont val="Calibri Light"/>
        <charset val="134"/>
      </rPr>
      <t>B-70#-</t>
    </r>
    <r>
      <rPr>
        <sz val="10"/>
        <color theme="1"/>
        <rFont val="宋体"/>
        <charset val="134"/>
      </rPr>
      <t>洗水牛仔</t>
    </r>
  </si>
  <si>
    <t>SY25042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</si>
  <si>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涤纶</t>
    </r>
  </si>
  <si>
    <t>60%C 40%POLY</t>
  </si>
  <si>
    <t>B-70</t>
  </si>
  <si>
    <r>
      <rPr>
        <sz val="10"/>
        <color theme="1"/>
        <rFont val="宋体"/>
        <charset val="134"/>
      </rPr>
      <t>华溢纺织</t>
    </r>
  </si>
  <si>
    <t>B-70#</t>
  </si>
  <si>
    <r>
      <rPr>
        <sz val="10"/>
        <color theme="1"/>
        <rFont val="Calibri Light"/>
        <charset val="134"/>
      </rPr>
      <t>B-482#-</t>
    </r>
    <r>
      <rPr>
        <sz val="10"/>
        <color theme="1"/>
        <rFont val="宋体"/>
        <charset val="134"/>
      </rPr>
      <t>洗水牛仔</t>
    </r>
  </si>
  <si>
    <t>SY25043</t>
  </si>
  <si>
    <t>B-482#</t>
  </si>
  <si>
    <r>
      <rPr>
        <sz val="10"/>
        <color theme="1"/>
        <rFont val="Calibri Light"/>
        <charset val="134"/>
      </rPr>
      <t>F-004#-</t>
    </r>
    <r>
      <rPr>
        <sz val="10"/>
        <color theme="1"/>
        <rFont val="宋体"/>
        <charset val="134"/>
      </rPr>
      <t>免洗弹力牛仔</t>
    </r>
  </si>
  <si>
    <t>SY25044</t>
  </si>
  <si>
    <t>F-004#</t>
  </si>
  <si>
    <r>
      <rPr>
        <sz val="10"/>
        <color theme="1"/>
        <rFont val="Calibri Light"/>
        <charset val="134"/>
      </rPr>
      <t>6D033+#-</t>
    </r>
    <r>
      <rPr>
        <sz val="10"/>
        <color theme="1"/>
        <rFont val="宋体"/>
        <charset val="134"/>
      </rPr>
      <t>免洗牛仔</t>
    </r>
  </si>
  <si>
    <t>SY25045</t>
  </si>
  <si>
    <t>6D033</t>
  </si>
  <si>
    <r>
      <rPr>
        <sz val="10"/>
        <color theme="1"/>
        <rFont val="宋体"/>
        <charset val="134"/>
      </rPr>
      <t>广发牛仔</t>
    </r>
  </si>
  <si>
    <t>6D033+#</t>
  </si>
  <si>
    <r>
      <rPr>
        <sz val="10"/>
        <color theme="1"/>
        <rFont val="Calibri Light"/>
        <charset val="134"/>
      </rPr>
      <t>4104#-</t>
    </r>
    <r>
      <rPr>
        <sz val="10"/>
        <color theme="1"/>
        <rFont val="宋体"/>
        <charset val="134"/>
      </rPr>
      <t>潮牌双纱</t>
    </r>
  </si>
  <si>
    <t>SY25046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</si>
  <si>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涤纶</t>
    </r>
  </si>
  <si>
    <t>76%BCI COTTON 24%POLY</t>
  </si>
  <si>
    <t>4104#</t>
  </si>
  <si>
    <r>
      <rPr>
        <sz val="10"/>
        <color theme="1"/>
        <rFont val="宋体"/>
        <charset val="134"/>
      </rPr>
      <t>顺和丰</t>
    </r>
  </si>
  <si>
    <r>
      <rPr>
        <sz val="10"/>
        <color theme="1"/>
        <rFont val="Calibri Light"/>
        <charset val="134"/>
      </rPr>
      <t>6262#-</t>
    </r>
    <r>
      <rPr>
        <sz val="10"/>
        <color theme="1"/>
        <rFont val="宋体"/>
        <charset val="134"/>
      </rPr>
      <t>极品莫代尔</t>
    </r>
  </si>
  <si>
    <t>SY25047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</si>
  <si>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</si>
  <si>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95%RAYON 5%SP</t>
  </si>
  <si>
    <t>6262#</t>
  </si>
  <si>
    <t>9021#</t>
  </si>
  <si>
    <t>SY25048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</si>
  <si>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尼龙</t>
    </r>
  </si>
  <si>
    <t>65%TEN 35%NYLON</t>
  </si>
  <si>
    <r>
      <rPr>
        <sz val="10"/>
        <color theme="1"/>
        <rFont val="Calibri Light"/>
        <charset val="134"/>
      </rPr>
      <t>LF-</t>
    </r>
    <r>
      <rPr>
        <sz val="10"/>
        <color theme="1"/>
        <rFont val="宋体"/>
        <charset val="134"/>
      </rPr>
      <t>利丰</t>
    </r>
  </si>
  <si>
    <t>8981#</t>
  </si>
  <si>
    <t>SY25049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</si>
  <si>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棉</t>
    </r>
  </si>
  <si>
    <t>50%BCI COTTON 50%TEN</t>
  </si>
  <si>
    <t>3290-46</t>
  </si>
  <si>
    <t>SY25050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</si>
  <si>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涤纶</t>
    </r>
  </si>
  <si>
    <t>30%POLY 70%R</t>
  </si>
  <si>
    <t>T002</t>
  </si>
  <si>
    <t>SY25051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</si>
  <si>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涤纶</t>
    </r>
  </si>
  <si>
    <t>70%POLY 30%N</t>
  </si>
  <si>
    <r>
      <rPr>
        <sz val="10"/>
        <color theme="1"/>
        <rFont val="宋体"/>
        <charset val="134"/>
      </rPr>
      <t>宝隆纺织</t>
    </r>
  </si>
  <si>
    <t>1509-7</t>
  </si>
  <si>
    <t>SY25052</t>
  </si>
  <si>
    <t>2180#</t>
  </si>
  <si>
    <t>SY25053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</si>
  <si>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60%</t>
    </r>
    <r>
      <rPr>
        <sz val="10"/>
        <color theme="1"/>
        <rFont val="宋体"/>
        <charset val="134"/>
      </rPr>
      <t>棉</t>
    </r>
  </si>
  <si>
    <t>60%BCI Cotton 40%N</t>
  </si>
  <si>
    <r>
      <rPr>
        <sz val="10"/>
        <color theme="1"/>
        <rFont val="宋体"/>
        <charset val="134"/>
      </rPr>
      <t>推荐衬衫，短裙，裤子</t>
    </r>
  </si>
  <si>
    <r>
      <rPr>
        <sz val="10"/>
        <color theme="1"/>
        <rFont val="宋体"/>
        <charset val="134"/>
      </rPr>
      <t>源鑫</t>
    </r>
  </si>
  <si>
    <t>6239--10</t>
  </si>
  <si>
    <t>SY25054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</si>
  <si>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涤纶</t>
    </r>
  </si>
  <si>
    <t>90%TEN 10%POLY</t>
  </si>
  <si>
    <r>
      <rPr>
        <sz val="10"/>
        <color theme="1"/>
        <rFont val="宋体"/>
        <charset val="134"/>
      </rPr>
      <t>绫萝纺织</t>
    </r>
  </si>
  <si>
    <t>W2173</t>
  </si>
  <si>
    <t>SY25055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</si>
  <si>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涤纶</t>
    </r>
  </si>
  <si>
    <t>80%V 20%POLY</t>
  </si>
  <si>
    <r>
      <rPr>
        <sz val="10"/>
        <color theme="1"/>
        <rFont val="Calibri Light"/>
        <charset val="134"/>
      </rPr>
      <t>D615#-</t>
    </r>
    <r>
      <rPr>
        <sz val="10"/>
        <color theme="1"/>
        <rFont val="宋体"/>
        <charset val="134"/>
      </rPr>
      <t>麻丝</t>
    </r>
  </si>
  <si>
    <t>SY25056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</si>
  <si>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</si>
  <si>
    <t>80%R 20%N</t>
  </si>
  <si>
    <r>
      <rPr>
        <sz val="10"/>
        <color theme="1"/>
        <rFont val="宋体"/>
        <charset val="134"/>
      </rPr>
      <t>推荐童装，衬衫，裙子，防晒</t>
    </r>
  </si>
  <si>
    <r>
      <rPr>
        <sz val="10"/>
        <color theme="1"/>
        <rFont val="宋体"/>
        <charset val="134"/>
      </rPr>
      <t>发仔布行</t>
    </r>
  </si>
  <si>
    <t>D615#</t>
  </si>
  <si>
    <r>
      <rPr>
        <sz val="10"/>
        <color theme="1"/>
        <rFont val="Calibri Light"/>
        <charset val="134"/>
      </rPr>
      <t>D617#-</t>
    </r>
    <r>
      <rPr>
        <sz val="10"/>
        <color theme="1"/>
        <rFont val="宋体"/>
        <charset val="134"/>
      </rPr>
      <t>贵妃皱</t>
    </r>
  </si>
  <si>
    <t>SY25057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</si>
  <si>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涤纶</t>
    </r>
  </si>
  <si>
    <t>40%POLY 60%N</t>
  </si>
  <si>
    <t>D617#</t>
  </si>
  <si>
    <t>SY25058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</si>
  <si>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天丝</t>
    </r>
  </si>
  <si>
    <t>100%TEN</t>
  </si>
  <si>
    <r>
      <rPr>
        <sz val="10"/>
        <color theme="1"/>
        <rFont val="宋体"/>
        <charset val="134"/>
      </rPr>
      <t>源创</t>
    </r>
  </si>
  <si>
    <t>25087-1</t>
  </si>
  <si>
    <t>SY25059</t>
  </si>
  <si>
    <t>E5-8</t>
  </si>
  <si>
    <t>SY25060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</si>
  <si>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人棉</t>
    </r>
  </si>
  <si>
    <t>30%L 70%R</t>
  </si>
  <si>
    <r>
      <rPr>
        <sz val="10"/>
        <color theme="1"/>
        <rFont val="宋体"/>
        <charset val="134"/>
      </rPr>
      <t>金泰棉麻</t>
    </r>
  </si>
  <si>
    <r>
      <rPr>
        <sz val="10"/>
        <color theme="1"/>
        <rFont val="Calibri Light"/>
        <charset val="134"/>
      </rPr>
      <t>5147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F)</t>
    </r>
  </si>
  <si>
    <t>SY25061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</si>
  <si>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棉</t>
    </r>
  </si>
  <si>
    <t>30%POLY 30%L 30%R 10%C</t>
  </si>
  <si>
    <t>JFA317</t>
  </si>
  <si>
    <t>SY25062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</si>
  <si>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亚麻</t>
    </r>
  </si>
  <si>
    <t>45%BCI COTTON 55%L</t>
  </si>
  <si>
    <r>
      <rPr>
        <sz val="10"/>
        <color theme="1"/>
        <rFont val="宋体"/>
        <charset val="134"/>
      </rPr>
      <t>季季发纺织</t>
    </r>
  </si>
  <si>
    <t>303#</t>
  </si>
  <si>
    <t>SY25063</t>
  </si>
  <si>
    <r>
      <rPr>
        <sz val="10"/>
        <color theme="1"/>
        <rFont val="Calibri Light"/>
        <charset val="134"/>
      </rPr>
      <t>59%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亚麻</t>
    </r>
  </si>
  <si>
    <t>59%R 21%C 20%L</t>
  </si>
  <si>
    <r>
      <rPr>
        <sz val="10"/>
        <color theme="1"/>
        <rFont val="宋体"/>
        <charset val="134"/>
      </rPr>
      <t>年年发纺织</t>
    </r>
  </si>
  <si>
    <t>A13518</t>
  </si>
  <si>
    <t>SY25064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</si>
  <si>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铜氨丝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人丝</t>
    </r>
  </si>
  <si>
    <t>60%Cupro 40%V</t>
  </si>
  <si>
    <r>
      <rPr>
        <sz val="10"/>
        <color theme="1"/>
        <rFont val="宋体"/>
        <charset val="134"/>
      </rPr>
      <t>新伟兴纺织</t>
    </r>
  </si>
  <si>
    <t>SY25065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</si>
  <si>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柔维丝（人丝）</t>
    </r>
  </si>
  <si>
    <t>100%V</t>
  </si>
  <si>
    <r>
      <rPr>
        <sz val="10"/>
        <color theme="1"/>
        <rFont val="宋体"/>
        <charset val="134"/>
      </rPr>
      <t>辉华</t>
    </r>
  </si>
  <si>
    <r>
      <rPr>
        <sz val="10"/>
        <color theme="1"/>
        <rFont val="Calibri Light"/>
        <charset val="134"/>
      </rPr>
      <t>ZY138#40</t>
    </r>
    <r>
      <rPr>
        <sz val="10"/>
        <color theme="1"/>
        <rFont val="宋体"/>
        <charset val="134"/>
      </rPr>
      <t>支</t>
    </r>
    <r>
      <rPr>
        <sz val="10"/>
        <color theme="1"/>
        <rFont val="Calibri Light"/>
        <charset val="134"/>
      </rPr>
      <t>CVC</t>
    </r>
    <r>
      <rPr>
        <sz val="10"/>
        <color theme="1"/>
        <rFont val="宋体"/>
        <charset val="134"/>
      </rPr>
      <t>奥代尔</t>
    </r>
  </si>
  <si>
    <t>SY25066</t>
  </si>
  <si>
    <r>
      <rPr>
        <sz val="10"/>
        <color theme="1"/>
        <rFont val="Calibri Light"/>
        <charset val="134"/>
      </rPr>
      <t>33.5%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62%</t>
    </r>
    <r>
      <rPr>
        <sz val="10"/>
        <color theme="1"/>
        <rFont val="微软雅黑"/>
        <charset val="134"/>
      </rPr>
      <t>涤</t>
    </r>
    <r>
      <rPr>
        <sz val="10"/>
        <color theme="1"/>
        <rFont val="Calibri Light"/>
        <charset val="134"/>
      </rPr>
      <t xml:space="preserve"> 4.5%</t>
    </r>
    <r>
      <rPr>
        <sz val="10"/>
        <color theme="1"/>
        <rFont val="微软雅黑"/>
        <charset val="134"/>
      </rPr>
      <t>氨纶</t>
    </r>
  </si>
  <si>
    <t>33.5%BCI COTTON 62%POLY 4.5%SP</t>
  </si>
  <si>
    <t>40S</t>
  </si>
  <si>
    <r>
      <rPr>
        <sz val="10"/>
        <color rgb="FFFF0000"/>
        <rFont val="Calibri Light"/>
        <charset val="134"/>
      </rPr>
      <t>01# 19# 27 30 42 78 81 83 85 103 106 116 127#</t>
    </r>
    <r>
      <rPr>
        <sz val="10"/>
        <color rgb="FFFF0000"/>
        <rFont val="宋体"/>
        <charset val="134"/>
      </rPr>
      <t>颜色</t>
    </r>
    <r>
      <rPr>
        <sz val="10"/>
        <color rgb="FFFF0000"/>
        <rFont val="Calibri Light"/>
        <charset val="134"/>
      </rPr>
      <t>+1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7# 22 23 73 92 104 126 09 10 13 29 51#+2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124# 125#+3</t>
    </r>
    <r>
      <rPr>
        <sz val="10"/>
        <color rgb="FFFF0000"/>
        <rFont val="宋体"/>
        <charset val="134"/>
      </rPr>
      <t>元</t>
    </r>
  </si>
  <si>
    <t>ZY138#</t>
  </si>
  <si>
    <r>
      <rPr>
        <sz val="10"/>
        <color theme="1"/>
        <rFont val="宋体"/>
        <charset val="134"/>
      </rPr>
      <t>展业布行</t>
    </r>
  </si>
  <si>
    <r>
      <rPr>
        <sz val="10"/>
        <color theme="1"/>
        <rFont val="Calibri Light"/>
        <charset val="134"/>
      </rPr>
      <t>43.2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</si>
  <si>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ZY238#</t>
    </r>
    <r>
      <rPr>
        <sz val="10"/>
        <color theme="1"/>
        <rFont val="宋体"/>
        <charset val="134"/>
      </rPr>
      <t>加厚</t>
    </r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</t>
    </r>
    <r>
      <rPr>
        <sz val="10"/>
        <color theme="1"/>
        <rFont val="Calibri Light"/>
        <charset val="134"/>
      </rPr>
      <t>CVC</t>
    </r>
    <r>
      <rPr>
        <sz val="10"/>
        <color theme="1"/>
        <rFont val="宋体"/>
        <charset val="134"/>
      </rPr>
      <t>奥代尔</t>
    </r>
  </si>
  <si>
    <t>SY25067</t>
  </si>
  <si>
    <r>
      <rPr>
        <sz val="10"/>
        <color theme="1"/>
        <rFont val="Calibri Light"/>
        <charset val="134"/>
      </rPr>
      <t>33%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60.5%</t>
    </r>
    <r>
      <rPr>
        <sz val="10"/>
        <color theme="1"/>
        <rFont val="微软雅黑"/>
        <charset val="134"/>
      </rPr>
      <t>涤</t>
    </r>
    <r>
      <rPr>
        <sz val="10"/>
        <color theme="1"/>
        <rFont val="Calibri Light"/>
        <charset val="134"/>
      </rPr>
      <t xml:space="preserve"> 6.5%</t>
    </r>
    <r>
      <rPr>
        <sz val="10"/>
        <color theme="1"/>
        <rFont val="微软雅黑"/>
        <charset val="134"/>
      </rPr>
      <t>氨纶</t>
    </r>
  </si>
  <si>
    <t>33%BCI COTTON 60.5%POLY 6.5%SP</t>
  </si>
  <si>
    <t>ZY238#</t>
  </si>
  <si>
    <r>
      <rPr>
        <sz val="10"/>
        <color theme="1"/>
        <rFont val="Calibri Light"/>
        <charset val="134"/>
      </rPr>
      <t>88011#</t>
    </r>
    <r>
      <rPr>
        <sz val="10"/>
        <color theme="1"/>
        <rFont val="宋体"/>
        <charset val="134"/>
      </rPr>
      <t>新氧丝棉奥代尔</t>
    </r>
  </si>
  <si>
    <t>SY25068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</si>
  <si>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28%</t>
    </r>
    <r>
      <rPr>
        <sz val="10"/>
        <color theme="1"/>
        <rFont val="宋体"/>
        <charset val="134"/>
      </rPr>
      <t>涤纶</t>
    </r>
  </si>
  <si>
    <t>72%CBI COTTON 28%POLY</t>
  </si>
  <si>
    <r>
      <rPr>
        <sz val="10"/>
        <color rgb="FFFF0000"/>
        <rFont val="Calibri Light"/>
        <charset val="134"/>
      </rPr>
      <t>43# 45 47 49 51 53 54 58 62 64 67#</t>
    </r>
    <r>
      <rPr>
        <sz val="10"/>
        <color rgb="FFFF0000"/>
        <rFont val="宋体"/>
        <charset val="134"/>
      </rPr>
      <t>颜色</t>
    </r>
    <r>
      <rPr>
        <sz val="10"/>
        <color rgb="FFFF0000"/>
        <rFont val="Calibri Light"/>
        <charset val="134"/>
      </rPr>
      <t>+3</t>
    </r>
    <r>
      <rPr>
        <sz val="10"/>
        <color rgb="FFFF0000"/>
        <rFont val="宋体"/>
        <charset val="134"/>
      </rPr>
      <t>元，白色</t>
    </r>
    <r>
      <rPr>
        <sz val="10"/>
        <color rgb="FFFF0000"/>
        <rFont val="Calibri Light"/>
        <charset val="134"/>
      </rPr>
      <t>-2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1# 39 104#+2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50#+4</t>
    </r>
    <r>
      <rPr>
        <sz val="10"/>
        <color rgb="FFFF0000"/>
        <rFont val="宋体"/>
        <charset val="134"/>
      </rPr>
      <t>元</t>
    </r>
  </si>
  <si>
    <t>88011#</t>
  </si>
  <si>
    <r>
      <rPr>
        <sz val="10"/>
        <color theme="1"/>
        <rFont val="宋体"/>
        <charset val="134"/>
      </rPr>
      <t>东盛恒旺布行</t>
    </r>
  </si>
  <si>
    <r>
      <rPr>
        <sz val="10"/>
        <color theme="1"/>
        <rFont val="Calibri Light"/>
        <charset val="134"/>
      </rPr>
      <t>46.3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</si>
  <si>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39008#32S</t>
    </r>
    <r>
      <rPr>
        <sz val="10"/>
        <color theme="1"/>
        <rFont val="宋体"/>
        <charset val="134"/>
      </rPr>
      <t>极品</t>
    </r>
    <r>
      <rPr>
        <sz val="10"/>
        <color theme="1"/>
        <rFont val="Calibri Light"/>
        <charset val="134"/>
      </rPr>
      <t>CVC</t>
    </r>
    <r>
      <rPr>
        <sz val="10"/>
        <color theme="1"/>
        <rFont val="宋体"/>
        <charset val="134"/>
      </rPr>
      <t>拉架</t>
    </r>
  </si>
  <si>
    <t>SY25069</t>
  </si>
  <si>
    <r>
      <rPr>
        <sz val="10"/>
        <color theme="1"/>
        <rFont val="Calibri Light"/>
        <charset val="134"/>
      </rPr>
      <t>42.3%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50.2%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 xml:space="preserve"> 7.5%</t>
    </r>
    <r>
      <rPr>
        <sz val="10"/>
        <color theme="1"/>
        <rFont val="宋体"/>
        <charset val="134"/>
      </rPr>
      <t>氨纶</t>
    </r>
  </si>
  <si>
    <t>42.3%BCI COTTON 50.2%MD 7.5%SP</t>
  </si>
  <si>
    <r>
      <rPr>
        <sz val="10"/>
        <color rgb="FFFF0000"/>
        <rFont val="宋体"/>
        <charset val="134"/>
      </rPr>
      <t>白色</t>
    </r>
    <r>
      <rPr>
        <sz val="10"/>
        <color rgb="FFFF0000"/>
        <rFont val="Calibri Light"/>
        <charset val="134"/>
      </rPr>
      <t>-2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9# 24 31 60 78 95 114 134+2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30# 35 43 68 73 81 84 93 96 99 144 145#+3</t>
    </r>
    <r>
      <rPr>
        <sz val="10"/>
        <color rgb="FFFF0000"/>
        <rFont val="宋体"/>
        <charset val="134"/>
      </rPr>
      <t>元</t>
    </r>
  </si>
  <si>
    <t>39008#</t>
  </si>
  <si>
    <r>
      <rPr>
        <sz val="10"/>
        <color theme="1"/>
        <rFont val="Calibri Light"/>
        <charset val="134"/>
      </rPr>
      <t>38.9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</si>
  <si>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t>BS-5017#</t>
  </si>
  <si>
    <t>SY25070</t>
  </si>
  <si>
    <r>
      <rPr>
        <sz val="10"/>
        <color theme="1"/>
        <rFont val="宋体"/>
        <charset val="134"/>
      </rPr>
      <t>彬盛纺织</t>
    </r>
  </si>
  <si>
    <r>
      <rPr>
        <sz val="10"/>
        <color theme="1"/>
        <rFont val="Calibri Light"/>
        <charset val="134"/>
      </rPr>
      <t>70.5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</si>
  <si>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2105#/</t>
    </r>
    <r>
      <rPr>
        <sz val="10"/>
        <color theme="1"/>
        <rFont val="宋体"/>
        <charset val="134"/>
      </rPr>
      <t>铜氨丝汗布平纹</t>
    </r>
  </si>
  <si>
    <t>SY25071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</si>
  <si>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微软雅黑"/>
        <charset val="134"/>
      </rPr>
      <t>粘纤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微软雅黑"/>
        <charset val="134"/>
      </rPr>
      <t>聚酯纤维</t>
    </r>
  </si>
  <si>
    <t>33%POLY 67%RAYON</t>
  </si>
  <si>
    <t>2105#</t>
  </si>
  <si>
    <r>
      <rPr>
        <sz val="10"/>
        <color theme="1"/>
        <rFont val="宋体"/>
        <charset val="134"/>
      </rPr>
      <t>财生</t>
    </r>
  </si>
  <si>
    <r>
      <rPr>
        <sz val="10"/>
        <color theme="1"/>
        <rFont val="Calibri Light"/>
        <charset val="134"/>
      </rPr>
      <t>61.2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</si>
  <si>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1751#/</t>
    </r>
    <r>
      <rPr>
        <sz val="10"/>
        <color theme="1"/>
        <rFont val="宋体"/>
        <charset val="134"/>
      </rPr>
      <t>铜氨丝汗布平纹</t>
    </r>
  </si>
  <si>
    <t>SY25072</t>
  </si>
  <si>
    <t>1751#</t>
  </si>
  <si>
    <r>
      <rPr>
        <sz val="10"/>
        <color theme="1"/>
        <rFont val="Calibri Light"/>
        <charset val="134"/>
      </rPr>
      <t>56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</si>
  <si>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ZS2329#/</t>
    </r>
    <r>
      <rPr>
        <sz val="10"/>
        <color theme="1"/>
        <rFont val="宋体"/>
        <charset val="134"/>
      </rPr>
      <t>博拉柔棉</t>
    </r>
  </si>
  <si>
    <t>SY25073</t>
  </si>
  <si>
    <r>
      <rPr>
        <sz val="10"/>
        <color theme="1"/>
        <rFont val="Calibri Light"/>
        <charset val="134"/>
      </rPr>
      <t>45.4%</t>
    </r>
    <r>
      <rPr>
        <sz val="10"/>
        <color theme="1"/>
        <rFont val="微软雅黑"/>
        <charset val="134"/>
      </rPr>
      <t>天丝</t>
    </r>
    <r>
      <rPr>
        <sz val="10"/>
        <color theme="1"/>
        <rFont val="Calibri Light"/>
        <charset val="134"/>
      </rPr>
      <t xml:space="preserve"> 45.4%</t>
    </r>
    <r>
      <rPr>
        <sz val="10"/>
        <color theme="1"/>
        <rFont val="微软雅黑"/>
        <charset val="134"/>
      </rPr>
      <t>棉</t>
    </r>
    <r>
      <rPr>
        <sz val="10"/>
        <color theme="1"/>
        <rFont val="Calibri Light"/>
        <charset val="134"/>
      </rPr>
      <t xml:space="preserve"> 9.2%</t>
    </r>
    <r>
      <rPr>
        <sz val="10"/>
        <color theme="1"/>
        <rFont val="微软雅黑"/>
        <charset val="134"/>
      </rPr>
      <t>氨纶</t>
    </r>
  </si>
  <si>
    <t>45.4%BCI COTTON 45.4%TEN 9.2%SP</t>
  </si>
  <si>
    <t>ZS2329#</t>
  </si>
  <si>
    <r>
      <rPr>
        <sz val="10"/>
        <color theme="1"/>
        <rFont val="宋体"/>
        <charset val="134"/>
      </rPr>
      <t>壮生</t>
    </r>
  </si>
  <si>
    <r>
      <rPr>
        <sz val="10"/>
        <color theme="1"/>
        <rFont val="宋体"/>
        <charset val="134"/>
      </rPr>
      <t>59元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</si>
  <si>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8076A/</t>
    </r>
    <r>
      <rPr>
        <sz val="10"/>
        <color theme="1"/>
        <rFont val="宋体"/>
        <charset val="134"/>
      </rPr>
      <t>铜氨丝</t>
    </r>
  </si>
  <si>
    <t>SY25074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</si>
  <si>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微软雅黑"/>
        <charset val="134"/>
      </rPr>
      <t>人棉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微软雅黑"/>
        <charset val="134"/>
      </rPr>
      <t>聚酯纤维</t>
    </r>
  </si>
  <si>
    <t>32%POLY 68%RAYON</t>
  </si>
  <si>
    <t>8076A</t>
  </si>
  <si>
    <r>
      <rPr>
        <sz val="10"/>
        <color theme="1"/>
        <rFont val="宋体"/>
        <charset val="134"/>
      </rPr>
      <t>昊业</t>
    </r>
  </si>
  <si>
    <r>
      <rPr>
        <sz val="10"/>
        <color theme="1"/>
        <rFont val="Calibri Light"/>
        <charset val="134"/>
      </rPr>
      <t>57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</si>
  <si>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L5081#/</t>
    </r>
    <r>
      <rPr>
        <sz val="10"/>
        <color theme="1"/>
        <rFont val="宋体"/>
        <charset val="134"/>
      </rPr>
      <t>杨柳皱</t>
    </r>
  </si>
  <si>
    <t>SY25075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</si>
  <si>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微软雅黑"/>
        <charset val="134"/>
      </rPr>
      <t>涤纶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微软雅黑"/>
        <charset val="134"/>
      </rPr>
      <t>棉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微软雅黑"/>
        <charset val="134"/>
      </rPr>
      <t>亚麻</t>
    </r>
  </si>
  <si>
    <t>76%POLY 16%COTTON 8%LINEN</t>
  </si>
  <si>
    <t>L5081#</t>
  </si>
  <si>
    <r>
      <rPr>
        <sz val="10"/>
        <color theme="1"/>
        <rFont val="宋体"/>
        <charset val="134"/>
      </rPr>
      <t>利成纺织</t>
    </r>
  </si>
  <si>
    <t>C3248#</t>
  </si>
  <si>
    <t>SY25076</t>
  </si>
  <si>
    <r>
      <rPr>
        <sz val="10"/>
        <color theme="1"/>
        <rFont val="Calibri Light"/>
        <charset val="134"/>
      </rPr>
      <t>15%</t>
    </r>
    <r>
      <rPr>
        <sz val="10"/>
        <color theme="1"/>
        <rFont val="微软雅黑"/>
        <charset val="134"/>
      </rPr>
      <t>麻</t>
    </r>
    <r>
      <rPr>
        <sz val="10"/>
        <color theme="1"/>
        <rFont val="Calibri Light"/>
        <charset val="134"/>
      </rPr>
      <t xml:space="preserve"> 85%</t>
    </r>
    <r>
      <rPr>
        <sz val="10"/>
        <color theme="1"/>
        <rFont val="微软雅黑"/>
        <charset val="134"/>
      </rPr>
      <t>涤纶</t>
    </r>
  </si>
  <si>
    <t>85%POLY 15%LINEN</t>
  </si>
  <si>
    <t>L8118#</t>
  </si>
  <si>
    <t>SY25077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</si>
  <si>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微软雅黑"/>
        <charset val="134"/>
      </rPr>
      <t>亚麻</t>
    </r>
    <r>
      <rPr>
        <sz val="10"/>
        <color theme="1"/>
        <rFont val="Calibri Light"/>
        <charset val="134"/>
      </rPr>
      <t xml:space="preserve"> 90%</t>
    </r>
    <r>
      <rPr>
        <sz val="10"/>
        <color theme="1"/>
        <rFont val="微软雅黑"/>
        <charset val="134"/>
      </rPr>
      <t>涤纶</t>
    </r>
  </si>
  <si>
    <t>90%POLY 10%LINEN</t>
  </si>
  <si>
    <t>2478#+F179:F189</t>
  </si>
  <si>
    <t>SY25078</t>
  </si>
  <si>
    <t>63%粘纤 33%锦纶 4%氨纶</t>
  </si>
  <si>
    <t>63%R 33%N 4%SP</t>
  </si>
  <si>
    <t>2478#</t>
  </si>
  <si>
    <r>
      <rPr>
        <sz val="10"/>
        <color theme="1"/>
        <rFont val="宋体"/>
        <charset val="134"/>
      </rPr>
      <t>裕鑫纺织</t>
    </r>
  </si>
  <si>
    <r>
      <rPr>
        <sz val="10"/>
        <color theme="1"/>
        <rFont val="Calibri Light"/>
        <charset val="134"/>
      </rPr>
      <t>13</t>
    </r>
    <r>
      <rPr>
        <sz val="10"/>
        <color theme="1"/>
        <rFont val="宋体"/>
        <charset val="134"/>
      </rPr>
      <t>支平纹</t>
    </r>
  </si>
  <si>
    <t>SY25079</t>
  </si>
  <si>
    <r>
      <rPr>
        <sz val="10"/>
        <color theme="1"/>
        <rFont val="宋体"/>
        <charset val="134"/>
      </rPr>
      <t>68%人棉</t>
    </r>
    <r>
      <rPr>
        <sz val="10"/>
        <color theme="1"/>
        <rFont val="Calibri Light"/>
        <charset val="134"/>
      </rPr>
      <t xml:space="preserve"> 28%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</si>
  <si>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68%R 28%N 4%SP</t>
  </si>
  <si>
    <r>
      <rPr>
        <sz val="10"/>
        <color theme="1"/>
        <rFont val="宋体"/>
        <charset val="134"/>
      </rPr>
      <t>冰感平纹</t>
    </r>
  </si>
  <si>
    <t>SY25080</t>
  </si>
  <si>
    <r>
      <rPr>
        <sz val="10"/>
        <color theme="1"/>
        <rFont val="宋体"/>
        <charset val="134"/>
      </rPr>
      <t>65%人棉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</si>
  <si>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65%R 30%N 5%SP</t>
  </si>
  <si>
    <r>
      <rPr>
        <sz val="10"/>
        <color theme="1"/>
        <rFont val="宋体"/>
        <charset val="134"/>
      </rPr>
      <t>锦隆布业</t>
    </r>
  </si>
  <si>
    <t>2502#</t>
  </si>
  <si>
    <t>SY25081</t>
  </si>
  <si>
    <r>
      <rPr>
        <sz val="10"/>
        <color theme="1"/>
        <rFont val="宋体"/>
        <charset val="134"/>
      </rPr>
      <t>65%人棉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</si>
  <si>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65%R 32%N 3%SP</t>
  </si>
  <si>
    <r>
      <rPr>
        <sz val="10"/>
        <color theme="1"/>
        <rFont val="Calibri Light"/>
        <charset val="134"/>
      </rPr>
      <t>2183</t>
    </r>
    <r>
      <rPr>
        <sz val="10"/>
        <color theme="1"/>
        <rFont val="宋体"/>
        <charset val="134"/>
      </rPr>
      <t>天丝罗纹</t>
    </r>
  </si>
  <si>
    <t>SY25082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</si>
  <si>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</si>
  <si>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95%TEN 5%SP</t>
  </si>
  <si>
    <t>SY25083</t>
  </si>
  <si>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85%</t>
    </r>
    <r>
      <rPr>
        <sz val="10"/>
        <color theme="1"/>
        <rFont val="宋体"/>
        <charset val="134"/>
      </rPr>
      <t>兰精天丝</t>
    </r>
  </si>
  <si>
    <t>15%T 85%TEL</t>
  </si>
  <si>
    <r>
      <rPr>
        <sz val="10"/>
        <color theme="1"/>
        <rFont val="宋体"/>
        <charset val="134"/>
      </rPr>
      <t>柏利</t>
    </r>
    <r>
      <rPr>
        <sz val="10"/>
        <color theme="1"/>
        <rFont val="Calibri Light"/>
        <charset val="134"/>
      </rPr>
      <t>BAILI</t>
    </r>
  </si>
  <si>
    <r>
      <rPr>
        <sz val="10"/>
        <color theme="1"/>
        <rFont val="宋体"/>
        <charset val="134"/>
      </rPr>
      <t>天丝人棉醋酸</t>
    </r>
  </si>
  <si>
    <t>5-1</t>
  </si>
  <si>
    <t>SY25084</t>
  </si>
  <si>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58%</t>
    </r>
    <r>
      <rPr>
        <sz val="10"/>
        <color theme="1"/>
        <rFont val="宋体"/>
        <charset val="134"/>
      </rPr>
      <t>莱赛尔纤维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醋酸</t>
    </r>
  </si>
  <si>
    <t>17%T 58%LC 25%AC</t>
  </si>
  <si>
    <r>
      <rPr>
        <sz val="10"/>
        <color theme="1"/>
        <rFont val="Calibri Light"/>
        <charset val="134"/>
      </rPr>
      <t>#2980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H2025405C</t>
    </r>
  </si>
  <si>
    <t>SY25085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</si>
  <si>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</si>
  <si>
    <t>85%R 15%N</t>
  </si>
  <si>
    <t>TX25177</t>
  </si>
  <si>
    <t>SY25086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</si>
  <si>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尼龙</t>
    </r>
  </si>
  <si>
    <t>65%R 35%N</t>
  </si>
  <si>
    <t>TX3158</t>
  </si>
  <si>
    <t>SY25087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</si>
  <si>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31%</t>
    </r>
    <r>
      <rPr>
        <sz val="10"/>
        <color theme="1"/>
        <rFont val="宋体"/>
        <charset val="134"/>
      </rPr>
      <t>尼龙</t>
    </r>
  </si>
  <si>
    <t>57%TEL 12%AC 31%N</t>
  </si>
  <si>
    <t>TX3118</t>
  </si>
  <si>
    <t>SY25088</t>
  </si>
  <si>
    <r>
      <rPr>
        <sz val="10"/>
        <color theme="1"/>
        <rFont val="Calibri Light"/>
        <charset val="134"/>
      </rPr>
      <t>87%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1%</t>
    </r>
    <r>
      <rPr>
        <sz val="10"/>
        <color theme="1"/>
        <rFont val="宋体"/>
        <charset val="134"/>
      </rPr>
      <t>氨纶</t>
    </r>
  </si>
  <si>
    <t>87%TEL 12%T 1%SP</t>
  </si>
  <si>
    <t>TX2119</t>
  </si>
  <si>
    <t>SY25089</t>
  </si>
  <si>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66%</t>
    </r>
    <r>
      <rPr>
        <sz val="10"/>
        <color theme="1"/>
        <rFont val="宋体"/>
        <charset val="134"/>
      </rPr>
      <t>人棉</t>
    </r>
  </si>
  <si>
    <t>34%T 66%R</t>
  </si>
  <si>
    <t>TX3001#</t>
  </si>
  <si>
    <t>SY25090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</si>
  <si>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尼龙</t>
    </r>
  </si>
  <si>
    <t>75%R 7%L 18%N</t>
  </si>
  <si>
    <t>TX25092</t>
  </si>
  <si>
    <t>SY25091</t>
  </si>
  <si>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 25%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人棉</t>
    </r>
  </si>
  <si>
    <t>25%AC  25%N 50%R</t>
  </si>
  <si>
    <t>TX25021</t>
  </si>
  <si>
    <t>SY25092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</si>
  <si>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涤纶</t>
    </r>
  </si>
  <si>
    <t>85%R 15%T</t>
  </si>
  <si>
    <t>SY25093</t>
  </si>
  <si>
    <t>SY25094</t>
  </si>
  <si>
    <t>SY25095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</si>
  <si>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</si>
  <si>
    <t>55%T 45%R</t>
  </si>
  <si>
    <t>A28756</t>
  </si>
  <si>
    <t>SY25096</t>
  </si>
  <si>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58%</t>
    </r>
    <r>
      <rPr>
        <sz val="10"/>
        <color theme="1"/>
        <rFont val="宋体"/>
        <charset val="134"/>
      </rPr>
      <t>莱赛尔纤维</t>
    </r>
  </si>
  <si>
    <t>17%T 25%AC 58%LC</t>
  </si>
  <si>
    <t>SY25097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</si>
  <si>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粘纤</t>
    </r>
    <r>
      <rPr>
        <sz val="10"/>
        <color theme="1"/>
        <rFont val="Calibri Light"/>
        <charset val="134"/>
      </rPr>
      <t xml:space="preserve">  19%</t>
    </r>
    <r>
      <rPr>
        <sz val="10"/>
        <color theme="1"/>
        <rFont val="宋体"/>
        <charset val="134"/>
      </rPr>
      <t>亚麻</t>
    </r>
  </si>
  <si>
    <t>81%V  19%L</t>
  </si>
  <si>
    <r>
      <rPr>
        <sz val="10"/>
        <color theme="1"/>
        <rFont val="宋体"/>
        <charset val="134"/>
      </rPr>
      <t>天然麻类</t>
    </r>
  </si>
  <si>
    <t>4-3</t>
  </si>
  <si>
    <t>SY25098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</si>
  <si>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38%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亚麻</t>
    </r>
  </si>
  <si>
    <t>47%LC 38%R 9%N 6%L</t>
  </si>
  <si>
    <t>4-1</t>
  </si>
  <si>
    <t>SY25099</t>
  </si>
  <si>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79%</t>
    </r>
    <r>
      <rPr>
        <sz val="10"/>
        <color theme="1"/>
        <rFont val="宋体"/>
        <charset val="134"/>
      </rPr>
      <t>天丝</t>
    </r>
  </si>
  <si>
    <t>21%L 79%TEN</t>
  </si>
  <si>
    <t>SY25100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</si>
  <si>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亚麻</t>
    </r>
  </si>
  <si>
    <t>80%TEL 20%L</t>
  </si>
  <si>
    <t>SY25101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</si>
  <si>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黏胶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涤纶</t>
    </r>
  </si>
  <si>
    <t>30%L 20%V 50%T</t>
  </si>
  <si>
    <t>*</t>
  </si>
  <si>
    <t>4-2</t>
  </si>
  <si>
    <t>SY25102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</si>
  <si>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亚麻</t>
    </r>
  </si>
  <si>
    <t>85%R 10%T 5%L</t>
  </si>
  <si>
    <t>SY25103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</si>
  <si>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麻</t>
    </r>
  </si>
  <si>
    <t>94%C 6%L</t>
  </si>
  <si>
    <t>SY25104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</si>
  <si>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43%</t>
    </r>
    <r>
      <rPr>
        <sz val="10"/>
        <color theme="1"/>
        <rFont val="宋体"/>
        <charset val="134"/>
      </rPr>
      <t>棉</t>
    </r>
  </si>
  <si>
    <t>50%TEL 43%C</t>
  </si>
  <si>
    <t>SY25105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</si>
  <si>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麻</t>
    </r>
  </si>
  <si>
    <t>75%R 15%N 10%L</t>
  </si>
  <si>
    <t>SY25106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</si>
  <si>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65%</t>
    </r>
    <r>
      <rPr>
        <sz val="10"/>
        <color theme="1"/>
        <rFont val="宋体"/>
        <charset val="134"/>
      </rPr>
      <t>天丝</t>
    </r>
  </si>
  <si>
    <t>35%L 65%TEL</t>
  </si>
  <si>
    <t>SY25107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</si>
  <si>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仿棉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麻</t>
    </r>
  </si>
  <si>
    <t>94%R 6%L</t>
  </si>
  <si>
    <t>SY25108</t>
  </si>
  <si>
    <r>
      <rPr>
        <sz val="10"/>
        <color theme="1"/>
        <rFont val="Calibri Light"/>
        <charset val="134"/>
      </rPr>
      <t>52%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43%</t>
    </r>
    <r>
      <rPr>
        <sz val="10"/>
        <color theme="1"/>
        <rFont val="宋体"/>
        <charset val="134"/>
      </rPr>
      <t>锦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麻</t>
    </r>
  </si>
  <si>
    <t>52%TEL 43%N 5%L</t>
  </si>
  <si>
    <t>SY25110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</si>
  <si>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亚麻</t>
    </r>
  </si>
  <si>
    <t>70%TEL 30%L</t>
  </si>
  <si>
    <t>H1294</t>
  </si>
  <si>
    <t>SY25111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</si>
  <si>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麻</t>
    </r>
  </si>
  <si>
    <t>H1240</t>
  </si>
  <si>
    <t>SY25112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</si>
  <si>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麻</t>
    </r>
  </si>
  <si>
    <t>70%TEL 15%T 15%L</t>
  </si>
  <si>
    <t>H1351</t>
  </si>
  <si>
    <t>SY25113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</si>
  <si>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82%</t>
    </r>
    <r>
      <rPr>
        <sz val="10"/>
        <color theme="1"/>
        <rFont val="宋体"/>
        <charset val="134"/>
      </rPr>
      <t>天丝</t>
    </r>
  </si>
  <si>
    <t>10%T 8%L 82%TEL</t>
  </si>
  <si>
    <t>2972/H2025803HF</t>
  </si>
  <si>
    <t>2-4</t>
  </si>
  <si>
    <t>SY25114</t>
  </si>
  <si>
    <r>
      <rPr>
        <sz val="10"/>
        <color theme="1"/>
        <rFont val="Calibri Light"/>
        <charset val="134"/>
      </rPr>
      <t>12%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28%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</si>
  <si>
    <t>12%L 28%R 15%T 45%R</t>
  </si>
  <si>
    <t>TX-92092</t>
  </si>
  <si>
    <r>
      <rPr>
        <sz val="10"/>
        <color theme="1"/>
        <rFont val="宋体"/>
        <charset val="134"/>
      </rPr>
      <t>腾翔纺织</t>
    </r>
  </si>
  <si>
    <t>SY25115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</si>
  <si>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26%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亚麻</t>
    </r>
  </si>
  <si>
    <t>50%R 26%R 24%L</t>
  </si>
  <si>
    <t>25012#</t>
  </si>
  <si>
    <r>
      <rPr>
        <sz val="10"/>
        <color theme="1"/>
        <rFont val="宋体"/>
        <charset val="134"/>
      </rPr>
      <t>万美纺织</t>
    </r>
  </si>
  <si>
    <t>SY25117</t>
  </si>
  <si>
    <r>
      <rPr>
        <sz val="10"/>
        <color theme="1"/>
        <rFont val="Calibri Light"/>
        <charset val="134"/>
      </rPr>
      <t>26%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74%</t>
    </r>
    <r>
      <rPr>
        <sz val="10"/>
        <color theme="1"/>
        <rFont val="宋体"/>
        <charset val="134"/>
      </rPr>
      <t>涤纶</t>
    </r>
  </si>
  <si>
    <t>26%N 74%T</t>
  </si>
  <si>
    <r>
      <rPr>
        <sz val="10"/>
        <color theme="1"/>
        <rFont val="宋体"/>
        <charset val="134"/>
      </rPr>
      <t>轩辰纺织</t>
    </r>
  </si>
  <si>
    <t>SY25118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</si>
  <si>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90%</t>
    </r>
    <r>
      <rPr>
        <sz val="10"/>
        <color theme="1"/>
        <rFont val="宋体"/>
        <charset val="134"/>
      </rPr>
      <t>涤纶</t>
    </r>
  </si>
  <si>
    <t>10%N 90%T</t>
  </si>
  <si>
    <t>100319-2</t>
  </si>
  <si>
    <t>SY25119</t>
  </si>
  <si>
    <t>30%N 70%T</t>
  </si>
  <si>
    <t>SY25120</t>
  </si>
  <si>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80%</t>
    </r>
    <r>
      <rPr>
        <sz val="10"/>
        <color theme="1"/>
        <rFont val="宋体"/>
        <charset val="134"/>
      </rPr>
      <t>涤纶</t>
    </r>
  </si>
  <si>
    <t>20%N 80%T</t>
  </si>
  <si>
    <t>SY25121</t>
  </si>
  <si>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75%</t>
    </r>
    <r>
      <rPr>
        <sz val="10"/>
        <color theme="1"/>
        <rFont val="宋体"/>
        <charset val="134"/>
      </rPr>
      <t>涤纶</t>
    </r>
  </si>
  <si>
    <t>25%N 75%T</t>
  </si>
  <si>
    <t>SY25122</t>
  </si>
  <si>
    <t>SY25123</t>
  </si>
  <si>
    <r>
      <rPr>
        <sz val="10"/>
        <color theme="1"/>
        <rFont val="Calibri Light"/>
        <charset val="134"/>
      </rPr>
      <t>#3007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H2025408DF</t>
    </r>
  </si>
  <si>
    <t>SY25124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</si>
  <si>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人棉</t>
    </r>
  </si>
  <si>
    <t>10%N 20%T 70%R</t>
  </si>
  <si>
    <t>9121-2</t>
  </si>
  <si>
    <t>SY25125</t>
  </si>
  <si>
    <r>
      <rPr>
        <sz val="10"/>
        <color theme="1"/>
        <rFont val="Calibri Light"/>
        <charset val="134"/>
      </rPr>
      <t>12.5%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3.3%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28.5</t>
    </r>
    <r>
      <rPr>
        <sz val="10"/>
        <color theme="1"/>
        <rFont val="宋体"/>
        <charset val="134"/>
      </rPr>
      <t>莱赛尔</t>
    </r>
  </si>
  <si>
    <t>12.5%V 55%R 3.3%L 28.5LC</t>
  </si>
  <si>
    <r>
      <rPr>
        <sz val="10"/>
        <color theme="1"/>
        <rFont val="Calibri Light"/>
        <charset val="134"/>
      </rPr>
      <t>2025/8/22</t>
    </r>
    <r>
      <rPr>
        <sz val="10"/>
        <color theme="1"/>
        <rFont val="宋体"/>
        <charset val="134"/>
      </rPr>
      <t>从版房拿出寄</t>
    </r>
    <r>
      <rPr>
        <sz val="10"/>
        <color theme="1"/>
        <rFont val="Calibri Light"/>
        <charset val="134"/>
      </rPr>
      <t>GFG</t>
    </r>
  </si>
  <si>
    <t>SY25126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</si>
  <si>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14%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39%</t>
    </r>
    <r>
      <rPr>
        <sz val="10"/>
        <color theme="1"/>
        <rFont val="宋体"/>
        <charset val="134"/>
      </rPr>
      <t>棉</t>
    </r>
  </si>
  <si>
    <t>47%R 14%N 39%C</t>
  </si>
  <si>
    <t>2-2</t>
  </si>
  <si>
    <t>SY25127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</si>
  <si>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棉</t>
    </r>
  </si>
  <si>
    <t>60%TEL 40%C</t>
  </si>
  <si>
    <t>3-2</t>
  </si>
  <si>
    <t>SY25128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</si>
  <si>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</si>
  <si>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66%T 18%R 9%TEL 7%SP</t>
  </si>
  <si>
    <r>
      <rPr>
        <sz val="10"/>
        <color theme="1"/>
        <rFont val="宋体"/>
        <charset val="134"/>
      </rPr>
      <t>涤粘混纺</t>
    </r>
  </si>
  <si>
    <t>5-3</t>
  </si>
  <si>
    <t>SY25130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</si>
  <si>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11%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</si>
  <si>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65%T 11%R 17%TEL 7%SP</t>
  </si>
  <si>
    <t>SY25131</t>
  </si>
  <si>
    <r>
      <rPr>
        <sz val="10"/>
        <color theme="1"/>
        <rFont val="Calibri Light"/>
        <charset val="134"/>
      </rPr>
      <t>53%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47%</t>
    </r>
    <r>
      <rPr>
        <sz val="10"/>
        <color theme="1"/>
        <rFont val="宋体"/>
        <charset val="134"/>
      </rPr>
      <t>复合纤维</t>
    </r>
  </si>
  <si>
    <r>
      <rPr>
        <sz val="10"/>
        <color theme="1"/>
        <rFont val="Calibri Light"/>
        <charset val="134"/>
      </rPr>
      <t>53%T 47%</t>
    </r>
    <r>
      <rPr>
        <sz val="10"/>
        <color theme="1"/>
        <rFont val="宋体"/>
        <charset val="134"/>
      </rPr>
      <t>复合纤维</t>
    </r>
  </si>
  <si>
    <t>2580#</t>
  </si>
  <si>
    <t>SY25132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</si>
  <si>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尼龙</t>
    </r>
  </si>
  <si>
    <t>75%C 25%N</t>
  </si>
  <si>
    <t>梭织布</t>
  </si>
  <si>
    <t>SY25133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</si>
  <si>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涤纶</t>
    </r>
  </si>
  <si>
    <t>80%C 20%T</t>
  </si>
  <si>
    <t>2-5</t>
  </si>
  <si>
    <t>SY25134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</si>
  <si>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粘胶</t>
    </r>
  </si>
  <si>
    <t>63%TEL 32%R 5%V</t>
  </si>
  <si>
    <t>SY25135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</si>
  <si>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</si>
  <si>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62%T 33%R 5%SP</t>
  </si>
  <si>
    <t>SY25136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</si>
  <si>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莱赛尔</t>
    </r>
  </si>
  <si>
    <t>100%LC</t>
  </si>
  <si>
    <t>SY25137</t>
  </si>
  <si>
    <r>
      <rPr>
        <sz val="10"/>
        <color theme="1"/>
        <rFont val="Calibri Light"/>
        <charset val="134"/>
      </rPr>
      <t>71%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29%</t>
    </r>
    <r>
      <rPr>
        <sz val="10"/>
        <color theme="1"/>
        <rFont val="宋体"/>
        <charset val="134"/>
      </rPr>
      <t>尼龙</t>
    </r>
  </si>
  <si>
    <t>71%TEL 29%N</t>
  </si>
  <si>
    <t>SY25138</t>
  </si>
  <si>
    <r>
      <rPr>
        <sz val="10"/>
        <color theme="1"/>
        <rFont val="Calibri Light"/>
        <charset val="134"/>
      </rPr>
      <t>73%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27%</t>
    </r>
    <r>
      <rPr>
        <sz val="10"/>
        <color theme="1"/>
        <rFont val="宋体"/>
        <charset val="134"/>
      </rPr>
      <t>尼龙</t>
    </r>
  </si>
  <si>
    <t>73%C 27%N</t>
  </si>
  <si>
    <t>SY25139</t>
  </si>
  <si>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73%</t>
    </r>
    <r>
      <rPr>
        <sz val="10"/>
        <color theme="1"/>
        <rFont val="宋体"/>
        <charset val="134"/>
      </rPr>
      <t>涤纶</t>
    </r>
  </si>
  <si>
    <t>7%W 20%R 73%T</t>
  </si>
  <si>
    <r>
      <rPr>
        <sz val="10"/>
        <color theme="1"/>
        <rFont val="Calibri Light"/>
        <charset val="134"/>
      </rPr>
      <t>D2417#</t>
    </r>
    <r>
      <rPr>
        <sz val="10"/>
        <color theme="1"/>
        <rFont val="微软雅黑"/>
        <charset val="134"/>
      </rPr>
      <t>韩国爽棉</t>
    </r>
  </si>
  <si>
    <t>SY25140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</si>
  <si>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氨纶</t>
    </r>
  </si>
  <si>
    <t>93%R 7%SP</t>
  </si>
  <si>
    <r>
      <rPr>
        <sz val="10"/>
        <color theme="1"/>
        <rFont val="宋体"/>
        <charset val="134"/>
      </rPr>
      <t>鸿伟布行</t>
    </r>
  </si>
  <si>
    <t>SY25147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</si>
  <si>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48%</t>
    </r>
    <r>
      <rPr>
        <sz val="10"/>
        <color theme="1"/>
        <rFont val="宋体"/>
        <charset val="134"/>
      </rPr>
      <t>聚乙烯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</si>
  <si>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50%C 48%PE 2%SP</t>
  </si>
  <si>
    <t>SY25148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</si>
  <si>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65%</t>
    </r>
    <r>
      <rPr>
        <sz val="10"/>
        <color theme="1"/>
        <rFont val="宋体"/>
        <charset val="134"/>
      </rPr>
      <t>聚乙烯</t>
    </r>
  </si>
  <si>
    <t>35%C 65%PE</t>
  </si>
  <si>
    <t>SY25152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</si>
  <si>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</si>
  <si>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70%T 25%C 5%SP</t>
  </si>
  <si>
    <t>A8205</t>
  </si>
  <si>
    <t>SY25153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</si>
  <si>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亚麻</t>
    </r>
  </si>
  <si>
    <t>93%T 7%L</t>
  </si>
  <si>
    <t>8318#</t>
  </si>
  <si>
    <r>
      <rPr>
        <sz val="10"/>
        <color theme="1"/>
        <rFont val="宋体"/>
        <charset val="134"/>
      </rPr>
      <t>布布高</t>
    </r>
  </si>
  <si>
    <t>SY25154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</si>
  <si>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氨纶</t>
    </r>
  </si>
  <si>
    <t>45%R 47%T 8%SP</t>
  </si>
  <si>
    <t>D903</t>
  </si>
  <si>
    <t>SY25155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</si>
  <si>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锦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</si>
  <si>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45%T 45%R 8%N 2%SP</t>
  </si>
  <si>
    <t>TX6205</t>
  </si>
  <si>
    <r>
      <rPr>
        <sz val="10"/>
        <color theme="1"/>
        <rFont val="宋体"/>
        <charset val="134"/>
      </rPr>
      <t>滕翔纺织</t>
    </r>
  </si>
  <si>
    <t>SY25156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</si>
  <si>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锦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</si>
  <si>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40%T 45%R 12%N 3%SP</t>
  </si>
  <si>
    <t>TX2101-A</t>
  </si>
  <si>
    <t>SY25157</t>
  </si>
  <si>
    <r>
      <rPr>
        <sz val="10"/>
        <color theme="1"/>
        <rFont val="Calibri Light"/>
        <charset val="134"/>
      </rPr>
      <t>86%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</si>
  <si>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86%T 10%R 4%SP</t>
  </si>
  <si>
    <t>SY25158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</si>
  <si>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锦</t>
    </r>
  </si>
  <si>
    <t>68%T 10%R 22%N</t>
  </si>
  <si>
    <t>822#</t>
  </si>
  <si>
    <t>SY25159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</si>
  <si>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</si>
  <si>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63%POLY 30%R 7%SP</t>
  </si>
  <si>
    <r>
      <rPr>
        <sz val="10"/>
        <color theme="1"/>
        <rFont val="宋体"/>
        <charset val="134"/>
      </rPr>
      <t>浩盛纺织</t>
    </r>
  </si>
  <si>
    <t>SY25160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</si>
  <si>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天丝</t>
    </r>
  </si>
  <si>
    <t>65%C 35%TEL</t>
  </si>
  <si>
    <r>
      <rPr>
        <sz val="10"/>
        <color theme="1"/>
        <rFont val="Calibri Light"/>
        <charset val="134"/>
      </rPr>
      <t>K1067#</t>
    </r>
    <r>
      <rPr>
        <sz val="10"/>
        <color theme="1"/>
        <rFont val="宋体"/>
        <charset val="134"/>
      </rPr>
      <t>天丝棉</t>
    </r>
  </si>
  <si>
    <t>SY25161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</si>
  <si>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麻</t>
    </r>
  </si>
  <si>
    <t>82%C 18%L</t>
  </si>
  <si>
    <r>
      <rPr>
        <sz val="10"/>
        <color theme="1"/>
        <rFont val="Calibri Light"/>
        <charset val="134"/>
      </rPr>
      <t>K1069#</t>
    </r>
    <r>
      <rPr>
        <sz val="10"/>
        <color theme="1"/>
        <rFont val="宋体"/>
        <charset val="134"/>
      </rPr>
      <t>棉麻</t>
    </r>
  </si>
  <si>
    <t>SY25162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</si>
  <si>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27%</t>
    </r>
    <r>
      <rPr>
        <sz val="10"/>
        <color theme="1"/>
        <rFont val="宋体"/>
        <charset val="134"/>
      </rPr>
      <t>尼龙</t>
    </r>
  </si>
  <si>
    <t>67%R 6%L 27%N</t>
  </si>
  <si>
    <t>155#</t>
  </si>
  <si>
    <t>SY25163</t>
  </si>
  <si>
    <r>
      <rPr>
        <sz val="10"/>
        <color theme="1"/>
        <rFont val="Calibri Light"/>
        <charset val="134"/>
      </rPr>
      <t>45.7%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40.8%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12.5%</t>
    </r>
    <r>
      <rPr>
        <sz val="10"/>
        <color theme="1"/>
        <rFont val="宋体"/>
        <charset val="134"/>
      </rPr>
      <t>亚麻</t>
    </r>
  </si>
  <si>
    <t>45.7%R 40.8%T 12.5%L</t>
  </si>
  <si>
    <t>171#</t>
  </si>
  <si>
    <t>SY25164</t>
  </si>
  <si>
    <r>
      <rPr>
        <sz val="10"/>
        <color theme="1"/>
        <rFont val="Calibri Light"/>
        <charset val="134"/>
      </rPr>
      <t>77%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尼龙</t>
    </r>
  </si>
  <si>
    <t>77%R 9%T 6%L 8%N</t>
  </si>
  <si>
    <t>987#</t>
  </si>
  <si>
    <t>SY25165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</si>
  <si>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亚麻</t>
    </r>
  </si>
  <si>
    <t>40%N 50%R 10%L</t>
  </si>
  <si>
    <t>183#</t>
  </si>
  <si>
    <t>SY25166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</si>
  <si>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亚麻</t>
    </r>
  </si>
  <si>
    <t>45%R 45%TEL 5%N 5%L</t>
  </si>
  <si>
    <t>190#</t>
  </si>
  <si>
    <t>SY25167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</si>
  <si>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亚麻</t>
    </r>
  </si>
  <si>
    <t>56%R 35%T 9%L</t>
  </si>
  <si>
    <t>998#</t>
  </si>
  <si>
    <t>SY25168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</si>
  <si>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聚乙烯</t>
    </r>
  </si>
  <si>
    <t>78%LC 22%PE</t>
  </si>
  <si>
    <t>45056S</t>
  </si>
  <si>
    <t>SY25169</t>
  </si>
  <si>
    <r>
      <rPr>
        <sz val="10"/>
        <color theme="1"/>
        <rFont val="Calibri Light"/>
        <charset val="134"/>
      </rPr>
      <t>36%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65%</t>
    </r>
    <r>
      <rPr>
        <sz val="10"/>
        <color theme="1"/>
        <rFont val="宋体"/>
        <charset val="134"/>
      </rPr>
      <t>聚乙烯</t>
    </r>
  </si>
  <si>
    <t>36%R 65%PE</t>
  </si>
  <si>
    <t>311001Y</t>
  </si>
  <si>
    <t>SY25170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</si>
  <si>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聚乙烯</t>
    </r>
    <r>
      <rPr>
        <sz val="10"/>
        <color theme="1"/>
        <rFont val="Calibri Light"/>
        <charset val="134"/>
      </rPr>
      <t xml:space="preserve"> 19%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</si>
  <si>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76%PE 19%V 5%SP</t>
  </si>
  <si>
    <t>SY25171</t>
  </si>
  <si>
    <r>
      <rPr>
        <sz val="10"/>
        <color theme="1"/>
        <rFont val="Calibri Light"/>
        <charset val="134"/>
      </rPr>
      <t>37%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氨纶</t>
    </r>
  </si>
  <si>
    <t>37%MD 55%T 8%SP</t>
  </si>
  <si>
    <t>ZY60199</t>
  </si>
  <si>
    <r>
      <rPr>
        <sz val="10"/>
        <color theme="1"/>
        <rFont val="宋体"/>
        <charset val="134"/>
      </rPr>
      <t>哲宇纺织</t>
    </r>
  </si>
  <si>
    <t>SY25174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</si>
  <si>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尼龙</t>
    </r>
  </si>
  <si>
    <t>90%TEL 10%N</t>
  </si>
  <si>
    <t>58“</t>
  </si>
  <si>
    <t>9666-35</t>
  </si>
  <si>
    <t>SY25175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</si>
  <si>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醋酸</t>
    </r>
  </si>
  <si>
    <t>64%TEL 20%N 16%AC</t>
  </si>
  <si>
    <t>9666-38</t>
  </si>
  <si>
    <t>SY25176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</si>
  <si>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尼龙</t>
    </r>
  </si>
  <si>
    <t>60%R 40%N</t>
  </si>
  <si>
    <t>9666-36</t>
  </si>
  <si>
    <t>SY25177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</si>
  <si>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</si>
  <si>
    <t>9666-39</t>
  </si>
  <si>
    <t>SY25178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</si>
  <si>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</si>
  <si>
    <t>85%AC 15%N</t>
  </si>
  <si>
    <t>V-095</t>
  </si>
  <si>
    <r>
      <rPr>
        <sz val="10"/>
        <color theme="1"/>
        <rFont val="宋体"/>
        <charset val="134"/>
      </rPr>
      <t>哈哈纺织</t>
    </r>
  </si>
  <si>
    <t>SY25179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</si>
  <si>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尼龙</t>
    </r>
  </si>
  <si>
    <t>70%TEL 30%N</t>
  </si>
  <si>
    <t>HA30326</t>
  </si>
  <si>
    <t>SY25180</t>
  </si>
  <si>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82%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1%</t>
    </r>
    <r>
      <rPr>
        <sz val="10"/>
        <color theme="1"/>
        <rFont val="宋体"/>
        <charset val="134"/>
      </rPr>
      <t>氨纶</t>
    </r>
  </si>
  <si>
    <t>17%N 82%TEL 1%SP</t>
  </si>
  <si>
    <t>KS8253</t>
  </si>
  <si>
    <t>SY25181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</si>
  <si>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</si>
  <si>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50%AC 45%T 5%SP</t>
  </si>
  <si>
    <r>
      <rPr>
        <sz val="10"/>
        <color theme="1"/>
        <rFont val="宋体"/>
        <charset val="134"/>
      </rPr>
      <t>华达纺织</t>
    </r>
  </si>
  <si>
    <t>SY25182</t>
  </si>
  <si>
    <r>
      <rPr>
        <sz val="10"/>
        <color theme="1"/>
        <rFont val="Calibri Light"/>
        <charset val="134"/>
      </rPr>
      <t>51%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49%</t>
    </r>
    <r>
      <rPr>
        <sz val="10"/>
        <color theme="1"/>
        <rFont val="宋体"/>
        <charset val="134"/>
      </rPr>
      <t>涤纶</t>
    </r>
  </si>
  <si>
    <t>51%AC 49%T</t>
  </si>
  <si>
    <t>SY25183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</si>
  <si>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腈纶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涤纶</t>
    </r>
  </si>
  <si>
    <t>45%V 30%A 25%T</t>
  </si>
  <si>
    <t>SY25184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</si>
  <si>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人棉</t>
    </r>
  </si>
  <si>
    <t>60%T 40%R</t>
  </si>
  <si>
    <t>SY25185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</si>
  <si>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</si>
  <si>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79%T 19%R 2%SP</t>
  </si>
  <si>
    <t>SY25186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</si>
  <si>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13%</t>
    </r>
    <r>
      <rPr>
        <sz val="10"/>
        <color theme="1"/>
        <rFont val="宋体"/>
        <charset val="134"/>
      </rPr>
      <t>涤纶</t>
    </r>
  </si>
  <si>
    <t>65%V 22%N 13%T</t>
  </si>
  <si>
    <t>A357-66</t>
  </si>
  <si>
    <t>SY25188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</si>
  <si>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麻</t>
    </r>
  </si>
  <si>
    <t>70%TEL 22%R 8%L</t>
  </si>
  <si>
    <t>A578-78</t>
  </si>
  <si>
    <t>SY25189</t>
  </si>
  <si>
    <r>
      <rPr>
        <sz val="10"/>
        <color theme="1"/>
        <rFont val="Calibri Light"/>
        <charset val="134"/>
      </rPr>
      <t>73%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莱赛尔</t>
    </r>
  </si>
  <si>
    <t>73%R 22%N 5%LC</t>
  </si>
  <si>
    <t>A2508-15</t>
  </si>
  <si>
    <t>SY25190</t>
  </si>
  <si>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 xml:space="preserve"> 19%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75%</t>
    </r>
    <r>
      <rPr>
        <sz val="10"/>
        <color theme="1"/>
        <rFont val="宋体"/>
        <charset val="134"/>
      </rPr>
      <t>尼龙</t>
    </r>
  </si>
  <si>
    <t>6%W 19%V 75%N</t>
  </si>
  <si>
    <t>A2075-29</t>
  </si>
  <si>
    <t>SY25191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</si>
  <si>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</si>
  <si>
    <t>85%C 15%N</t>
  </si>
  <si>
    <t>A2035-9</t>
  </si>
  <si>
    <t>SY25192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</si>
  <si>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65%</t>
    </r>
    <r>
      <rPr>
        <sz val="10"/>
        <color theme="1"/>
        <rFont val="宋体"/>
        <charset val="134"/>
      </rPr>
      <t>棉</t>
    </r>
  </si>
  <si>
    <t>35%T 65%C</t>
  </si>
  <si>
    <t>SY25193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</si>
  <si>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17%</t>
    </r>
    <r>
      <rPr>
        <sz val="10"/>
        <color theme="1"/>
        <rFont val="宋体"/>
        <charset val="134"/>
      </rPr>
      <t>尼龙</t>
    </r>
  </si>
  <si>
    <t>83%AC 17%N</t>
  </si>
  <si>
    <t>TX25100</t>
  </si>
  <si>
    <t>SY25194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</si>
  <si>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尼龙</t>
    </r>
  </si>
  <si>
    <t>70%T 30%N</t>
  </si>
  <si>
    <t>#2322</t>
  </si>
  <si>
    <t>SY25195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</si>
  <si>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38%</t>
    </r>
    <r>
      <rPr>
        <sz val="10"/>
        <color theme="1"/>
        <rFont val="宋体"/>
        <charset val="134"/>
      </rPr>
      <t>尼龙</t>
    </r>
  </si>
  <si>
    <t>62%T 38%N</t>
  </si>
  <si>
    <t>#2479</t>
  </si>
  <si>
    <t>SY25197</t>
  </si>
  <si>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92%</t>
    </r>
    <r>
      <rPr>
        <sz val="10"/>
        <color theme="1"/>
        <rFont val="宋体"/>
        <charset val="134"/>
      </rPr>
      <t>沾纤维素</t>
    </r>
  </si>
  <si>
    <t>8%N 92%V</t>
  </si>
  <si>
    <t>#2737</t>
  </si>
  <si>
    <t>SY25198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</si>
  <si>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 xml:space="preserve"> 48%</t>
    </r>
    <r>
      <rPr>
        <sz val="10"/>
        <color theme="1"/>
        <rFont val="宋体"/>
        <charset val="134"/>
      </rPr>
      <t>涤纶</t>
    </r>
  </si>
  <si>
    <t>45%R 7%W 48%T</t>
  </si>
  <si>
    <t>H1303</t>
  </si>
  <si>
    <t>5-4</t>
  </si>
  <si>
    <t>SY25199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</si>
  <si>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尼龙</t>
    </r>
  </si>
  <si>
    <t>84%AC 16%N</t>
  </si>
  <si>
    <t>C1003</t>
  </si>
  <si>
    <t>SY25200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</si>
  <si>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</si>
  <si>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70%T 27%R 3%SP</t>
  </si>
  <si>
    <r>
      <rPr>
        <sz val="10"/>
        <color theme="1"/>
        <rFont val="宋体"/>
        <charset val="134"/>
      </rPr>
      <t>条纹类</t>
    </r>
  </si>
  <si>
    <t>8-2</t>
  </si>
  <si>
    <t>SY25201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</si>
  <si>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</si>
  <si>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85%T 12%R 3%SP</t>
  </si>
  <si>
    <t>HG0262</t>
  </si>
  <si>
    <r>
      <rPr>
        <sz val="10"/>
        <color theme="1"/>
        <rFont val="宋体"/>
        <charset val="134"/>
      </rPr>
      <t>厚格</t>
    </r>
  </si>
  <si>
    <t>SY25202</t>
  </si>
  <si>
    <t>HG0620</t>
  </si>
  <si>
    <t>SY25203</t>
  </si>
  <si>
    <t>HG0274</t>
  </si>
  <si>
    <t>SY25204</t>
  </si>
  <si>
    <t>HG17304</t>
  </si>
  <si>
    <t>SY25205</t>
  </si>
  <si>
    <t>HG0455</t>
  </si>
  <si>
    <t>SY25208</t>
  </si>
  <si>
    <t>HG0318</t>
  </si>
  <si>
    <t>SY25211</t>
  </si>
  <si>
    <t>HG0520</t>
  </si>
  <si>
    <t>SY25212</t>
  </si>
  <si>
    <t>HG0540</t>
  </si>
  <si>
    <t>SY25213</t>
  </si>
  <si>
    <t>HG0541</t>
  </si>
  <si>
    <t>SY25214</t>
  </si>
  <si>
    <t>HG0134</t>
  </si>
  <si>
    <t>SY25215</t>
  </si>
  <si>
    <t>HG0275</t>
  </si>
  <si>
    <t>SY25217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</si>
  <si>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</si>
  <si>
    <t>80%T 20%R</t>
  </si>
  <si>
    <t>HG0201</t>
  </si>
  <si>
    <t>SY25219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</si>
  <si>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</si>
  <si>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88%T 5%AC 7%SP</t>
  </si>
  <si>
    <t>75-A26944</t>
  </si>
  <si>
    <r>
      <rPr>
        <sz val="10"/>
        <color theme="1"/>
        <rFont val="宋体"/>
        <charset val="134"/>
      </rPr>
      <t>维美</t>
    </r>
  </si>
  <si>
    <t>5-2</t>
  </si>
  <si>
    <t>SY25220</t>
  </si>
  <si>
    <r>
      <rPr>
        <sz val="10"/>
        <color theme="1"/>
        <rFont val="Calibri Light"/>
        <charset val="134"/>
      </rPr>
      <t>46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41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13</t>
    </r>
    <r>
      <rPr>
        <sz val="10"/>
        <color theme="1"/>
        <rFont val="宋体"/>
        <charset val="134"/>
      </rPr>
      <t>亚麻</t>
    </r>
  </si>
  <si>
    <t>46%V 41%T 13%L</t>
  </si>
  <si>
    <t>A34876</t>
  </si>
  <si>
    <t>SY25221</t>
  </si>
  <si>
    <r>
      <rPr>
        <sz val="10"/>
        <color theme="1"/>
        <rFont val="Calibri Light"/>
        <charset val="134"/>
      </rPr>
      <t>36%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64%</t>
    </r>
    <r>
      <rPr>
        <sz val="10"/>
        <color theme="1"/>
        <rFont val="宋体"/>
        <charset val="134"/>
      </rPr>
      <t>醋酯纤维</t>
    </r>
  </si>
  <si>
    <t>36%T 64%AC</t>
  </si>
  <si>
    <t>A28214</t>
  </si>
  <si>
    <t>SY25222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</si>
  <si>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涤纶</t>
    </r>
  </si>
  <si>
    <t>82%AC 18%T</t>
  </si>
  <si>
    <t>H1043</t>
  </si>
  <si>
    <t>SY25223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</si>
  <si>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涤纶</t>
    </r>
  </si>
  <si>
    <t>85%TEL 15%T</t>
  </si>
  <si>
    <t>H1139</t>
  </si>
  <si>
    <t>2-1</t>
  </si>
  <si>
    <t>SY25224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</si>
  <si>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27%</t>
    </r>
    <r>
      <rPr>
        <sz val="10"/>
        <color theme="1"/>
        <rFont val="宋体"/>
        <charset val="134"/>
      </rPr>
      <t>天竹纤维</t>
    </r>
    <r>
      <rPr>
        <sz val="10"/>
        <color theme="1"/>
        <rFont val="Calibri Light"/>
        <charset val="134"/>
      </rPr>
      <t xml:space="preserve"> 38%</t>
    </r>
    <r>
      <rPr>
        <sz val="10"/>
        <color theme="1"/>
        <rFont val="宋体"/>
        <charset val="134"/>
      </rPr>
      <t>人棉</t>
    </r>
  </si>
  <si>
    <t>35%T 27%BM 38%R</t>
  </si>
  <si>
    <t>8-3910</t>
  </si>
  <si>
    <t>SY25225</t>
  </si>
  <si>
    <r>
      <rPr>
        <sz val="10"/>
        <color theme="1"/>
        <rFont val="Calibri Light"/>
        <charset val="134"/>
      </rPr>
      <t>87%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13%</t>
    </r>
    <r>
      <rPr>
        <sz val="10"/>
        <color theme="1"/>
        <rFont val="宋体"/>
        <charset val="134"/>
      </rPr>
      <t>尼龙</t>
    </r>
  </si>
  <si>
    <t>87%TEL 13%N</t>
  </si>
  <si>
    <t>36077#</t>
  </si>
  <si>
    <r>
      <rPr>
        <sz val="10"/>
        <color theme="1"/>
        <rFont val="宋体"/>
        <charset val="134"/>
      </rPr>
      <t>万美</t>
    </r>
  </si>
  <si>
    <t>SY25226</t>
  </si>
  <si>
    <t>100%R</t>
  </si>
  <si>
    <t>36001#</t>
  </si>
  <si>
    <t>SY25228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</si>
  <si>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41%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</si>
  <si>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56%R 41%R 3%SP</t>
  </si>
  <si>
    <r>
      <rPr>
        <sz val="10"/>
        <color theme="1"/>
        <rFont val="Calibri Light"/>
        <charset val="134"/>
      </rPr>
      <t>6606#</t>
    </r>
    <r>
      <rPr>
        <sz val="10"/>
        <color theme="1"/>
        <rFont val="宋体"/>
        <charset val="134"/>
      </rPr>
      <t>人丝弹力绉</t>
    </r>
  </si>
  <si>
    <t>SY25229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</si>
  <si>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60%</t>
    </r>
    <r>
      <rPr>
        <sz val="10"/>
        <color theme="1"/>
        <rFont val="宋体"/>
        <charset val="134"/>
      </rPr>
      <t>人棉</t>
    </r>
  </si>
  <si>
    <t>40%R 60%R</t>
  </si>
  <si>
    <t>6603#</t>
  </si>
  <si>
    <t>SY25232</t>
  </si>
  <si>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92%</t>
    </r>
    <r>
      <rPr>
        <sz val="10"/>
        <color theme="1"/>
        <rFont val="宋体"/>
        <charset val="134"/>
      </rPr>
      <t>聚乙烯</t>
    </r>
  </si>
  <si>
    <t>8%LC 92%PE</t>
  </si>
  <si>
    <t>4880S</t>
  </si>
  <si>
    <t>YXG</t>
  </si>
  <si>
    <t>R1537</t>
  </si>
  <si>
    <t>SY25233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</si>
  <si>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锦纶</t>
    </r>
  </si>
  <si>
    <t>45%R 37%TEN 18%N</t>
  </si>
  <si>
    <r>
      <rPr>
        <sz val="10"/>
        <color theme="1"/>
        <rFont val="宋体"/>
        <charset val="134"/>
      </rPr>
      <t>任发布行</t>
    </r>
  </si>
  <si>
    <t>A1872-3</t>
  </si>
  <si>
    <t>SY25234</t>
  </si>
  <si>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85%</t>
    </r>
    <r>
      <rPr>
        <sz val="10"/>
        <color theme="1"/>
        <rFont val="宋体"/>
        <charset val="134"/>
      </rPr>
      <t>天丝</t>
    </r>
  </si>
  <si>
    <t>15%N 85%TEN</t>
  </si>
  <si>
    <r>
      <rPr>
        <sz val="10"/>
        <color theme="1"/>
        <rFont val="宋体"/>
        <charset val="134"/>
      </rPr>
      <t>盛发布行</t>
    </r>
  </si>
  <si>
    <t>A2136</t>
  </si>
  <si>
    <t>SY25235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</si>
  <si>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天丝</t>
    </r>
  </si>
  <si>
    <t>30%N 70%TEN</t>
  </si>
  <si>
    <t>H2019#</t>
  </si>
  <si>
    <t>SY25236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</si>
  <si>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人棉</t>
    </r>
  </si>
  <si>
    <t>30%Recycle POLY 70%R</t>
  </si>
  <si>
    <r>
      <rPr>
        <sz val="10"/>
        <color theme="1"/>
        <rFont val="宋体"/>
        <charset val="134"/>
      </rPr>
      <t>华洋</t>
    </r>
  </si>
  <si>
    <t>R2202-A</t>
  </si>
  <si>
    <t>SY25237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</si>
  <si>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麻</t>
    </r>
  </si>
  <si>
    <t>80%R 10%N 10%L</t>
  </si>
  <si>
    <t>R2169</t>
  </si>
  <si>
    <t>SY25238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</si>
  <si>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锦纶</t>
    </r>
  </si>
  <si>
    <t>79%R30%N</t>
  </si>
  <si>
    <t>R1650</t>
  </si>
  <si>
    <t>SY25239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</si>
  <si>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涤纶</t>
    </r>
  </si>
  <si>
    <t>35%POLY 65%R</t>
  </si>
  <si>
    <t>8123--3</t>
  </si>
  <si>
    <t>SY25240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</si>
  <si>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21%</t>
    </r>
    <r>
      <rPr>
        <sz val="10"/>
        <color theme="1"/>
        <rFont val="宋体"/>
        <charset val="134"/>
      </rPr>
      <t>锦纶</t>
    </r>
  </si>
  <si>
    <t>79%R 21%N</t>
  </si>
  <si>
    <r>
      <rPr>
        <sz val="10"/>
        <color theme="1"/>
        <rFont val="宋体"/>
        <charset val="134"/>
      </rPr>
      <t>奈丝</t>
    </r>
  </si>
  <si>
    <t>8807--7</t>
  </si>
  <si>
    <t>SY25241</t>
  </si>
  <si>
    <r>
      <rPr>
        <sz val="11"/>
        <color rgb="FFFF0000"/>
        <rFont val="Calibri Light"/>
        <charset val="134"/>
      </rPr>
      <t>25%AC</t>
    </r>
    <r>
      <rPr>
        <sz val="11"/>
        <color rgb="FFFF0000"/>
        <rFont val="微软雅黑"/>
        <charset val="134"/>
      </rPr>
      <t>（醋酸纤维）</t>
    </r>
    <r>
      <rPr>
        <sz val="11"/>
        <color theme="1"/>
        <rFont val="Calibri Light"/>
        <charset val="134"/>
      </rPr>
      <t>25%</t>
    </r>
    <r>
      <rPr>
        <sz val="11"/>
        <color theme="1"/>
        <rFont val="微软雅黑"/>
        <charset val="134"/>
      </rPr>
      <t>尼龙</t>
    </r>
    <r>
      <rPr>
        <sz val="11"/>
        <color theme="1"/>
        <rFont val="Calibri Light"/>
        <charset val="134"/>
      </rPr>
      <t>50%</t>
    </r>
    <r>
      <rPr>
        <sz val="11"/>
        <color theme="1"/>
        <rFont val="微软雅黑"/>
        <charset val="134"/>
      </rPr>
      <t>人棉</t>
    </r>
  </si>
  <si>
    <t>50%R 25%AC 25%N</t>
  </si>
  <si>
    <t>A1990-1</t>
  </si>
  <si>
    <t>SY25242</t>
  </si>
  <si>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82%</t>
    </r>
    <r>
      <rPr>
        <sz val="10"/>
        <color theme="1"/>
        <rFont val="宋体"/>
        <charset val="134"/>
      </rPr>
      <t>人棉</t>
    </r>
  </si>
  <si>
    <t>82%R 18%N</t>
  </si>
  <si>
    <r>
      <rPr>
        <sz val="10"/>
        <color theme="1"/>
        <rFont val="宋体"/>
        <charset val="134"/>
      </rPr>
      <t>盛发纺织</t>
    </r>
  </si>
  <si>
    <t>A2151</t>
  </si>
  <si>
    <t>SY25243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</si>
  <si>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麻</t>
    </r>
  </si>
  <si>
    <t>40%POLY 50%R 10%L</t>
  </si>
  <si>
    <t>SY25252</t>
  </si>
  <si>
    <t>W10233</t>
  </si>
  <si>
    <r>
      <rPr>
        <sz val="10"/>
        <color theme="1"/>
        <rFont val="宋体"/>
        <charset val="134"/>
      </rPr>
      <t>合生天润</t>
    </r>
  </si>
  <si>
    <t>SY25253</t>
  </si>
  <si>
    <t>W10155</t>
  </si>
  <si>
    <t>SY25254</t>
  </si>
  <si>
    <t>SY25255</t>
  </si>
  <si>
    <t>W10026</t>
  </si>
  <si>
    <t>SY25256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</si>
  <si>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高弹丝</t>
    </r>
  </si>
  <si>
    <t>SY25257</t>
  </si>
  <si>
    <t>SY25258</t>
  </si>
  <si>
    <t>SY25260</t>
  </si>
  <si>
    <t>SY25261</t>
  </si>
  <si>
    <r>
      <rPr>
        <sz val="10"/>
        <color theme="1"/>
        <rFont val="宋体"/>
        <charset val="134"/>
      </rPr>
      <t>花灰细罗纹</t>
    </r>
  </si>
  <si>
    <r>
      <rPr>
        <sz val="10"/>
        <color theme="1"/>
        <rFont val="宋体"/>
        <charset val="134"/>
      </rPr>
      <t>恒盛佳</t>
    </r>
  </si>
  <si>
    <t>SY25262</t>
  </si>
  <si>
    <r>
      <rPr>
        <sz val="10"/>
        <color theme="1"/>
        <rFont val="宋体"/>
        <charset val="134"/>
      </rPr>
      <t>花灰绒天楹条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染色捉毛</t>
    </r>
  </si>
  <si>
    <t>SY25263</t>
  </si>
  <si>
    <r>
      <rPr>
        <sz val="10"/>
        <color theme="1"/>
        <rFont val="宋体"/>
        <charset val="134"/>
      </rPr>
      <t>百合网</t>
    </r>
  </si>
  <si>
    <t>SY25264</t>
  </si>
  <si>
    <r>
      <rPr>
        <sz val="10"/>
        <color theme="1"/>
        <rFont val="宋体"/>
        <charset val="134"/>
      </rPr>
      <t>韩国麻</t>
    </r>
  </si>
  <si>
    <t>SY25265</t>
  </si>
  <si>
    <t>SY25266</t>
  </si>
  <si>
    <t>SY25268</t>
  </si>
  <si>
    <t>K033</t>
  </si>
  <si>
    <r>
      <rPr>
        <sz val="10"/>
        <color theme="1"/>
        <rFont val="宋体"/>
        <charset val="134"/>
      </rPr>
      <t>宏盛</t>
    </r>
  </si>
  <si>
    <t>SY25269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</si>
  <si>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</si>
  <si>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97%T 3%SP</t>
  </si>
  <si>
    <t>A8028</t>
  </si>
  <si>
    <t>A123</t>
  </si>
  <si>
    <t>SY25270</t>
  </si>
  <si>
    <r>
      <rPr>
        <sz val="10"/>
        <color theme="1"/>
        <rFont val="宋体"/>
        <charset val="134"/>
      </rPr>
      <t>泡泡可粒</t>
    </r>
    <r>
      <rPr>
        <sz val="10"/>
        <color theme="1"/>
        <rFont val="Calibri Light"/>
        <charset val="134"/>
      </rPr>
      <t>-6</t>
    </r>
  </si>
  <si>
    <r>
      <rPr>
        <sz val="10"/>
        <color theme="1"/>
        <rFont val="宋体"/>
        <charset val="134"/>
      </rPr>
      <t>壹品兴</t>
    </r>
  </si>
  <si>
    <t>SY25271</t>
  </si>
  <si>
    <r>
      <rPr>
        <sz val="10"/>
        <color theme="1"/>
        <rFont val="宋体"/>
        <charset val="134"/>
      </rPr>
      <t>提拉米格</t>
    </r>
    <r>
      <rPr>
        <sz val="10"/>
        <color theme="1"/>
        <rFont val="Calibri Light"/>
        <charset val="134"/>
      </rPr>
      <t>-4</t>
    </r>
  </si>
  <si>
    <t>SY25272</t>
  </si>
  <si>
    <r>
      <rPr>
        <sz val="10"/>
        <color theme="1"/>
        <rFont val="宋体"/>
        <charset val="134"/>
      </rPr>
      <t>锦鲤纹</t>
    </r>
    <r>
      <rPr>
        <sz val="10"/>
        <color theme="1"/>
        <rFont val="Calibri Light"/>
        <charset val="134"/>
      </rPr>
      <t>-4</t>
    </r>
  </si>
  <si>
    <t>SY25274</t>
  </si>
  <si>
    <r>
      <rPr>
        <sz val="10"/>
        <color theme="1"/>
        <rFont val="宋体"/>
        <charset val="134"/>
      </rPr>
      <t>广睿</t>
    </r>
  </si>
  <si>
    <t>SY25275</t>
  </si>
  <si>
    <t>Y1039</t>
  </si>
  <si>
    <r>
      <rPr>
        <sz val="10"/>
        <color theme="1"/>
        <rFont val="宋体"/>
        <charset val="134"/>
      </rPr>
      <t>纤绣纺织</t>
    </r>
  </si>
  <si>
    <t>SY25276</t>
  </si>
  <si>
    <t>SY25278</t>
  </si>
  <si>
    <t>SY25279</t>
  </si>
  <si>
    <t>SY25280</t>
  </si>
  <si>
    <t>100%C</t>
  </si>
  <si>
    <r>
      <rPr>
        <sz val="10"/>
        <color theme="1"/>
        <rFont val="Calibri Light"/>
        <charset val="134"/>
      </rPr>
      <t>EC</t>
    </r>
    <r>
      <rPr>
        <sz val="10"/>
        <color theme="1"/>
        <rFont val="宋体"/>
        <charset val="134"/>
      </rPr>
      <t>棉</t>
    </r>
  </si>
  <si>
    <r>
      <rPr>
        <sz val="10"/>
        <color theme="1"/>
        <rFont val="宋体"/>
        <charset val="134"/>
      </rPr>
      <t>聪盛纺织</t>
    </r>
  </si>
  <si>
    <r>
      <rPr>
        <sz val="10"/>
        <color theme="1"/>
        <rFont val="Calibri Light"/>
        <charset val="134"/>
      </rPr>
      <t>3927#</t>
    </r>
    <r>
      <rPr>
        <sz val="10"/>
        <color theme="1"/>
        <rFont val="宋体"/>
        <charset val="134"/>
      </rPr>
      <t>醋酸仿麻</t>
    </r>
  </si>
  <si>
    <t>SY25281</t>
  </si>
  <si>
    <t>100% Recycle POLY</t>
  </si>
  <si>
    <r>
      <rPr>
        <sz val="10"/>
        <color theme="1"/>
        <rFont val="宋体"/>
        <charset val="134"/>
      </rPr>
      <t>恒泰</t>
    </r>
  </si>
  <si>
    <t>HY3010-1</t>
  </si>
  <si>
    <t>SY25282</t>
  </si>
  <si>
    <r>
      <rPr>
        <sz val="10"/>
        <color theme="1"/>
        <rFont val="宋体"/>
        <charset val="134"/>
      </rPr>
      <t>和赢纺织</t>
    </r>
  </si>
  <si>
    <t>6410#</t>
  </si>
  <si>
    <t>SY25283</t>
  </si>
  <si>
    <r>
      <rPr>
        <sz val="10"/>
        <color theme="1"/>
        <rFont val="宋体"/>
        <charset val="134"/>
      </rPr>
      <t>秋香麻</t>
    </r>
  </si>
  <si>
    <t>SY25284</t>
  </si>
  <si>
    <r>
      <rPr>
        <sz val="10"/>
        <color theme="1"/>
        <rFont val="Calibri Light"/>
        <charset val="134"/>
      </rPr>
      <t>A4426#</t>
    </r>
    <r>
      <rPr>
        <sz val="10"/>
        <color theme="1"/>
        <rFont val="宋体"/>
        <charset val="134"/>
      </rPr>
      <t>双色斜纹竹节</t>
    </r>
  </si>
  <si>
    <t>SY25285</t>
  </si>
  <si>
    <t>97% Recycle POLY 3%SP</t>
  </si>
  <si>
    <r>
      <rPr>
        <sz val="10"/>
        <color theme="1"/>
        <rFont val="宋体"/>
        <charset val="134"/>
      </rPr>
      <t>永信</t>
    </r>
  </si>
  <si>
    <t>T057</t>
  </si>
  <si>
    <t>SY25286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</si>
  <si>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</si>
  <si>
    <t>SY25287</t>
  </si>
  <si>
    <t>宝隆纺织</t>
  </si>
  <si>
    <t>SY25318</t>
  </si>
  <si>
    <r>
      <rPr>
        <sz val="10"/>
        <color theme="1"/>
        <rFont val="宋体"/>
        <charset val="134"/>
      </rPr>
      <t>捷丰</t>
    </r>
  </si>
  <si>
    <t>SY25319</t>
  </si>
  <si>
    <t>SY25322</t>
  </si>
  <si>
    <r>
      <rPr>
        <sz val="10"/>
        <color theme="1"/>
        <rFont val="Calibri Light"/>
        <charset val="134"/>
      </rPr>
      <t>2*2</t>
    </r>
    <r>
      <rPr>
        <sz val="10"/>
        <color theme="1"/>
        <rFont val="宋体"/>
        <charset val="134"/>
      </rPr>
      <t>罗纹竹节</t>
    </r>
    <r>
      <rPr>
        <sz val="10"/>
        <color theme="1"/>
        <rFont val="Calibri Light"/>
        <charset val="134"/>
      </rPr>
      <t>-RS</t>
    </r>
  </si>
  <si>
    <r>
      <rPr>
        <sz val="10"/>
        <color theme="1"/>
        <rFont val="宋体"/>
        <charset val="134"/>
      </rPr>
      <t>恒盛佳针织</t>
    </r>
  </si>
  <si>
    <t>SY25323</t>
  </si>
  <si>
    <r>
      <rPr>
        <sz val="10"/>
        <color theme="1"/>
        <rFont val="Calibri Light"/>
        <charset val="134"/>
      </rPr>
      <t>2#1*1</t>
    </r>
    <r>
      <rPr>
        <sz val="10"/>
        <color theme="1"/>
        <rFont val="宋体"/>
        <charset val="134"/>
      </rPr>
      <t>罗纹竹节</t>
    </r>
  </si>
  <si>
    <t>SY25324</t>
  </si>
  <si>
    <r>
      <rPr>
        <sz val="10"/>
        <color theme="1"/>
        <rFont val="宋体"/>
        <charset val="134"/>
      </rPr>
      <t>优尚花灰绒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染色抓毛</t>
    </r>
  </si>
  <si>
    <t>SY25325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</si>
  <si>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麻</t>
    </r>
  </si>
  <si>
    <t>50%C 45%R 5%L</t>
  </si>
  <si>
    <r>
      <rPr>
        <sz val="10"/>
        <color theme="1"/>
        <rFont val="宋体"/>
        <charset val="134"/>
      </rPr>
      <t>正一纺织</t>
    </r>
  </si>
  <si>
    <t>SY25326</t>
  </si>
  <si>
    <t>A128</t>
  </si>
  <si>
    <t>SY25327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</si>
  <si>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棉</t>
    </r>
  </si>
  <si>
    <t>50%T 35%R 15%C</t>
  </si>
  <si>
    <t>A115</t>
  </si>
  <si>
    <t>SY25328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</si>
  <si>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人棉</t>
    </r>
  </si>
  <si>
    <t>65%C 35%R</t>
  </si>
  <si>
    <t>GL727</t>
  </si>
  <si>
    <r>
      <rPr>
        <sz val="10"/>
        <color theme="1"/>
        <rFont val="宋体"/>
        <charset val="134"/>
      </rPr>
      <t>广隆布纺</t>
    </r>
  </si>
  <si>
    <t>SY25329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</si>
  <si>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</si>
  <si>
    <t>70%T 30%R</t>
  </si>
  <si>
    <r>
      <rPr>
        <sz val="10"/>
        <color theme="1"/>
        <rFont val="宋体"/>
        <charset val="134"/>
      </rPr>
      <t>腾达纺织</t>
    </r>
  </si>
  <si>
    <t>SY25330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</si>
  <si>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</si>
  <si>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76%T 20%R 4%SP</t>
  </si>
  <si>
    <r>
      <rPr>
        <sz val="10"/>
        <color theme="1"/>
        <rFont val="Calibri Light"/>
        <charset val="134"/>
      </rPr>
      <t>300</t>
    </r>
    <r>
      <rPr>
        <sz val="10"/>
        <color theme="1"/>
        <rFont val="宋体"/>
        <charset val="134"/>
      </rPr>
      <t>克</t>
    </r>
  </si>
  <si>
    <t>SY25331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</si>
  <si>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42%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麻</t>
    </r>
  </si>
  <si>
    <t>55%V 42%T 3%L</t>
  </si>
  <si>
    <t>SY25332</t>
  </si>
  <si>
    <r>
      <rPr>
        <sz val="10"/>
        <color theme="1"/>
        <rFont val="Calibri Light"/>
        <charset val="134"/>
      </rPr>
      <t>77%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麻</t>
    </r>
  </si>
  <si>
    <t>77%R 20%N 3%L</t>
  </si>
  <si>
    <t>SY25333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</si>
  <si>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53%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尼龙</t>
    </r>
  </si>
  <si>
    <t>40%V 53%T 4%L 3%N</t>
  </si>
  <si>
    <t>SY25334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</si>
  <si>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19%</t>
    </r>
    <r>
      <rPr>
        <sz val="10"/>
        <color theme="1"/>
        <rFont val="宋体"/>
        <charset val="134"/>
      </rPr>
      <t>醋酸</t>
    </r>
  </si>
  <si>
    <t>65%TEL 16%N 19%AC</t>
  </si>
  <si>
    <t>SY25335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</si>
  <si>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38%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麻</t>
    </r>
  </si>
  <si>
    <t>SY25336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</si>
  <si>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尼龙</t>
    </r>
  </si>
  <si>
    <t>76%LC 24%N</t>
  </si>
  <si>
    <t>SY25337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</si>
  <si>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氨轮</t>
    </r>
  </si>
  <si>
    <t>SY25338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</si>
  <si>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13%</t>
    </r>
    <r>
      <rPr>
        <sz val="10"/>
        <color theme="1"/>
        <rFont val="宋体"/>
        <charset val="134"/>
      </rPr>
      <t>尼龙</t>
    </r>
  </si>
  <si>
    <t>45%C 42%R 13%N</t>
  </si>
  <si>
    <r>
      <rPr>
        <sz val="10"/>
        <color theme="1"/>
        <rFont val="宋体"/>
        <charset val="134"/>
      </rPr>
      <t>沙面平纹</t>
    </r>
  </si>
  <si>
    <t>SY25339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</si>
  <si>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</si>
  <si>
    <t>76%T4%SP 20%R</t>
  </si>
  <si>
    <t>SY25340</t>
  </si>
  <si>
    <t>GL1371</t>
  </si>
  <si>
    <t>SY25341</t>
  </si>
  <si>
    <t>T444</t>
  </si>
  <si>
    <r>
      <rPr>
        <sz val="10"/>
        <color theme="1"/>
        <rFont val="宋体"/>
        <charset val="134"/>
      </rPr>
      <t>宏远布业</t>
    </r>
  </si>
  <si>
    <t>SY25342</t>
  </si>
  <si>
    <t>SY25343</t>
  </si>
  <si>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氨纶</t>
    </r>
  </si>
  <si>
    <t>21%T 49%C 30%SP</t>
  </si>
  <si>
    <r>
      <rPr>
        <sz val="10"/>
        <color theme="1"/>
        <rFont val="宋体"/>
        <charset val="134"/>
      </rPr>
      <t>亿欧</t>
    </r>
  </si>
  <si>
    <t>SY25344-P</t>
  </si>
  <si>
    <t>1741#</t>
  </si>
  <si>
    <r>
      <rPr>
        <sz val="10"/>
        <color theme="1"/>
        <rFont val="宋体"/>
        <charset val="134"/>
      </rPr>
      <t>三好</t>
    </r>
  </si>
  <si>
    <t>SY25345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</si>
  <si>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</si>
  <si>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60%T 30%C 5%SP</t>
  </si>
  <si>
    <t>A379-14#</t>
  </si>
  <si>
    <r>
      <rPr>
        <sz val="10"/>
        <color theme="1"/>
        <rFont val="宋体"/>
        <charset val="134"/>
      </rPr>
      <t>正虹</t>
    </r>
  </si>
  <si>
    <t>SY25346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</si>
  <si>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麻</t>
    </r>
  </si>
  <si>
    <t>70%R 21%N 9%L</t>
  </si>
  <si>
    <t>1773#</t>
  </si>
  <si>
    <r>
      <rPr>
        <sz val="10"/>
        <color theme="1"/>
        <rFont val="宋体"/>
        <charset val="134"/>
      </rPr>
      <t>新潮纺织</t>
    </r>
  </si>
  <si>
    <t>SY25347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</si>
  <si>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</si>
  <si>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50%T 46%R 4%SP</t>
  </si>
  <si>
    <t>6D538</t>
  </si>
  <si>
    <r>
      <rPr>
        <sz val="10"/>
        <color theme="1"/>
        <rFont val="宋体"/>
        <charset val="134"/>
      </rPr>
      <t>韩裳依</t>
    </r>
  </si>
  <si>
    <t>SY25348</t>
  </si>
  <si>
    <t>990#</t>
  </si>
  <si>
    <r>
      <rPr>
        <sz val="10"/>
        <color theme="1"/>
        <rFont val="宋体"/>
        <charset val="134"/>
      </rPr>
      <t>辉艺</t>
    </r>
  </si>
  <si>
    <t>SY25349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</si>
  <si>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</si>
  <si>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68%T 30%R 2%SP</t>
  </si>
  <si>
    <t>3C206</t>
  </si>
  <si>
    <t>SY25350</t>
  </si>
  <si>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31.5%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10.5%</t>
    </r>
    <r>
      <rPr>
        <sz val="10"/>
        <color theme="1"/>
        <rFont val="宋体"/>
        <charset val="134"/>
      </rPr>
      <t>氨纶</t>
    </r>
  </si>
  <si>
    <t>34%R 24%T 31.5%N 10.5%SP</t>
  </si>
  <si>
    <r>
      <rPr>
        <sz val="10"/>
        <color theme="1"/>
        <rFont val="Calibri Light"/>
        <charset val="134"/>
      </rPr>
      <t>80s</t>
    </r>
    <r>
      <rPr>
        <sz val="10"/>
        <color theme="1"/>
        <rFont val="宋体"/>
        <charset val="134"/>
      </rPr>
      <t>包芯纱</t>
    </r>
  </si>
  <si>
    <r>
      <rPr>
        <sz val="10"/>
        <color theme="1"/>
        <rFont val="宋体"/>
        <charset val="134"/>
      </rPr>
      <t>宇皓纺织</t>
    </r>
  </si>
  <si>
    <t>SY25353</t>
  </si>
  <si>
    <t>1488#</t>
  </si>
  <si>
    <t>SY25354</t>
  </si>
  <si>
    <t>0947#</t>
  </si>
  <si>
    <r>
      <rPr>
        <sz val="10"/>
        <color theme="1"/>
        <rFont val="Calibri Light"/>
        <charset val="134"/>
      </rPr>
      <t>2025/7/17 GFG</t>
    </r>
    <r>
      <rPr>
        <sz val="10"/>
        <color theme="1"/>
        <rFont val="宋体"/>
        <charset val="134"/>
      </rPr>
      <t>设计师选中。已从版房拿走寄出给</t>
    </r>
    <r>
      <rPr>
        <sz val="10"/>
        <color theme="1"/>
        <rFont val="Calibri Light"/>
        <charset val="134"/>
      </rPr>
      <t>RICKY
2026/3/13</t>
    </r>
    <r>
      <rPr>
        <sz val="10"/>
        <color theme="1"/>
        <rFont val="宋体"/>
        <charset val="134"/>
      </rPr>
      <t>寄</t>
    </r>
    <r>
      <rPr>
        <sz val="10"/>
        <color theme="1"/>
        <rFont val="Calibri Light"/>
        <charset val="134"/>
      </rPr>
      <t>BTC</t>
    </r>
  </si>
  <si>
    <t>SY25356</t>
  </si>
  <si>
    <r>
      <rPr>
        <sz val="10"/>
        <color theme="1"/>
        <rFont val="宋体"/>
        <charset val="134"/>
      </rPr>
      <t>展纬（广升）</t>
    </r>
  </si>
  <si>
    <t>SY25357</t>
  </si>
  <si>
    <t>1829#</t>
  </si>
  <si>
    <t>SY25358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</si>
  <si>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锦</t>
    </r>
  </si>
  <si>
    <t>70%R 20%T 10%N</t>
  </si>
  <si>
    <t>1696#</t>
  </si>
  <si>
    <t>SY25359</t>
  </si>
  <si>
    <t>E893</t>
  </si>
  <si>
    <t>SY25360</t>
  </si>
  <si>
    <t>9506#</t>
  </si>
  <si>
    <r>
      <rPr>
        <sz val="10"/>
        <color theme="1"/>
        <rFont val="宋体"/>
        <charset val="134"/>
      </rPr>
      <t>美高纺织</t>
    </r>
  </si>
  <si>
    <t>SY25361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</si>
  <si>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人棉，</t>
    </r>
    <r>
      <rPr>
        <sz val="10"/>
        <color theme="1"/>
        <rFont val="Calibri Light"/>
        <charset val="134"/>
      </rPr>
      <t>16%</t>
    </r>
    <r>
      <rPr>
        <sz val="10"/>
        <color theme="1"/>
        <rFont val="宋体"/>
        <charset val="134"/>
      </rPr>
      <t>涤，</t>
    </r>
    <r>
      <rPr>
        <sz val="10"/>
        <color theme="1"/>
        <rFont val="Calibri Light"/>
        <charset val="134"/>
      </rPr>
      <t>12%</t>
    </r>
    <r>
      <rPr>
        <sz val="10"/>
        <color theme="1"/>
        <rFont val="宋体"/>
        <charset val="134"/>
      </rPr>
      <t>锦</t>
    </r>
  </si>
  <si>
    <r>
      <rPr>
        <sz val="10"/>
        <color theme="1"/>
        <rFont val="Calibri Light"/>
        <charset val="134"/>
      </rPr>
      <t>72%R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16%T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12%N</t>
    </r>
  </si>
  <si>
    <t>A2710</t>
  </si>
  <si>
    <r>
      <rPr>
        <sz val="10"/>
        <color theme="1"/>
        <rFont val="宋体"/>
        <charset val="134"/>
      </rPr>
      <t>淘米时尚</t>
    </r>
  </si>
  <si>
    <t>SY25402</t>
  </si>
  <si>
    <t>K143-1</t>
  </si>
  <si>
    <t>3-4</t>
  </si>
  <si>
    <t>SY25403</t>
  </si>
  <si>
    <t>H1263</t>
  </si>
  <si>
    <r>
      <rPr>
        <sz val="10"/>
        <color theme="1"/>
        <rFont val="宋体"/>
        <charset val="134"/>
      </rPr>
      <t>辉达纺织</t>
    </r>
  </si>
  <si>
    <t>SY25404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</si>
  <si>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</si>
  <si>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64%C 33%N 3%SP</t>
  </si>
  <si>
    <t>P052#</t>
  </si>
  <si>
    <r>
      <rPr>
        <sz val="10"/>
        <color theme="1"/>
        <rFont val="宋体"/>
        <charset val="134"/>
      </rPr>
      <t>纬亿</t>
    </r>
  </si>
  <si>
    <t>SY25405</t>
  </si>
  <si>
    <t>TY269-3</t>
  </si>
  <si>
    <r>
      <rPr>
        <sz val="10"/>
        <color theme="1"/>
        <rFont val="宋体"/>
        <charset val="134"/>
      </rPr>
      <t>同益</t>
    </r>
  </si>
  <si>
    <t>SY25406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</si>
  <si>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棉</t>
    </r>
  </si>
  <si>
    <t>85%T 15%C</t>
  </si>
  <si>
    <t>YM1013#</t>
  </si>
  <si>
    <r>
      <rPr>
        <sz val="10"/>
        <color theme="1"/>
        <rFont val="宋体"/>
        <charset val="134"/>
      </rPr>
      <t>隆发</t>
    </r>
  </si>
  <si>
    <t>SY25407</t>
  </si>
  <si>
    <r>
      <rPr>
        <sz val="10"/>
        <color theme="1"/>
        <rFont val="Calibri Light"/>
        <charset val="134"/>
      </rPr>
      <t>YF0240C</t>
    </r>
    <r>
      <rPr>
        <sz val="10"/>
        <color theme="1"/>
        <rFont val="宋体"/>
        <charset val="134"/>
      </rPr>
      <t>威龙</t>
    </r>
  </si>
  <si>
    <r>
      <rPr>
        <sz val="10"/>
        <color theme="1"/>
        <rFont val="宋体"/>
        <charset val="134"/>
      </rPr>
      <t>裕发纺织</t>
    </r>
  </si>
  <si>
    <t>SY25408</t>
  </si>
  <si>
    <t>12790#</t>
  </si>
  <si>
    <t>SY25409</t>
  </si>
  <si>
    <t>T24F155</t>
  </si>
  <si>
    <r>
      <rPr>
        <sz val="10"/>
        <color theme="1"/>
        <rFont val="宋体"/>
        <charset val="134"/>
      </rPr>
      <t>泰丰</t>
    </r>
  </si>
  <si>
    <t>SY25410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</si>
  <si>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</si>
  <si>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62%C 35%N 3%SP</t>
  </si>
  <si>
    <t>2C72</t>
  </si>
  <si>
    <r>
      <rPr>
        <sz val="10"/>
        <color theme="1"/>
        <rFont val="宋体"/>
        <charset val="134"/>
      </rPr>
      <t>和发</t>
    </r>
  </si>
  <si>
    <t>SY25411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</si>
  <si>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氨纶</t>
    </r>
  </si>
  <si>
    <t>88%N 12%SP</t>
  </si>
  <si>
    <t>A2330-1</t>
  </si>
  <si>
    <r>
      <rPr>
        <sz val="10"/>
        <color theme="1"/>
        <rFont val="宋体"/>
        <charset val="134"/>
      </rPr>
      <t>林盛</t>
    </r>
  </si>
  <si>
    <t>SY25412</t>
  </si>
  <si>
    <t>TY6601</t>
  </si>
  <si>
    <t>SY25413</t>
  </si>
  <si>
    <t>948#</t>
  </si>
  <si>
    <r>
      <rPr>
        <sz val="10"/>
        <color theme="1"/>
        <rFont val="宋体"/>
        <charset val="134"/>
      </rPr>
      <t>华亿隆</t>
    </r>
  </si>
  <si>
    <t>SY25414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</si>
  <si>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44%</t>
    </r>
    <r>
      <rPr>
        <sz val="10"/>
        <color theme="1"/>
        <rFont val="宋体"/>
        <charset val="134"/>
      </rPr>
      <t>涤纶</t>
    </r>
  </si>
  <si>
    <t>56%R 44%T</t>
  </si>
  <si>
    <r>
      <rPr>
        <sz val="10"/>
        <color theme="1"/>
        <rFont val="宋体"/>
        <charset val="134"/>
      </rPr>
      <t>展伟（广升）</t>
    </r>
  </si>
  <si>
    <t>SY25415</t>
  </si>
  <si>
    <t>2411#</t>
  </si>
  <si>
    <r>
      <rPr>
        <sz val="10"/>
        <color theme="1"/>
        <rFont val="宋体"/>
        <charset val="134"/>
      </rPr>
      <t>鑫盛时尚</t>
    </r>
  </si>
  <si>
    <t>SY25416</t>
  </si>
  <si>
    <r>
      <rPr>
        <sz val="10"/>
        <color theme="1"/>
        <rFont val="Calibri Light"/>
        <charset val="134"/>
      </rPr>
      <t>89%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黏纤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氨轮</t>
    </r>
  </si>
  <si>
    <t>89%T 8%V 3%SP</t>
  </si>
  <si>
    <r>
      <rPr>
        <sz val="10"/>
        <color theme="1"/>
        <rFont val="宋体"/>
        <charset val="134"/>
      </rPr>
      <t>艺纺</t>
    </r>
  </si>
  <si>
    <t>SY25417</t>
  </si>
  <si>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95%</t>
    </r>
    <r>
      <rPr>
        <sz val="10"/>
        <color theme="1"/>
        <rFont val="宋体"/>
        <charset val="134"/>
      </rPr>
      <t>天丝</t>
    </r>
  </si>
  <si>
    <t>5%L 95%TEL</t>
  </si>
  <si>
    <t>T776</t>
  </si>
  <si>
    <r>
      <rPr>
        <sz val="10"/>
        <color theme="1"/>
        <rFont val="宋体"/>
        <charset val="134"/>
      </rPr>
      <t>东恒</t>
    </r>
  </si>
  <si>
    <t>SY25418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</si>
  <si>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氨纶</t>
    </r>
  </si>
  <si>
    <t>94%T 6%SP</t>
  </si>
  <si>
    <t>5288#</t>
  </si>
  <si>
    <r>
      <rPr>
        <sz val="10"/>
        <color theme="1"/>
        <rFont val="宋体"/>
        <charset val="134"/>
      </rPr>
      <t>恒昇纺织</t>
    </r>
  </si>
  <si>
    <t>SY25419</t>
  </si>
  <si>
    <t>11865-3</t>
  </si>
  <si>
    <t>艺纺</t>
  </si>
  <si>
    <t>3-3</t>
  </si>
  <si>
    <t>SY25420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</si>
  <si>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</si>
  <si>
    <t>4A302</t>
  </si>
  <si>
    <t>SY25421</t>
  </si>
  <si>
    <t>5A447</t>
  </si>
  <si>
    <t>SY25422</t>
  </si>
  <si>
    <t>X1325</t>
  </si>
  <si>
    <r>
      <rPr>
        <sz val="10"/>
        <color theme="1"/>
        <rFont val="宋体"/>
        <charset val="134"/>
      </rPr>
      <t>旺佳纺织</t>
    </r>
  </si>
  <si>
    <t>SY25423</t>
  </si>
  <si>
    <t>5F947</t>
  </si>
  <si>
    <t>SY25424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</si>
  <si>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</si>
  <si>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78%T 18%R 4%SP</t>
  </si>
  <si>
    <t>3A106</t>
  </si>
  <si>
    <t>SY25425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</si>
  <si>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氨纶</t>
    </r>
  </si>
  <si>
    <t>66%T 28%R 6%SP</t>
  </si>
  <si>
    <t>4F605</t>
  </si>
  <si>
    <t>SY25426</t>
  </si>
  <si>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47%</t>
    </r>
    <r>
      <rPr>
        <sz val="10"/>
        <color theme="1"/>
        <rFont val="宋体"/>
        <charset val="134"/>
      </rPr>
      <t>莱赛尔</t>
    </r>
  </si>
  <si>
    <t>38%R 9%N 6%L 47%LC</t>
  </si>
  <si>
    <r>
      <rPr>
        <sz val="10"/>
        <color theme="1"/>
        <rFont val="宋体"/>
        <charset val="134"/>
      </rPr>
      <t>富翔</t>
    </r>
  </si>
  <si>
    <t>SY25427</t>
  </si>
  <si>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47%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锦</t>
    </r>
  </si>
  <si>
    <t>6%L 47%TEL 38%R 9%N</t>
  </si>
  <si>
    <t>T783</t>
  </si>
  <si>
    <t>SY25428</t>
  </si>
  <si>
    <r>
      <rPr>
        <sz val="10"/>
        <color theme="1"/>
        <rFont val="宋体"/>
        <charset val="134"/>
      </rPr>
      <t>博业纺织</t>
    </r>
  </si>
  <si>
    <t>SY25429</t>
  </si>
  <si>
    <t>A3633</t>
  </si>
  <si>
    <r>
      <rPr>
        <sz val="10"/>
        <color theme="1"/>
        <rFont val="宋体"/>
        <charset val="134"/>
      </rPr>
      <t>龙兴纺织</t>
    </r>
  </si>
  <si>
    <t>SY25430</t>
  </si>
  <si>
    <t>SY25431</t>
  </si>
  <si>
    <t>SY25432</t>
  </si>
  <si>
    <t>SY25433</t>
  </si>
  <si>
    <t>SY25435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</si>
  <si>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麻</t>
    </r>
  </si>
  <si>
    <t>40%T 50%R 10%L</t>
  </si>
  <si>
    <t>SY25436</t>
  </si>
  <si>
    <r>
      <rPr>
        <sz val="10"/>
        <color theme="1"/>
        <rFont val="Calibri Light"/>
        <charset val="134"/>
      </rPr>
      <t>48%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醋酸</t>
    </r>
  </si>
  <si>
    <t>48%T 42%R 3%SP 3%N 2%TEL 2%AC</t>
  </si>
  <si>
    <t>SY25437</t>
  </si>
  <si>
    <t>1813#</t>
  </si>
  <si>
    <t>SY25438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</si>
  <si>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</si>
  <si>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85%T 10%R 5%SP</t>
  </si>
  <si>
    <t>SY25439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</si>
  <si>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人棉</t>
    </r>
  </si>
  <si>
    <t>76%T 24%R</t>
  </si>
  <si>
    <t>SY25440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</si>
  <si>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阳离子</t>
    </r>
    <r>
      <rPr>
        <sz val="10"/>
        <color theme="1"/>
        <rFont val="Calibri Light"/>
        <charset val="134"/>
      </rPr>
      <t xml:space="preserve"> 26%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</si>
  <si>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70%T 26%R 4%SP</t>
  </si>
  <si>
    <r>
      <rPr>
        <sz val="10"/>
        <color theme="1"/>
        <rFont val="宋体"/>
        <charset val="134"/>
      </rPr>
      <t>亿盛时尚</t>
    </r>
  </si>
  <si>
    <t>SY25441</t>
  </si>
  <si>
    <t>A2927</t>
  </si>
  <si>
    <r>
      <rPr>
        <sz val="10"/>
        <color theme="1"/>
        <rFont val="宋体"/>
        <charset val="134"/>
      </rPr>
      <t>铭涛</t>
    </r>
  </si>
  <si>
    <t>SY25442</t>
  </si>
  <si>
    <t>H1143</t>
  </si>
  <si>
    <t>SY25443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</si>
  <si>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28%</t>
    </r>
    <r>
      <rPr>
        <sz val="10"/>
        <color theme="1"/>
        <rFont val="宋体"/>
        <charset val="134"/>
      </rPr>
      <t>粘纤</t>
    </r>
  </si>
  <si>
    <t>72%T  28%V</t>
  </si>
  <si>
    <t>SC23291</t>
  </si>
  <si>
    <r>
      <rPr>
        <sz val="10"/>
        <color theme="1"/>
        <rFont val="宋体"/>
        <charset val="134"/>
      </rPr>
      <t>森晟</t>
    </r>
  </si>
  <si>
    <t>SY25444</t>
  </si>
  <si>
    <t>SC22883</t>
  </si>
  <si>
    <t>SY25445</t>
  </si>
  <si>
    <t>A1628-483</t>
  </si>
  <si>
    <r>
      <rPr>
        <sz val="10"/>
        <color theme="1"/>
        <rFont val="宋体"/>
        <charset val="134"/>
      </rPr>
      <t>雷特纺织</t>
    </r>
  </si>
  <si>
    <t>SY25446</t>
  </si>
  <si>
    <r>
      <rPr>
        <sz val="10"/>
        <color theme="1"/>
        <rFont val="宋体"/>
        <charset val="134"/>
      </rPr>
      <t>元发</t>
    </r>
  </si>
  <si>
    <t>SY25447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</si>
  <si>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11%</t>
    </r>
    <r>
      <rPr>
        <sz val="10"/>
        <color theme="1"/>
        <rFont val="宋体"/>
        <charset val="134"/>
      </rPr>
      <t>亚麻</t>
    </r>
  </si>
  <si>
    <t>64%R 25%N 11%L</t>
  </si>
  <si>
    <r>
      <rPr>
        <sz val="10"/>
        <color theme="1"/>
        <rFont val="宋体"/>
        <charset val="134"/>
      </rPr>
      <t>林达纺织</t>
    </r>
  </si>
  <si>
    <t>SY25448</t>
  </si>
  <si>
    <t>6A773#</t>
  </si>
  <si>
    <t>SY25449</t>
  </si>
  <si>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涤轮</t>
    </r>
    <r>
      <rPr>
        <sz val="10"/>
        <color theme="1"/>
        <rFont val="Calibri Light"/>
        <charset val="134"/>
      </rPr>
      <t xml:space="preserve"> 57%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亚麻</t>
    </r>
  </si>
  <si>
    <t>17%T 57%TEL 20%AC 6%L</t>
  </si>
  <si>
    <t>R5319-45#</t>
  </si>
  <si>
    <r>
      <rPr>
        <sz val="10"/>
        <color theme="1"/>
        <rFont val="宋体"/>
        <charset val="134"/>
      </rPr>
      <t>精英</t>
    </r>
  </si>
  <si>
    <t>SY25450</t>
  </si>
  <si>
    <r>
      <rPr>
        <sz val="10"/>
        <color theme="1"/>
        <rFont val="宋体"/>
        <charset val="134"/>
      </rPr>
      <t>森源纺织</t>
    </r>
  </si>
  <si>
    <t>SY25451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</si>
  <si>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尼龙</t>
    </r>
  </si>
  <si>
    <t>76%R 24%N</t>
  </si>
  <si>
    <r>
      <rPr>
        <sz val="10"/>
        <color theme="1"/>
        <rFont val="Calibri Light"/>
        <charset val="134"/>
      </rPr>
      <t xml:space="preserve">A596-241# </t>
    </r>
    <r>
      <rPr>
        <sz val="10"/>
        <color theme="1"/>
        <rFont val="宋体"/>
        <charset val="134"/>
      </rPr>
      <t>平纹竹节</t>
    </r>
  </si>
  <si>
    <t>SY25452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</si>
  <si>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莱赛尔，</t>
    </r>
    <r>
      <rPr>
        <sz val="10"/>
        <color theme="1"/>
        <rFont val="Calibri Light"/>
        <charset val="134"/>
      </rPr>
      <t>33%</t>
    </r>
    <r>
      <rPr>
        <sz val="10"/>
        <color theme="1"/>
        <rFont val="宋体"/>
        <charset val="134"/>
      </rPr>
      <t>尼龙</t>
    </r>
  </si>
  <si>
    <r>
      <rPr>
        <sz val="10"/>
        <color theme="1"/>
        <rFont val="Calibri Light"/>
        <charset val="134"/>
      </rPr>
      <t>67%LC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33%N</t>
    </r>
  </si>
  <si>
    <t>T3008</t>
  </si>
  <si>
    <r>
      <rPr>
        <sz val="10"/>
        <color theme="1"/>
        <rFont val="宋体"/>
        <charset val="134"/>
      </rPr>
      <t>桐森</t>
    </r>
  </si>
  <si>
    <t>SY25453</t>
  </si>
  <si>
    <r>
      <rPr>
        <sz val="10"/>
        <color theme="1"/>
        <rFont val="Calibri Light"/>
        <charset val="134"/>
      </rPr>
      <t xml:space="preserve">A508-227# </t>
    </r>
    <r>
      <rPr>
        <sz val="10"/>
        <color theme="1"/>
        <rFont val="宋体"/>
        <charset val="134"/>
      </rPr>
      <t>闪光斜</t>
    </r>
  </si>
  <si>
    <t>SY25454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</si>
  <si>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锦，</t>
    </r>
    <r>
      <rPr>
        <sz val="10"/>
        <color theme="1"/>
        <rFont val="Calibri Light"/>
        <charset val="134"/>
      </rPr>
      <t>44%</t>
    </r>
    <r>
      <rPr>
        <sz val="10"/>
        <color theme="1"/>
        <rFont val="宋体"/>
        <charset val="134"/>
      </rPr>
      <t>人棉</t>
    </r>
  </si>
  <si>
    <t>56%N 44%R</t>
  </si>
  <si>
    <t>SY25455</t>
  </si>
  <si>
    <t>V3663-5#</t>
  </si>
  <si>
    <t>SY25456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</si>
  <si>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尼龙</t>
    </r>
  </si>
  <si>
    <t>84%R 16%N</t>
  </si>
  <si>
    <t>F15-883</t>
  </si>
  <si>
    <r>
      <rPr>
        <sz val="10"/>
        <color theme="1"/>
        <rFont val="宋体"/>
        <charset val="134"/>
      </rPr>
      <t>永久</t>
    </r>
  </si>
  <si>
    <t>SY25457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</si>
  <si>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尼龙</t>
    </r>
  </si>
  <si>
    <t>50%TEL 20%AC 30%N</t>
  </si>
  <si>
    <t>50021#</t>
  </si>
  <si>
    <t>SY25458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</si>
  <si>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涤</t>
    </r>
  </si>
  <si>
    <t>70%R 30%T</t>
  </si>
  <si>
    <t>SY25459</t>
  </si>
  <si>
    <r>
      <rPr>
        <sz val="10"/>
        <color theme="1"/>
        <rFont val="Calibri Light"/>
        <charset val="134"/>
      </rPr>
      <t>46%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54%</t>
    </r>
    <r>
      <rPr>
        <sz val="10"/>
        <color theme="1"/>
        <rFont val="宋体"/>
        <charset val="134"/>
      </rPr>
      <t>人棉</t>
    </r>
  </si>
  <si>
    <t>46%N 54%R</t>
  </si>
  <si>
    <t>SY25460</t>
  </si>
  <si>
    <t>K2397#</t>
  </si>
  <si>
    <r>
      <rPr>
        <sz val="10"/>
        <color theme="1"/>
        <rFont val="宋体"/>
        <charset val="134"/>
      </rPr>
      <t>金洋</t>
    </r>
  </si>
  <si>
    <t>SY25461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</si>
  <si>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涤纶</t>
    </r>
  </si>
  <si>
    <t>76%TEL 24%T</t>
  </si>
  <si>
    <t>1372-1</t>
  </si>
  <si>
    <t>SY25462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</si>
  <si>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90%</t>
    </r>
    <r>
      <rPr>
        <sz val="10"/>
        <color theme="1"/>
        <rFont val="宋体"/>
        <charset val="134"/>
      </rPr>
      <t>天丝</t>
    </r>
  </si>
  <si>
    <t>10%T 90%TEL</t>
  </si>
  <si>
    <r>
      <rPr>
        <sz val="10"/>
        <color theme="1"/>
        <rFont val="宋体"/>
        <charset val="134"/>
      </rPr>
      <t>新品天丝</t>
    </r>
    <r>
      <rPr>
        <sz val="10"/>
        <color theme="1"/>
        <rFont val="Calibri Light"/>
        <charset val="134"/>
      </rPr>
      <t xml:space="preserve">  T2635</t>
    </r>
  </si>
  <si>
    <t>SY25463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</si>
  <si>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涤</t>
    </r>
  </si>
  <si>
    <t>80%R 20%T</t>
  </si>
  <si>
    <t>1333#</t>
  </si>
  <si>
    <r>
      <rPr>
        <sz val="10"/>
        <color theme="1"/>
        <rFont val="宋体"/>
        <charset val="134"/>
      </rPr>
      <t>汇腾纺织</t>
    </r>
  </si>
  <si>
    <t>SY25464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</si>
  <si>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涤沦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天丝</t>
    </r>
  </si>
  <si>
    <t>30%T 40%R 30%TEL</t>
  </si>
  <si>
    <t>V3340-145#</t>
  </si>
  <si>
    <t>SY25465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</si>
  <si>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15% </t>
    </r>
    <r>
      <rPr>
        <sz val="10"/>
        <color theme="1"/>
        <rFont val="宋体"/>
        <charset val="134"/>
      </rPr>
      <t>涤纶</t>
    </r>
  </si>
  <si>
    <t>85%TEL 15% T</t>
  </si>
  <si>
    <t>F719-8803</t>
  </si>
  <si>
    <r>
      <rPr>
        <sz val="10"/>
        <color theme="1"/>
        <rFont val="宋体"/>
        <charset val="134"/>
      </rPr>
      <t>永久纺织</t>
    </r>
  </si>
  <si>
    <t>SY25466</t>
  </si>
  <si>
    <t>P226-8</t>
  </si>
  <si>
    <t>SY25467</t>
  </si>
  <si>
    <t>F394-14#</t>
  </si>
  <si>
    <t>SY25468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</si>
  <si>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麻</t>
    </r>
  </si>
  <si>
    <t>76%R 15%N 9%L</t>
  </si>
  <si>
    <t>6560/6</t>
  </si>
  <si>
    <t>SY25469</t>
  </si>
  <si>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尼龙</t>
    </r>
  </si>
  <si>
    <t>25%R 65%C 10%N</t>
  </si>
  <si>
    <t>W1340-111#</t>
  </si>
  <si>
    <t>SY25470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</si>
  <si>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羊毛</t>
    </r>
  </si>
  <si>
    <t>75%T 19%R 6%W</t>
  </si>
  <si>
    <t>F731-5#</t>
  </si>
  <si>
    <t>SY25471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</si>
  <si>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麻</t>
    </r>
  </si>
  <si>
    <t>75%R 18%N 7%L</t>
  </si>
  <si>
    <t>SY25472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</si>
  <si>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麻</t>
    </r>
  </si>
  <si>
    <t>83%R 12%N 5%L</t>
  </si>
  <si>
    <t>T3023</t>
  </si>
  <si>
    <t>SY25473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</si>
  <si>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赛莱尔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尼龙</t>
    </r>
  </si>
  <si>
    <t>63%LC 32%R 5%N</t>
  </si>
  <si>
    <t>6286/5</t>
  </si>
  <si>
    <t>SY25475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</si>
  <si>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涤纶</t>
    </r>
  </si>
  <si>
    <t>70%TEL 30%T</t>
  </si>
  <si>
    <t>11052-1</t>
  </si>
  <si>
    <t>SY25476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</si>
  <si>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锦</t>
    </r>
  </si>
  <si>
    <t>66%R 12%L 22%N</t>
  </si>
  <si>
    <t>D6192#</t>
  </si>
  <si>
    <r>
      <rPr>
        <sz val="10"/>
        <color theme="1"/>
        <rFont val="宋体"/>
        <charset val="134"/>
      </rPr>
      <t>德尚</t>
    </r>
  </si>
  <si>
    <t>SY25477</t>
  </si>
  <si>
    <t>SY25478</t>
  </si>
  <si>
    <t>TX-3150</t>
  </si>
  <si>
    <t>SY25479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</si>
  <si>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11.5%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3.5%</t>
    </r>
    <r>
      <rPr>
        <sz val="10"/>
        <color theme="1"/>
        <rFont val="宋体"/>
        <charset val="134"/>
      </rPr>
      <t>氨纶</t>
    </r>
  </si>
  <si>
    <t>85%C 11.5%T 3.5%SP</t>
  </si>
  <si>
    <t>1301-8</t>
  </si>
  <si>
    <r>
      <rPr>
        <sz val="10"/>
        <color theme="1"/>
        <rFont val="宋体"/>
        <charset val="134"/>
      </rPr>
      <t>灿胜纺织</t>
    </r>
  </si>
  <si>
    <t>SY25481</t>
  </si>
  <si>
    <r>
      <rPr>
        <sz val="10"/>
        <color theme="1"/>
        <rFont val="Calibri Light"/>
        <charset val="134"/>
      </rPr>
      <t>98%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</si>
  <si>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4090#</t>
  </si>
  <si>
    <r>
      <rPr>
        <sz val="10"/>
        <color theme="1"/>
        <rFont val="宋体"/>
        <charset val="134"/>
      </rPr>
      <t>亿正纺织</t>
    </r>
  </si>
  <si>
    <t>SY25482</t>
  </si>
  <si>
    <t>A700</t>
  </si>
  <si>
    <t>SY25483</t>
  </si>
  <si>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人棉</t>
    </r>
  </si>
  <si>
    <t>25%AC 25%N 50%R</t>
  </si>
  <si>
    <t>K2539</t>
  </si>
  <si>
    <t>SY25484</t>
  </si>
  <si>
    <t>1550-2</t>
  </si>
  <si>
    <t>SY25485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</si>
  <si>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棉</t>
    </r>
  </si>
  <si>
    <t>65% R 35%C</t>
  </si>
  <si>
    <t>A1692-10</t>
  </si>
  <si>
    <t>SY25486</t>
  </si>
  <si>
    <r>
      <rPr>
        <sz val="10"/>
        <color theme="1"/>
        <rFont val="Calibri Light"/>
        <charset val="134"/>
      </rPr>
      <t>31%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49%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醋酸</t>
    </r>
  </si>
  <si>
    <t>31%N 49%TEL 20%AC</t>
  </si>
  <si>
    <t>A2138-10</t>
  </si>
  <si>
    <t>SY25487</t>
  </si>
  <si>
    <r>
      <rPr>
        <sz val="10"/>
        <color theme="1"/>
        <rFont val="Calibri Light"/>
        <charset val="134"/>
      </rPr>
      <t>39%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28%</t>
    </r>
    <r>
      <rPr>
        <sz val="10"/>
        <color theme="1"/>
        <rFont val="宋体"/>
        <charset val="134"/>
      </rPr>
      <t>尼龙</t>
    </r>
  </si>
  <si>
    <t>39%R 33%R 28%N</t>
  </si>
  <si>
    <t>A2158</t>
  </si>
  <si>
    <t>SY25489</t>
  </si>
  <si>
    <t>HT225</t>
  </si>
  <si>
    <t>SY25490</t>
  </si>
  <si>
    <t>V3364-287#</t>
  </si>
  <si>
    <t>SY25491</t>
  </si>
  <si>
    <t>SY25492</t>
  </si>
  <si>
    <r>
      <rPr>
        <sz val="10"/>
        <color theme="1"/>
        <rFont val="宋体"/>
        <charset val="134"/>
      </rPr>
      <t>希音条</t>
    </r>
  </si>
  <si>
    <t>SY25493</t>
  </si>
  <si>
    <t>J253-8</t>
  </si>
  <si>
    <t>SY25494</t>
  </si>
  <si>
    <t>F685-3385</t>
  </si>
  <si>
    <t>SY25495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</si>
  <si>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</si>
  <si>
    <t>80%TEL 20%N</t>
  </si>
  <si>
    <t>V3723#</t>
  </si>
  <si>
    <t>SY25496</t>
  </si>
  <si>
    <t>A1625</t>
  </si>
  <si>
    <t>SY25497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</si>
  <si>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60%</t>
    </r>
    <r>
      <rPr>
        <sz val="10"/>
        <color theme="1"/>
        <rFont val="宋体"/>
        <charset val="134"/>
      </rPr>
      <t>涤纶</t>
    </r>
  </si>
  <si>
    <t>40%R 60%T</t>
  </si>
  <si>
    <t>A1629-3</t>
  </si>
  <si>
    <t>SY25498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</si>
  <si>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42%</t>
    </r>
    <r>
      <rPr>
        <sz val="10"/>
        <color theme="1"/>
        <rFont val="宋体"/>
        <charset val="134"/>
      </rPr>
      <t>涤纶</t>
    </r>
  </si>
  <si>
    <t>58%V 42%T</t>
  </si>
  <si>
    <t>1587-2</t>
  </si>
  <si>
    <t>SY25499</t>
  </si>
  <si>
    <t>8599#</t>
  </si>
  <si>
    <t>SY25500</t>
  </si>
  <si>
    <t>3726#</t>
  </si>
  <si>
    <r>
      <rPr>
        <sz val="10"/>
        <color theme="1"/>
        <rFont val="宋体"/>
        <charset val="134"/>
      </rPr>
      <t>吉峰纺织</t>
    </r>
  </si>
  <si>
    <t>SY25501</t>
  </si>
  <si>
    <t>M3279</t>
  </si>
  <si>
    <r>
      <rPr>
        <sz val="10"/>
        <color theme="1"/>
        <rFont val="宋体"/>
        <charset val="134"/>
      </rPr>
      <t>联鑫纺织</t>
    </r>
  </si>
  <si>
    <t>SY25502</t>
  </si>
  <si>
    <t>A1398#</t>
  </si>
  <si>
    <r>
      <rPr>
        <sz val="10"/>
        <color theme="1"/>
        <rFont val="宋体"/>
        <charset val="134"/>
      </rPr>
      <t>林豊</t>
    </r>
  </si>
  <si>
    <t>SY25503</t>
  </si>
  <si>
    <t>A2904#</t>
  </si>
  <si>
    <t>SY25504</t>
  </si>
  <si>
    <t>A1572</t>
  </si>
  <si>
    <r>
      <rPr>
        <sz val="10"/>
        <color theme="1"/>
        <rFont val="宋体"/>
        <charset val="134"/>
      </rPr>
      <t>国航纺织</t>
    </r>
  </si>
  <si>
    <t>SY25505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</si>
  <si>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尼龙</t>
    </r>
  </si>
  <si>
    <t>70%R 30%N</t>
  </si>
  <si>
    <t>A1239</t>
  </si>
  <si>
    <r>
      <rPr>
        <sz val="10"/>
        <color theme="1"/>
        <rFont val="宋体"/>
        <charset val="134"/>
      </rPr>
      <t>乐熹</t>
    </r>
  </si>
  <si>
    <t>SY25506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</si>
  <si>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涤纶</t>
    </r>
  </si>
  <si>
    <t>40%R 30%TEL 30%T</t>
  </si>
  <si>
    <t>SY25507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</si>
  <si>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氨纶</t>
    </r>
  </si>
  <si>
    <t>90%N 10%SP</t>
  </si>
  <si>
    <t>SY25508</t>
  </si>
  <si>
    <t>SY25509</t>
  </si>
  <si>
    <t>S3004</t>
  </si>
  <si>
    <r>
      <rPr>
        <sz val="10"/>
        <color theme="1"/>
        <rFont val="宋体"/>
        <charset val="134"/>
      </rPr>
      <t>衣品汇</t>
    </r>
  </si>
  <si>
    <t>SY25510</t>
  </si>
  <si>
    <r>
      <rPr>
        <sz val="10"/>
        <color theme="1"/>
        <rFont val="Calibri Light"/>
        <charset val="134"/>
      </rPr>
      <t>37%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63%</t>
    </r>
    <r>
      <rPr>
        <sz val="10"/>
        <color theme="1"/>
        <rFont val="宋体"/>
        <charset val="134"/>
      </rPr>
      <t>尼龙</t>
    </r>
  </si>
  <si>
    <t>37%C 63%N</t>
  </si>
  <si>
    <t>A1796-3</t>
  </si>
  <si>
    <t>SY25511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</si>
  <si>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尼龙</t>
    </r>
  </si>
  <si>
    <t>70%C 30%N</t>
  </si>
  <si>
    <t>YF8895J</t>
  </si>
  <si>
    <t>SY25512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</si>
  <si>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宋体"/>
        <charset val="134"/>
      </rPr>
      <t>尼龙</t>
    </r>
  </si>
  <si>
    <t>68%C 32%N</t>
  </si>
  <si>
    <t>A1971-3</t>
  </si>
  <si>
    <t>SY25513</t>
  </si>
  <si>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82%</t>
    </r>
    <r>
      <rPr>
        <sz val="10"/>
        <color theme="1"/>
        <rFont val="宋体"/>
        <charset val="134"/>
      </rPr>
      <t>棉</t>
    </r>
  </si>
  <si>
    <t>18%N 82%C</t>
  </si>
  <si>
    <t>V3333-454#</t>
  </si>
  <si>
    <t>SY25514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</si>
  <si>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尼龙</t>
    </r>
  </si>
  <si>
    <t>78%C 22%N</t>
  </si>
  <si>
    <t>T24F111</t>
  </si>
  <si>
    <t>SY25515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</si>
  <si>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锦</t>
    </r>
  </si>
  <si>
    <t>T24F114</t>
  </si>
  <si>
    <t>SY25516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</si>
  <si>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涤</t>
    </r>
  </si>
  <si>
    <t>45%N 55%T</t>
  </si>
  <si>
    <t>A1917</t>
  </si>
  <si>
    <t>SY25517</t>
  </si>
  <si>
    <t>YM1009#</t>
  </si>
  <si>
    <t>SY25518</t>
  </si>
  <si>
    <t>P082#</t>
  </si>
  <si>
    <t>SY25519</t>
  </si>
  <si>
    <t>SY25520</t>
  </si>
  <si>
    <r>
      <rPr>
        <sz val="10"/>
        <color theme="1"/>
        <rFont val="Calibri Light"/>
        <charset val="134"/>
      </rPr>
      <t>69%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</si>
  <si>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69%T 27%R 4%SP</t>
  </si>
  <si>
    <t>5C135</t>
  </si>
  <si>
    <t>SY25521</t>
  </si>
  <si>
    <t>4A803</t>
  </si>
  <si>
    <t>SY25522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</si>
  <si>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</si>
  <si>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83%T 15%R 2%SP</t>
  </si>
  <si>
    <r>
      <rPr>
        <sz val="10"/>
        <color theme="1"/>
        <rFont val="Calibri Light"/>
        <charset val="134"/>
      </rPr>
      <t>16121#TR</t>
    </r>
    <r>
      <rPr>
        <sz val="10"/>
        <color theme="1"/>
        <rFont val="宋体"/>
        <charset val="134"/>
      </rPr>
      <t>双斜</t>
    </r>
  </si>
  <si>
    <t>SY25523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</si>
  <si>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氨纶</t>
    </r>
  </si>
  <si>
    <t>G9215</t>
  </si>
  <si>
    <t>SY25525</t>
  </si>
  <si>
    <r>
      <rPr>
        <sz val="10"/>
        <color theme="1"/>
        <rFont val="Calibri Light"/>
        <charset val="134"/>
      </rPr>
      <t>41%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麻</t>
    </r>
  </si>
  <si>
    <t>41%T 55%R 4%L</t>
  </si>
  <si>
    <t>SY25526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</si>
  <si>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</si>
  <si>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65%T 32%R 3%SP</t>
  </si>
  <si>
    <t>1172-2#</t>
  </si>
  <si>
    <t>SY25527</t>
  </si>
  <si>
    <t>2422#</t>
  </si>
  <si>
    <t>SY25528</t>
  </si>
  <si>
    <t>96%T 4%SP</t>
  </si>
  <si>
    <t>1082#</t>
  </si>
  <si>
    <t>SY25529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</si>
  <si>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涤纶</t>
    </r>
  </si>
  <si>
    <t>50%TEN 20%N 20%V 10%POLY</t>
  </si>
  <si>
    <t>凯盛亨</t>
  </si>
  <si>
    <t>691A#</t>
  </si>
  <si>
    <t>SY25530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</si>
  <si>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棉</t>
    </r>
  </si>
  <si>
    <t>55%L 50%R</t>
  </si>
  <si>
    <t>839#</t>
  </si>
  <si>
    <t>SY25531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</si>
  <si>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人棉</t>
    </r>
  </si>
  <si>
    <t>50%BCI COTTON 50%R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</si>
  <si>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10.5/</t>
    </r>
    <r>
      <rPr>
        <sz val="10"/>
        <color theme="1"/>
        <rFont val="宋体"/>
        <charset val="134"/>
      </rPr>
      <t>米</t>
    </r>
  </si>
  <si>
    <t>649#</t>
  </si>
  <si>
    <t>SY25532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</si>
  <si>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麻</t>
    </r>
  </si>
  <si>
    <t>80%V 20%L</t>
  </si>
  <si>
    <t>642A#</t>
  </si>
  <si>
    <t>SY25533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</si>
  <si>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麻</t>
    </r>
  </si>
  <si>
    <t>70%BCI COTTON 30%L</t>
  </si>
  <si>
    <t>045</t>
  </si>
  <si>
    <t>SY25534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</si>
  <si>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粘胶</t>
    </r>
  </si>
  <si>
    <t>30%L 70%V</t>
  </si>
  <si>
    <r>
      <rPr>
        <sz val="10"/>
        <color theme="1"/>
        <rFont val="宋体"/>
        <charset val="134"/>
      </rPr>
      <t>宏丰棉麻</t>
    </r>
  </si>
  <si>
    <t>SY25535</t>
  </si>
  <si>
    <r>
      <rPr>
        <sz val="10"/>
        <color theme="1"/>
        <rFont val="Calibri Light"/>
        <charset val="134"/>
      </rPr>
      <t>45%</t>
    </r>
    <r>
      <rPr>
        <sz val="11"/>
        <color rgb="FF000000"/>
        <rFont val="微软雅黑"/>
        <charset val="134"/>
      </rPr>
      <t>棉</t>
    </r>
    <r>
      <rPr>
        <sz val="11"/>
        <color rgb="FF000000"/>
        <rFont val="Calibri Light"/>
        <charset val="134"/>
      </rPr>
      <t xml:space="preserve"> 55%</t>
    </r>
    <r>
      <rPr>
        <sz val="11"/>
        <color rgb="FF000000"/>
        <rFont val="微软雅黑"/>
        <charset val="134"/>
      </rPr>
      <t>亚麻</t>
    </r>
  </si>
  <si>
    <r>
      <rPr>
        <sz val="10"/>
        <color theme="1"/>
        <rFont val="Calibri Light"/>
        <charset val="134"/>
      </rPr>
      <t>HC12</t>
    </r>
    <r>
      <rPr>
        <sz val="10"/>
        <color theme="1"/>
        <rFont val="宋体"/>
        <charset val="134"/>
      </rPr>
      <t>支</t>
    </r>
    <r>
      <rPr>
        <sz val="10"/>
        <color theme="1"/>
        <rFont val="Calibri Light"/>
        <charset val="134"/>
      </rPr>
      <t>/12</t>
    </r>
    <r>
      <rPr>
        <sz val="10"/>
        <color theme="1"/>
        <rFont val="宋体"/>
        <charset val="134"/>
      </rPr>
      <t>支竹节</t>
    </r>
  </si>
  <si>
    <t>SY25536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</si>
  <si>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亚麻</t>
    </r>
  </si>
  <si>
    <t>SY25537</t>
  </si>
  <si>
    <t>999-2A</t>
  </si>
  <si>
    <t>SY25538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</si>
  <si>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锦</t>
    </r>
  </si>
  <si>
    <t>TY999</t>
  </si>
  <si>
    <r>
      <rPr>
        <sz val="10"/>
        <color theme="1"/>
        <rFont val="宋体"/>
        <charset val="134"/>
      </rPr>
      <t>仿醋酸半光双缎</t>
    </r>
  </si>
  <si>
    <t>SY25539</t>
  </si>
  <si>
    <r>
      <rPr>
        <sz val="10"/>
        <color theme="1"/>
        <rFont val="宋体"/>
        <charset val="134"/>
      </rPr>
      <t>源隆纺织</t>
    </r>
  </si>
  <si>
    <r>
      <rPr>
        <sz val="10"/>
        <color theme="1"/>
        <rFont val="宋体"/>
        <charset val="134"/>
      </rPr>
      <t>醋酸金銮缎</t>
    </r>
  </si>
  <si>
    <t>SY25540</t>
  </si>
  <si>
    <r>
      <rPr>
        <sz val="11"/>
        <color indexed="8"/>
        <rFont val="Calibri Light"/>
        <charset val="134"/>
      </rPr>
      <t xml:space="preserve">9100 </t>
    </r>
    <r>
      <rPr>
        <sz val="11"/>
        <color rgb="FF000000"/>
        <rFont val="宋体"/>
        <charset val="134"/>
      </rPr>
      <t>醋酸麻</t>
    </r>
  </si>
  <si>
    <t>SY25541</t>
  </si>
  <si>
    <r>
      <rPr>
        <sz val="10"/>
        <color theme="1"/>
        <rFont val="宋体"/>
        <charset val="134"/>
      </rPr>
      <t>正弘南盛</t>
    </r>
  </si>
  <si>
    <r>
      <rPr>
        <sz val="10"/>
        <color theme="1"/>
        <rFont val="Calibri Light"/>
        <charset val="134"/>
      </rPr>
      <t>849/</t>
    </r>
    <r>
      <rPr>
        <sz val="10"/>
        <color theme="1"/>
        <rFont val="宋体"/>
        <charset val="134"/>
      </rPr>
      <t>加厚单面麻</t>
    </r>
  </si>
  <si>
    <t>SY25542</t>
  </si>
  <si>
    <r>
      <rPr>
        <sz val="10"/>
        <color theme="1"/>
        <rFont val="宋体"/>
        <charset val="134"/>
      </rPr>
      <t>新荣</t>
    </r>
  </si>
  <si>
    <r>
      <rPr>
        <sz val="10"/>
        <color theme="1"/>
        <rFont val="宋体"/>
        <charset val="134"/>
      </rPr>
      <t>醋酸双面缎</t>
    </r>
  </si>
  <si>
    <t>SY25543</t>
  </si>
  <si>
    <r>
      <rPr>
        <sz val="10"/>
        <color theme="1"/>
        <rFont val="宋体"/>
        <charset val="134"/>
      </rPr>
      <t>润森</t>
    </r>
  </si>
  <si>
    <r>
      <rPr>
        <sz val="10"/>
        <color theme="1"/>
        <rFont val="宋体"/>
        <charset val="134"/>
      </rPr>
      <t>华尔缎</t>
    </r>
  </si>
  <si>
    <t>SY25544</t>
  </si>
  <si>
    <t>润森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</si>
  <si>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10/</t>
    </r>
    <r>
      <rPr>
        <sz val="10"/>
        <color theme="1"/>
        <rFont val="宋体"/>
        <charset val="134"/>
      </rPr>
      <t>米</t>
    </r>
    <r>
      <rPr>
        <sz val="10"/>
        <color theme="1"/>
        <rFont val="Calibri Light"/>
        <charset val="134"/>
      </rPr>
      <t xml:space="preserve">  99#+1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 108#</t>
    </r>
    <r>
      <rPr>
        <sz val="10"/>
        <color theme="1"/>
        <rFont val="宋体"/>
        <charset val="134"/>
      </rPr>
      <t>加</t>
    </r>
    <r>
      <rPr>
        <sz val="10"/>
        <color theme="1"/>
        <rFont val="Calibri Light"/>
        <charset val="134"/>
      </rPr>
      <t>2.5</t>
    </r>
    <r>
      <rPr>
        <sz val="10"/>
        <color theme="1"/>
        <rFont val="宋体"/>
        <charset val="134"/>
      </rPr>
      <t>元</t>
    </r>
  </si>
  <si>
    <t>SY25545</t>
  </si>
  <si>
    <t>A001-6</t>
  </si>
  <si>
    <r>
      <rPr>
        <sz val="10"/>
        <color theme="1"/>
        <rFont val="宋体"/>
        <charset val="134"/>
      </rPr>
      <t>乐依纺</t>
    </r>
  </si>
  <si>
    <r>
      <rPr>
        <sz val="10"/>
        <color theme="1"/>
        <rFont val="宋体"/>
        <charset val="134"/>
      </rPr>
      <t>毛呢类</t>
    </r>
  </si>
  <si>
    <t>8-4</t>
  </si>
  <si>
    <t>SY25546</t>
  </si>
  <si>
    <r>
      <rPr>
        <sz val="10"/>
        <color theme="1"/>
        <rFont val="Calibri Light"/>
        <charset val="134"/>
      </rPr>
      <t xml:space="preserve">A001-5 </t>
    </r>
    <r>
      <rPr>
        <sz val="10"/>
        <color theme="1"/>
        <rFont val="宋体"/>
        <charset val="134"/>
      </rPr>
      <t>加厚</t>
    </r>
    <r>
      <rPr>
        <sz val="10"/>
        <color theme="1"/>
        <rFont val="Calibri Light"/>
        <charset val="134"/>
      </rPr>
      <t xml:space="preserve"> 2023</t>
    </r>
  </si>
  <si>
    <t>SY25548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</si>
  <si>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</si>
  <si>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70%T 25%R 5%SP</t>
  </si>
  <si>
    <r>
      <rPr>
        <sz val="10"/>
        <color theme="1"/>
        <rFont val="宋体"/>
        <charset val="134"/>
      </rPr>
      <t>条子</t>
    </r>
    <r>
      <rPr>
        <sz val="10"/>
        <color theme="1"/>
        <rFont val="Calibri Light"/>
        <charset val="134"/>
      </rPr>
      <t>111-1.5</t>
    </r>
    <r>
      <rPr>
        <sz val="10"/>
        <color theme="1"/>
        <rFont val="宋体"/>
        <charset val="134"/>
      </rPr>
      <t>条</t>
    </r>
  </si>
  <si>
    <r>
      <rPr>
        <sz val="10"/>
        <color theme="1"/>
        <rFont val="宋体"/>
        <charset val="134"/>
      </rPr>
      <t>时尚行</t>
    </r>
  </si>
  <si>
    <t>R18630</t>
  </si>
  <si>
    <t>SY25564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</si>
  <si>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27%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</si>
  <si>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70%BCI COTTON 27%NYLON 3%SP</t>
  </si>
  <si>
    <r>
      <rPr>
        <sz val="10"/>
        <color theme="1"/>
        <rFont val="宋体"/>
        <charset val="134"/>
      </rPr>
      <t>永成发</t>
    </r>
  </si>
  <si>
    <t>R182563</t>
  </si>
  <si>
    <t>SY25565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</si>
  <si>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</si>
  <si>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65%BCI COTTON 30%N 5%SP</t>
  </si>
  <si>
    <t>1185#</t>
  </si>
  <si>
    <t>SY25566</t>
  </si>
  <si>
    <r>
      <rPr>
        <sz val="10"/>
        <color theme="1"/>
        <rFont val="宋体"/>
        <charset val="134"/>
      </rPr>
      <t>恒鑫</t>
    </r>
  </si>
  <si>
    <t>1090A#</t>
  </si>
  <si>
    <t>SY25567</t>
  </si>
  <si>
    <t>恒鑫</t>
  </si>
  <si>
    <t>H1131</t>
  </si>
  <si>
    <t>SY25568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</si>
  <si>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32%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</si>
  <si>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65%BCI COTTON 32%N 3%SP</t>
  </si>
  <si>
    <r>
      <rPr>
        <sz val="10"/>
        <color theme="1"/>
        <rFont val="宋体"/>
        <charset val="134"/>
      </rPr>
      <t>纤色纺织</t>
    </r>
  </si>
  <si>
    <t>TC682</t>
  </si>
  <si>
    <t>SY25569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</si>
  <si>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</si>
  <si>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37%BCI COTTON 60%POLY  3%SP</t>
  </si>
  <si>
    <t>986#</t>
  </si>
  <si>
    <t>SY25570</t>
  </si>
  <si>
    <t>70%BCI COTTON 27%N 3%SP</t>
  </si>
  <si>
    <r>
      <rPr>
        <sz val="10"/>
        <color theme="1"/>
        <rFont val="Calibri Light"/>
        <charset val="134"/>
      </rPr>
      <t>9#/27#+0.3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  <r>
      <rPr>
        <sz val="10"/>
        <color theme="1"/>
        <rFont val="Calibri Light"/>
        <charset val="134"/>
      </rPr>
      <t xml:space="preserve"> 76#</t>
    </r>
    <r>
      <rPr>
        <sz val="10"/>
        <color theme="1"/>
        <rFont val="宋体"/>
        <charset val="134"/>
      </rPr>
      <t>高牢度黑</t>
    </r>
    <r>
      <rPr>
        <sz val="10"/>
        <color theme="1"/>
        <rFont val="Calibri Light"/>
        <charset val="134"/>
      </rPr>
      <t>+2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</si>
  <si>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997#</t>
  </si>
  <si>
    <t>SY25571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</si>
  <si>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</si>
  <si>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70%BCI COTTON 25%NYLON 5%SP</t>
  </si>
  <si>
    <r>
      <rPr>
        <sz val="10"/>
        <color theme="1"/>
        <rFont val="Calibri Light"/>
        <charset val="134"/>
      </rPr>
      <t>61#+1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</si>
  <si>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636#</t>
  </si>
  <si>
    <t>SY25572</t>
  </si>
  <si>
    <t>660#</t>
  </si>
  <si>
    <t>SY25573</t>
  </si>
  <si>
    <r>
      <rPr>
        <sz val="10"/>
        <color theme="1"/>
        <rFont val="Calibri Light"/>
        <charset val="134"/>
      </rPr>
      <t>168#+1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</si>
  <si>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989#</t>
  </si>
  <si>
    <t>SY25574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</si>
  <si>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36%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</si>
  <si>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57%BCI COTTON 36%NYLON 7%SP</t>
  </si>
  <si>
    <t>SY25575</t>
  </si>
  <si>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 xml:space="preserve">889 </t>
    </r>
    <r>
      <rPr>
        <sz val="10"/>
        <color theme="1"/>
        <rFont val="宋体"/>
        <charset val="134"/>
      </rPr>
      <t>全棉条</t>
    </r>
  </si>
  <si>
    <r>
      <rPr>
        <sz val="10"/>
        <color theme="1"/>
        <rFont val="宋体"/>
        <charset val="134"/>
      </rPr>
      <t>原野布行</t>
    </r>
  </si>
  <si>
    <t>SY25576</t>
  </si>
  <si>
    <t>KL1637</t>
  </si>
  <si>
    <r>
      <rPr>
        <sz val="10"/>
        <color theme="1"/>
        <rFont val="宋体"/>
        <charset val="134"/>
      </rPr>
      <t>金博大纺织</t>
    </r>
  </si>
  <si>
    <t>SY25577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</si>
  <si>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涤纶</t>
    </r>
  </si>
  <si>
    <t>45%C 55%T</t>
  </si>
  <si>
    <t>JBR-9844</t>
  </si>
  <si>
    <t>SY25578</t>
  </si>
  <si>
    <r>
      <rPr>
        <sz val="10"/>
        <color theme="1"/>
        <rFont val="宋体"/>
        <charset val="134"/>
      </rPr>
      <t>高密细旦密条</t>
    </r>
  </si>
  <si>
    <t>SY25579</t>
  </si>
  <si>
    <r>
      <rPr>
        <sz val="10"/>
        <color theme="1"/>
        <rFont val="宋体"/>
        <charset val="134"/>
      </rPr>
      <t>涤棉</t>
    </r>
  </si>
  <si>
    <t>TC</t>
  </si>
  <si>
    <r>
      <rPr>
        <sz val="10"/>
        <color theme="1"/>
        <rFont val="Calibri Light"/>
        <charset val="134"/>
      </rPr>
      <t>CC</t>
    </r>
    <r>
      <rPr>
        <sz val="10"/>
        <color theme="1"/>
        <rFont val="宋体"/>
        <charset val="134"/>
      </rPr>
      <t>小米通条</t>
    </r>
  </si>
  <si>
    <t>SY25580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</si>
  <si>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超细旦</t>
    </r>
  </si>
  <si>
    <t>H887</t>
  </si>
  <si>
    <t>SY25581</t>
  </si>
  <si>
    <t>KL1651</t>
  </si>
  <si>
    <t>SY25582</t>
  </si>
  <si>
    <t>G886</t>
  </si>
  <si>
    <t>SY25583</t>
  </si>
  <si>
    <t>J2416#</t>
  </si>
  <si>
    <t>SY25584</t>
  </si>
  <si>
    <t>17#</t>
  </si>
  <si>
    <t>SY25585</t>
  </si>
  <si>
    <r>
      <rPr>
        <sz val="10"/>
        <color theme="1"/>
        <rFont val="Calibri Light"/>
        <charset val="134"/>
      </rPr>
      <t>CC</t>
    </r>
    <r>
      <rPr>
        <sz val="10"/>
        <color theme="1"/>
        <rFont val="宋体"/>
        <charset val="134"/>
      </rPr>
      <t>米通条</t>
    </r>
  </si>
  <si>
    <t>SY25586</t>
  </si>
  <si>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 xml:space="preserve">1203 </t>
    </r>
    <r>
      <rPr>
        <sz val="10"/>
        <color theme="1"/>
        <rFont val="宋体"/>
        <charset val="134"/>
      </rPr>
      <t>涤棉条</t>
    </r>
  </si>
  <si>
    <t>SY25587</t>
  </si>
  <si>
    <r>
      <rPr>
        <sz val="10"/>
        <color theme="1"/>
        <rFont val="宋体"/>
        <charset val="134"/>
      </rPr>
      <t>永利达</t>
    </r>
  </si>
  <si>
    <t>SY25588</t>
  </si>
  <si>
    <t>SY25589</t>
  </si>
  <si>
    <t>60%C 40%T</t>
  </si>
  <si>
    <t>F3493-T3006</t>
  </si>
  <si>
    <t>SY25590</t>
  </si>
  <si>
    <t>CM100104</t>
  </si>
  <si>
    <t>SY25591</t>
  </si>
  <si>
    <t>CM100102</t>
  </si>
  <si>
    <t>SY25592</t>
  </si>
  <si>
    <t>CN100108</t>
  </si>
  <si>
    <t>SY25593</t>
  </si>
  <si>
    <t>F3509</t>
  </si>
  <si>
    <t>SY25594</t>
  </si>
  <si>
    <t>F3511</t>
  </si>
  <si>
    <t>SY25595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</si>
  <si>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65%</t>
    </r>
    <r>
      <rPr>
        <sz val="10"/>
        <color theme="1"/>
        <rFont val="宋体"/>
        <charset val="134"/>
      </rPr>
      <t>涤纶</t>
    </r>
  </si>
  <si>
    <t>35%C 65%T</t>
  </si>
  <si>
    <t>F3532</t>
  </si>
  <si>
    <t>SY25596</t>
  </si>
  <si>
    <t>F3533</t>
  </si>
  <si>
    <t>SY25597</t>
  </si>
  <si>
    <t>F3568</t>
  </si>
  <si>
    <t>SY25598</t>
  </si>
  <si>
    <t>SY25599</t>
  </si>
  <si>
    <t>SY25601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</si>
  <si>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棉</t>
    </r>
  </si>
  <si>
    <t>50%T 50%C</t>
  </si>
  <si>
    <r>
      <rPr>
        <sz val="10"/>
        <color theme="1"/>
        <rFont val="宋体"/>
        <charset val="134"/>
      </rPr>
      <t>格子类</t>
    </r>
  </si>
  <si>
    <t>8-1</t>
  </si>
  <si>
    <t>SY25602</t>
  </si>
  <si>
    <t>SY25603</t>
  </si>
  <si>
    <t>A053</t>
  </si>
  <si>
    <t>SY25604</t>
  </si>
  <si>
    <t>A29</t>
  </si>
  <si>
    <r>
      <rPr>
        <sz val="10"/>
        <color theme="1"/>
        <rFont val="宋体"/>
        <charset val="134"/>
      </rPr>
      <t>荣玺</t>
    </r>
  </si>
  <si>
    <t>SY25605</t>
  </si>
  <si>
    <r>
      <rPr>
        <sz val="10"/>
        <color theme="1"/>
        <rFont val="宋体"/>
        <charset val="134"/>
      </rPr>
      <t>鸿远布业</t>
    </r>
  </si>
  <si>
    <t>SY25606</t>
  </si>
  <si>
    <t>SY25607</t>
  </si>
  <si>
    <r>
      <rPr>
        <sz val="10"/>
        <color theme="1"/>
        <rFont val="Calibri Light"/>
        <charset val="134"/>
      </rPr>
      <t>0.8</t>
    </r>
    <r>
      <rPr>
        <sz val="10"/>
        <color theme="1"/>
        <rFont val="宋体"/>
        <charset val="134"/>
      </rPr>
      <t>涤棉格</t>
    </r>
  </si>
  <si>
    <t>SY25608</t>
  </si>
  <si>
    <t>CM100149</t>
  </si>
  <si>
    <t>SY25609</t>
  </si>
  <si>
    <t>SY25610</t>
  </si>
  <si>
    <t>SY25611</t>
  </si>
  <si>
    <t>S1419MTR</t>
  </si>
  <si>
    <t>SY25612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</si>
  <si>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粘胶</t>
    </r>
  </si>
  <si>
    <t>72%T 26%C 2%V</t>
  </si>
  <si>
    <t>Y071159H</t>
  </si>
  <si>
    <t>SY25613</t>
  </si>
  <si>
    <r>
      <rPr>
        <sz val="10"/>
        <color theme="1"/>
        <rFont val="宋体"/>
        <charset val="134"/>
      </rPr>
      <t>粗纺</t>
    </r>
    <r>
      <rPr>
        <sz val="10"/>
        <color theme="1"/>
        <rFont val="Calibri Light"/>
        <charset val="134"/>
      </rPr>
      <t>700014</t>
    </r>
  </si>
  <si>
    <t>SY25614</t>
  </si>
  <si>
    <r>
      <rPr>
        <sz val="10"/>
        <color theme="1"/>
        <rFont val="宋体"/>
        <charset val="134"/>
      </rPr>
      <t>粗纺</t>
    </r>
    <r>
      <rPr>
        <sz val="10"/>
        <color theme="1"/>
        <rFont val="Calibri Light"/>
        <charset val="134"/>
      </rPr>
      <t>700001</t>
    </r>
  </si>
  <si>
    <t>SY25615</t>
  </si>
  <si>
    <r>
      <rPr>
        <sz val="10"/>
        <color theme="1"/>
        <rFont val="宋体"/>
        <charset val="134"/>
      </rPr>
      <t>叶氏纺织</t>
    </r>
  </si>
  <si>
    <r>
      <rPr>
        <sz val="10"/>
        <color theme="1"/>
        <rFont val="宋体"/>
        <charset val="134"/>
      </rPr>
      <t>全棉品质条</t>
    </r>
  </si>
  <si>
    <t>SY25616</t>
  </si>
  <si>
    <r>
      <rPr>
        <sz val="10"/>
        <color theme="1"/>
        <rFont val="宋体"/>
        <charset val="134"/>
      </rPr>
      <t>布小帮</t>
    </r>
  </si>
  <si>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>1591</t>
    </r>
  </si>
  <si>
    <r>
      <rPr>
        <sz val="11"/>
        <color rgb="FF000000"/>
        <rFont val="宋体"/>
        <charset val="134"/>
      </rPr>
      <t>编</t>
    </r>
    <r>
      <rPr>
        <sz val="11"/>
        <color rgb="FF000000"/>
        <rFont val="Calibri Light"/>
        <charset val="134"/>
      </rPr>
      <t>1591</t>
    </r>
  </si>
  <si>
    <r>
      <rPr>
        <sz val="10"/>
        <color theme="1"/>
        <rFont val="宋体"/>
        <charset val="134"/>
      </rPr>
      <t>色织衬衫条</t>
    </r>
  </si>
  <si>
    <t>SY25617</t>
  </si>
  <si>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80%</t>
    </r>
    <r>
      <rPr>
        <sz val="10"/>
        <color theme="1"/>
        <rFont val="宋体"/>
        <charset val="134"/>
      </rPr>
      <t>涤纶</t>
    </r>
  </si>
  <si>
    <t>20%BCI COTTON 80%POLY</t>
  </si>
  <si>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>978</t>
    </r>
  </si>
  <si>
    <r>
      <rPr>
        <sz val="11"/>
        <color rgb="FF000000"/>
        <rFont val="宋体"/>
        <charset val="134"/>
      </rPr>
      <t>编</t>
    </r>
    <r>
      <rPr>
        <sz val="11"/>
        <color rgb="FF000000"/>
        <rFont val="Calibri Light"/>
        <charset val="134"/>
      </rPr>
      <t>978</t>
    </r>
  </si>
  <si>
    <r>
      <rPr>
        <sz val="10"/>
        <color theme="1"/>
        <rFont val="宋体"/>
        <charset val="134"/>
      </rPr>
      <t>天丝棉涤条</t>
    </r>
  </si>
  <si>
    <t>SY25618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</si>
  <si>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涤纶</t>
    </r>
  </si>
  <si>
    <t>55%POLY 45%TEN</t>
  </si>
  <si>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>2241</t>
    </r>
  </si>
  <si>
    <r>
      <rPr>
        <sz val="11"/>
        <color rgb="FF000000"/>
        <rFont val="宋体"/>
        <charset val="134"/>
      </rPr>
      <t>编</t>
    </r>
    <r>
      <rPr>
        <sz val="11"/>
        <color rgb="FF000000"/>
        <rFont val="Calibri Light"/>
        <charset val="134"/>
      </rPr>
      <t>2241</t>
    </r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</si>
  <si>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C33#</t>
    </r>
  </si>
  <si>
    <t>SY25619</t>
  </si>
  <si>
    <t>A803</t>
  </si>
  <si>
    <r>
      <rPr>
        <sz val="10"/>
        <color theme="1"/>
        <rFont val="宋体"/>
        <charset val="134"/>
      </rPr>
      <t>达利纺织</t>
    </r>
  </si>
  <si>
    <t>KL1638</t>
  </si>
  <si>
    <t>SY25620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</si>
  <si>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棉</t>
    </r>
  </si>
  <si>
    <t>40%BCI COTTON 60%POLY</t>
  </si>
  <si>
    <r>
      <rPr>
        <sz val="10"/>
        <color theme="1"/>
        <rFont val="Calibri Light"/>
        <charset val="134"/>
      </rPr>
      <t>2012#</t>
    </r>
    <r>
      <rPr>
        <sz val="10"/>
        <color theme="1"/>
        <rFont val="宋体"/>
        <charset val="134"/>
      </rPr>
      <t>条</t>
    </r>
  </si>
  <si>
    <t>SY25621</t>
  </si>
  <si>
    <t>85%BCI COTTON 15%NYLON</t>
  </si>
  <si>
    <r>
      <rPr>
        <sz val="10"/>
        <color theme="1"/>
        <rFont val="宋体"/>
        <charset val="134"/>
      </rPr>
      <t>博之兰纺织</t>
    </r>
  </si>
  <si>
    <t>68-61</t>
  </si>
  <si>
    <t>SY25622</t>
  </si>
  <si>
    <t>50%BCI COTTON 50%POLY</t>
  </si>
  <si>
    <r>
      <rPr>
        <sz val="10"/>
        <color theme="1"/>
        <rFont val="宋体"/>
        <charset val="134"/>
      </rPr>
      <t>森利纺织</t>
    </r>
  </si>
  <si>
    <t>68-66</t>
  </si>
  <si>
    <t>SY25623</t>
  </si>
  <si>
    <t>68-59</t>
  </si>
  <si>
    <t>SY25624</t>
  </si>
  <si>
    <t>CCB</t>
  </si>
  <si>
    <r>
      <rPr>
        <sz val="10"/>
        <color theme="1"/>
        <rFont val="宋体"/>
        <charset val="134"/>
      </rPr>
      <t>棉麻</t>
    </r>
  </si>
  <si>
    <t>SY25625</t>
  </si>
  <si>
    <r>
      <rPr>
        <sz val="10"/>
        <rFont val="Calibri Light"/>
        <charset val="134"/>
      </rPr>
      <t>100%</t>
    </r>
    <r>
      <rPr>
        <sz val="10"/>
        <rFont val="微软雅黑"/>
        <charset val="134"/>
      </rPr>
      <t>亚麻</t>
    </r>
  </si>
  <si>
    <t>100%LINEN</t>
  </si>
  <si>
    <r>
      <rPr>
        <sz val="10"/>
        <color theme="1"/>
        <rFont val="宋体"/>
        <charset val="134"/>
      </rPr>
      <t>鉴泽棉麻</t>
    </r>
  </si>
  <si>
    <r>
      <rPr>
        <sz val="10"/>
        <rFont val="Calibri Light"/>
        <charset val="134"/>
      </rPr>
      <t>101</t>
    </r>
    <r>
      <rPr>
        <sz val="10"/>
        <rFont val="微软雅黑"/>
        <charset val="134"/>
      </rPr>
      <t>纯亚麻</t>
    </r>
  </si>
  <si>
    <t>SY25626</t>
  </si>
  <si>
    <r>
      <rPr>
        <sz val="10"/>
        <rFont val="Calibri Light"/>
        <charset val="134"/>
      </rPr>
      <t>2008</t>
    </r>
    <r>
      <rPr>
        <sz val="10"/>
        <rFont val="微软雅黑"/>
        <charset val="134"/>
      </rPr>
      <t>纯亚麻</t>
    </r>
  </si>
  <si>
    <t>SY25627</t>
  </si>
  <si>
    <r>
      <rPr>
        <sz val="10"/>
        <rFont val="Calibri Light"/>
        <charset val="134"/>
      </rPr>
      <t>2836</t>
    </r>
    <r>
      <rPr>
        <sz val="10"/>
        <rFont val="微软雅黑"/>
        <charset val="134"/>
      </rPr>
      <t>纯亚麻</t>
    </r>
  </si>
  <si>
    <t>SY25628</t>
  </si>
  <si>
    <r>
      <rPr>
        <sz val="10"/>
        <rFont val="Calibri Light"/>
        <charset val="134"/>
      </rPr>
      <t>55%</t>
    </r>
    <r>
      <rPr>
        <sz val="10"/>
        <rFont val="宋体"/>
        <charset val="134"/>
      </rPr>
      <t>亚麻</t>
    </r>
    <r>
      <rPr>
        <sz val="10"/>
        <rFont val="Calibri Light"/>
        <charset val="134"/>
      </rPr>
      <t xml:space="preserve"> 45%</t>
    </r>
    <r>
      <rPr>
        <sz val="10"/>
        <rFont val="宋体"/>
        <charset val="134"/>
      </rPr>
      <t>棉</t>
    </r>
  </si>
  <si>
    <t>55%LINEN45%BCI COTTON</t>
  </si>
  <si>
    <r>
      <rPr>
        <sz val="10"/>
        <rFont val="Calibri Light"/>
        <charset val="134"/>
      </rPr>
      <t>317</t>
    </r>
    <r>
      <rPr>
        <sz val="10"/>
        <rFont val="微软雅黑"/>
        <charset val="134"/>
      </rPr>
      <t>亚麻棉交织</t>
    </r>
  </si>
  <si>
    <t>SY25629</t>
  </si>
  <si>
    <r>
      <rPr>
        <sz val="10"/>
        <rFont val="Calibri Light"/>
        <charset val="134"/>
      </rPr>
      <t>55%</t>
    </r>
    <r>
      <rPr>
        <sz val="10"/>
        <rFont val="宋体"/>
        <charset val="134"/>
      </rPr>
      <t>亚麻</t>
    </r>
    <r>
      <rPr>
        <sz val="10"/>
        <rFont val="Calibri Light"/>
        <charset val="134"/>
      </rPr>
      <t xml:space="preserve"> 45%</t>
    </r>
    <r>
      <rPr>
        <sz val="10"/>
        <rFont val="宋体"/>
        <charset val="134"/>
      </rPr>
      <t>粘胶</t>
    </r>
  </si>
  <si>
    <r>
      <rPr>
        <sz val="10"/>
        <rFont val="Calibri Light"/>
        <charset val="134"/>
      </rPr>
      <t>3024</t>
    </r>
    <r>
      <rPr>
        <sz val="10"/>
        <rFont val="微软雅黑"/>
        <charset val="134"/>
      </rPr>
      <t>粘亚麻交织</t>
    </r>
  </si>
  <si>
    <t>SY25630</t>
  </si>
  <si>
    <r>
      <rPr>
        <sz val="10"/>
        <rFont val="Calibri Light"/>
        <charset val="134"/>
      </rPr>
      <t>85%</t>
    </r>
    <r>
      <rPr>
        <sz val="10"/>
        <rFont val="宋体"/>
        <charset val="134"/>
      </rPr>
      <t>粘胶</t>
    </r>
    <r>
      <rPr>
        <sz val="10"/>
        <rFont val="Calibri Light"/>
        <charset val="134"/>
      </rPr>
      <t xml:space="preserve"> 15%</t>
    </r>
    <r>
      <rPr>
        <sz val="10"/>
        <rFont val="宋体"/>
        <charset val="134"/>
      </rPr>
      <t>亚麻</t>
    </r>
  </si>
  <si>
    <t>85%V15%LINEN</t>
  </si>
  <si>
    <r>
      <rPr>
        <sz val="10"/>
        <rFont val="Calibri Light"/>
        <charset val="134"/>
      </rPr>
      <t>1212</t>
    </r>
    <r>
      <rPr>
        <sz val="10"/>
        <rFont val="微软雅黑"/>
        <charset val="134"/>
      </rPr>
      <t>竹节粘亚麻</t>
    </r>
  </si>
  <si>
    <t>SY25631</t>
  </si>
  <si>
    <r>
      <rPr>
        <sz val="10"/>
        <rFont val="Calibri Light"/>
        <charset val="134"/>
      </rPr>
      <t>70%</t>
    </r>
    <r>
      <rPr>
        <sz val="10"/>
        <rFont val="宋体"/>
        <charset val="134"/>
      </rPr>
      <t>棉麻</t>
    </r>
    <r>
      <rPr>
        <sz val="10"/>
        <rFont val="Calibri Light"/>
        <charset val="134"/>
      </rPr>
      <t xml:space="preserve"> 30%</t>
    </r>
    <r>
      <rPr>
        <sz val="10"/>
        <rFont val="宋体"/>
        <charset val="134"/>
      </rPr>
      <t>聚酯纤维</t>
    </r>
  </si>
  <si>
    <t>70%LINEN&amp;COTTON 30%POLY</t>
  </si>
  <si>
    <r>
      <rPr>
        <sz val="10"/>
        <rFont val="Calibri Light"/>
        <charset val="134"/>
      </rPr>
      <t>2100</t>
    </r>
    <r>
      <rPr>
        <sz val="10"/>
        <rFont val="微软雅黑"/>
        <charset val="134"/>
      </rPr>
      <t>粘亚麻棉</t>
    </r>
  </si>
  <si>
    <t>鉴泽棉麻</t>
  </si>
  <si>
    <t>SY25632</t>
  </si>
  <si>
    <r>
      <rPr>
        <sz val="10"/>
        <rFont val="Calibri Light"/>
        <charset val="134"/>
      </rPr>
      <t>2168</t>
    </r>
    <r>
      <rPr>
        <sz val="10"/>
        <rFont val="微软雅黑"/>
        <charset val="134"/>
      </rPr>
      <t>粘亚麻棉</t>
    </r>
  </si>
  <si>
    <t>SY25633</t>
  </si>
  <si>
    <r>
      <rPr>
        <sz val="10"/>
        <rFont val="Calibri Light"/>
        <charset val="134"/>
      </rPr>
      <t>75%</t>
    </r>
    <r>
      <rPr>
        <sz val="10"/>
        <rFont val="宋体"/>
        <charset val="134"/>
      </rPr>
      <t>天丝</t>
    </r>
    <r>
      <rPr>
        <sz val="10"/>
        <rFont val="Calibri Light"/>
        <charset val="134"/>
      </rPr>
      <t xml:space="preserve"> 25%</t>
    </r>
    <r>
      <rPr>
        <sz val="10"/>
        <rFont val="宋体"/>
        <charset val="134"/>
      </rPr>
      <t>亚麻</t>
    </r>
  </si>
  <si>
    <t>25%LINEN 75%TEN</t>
  </si>
  <si>
    <r>
      <rPr>
        <sz val="10"/>
        <rFont val="Calibri Light"/>
        <charset val="134"/>
      </rPr>
      <t>2199</t>
    </r>
    <r>
      <rPr>
        <sz val="10"/>
        <rFont val="微软雅黑"/>
        <charset val="134"/>
      </rPr>
      <t>天丝亚麻</t>
    </r>
  </si>
  <si>
    <t>SY25634</t>
  </si>
  <si>
    <r>
      <rPr>
        <sz val="10"/>
        <rFont val="Calibri Light"/>
        <charset val="134"/>
      </rPr>
      <t>8014</t>
    </r>
    <r>
      <rPr>
        <sz val="10"/>
        <rFont val="微软雅黑"/>
        <charset val="134"/>
      </rPr>
      <t>天丝亚麻</t>
    </r>
  </si>
  <si>
    <t>SY25635</t>
  </si>
  <si>
    <r>
      <rPr>
        <sz val="10"/>
        <rFont val="Calibri Light"/>
        <charset val="134"/>
      </rPr>
      <t>8021</t>
    </r>
    <r>
      <rPr>
        <sz val="10"/>
        <rFont val="微软雅黑"/>
        <charset val="134"/>
      </rPr>
      <t>天丝亚麻</t>
    </r>
  </si>
  <si>
    <t>SY25636</t>
  </si>
  <si>
    <r>
      <rPr>
        <sz val="10"/>
        <rFont val="Calibri Light"/>
        <charset val="134"/>
      </rPr>
      <t>8029</t>
    </r>
    <r>
      <rPr>
        <sz val="10"/>
        <rFont val="微软雅黑"/>
        <charset val="134"/>
      </rPr>
      <t>天丝亚麻</t>
    </r>
  </si>
  <si>
    <t>SY25637</t>
  </si>
  <si>
    <r>
      <rPr>
        <sz val="10"/>
        <rFont val="Calibri Light"/>
        <charset val="134"/>
      </rPr>
      <t>8030</t>
    </r>
    <r>
      <rPr>
        <sz val="10"/>
        <rFont val="微软雅黑"/>
        <charset val="134"/>
      </rPr>
      <t>天丝亚麻</t>
    </r>
  </si>
  <si>
    <t>SY25638</t>
  </si>
  <si>
    <r>
      <rPr>
        <sz val="10"/>
        <rFont val="Calibri Light"/>
        <charset val="134"/>
      </rPr>
      <t>8033</t>
    </r>
    <r>
      <rPr>
        <sz val="10"/>
        <rFont val="微软雅黑"/>
        <charset val="134"/>
      </rPr>
      <t>天丝麻斜纹</t>
    </r>
  </si>
  <si>
    <t>SY25639</t>
  </si>
  <si>
    <t>2221#</t>
  </si>
  <si>
    <r>
      <rPr>
        <sz val="10"/>
        <color theme="1"/>
        <rFont val="宋体"/>
        <charset val="134"/>
      </rPr>
      <t>穗纺行</t>
    </r>
  </si>
  <si>
    <t>SY25640</t>
  </si>
  <si>
    <t>2134#</t>
  </si>
  <si>
    <t>SY25641</t>
  </si>
  <si>
    <t>1601M</t>
  </si>
  <si>
    <t>SY25642</t>
  </si>
  <si>
    <t>2101M</t>
  </si>
  <si>
    <t>SY25643</t>
  </si>
  <si>
    <t>97%COTTON3%SP</t>
  </si>
  <si>
    <t>2810M</t>
  </si>
  <si>
    <t>SY25644</t>
  </si>
  <si>
    <t>2111M</t>
  </si>
  <si>
    <r>
      <rPr>
        <sz val="10"/>
        <color theme="1"/>
        <rFont val="宋体"/>
        <charset val="134"/>
      </rPr>
      <t>涤粘套装</t>
    </r>
  </si>
  <si>
    <t>SY25645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</si>
  <si>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</si>
  <si>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A30/TR</t>
    </r>
    <r>
      <rPr>
        <sz val="10"/>
        <color theme="1"/>
        <rFont val="宋体"/>
        <charset val="134"/>
      </rPr>
      <t>平纹</t>
    </r>
  </si>
  <si>
    <r>
      <rPr>
        <sz val="10"/>
        <color theme="1"/>
        <rFont val="宋体"/>
        <charset val="134"/>
      </rPr>
      <t>正大</t>
    </r>
  </si>
  <si>
    <t>SY25646</t>
  </si>
  <si>
    <r>
      <rPr>
        <sz val="10"/>
        <color theme="1"/>
        <rFont val="Calibri Light"/>
        <charset val="134"/>
      </rPr>
      <t>A31/TR</t>
    </r>
    <r>
      <rPr>
        <sz val="10"/>
        <color theme="1"/>
        <rFont val="宋体"/>
        <charset val="134"/>
      </rPr>
      <t>大斜</t>
    </r>
  </si>
  <si>
    <t>SY25647</t>
  </si>
  <si>
    <r>
      <rPr>
        <sz val="10"/>
        <color theme="1"/>
        <rFont val="Calibri Light"/>
        <charset val="134"/>
      </rPr>
      <t>A32/TR</t>
    </r>
    <r>
      <rPr>
        <sz val="10"/>
        <color theme="1"/>
        <rFont val="宋体"/>
        <charset val="134"/>
      </rPr>
      <t>细斜</t>
    </r>
  </si>
  <si>
    <t>SY25648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</si>
  <si>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人棉</t>
    </r>
  </si>
  <si>
    <r>
      <rPr>
        <sz val="10"/>
        <color theme="1"/>
        <rFont val="Calibri Light"/>
        <charset val="134"/>
      </rPr>
      <t>A104/TR</t>
    </r>
    <r>
      <rPr>
        <sz val="10"/>
        <color theme="1"/>
        <rFont val="宋体"/>
        <charset val="134"/>
      </rPr>
      <t>哔叽斜纹</t>
    </r>
  </si>
  <si>
    <t>SY25649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</si>
  <si>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</si>
  <si>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A115/TR 3/1</t>
    </r>
    <r>
      <rPr>
        <sz val="10"/>
        <color theme="1"/>
        <rFont val="宋体"/>
        <charset val="134"/>
      </rPr>
      <t>斜</t>
    </r>
  </si>
  <si>
    <t>SY25650</t>
  </si>
  <si>
    <r>
      <rPr>
        <sz val="10"/>
        <color theme="1"/>
        <rFont val="Calibri Light"/>
        <charset val="134"/>
      </rPr>
      <t>A29/TR</t>
    </r>
    <r>
      <rPr>
        <sz val="10"/>
        <color theme="1"/>
        <rFont val="宋体"/>
        <charset val="134"/>
      </rPr>
      <t>双斜</t>
    </r>
  </si>
  <si>
    <t>SY25651</t>
  </si>
  <si>
    <t>80%POLY20%R</t>
  </si>
  <si>
    <r>
      <rPr>
        <sz val="10"/>
        <color theme="1"/>
        <rFont val="Calibri Light"/>
        <charset val="134"/>
      </rPr>
      <t>Y591/TR 2/2</t>
    </r>
    <r>
      <rPr>
        <sz val="10"/>
        <color theme="1"/>
        <rFont val="宋体"/>
        <charset val="134"/>
      </rPr>
      <t>斜</t>
    </r>
  </si>
  <si>
    <r>
      <rPr>
        <sz val="10"/>
        <color theme="1"/>
        <rFont val="宋体"/>
        <charset val="134"/>
      </rPr>
      <t>欧晔纺织</t>
    </r>
  </si>
  <si>
    <t>SY25652</t>
  </si>
  <si>
    <r>
      <rPr>
        <sz val="10"/>
        <color theme="1"/>
        <rFont val="Calibri Light"/>
        <charset val="134"/>
      </rPr>
      <t>Y568/TR 2/2</t>
    </r>
    <r>
      <rPr>
        <sz val="10"/>
        <color theme="1"/>
        <rFont val="宋体"/>
        <charset val="134"/>
      </rPr>
      <t>斜</t>
    </r>
  </si>
  <si>
    <t>SY25653</t>
  </si>
  <si>
    <r>
      <rPr>
        <sz val="10"/>
        <color theme="1"/>
        <rFont val="Calibri Light"/>
        <charset val="134"/>
      </rPr>
      <t>Y529/TR 2/2</t>
    </r>
    <r>
      <rPr>
        <sz val="10"/>
        <color theme="1"/>
        <rFont val="宋体"/>
        <charset val="134"/>
      </rPr>
      <t>斜</t>
    </r>
  </si>
  <si>
    <t>SY25654</t>
  </si>
  <si>
    <r>
      <rPr>
        <sz val="10"/>
        <color theme="1"/>
        <rFont val="Calibri Light"/>
        <charset val="134"/>
      </rPr>
      <t>Y518/TR 2/2</t>
    </r>
    <r>
      <rPr>
        <sz val="10"/>
        <color theme="1"/>
        <rFont val="宋体"/>
        <charset val="134"/>
      </rPr>
      <t>斜</t>
    </r>
  </si>
  <si>
    <t>SY25655</t>
  </si>
  <si>
    <r>
      <rPr>
        <sz val="10"/>
        <color theme="1"/>
        <rFont val="Calibri Light"/>
        <charset val="134"/>
      </rPr>
      <t>5008#/TR2/2</t>
    </r>
    <r>
      <rPr>
        <sz val="10"/>
        <color theme="1"/>
        <rFont val="宋体"/>
        <charset val="134"/>
      </rPr>
      <t>斜</t>
    </r>
  </si>
  <si>
    <r>
      <rPr>
        <sz val="10"/>
        <color theme="1"/>
        <rFont val="宋体"/>
        <charset val="134"/>
      </rPr>
      <t>享运时尚</t>
    </r>
  </si>
  <si>
    <t>SY25656</t>
  </si>
  <si>
    <t>80%POLY16%ROYAN4%SP</t>
  </si>
  <si>
    <r>
      <rPr>
        <sz val="10"/>
        <color theme="1"/>
        <rFont val="宋体"/>
        <charset val="134"/>
      </rPr>
      <t>空差</t>
    </r>
    <r>
      <rPr>
        <sz val="10"/>
        <color theme="1"/>
        <rFont val="Calibri Light"/>
        <charset val="134"/>
      </rPr>
      <t>96</t>
    </r>
    <r>
      <rPr>
        <sz val="10"/>
        <color theme="1"/>
        <rFont val="宋体"/>
        <charset val="134"/>
      </rPr>
      <t>不含税</t>
    </r>
  </si>
  <si>
    <t>TR18095</t>
  </si>
  <si>
    <r>
      <rPr>
        <sz val="10"/>
        <color theme="1"/>
        <rFont val="宋体"/>
        <charset val="134"/>
      </rPr>
      <t>凯盛纺织</t>
    </r>
  </si>
  <si>
    <t>SY25657</t>
  </si>
  <si>
    <t>TR6508</t>
  </si>
  <si>
    <t>SY25658</t>
  </si>
  <si>
    <t>TR18035</t>
  </si>
  <si>
    <t>SY25659</t>
  </si>
  <si>
    <t>TR18096</t>
  </si>
  <si>
    <t>SY25660</t>
  </si>
  <si>
    <t>TR6092</t>
  </si>
  <si>
    <t>SY25661</t>
  </si>
  <si>
    <t>TR18033</t>
  </si>
  <si>
    <t>SY25662</t>
  </si>
  <si>
    <t>TR6080</t>
  </si>
  <si>
    <t>SY25663</t>
  </si>
  <si>
    <t>94%POLY6%SP</t>
  </si>
  <si>
    <t>空差95不含税</t>
  </si>
  <si>
    <r>
      <rPr>
        <sz val="10"/>
        <color theme="1"/>
        <rFont val="宋体"/>
        <charset val="134"/>
      </rPr>
      <t>盛隆时尚</t>
    </r>
  </si>
  <si>
    <t>SY25664</t>
  </si>
  <si>
    <t>71%POLY24%COTTON5%SP</t>
  </si>
  <si>
    <t>SY25665</t>
  </si>
  <si>
    <t>82%POLY 10%RAYON 3%wool 5%SP</t>
  </si>
  <si>
    <t>SY25666</t>
  </si>
  <si>
    <t>SY25667</t>
  </si>
  <si>
    <r>
      <rPr>
        <sz val="10"/>
        <color theme="1"/>
        <rFont val="Calibri Light"/>
        <charset val="134"/>
      </rPr>
      <t>48.8%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50.6%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0.6%</t>
    </r>
    <r>
      <rPr>
        <sz val="10"/>
        <color theme="1"/>
        <rFont val="宋体"/>
        <charset val="134"/>
      </rPr>
      <t>氨纶</t>
    </r>
  </si>
  <si>
    <t>48.8%T 50.6%C 0.6%SP</t>
  </si>
  <si>
    <r>
      <rPr>
        <sz val="10"/>
        <color theme="1"/>
        <rFont val="宋体"/>
        <charset val="134"/>
      </rPr>
      <t>优步</t>
    </r>
  </si>
  <si>
    <t>1628#</t>
  </si>
  <si>
    <r>
      <rPr>
        <sz val="10"/>
        <color theme="1"/>
        <rFont val="宋体"/>
        <charset val="134"/>
      </rPr>
      <t>棉布</t>
    </r>
  </si>
  <si>
    <t>9-1</t>
  </si>
  <si>
    <t>SY25668</t>
  </si>
  <si>
    <t>1476#</t>
  </si>
  <si>
    <t>SY25669</t>
  </si>
  <si>
    <r>
      <rPr>
        <sz val="10"/>
        <color theme="1"/>
        <rFont val="Calibri Light"/>
        <charset val="134"/>
      </rPr>
      <t>98%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</si>
  <si>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98%C2%SP</t>
  </si>
  <si>
    <t>1942#</t>
  </si>
  <si>
    <t>SY25670</t>
  </si>
  <si>
    <r>
      <rPr>
        <sz val="10"/>
        <color theme="1"/>
        <rFont val="Calibri Light"/>
        <charset val="134"/>
      </rPr>
      <t>47.2%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35.6%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17.2%</t>
    </r>
    <r>
      <rPr>
        <sz val="10"/>
        <color theme="1"/>
        <rFont val="宋体"/>
        <charset val="134"/>
      </rPr>
      <t>粘纤</t>
    </r>
  </si>
  <si>
    <t>47.2%T 35.6%C 17.2%V</t>
  </si>
  <si>
    <t>1612#</t>
  </si>
  <si>
    <t>SY25671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</si>
  <si>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23%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</si>
  <si>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75%C 23%LC 2%SP</t>
  </si>
  <si>
    <t>SY25672</t>
  </si>
  <si>
    <r>
      <rPr>
        <sz val="10"/>
        <color theme="1"/>
        <rFont val="Calibri Light"/>
        <charset val="134"/>
      </rPr>
      <t>29.5%</t>
    </r>
    <r>
      <rPr>
        <sz val="10"/>
        <color theme="1"/>
        <rFont val="宋体"/>
        <charset val="134"/>
      </rPr>
      <t>再生纤维素纤维</t>
    </r>
    <r>
      <rPr>
        <sz val="10"/>
        <color theme="1"/>
        <rFont val="Calibri Light"/>
        <charset val="134"/>
      </rPr>
      <t xml:space="preserve"> 66.2%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4.3%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</si>
  <si>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29.5%</t>
    </r>
    <r>
      <rPr>
        <sz val="10"/>
        <color theme="1"/>
        <rFont val="宋体"/>
        <charset val="134"/>
      </rPr>
      <t>再生纤维素纤维</t>
    </r>
    <r>
      <rPr>
        <sz val="10"/>
        <color theme="1"/>
        <rFont val="Calibri Light"/>
        <charset val="134"/>
      </rPr>
      <t xml:space="preserve"> 66.2%C 4.3%SP</t>
    </r>
  </si>
  <si>
    <t>SY25673</t>
  </si>
  <si>
    <r>
      <rPr>
        <sz val="10"/>
        <color theme="1"/>
        <rFont val="宋体"/>
        <charset val="134"/>
      </rPr>
      <t>呢</t>
    </r>
    <r>
      <rPr>
        <sz val="10"/>
        <color theme="1"/>
        <rFont val="Calibri Light"/>
        <charset val="134"/>
      </rPr>
      <t>0934</t>
    </r>
  </si>
  <si>
    <t>SY25674</t>
  </si>
  <si>
    <r>
      <rPr>
        <sz val="10"/>
        <color theme="1"/>
        <rFont val="宋体"/>
        <charset val="134"/>
      </rPr>
      <t>素织</t>
    </r>
  </si>
  <si>
    <t>SY25675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</si>
  <si>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涤纶</t>
    </r>
  </si>
  <si>
    <t>55%C 45%T</t>
  </si>
  <si>
    <r>
      <rPr>
        <sz val="10"/>
        <color theme="1"/>
        <rFont val="宋体"/>
        <charset val="134"/>
      </rPr>
      <t>棉涤条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>1181</t>
    </r>
  </si>
  <si>
    <t>SY25676</t>
  </si>
  <si>
    <r>
      <rPr>
        <sz val="10"/>
        <color theme="1"/>
        <rFont val="宋体"/>
        <charset val="134"/>
      </rPr>
      <t>全棉提花条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编</t>
    </r>
    <r>
      <rPr>
        <sz val="10"/>
        <color theme="1"/>
        <rFont val="Calibri Light"/>
        <charset val="134"/>
      </rPr>
      <t>714</t>
    </r>
  </si>
  <si>
    <t>SY25677</t>
  </si>
  <si>
    <t>MJ254</t>
  </si>
  <si>
    <r>
      <rPr>
        <sz val="10"/>
        <color theme="1"/>
        <rFont val="宋体"/>
        <charset val="134"/>
      </rPr>
      <t>明聚科技贸易</t>
    </r>
  </si>
  <si>
    <r>
      <rPr>
        <sz val="10"/>
        <color theme="1"/>
        <rFont val="宋体"/>
        <charset val="134"/>
      </rPr>
      <t>蕾丝</t>
    </r>
  </si>
  <si>
    <t>8-3</t>
  </si>
  <si>
    <t>SY25678</t>
  </si>
  <si>
    <t>MJ3086</t>
  </si>
  <si>
    <t>SY25679</t>
  </si>
  <si>
    <r>
      <rPr>
        <sz val="10"/>
        <color theme="1"/>
        <rFont val="Calibri Light"/>
        <charset val="134"/>
      </rPr>
      <t>MJ3048</t>
    </r>
    <r>
      <rPr>
        <sz val="10"/>
        <color theme="1"/>
        <rFont val="宋体"/>
        <charset val="134"/>
      </rPr>
      <t>边</t>
    </r>
  </si>
  <si>
    <t>SY25680</t>
  </si>
  <si>
    <r>
      <rPr>
        <sz val="10"/>
        <color theme="1"/>
        <rFont val="Calibri Light"/>
        <charset val="134"/>
      </rPr>
      <t>333-</t>
    </r>
    <r>
      <rPr>
        <sz val="10"/>
        <color theme="1"/>
        <rFont val="宋体"/>
        <charset val="134"/>
      </rPr>
      <t>猫眼竹节</t>
    </r>
  </si>
  <si>
    <r>
      <rPr>
        <sz val="10"/>
        <color theme="1"/>
        <rFont val="宋体"/>
        <charset val="134"/>
      </rPr>
      <t>凯丰纺织</t>
    </r>
  </si>
  <si>
    <t>SY25681</t>
  </si>
  <si>
    <r>
      <rPr>
        <sz val="10"/>
        <color theme="1"/>
        <rFont val="Calibri Light"/>
        <charset val="134"/>
      </rPr>
      <t>385-</t>
    </r>
    <r>
      <rPr>
        <sz val="10"/>
        <color theme="1"/>
        <rFont val="宋体"/>
        <charset val="134"/>
      </rPr>
      <t>香格麻</t>
    </r>
  </si>
  <si>
    <t>SY25682</t>
  </si>
  <si>
    <r>
      <rPr>
        <sz val="10"/>
        <color theme="1"/>
        <rFont val="宋体"/>
        <charset val="134"/>
      </rPr>
      <t>桃花皱</t>
    </r>
  </si>
  <si>
    <t>SY25683</t>
  </si>
  <si>
    <r>
      <rPr>
        <sz val="10"/>
        <color theme="1"/>
        <rFont val="Calibri Light"/>
        <charset val="134"/>
      </rPr>
      <t>299</t>
    </r>
    <r>
      <rPr>
        <sz val="10"/>
        <color theme="1"/>
        <rFont val="宋体"/>
        <charset val="134"/>
      </rPr>
      <t>锦涤皱</t>
    </r>
  </si>
  <si>
    <r>
      <rPr>
        <sz val="10"/>
        <color theme="1"/>
        <rFont val="宋体"/>
        <charset val="134"/>
      </rPr>
      <t>里布</t>
    </r>
  </si>
  <si>
    <t>SY25684</t>
  </si>
  <si>
    <r>
      <rPr>
        <sz val="10"/>
        <color theme="1"/>
        <rFont val="宋体"/>
        <charset val="134"/>
      </rPr>
      <t>足米价格</t>
    </r>
  </si>
  <si>
    <r>
      <rPr>
        <sz val="10"/>
        <color theme="1"/>
        <rFont val="宋体"/>
        <charset val="134"/>
      </rPr>
      <t>春亚纺</t>
    </r>
  </si>
  <si>
    <r>
      <rPr>
        <sz val="10"/>
        <color theme="1"/>
        <rFont val="宋体"/>
        <charset val="134"/>
      </rPr>
      <t>依尚里</t>
    </r>
  </si>
  <si>
    <t>SY25685</t>
  </si>
  <si>
    <t>TY-8180</t>
  </si>
  <si>
    <t>SY25686</t>
  </si>
  <si>
    <r>
      <rPr>
        <sz val="10"/>
        <color theme="1"/>
        <rFont val="宋体"/>
        <charset val="134"/>
      </rPr>
      <t>空差</t>
    </r>
    <r>
      <rPr>
        <sz val="10"/>
        <color theme="1"/>
        <rFont val="Calibri Light"/>
        <charset val="134"/>
      </rPr>
      <t>95</t>
    </r>
    <r>
      <rPr>
        <sz val="10"/>
        <color theme="1"/>
        <rFont val="宋体"/>
        <charset val="134"/>
      </rPr>
      <t>不含税</t>
    </r>
  </si>
  <si>
    <r>
      <rPr>
        <sz val="10"/>
        <color theme="1"/>
        <rFont val="宋体"/>
        <charset val="134"/>
      </rPr>
      <t>和鑫里布</t>
    </r>
  </si>
  <si>
    <t>SY25687</t>
  </si>
  <si>
    <t>6855-4.</t>
  </si>
  <si>
    <t>SY25688</t>
  </si>
  <si>
    <t>37%POLY63%Rayon</t>
  </si>
  <si>
    <r>
      <rPr>
        <sz val="10"/>
        <color theme="1"/>
        <rFont val="Calibri Light"/>
        <charset val="134"/>
      </rPr>
      <t>TR630</t>
    </r>
    <r>
      <rPr>
        <sz val="10"/>
        <color theme="1"/>
        <rFont val="宋体"/>
        <charset val="134"/>
      </rPr>
      <t>平纹</t>
    </r>
  </si>
  <si>
    <t>SY25689</t>
  </si>
  <si>
    <t>47%POLY53%Rayon</t>
  </si>
  <si>
    <r>
      <rPr>
        <sz val="10"/>
        <color theme="1"/>
        <rFont val="Calibri Light"/>
        <charset val="134"/>
      </rPr>
      <t>TR640</t>
    </r>
    <r>
      <rPr>
        <sz val="10"/>
        <color theme="1"/>
        <rFont val="宋体"/>
        <charset val="134"/>
      </rPr>
      <t>斜纹</t>
    </r>
  </si>
  <si>
    <t>SY25690</t>
  </si>
  <si>
    <t>43%POLY57%VISCOSE</t>
  </si>
  <si>
    <r>
      <rPr>
        <sz val="10"/>
        <color theme="1"/>
        <rFont val="宋体"/>
        <charset val="134"/>
      </rPr>
      <t>人丝平纹里</t>
    </r>
  </si>
  <si>
    <r>
      <rPr>
        <sz val="10"/>
        <color theme="1"/>
        <rFont val="宋体"/>
        <charset val="134"/>
      </rPr>
      <t>祥润里布</t>
    </r>
  </si>
  <si>
    <t>SY25691</t>
  </si>
  <si>
    <t>55%POLY45%VISCOSE</t>
  </si>
  <si>
    <t>TY-8120</t>
  </si>
  <si>
    <t>SY25692</t>
  </si>
  <si>
    <t>80%POLY20%COTTON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</si>
  <si>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</si>
  <si>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K10110-3</t>
  </si>
  <si>
    <t>SY25693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</si>
  <si>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5.5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</si>
  <si>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K1096-3</t>
  </si>
  <si>
    <t>SY25694</t>
  </si>
  <si>
    <r>
      <rPr>
        <sz val="10"/>
        <color theme="1"/>
        <rFont val="宋体"/>
        <charset val="134"/>
      </rPr>
      <t>常兴纺织</t>
    </r>
  </si>
  <si>
    <r>
      <rPr>
        <sz val="10"/>
        <color theme="1"/>
        <rFont val="宋体"/>
        <charset val="134"/>
      </rPr>
      <t>高密夫仿天丝</t>
    </r>
  </si>
  <si>
    <t>SY25695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</si>
  <si>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6.3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缸染白</t>
    </r>
    <r>
      <rPr>
        <sz val="10"/>
        <color theme="1"/>
        <rFont val="Calibri Light"/>
        <charset val="134"/>
      </rPr>
      <t>7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</si>
  <si>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喷气</t>
    </r>
    <r>
      <rPr>
        <sz val="10"/>
        <color theme="1"/>
        <rFont val="Calibri Light"/>
        <charset val="134"/>
      </rPr>
      <t>130*70</t>
    </r>
  </si>
  <si>
    <t>SY25696</t>
  </si>
  <si>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支涤棉仿天丝</t>
    </r>
  </si>
  <si>
    <t>SY25697</t>
  </si>
  <si>
    <t>80-95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</si>
  <si>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5.2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</si>
  <si>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Calibri Light"/>
        <charset val="134"/>
      </rPr>
      <t>TC</t>
    </r>
    <r>
      <rPr>
        <sz val="10"/>
        <color theme="1"/>
        <rFont val="宋体"/>
        <charset val="134"/>
      </rPr>
      <t>平纹（金丝棉）</t>
    </r>
  </si>
  <si>
    <t>SY25698</t>
  </si>
  <si>
    <t>SY25699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</si>
  <si>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4.5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</si>
  <si>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喷气</t>
    </r>
    <r>
      <rPr>
        <sz val="10"/>
        <color theme="1"/>
        <rFont val="Calibri Light"/>
        <charset val="134"/>
      </rPr>
      <t>133*72</t>
    </r>
  </si>
  <si>
    <t>SY25700</t>
  </si>
  <si>
    <t>TC108*58</t>
  </si>
  <si>
    <t>SY25701</t>
  </si>
  <si>
    <t>90%POLY10%COTTON</t>
  </si>
  <si>
    <t>80-85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</si>
  <si>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3.4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</si>
  <si>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Calibri Light"/>
        <charset val="134"/>
      </rPr>
      <t>TC</t>
    </r>
    <r>
      <rPr>
        <sz val="10"/>
        <color theme="1"/>
        <rFont val="宋体"/>
        <charset val="134"/>
      </rPr>
      <t>棉</t>
    </r>
  </si>
  <si>
    <t>SY25702</t>
  </si>
  <si>
    <r>
      <rPr>
        <sz val="10"/>
        <color theme="1"/>
        <rFont val="宋体"/>
        <charset val="134"/>
      </rPr>
      <t>华彩棉</t>
    </r>
  </si>
  <si>
    <t>SY25703</t>
  </si>
  <si>
    <t>TR505</t>
  </si>
  <si>
    <t>SY25704</t>
  </si>
  <si>
    <r>
      <rPr>
        <sz val="10"/>
        <color theme="1"/>
        <rFont val="宋体"/>
        <charset val="134"/>
      </rPr>
      <t>高密斜仿天丝</t>
    </r>
  </si>
  <si>
    <t>SY25705</t>
  </si>
  <si>
    <r>
      <rPr>
        <sz val="10"/>
        <color theme="1"/>
        <rFont val="Calibri Light"/>
        <charset val="134"/>
      </rPr>
      <t>TC</t>
    </r>
    <r>
      <rPr>
        <sz val="10"/>
        <color theme="1"/>
        <rFont val="宋体"/>
        <charset val="134"/>
      </rPr>
      <t>喷气府绸</t>
    </r>
  </si>
  <si>
    <t>SY25706</t>
  </si>
  <si>
    <t>T/C110*76</t>
  </si>
  <si>
    <t>SY25707</t>
  </si>
  <si>
    <t>65%POLY35%Rayon</t>
  </si>
  <si>
    <r>
      <rPr>
        <sz val="10"/>
        <color theme="1"/>
        <rFont val="宋体"/>
        <charset val="134"/>
      </rPr>
      <t>哔叽</t>
    </r>
    <r>
      <rPr>
        <sz val="10"/>
        <color theme="1"/>
        <rFont val="Calibri Light"/>
        <charset val="134"/>
      </rPr>
      <t>365</t>
    </r>
  </si>
  <si>
    <t>SY25708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</si>
  <si>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9.2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</si>
  <si>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Calibri Light"/>
        <charset val="134"/>
      </rPr>
      <t>TR</t>
    </r>
    <r>
      <rPr>
        <sz val="10"/>
        <color theme="1"/>
        <rFont val="宋体"/>
        <charset val="134"/>
      </rPr>
      <t>加厚仿天丝</t>
    </r>
  </si>
  <si>
    <t>SY25709</t>
  </si>
  <si>
    <r>
      <rPr>
        <sz val="10"/>
        <color theme="1"/>
        <rFont val="宋体"/>
        <charset val="134"/>
      </rPr>
      <t>人棉纱卡</t>
    </r>
  </si>
  <si>
    <t>SY25710</t>
  </si>
  <si>
    <r>
      <rPr>
        <sz val="10"/>
        <color theme="1"/>
        <rFont val="Calibri Light"/>
        <charset val="134"/>
      </rPr>
      <t>TR</t>
    </r>
    <r>
      <rPr>
        <sz val="10"/>
        <color theme="1"/>
        <rFont val="宋体"/>
        <charset val="134"/>
      </rPr>
      <t>大兴棉</t>
    </r>
  </si>
  <si>
    <t>SY25711</t>
  </si>
  <si>
    <r>
      <rPr>
        <sz val="10"/>
        <color theme="1"/>
        <rFont val="宋体"/>
        <charset val="134"/>
      </rPr>
      <t>喷气</t>
    </r>
    <r>
      <rPr>
        <sz val="10"/>
        <color theme="1"/>
        <rFont val="Calibri Light"/>
        <charset val="134"/>
      </rPr>
      <t>5008</t>
    </r>
  </si>
  <si>
    <t>SY25712</t>
  </si>
  <si>
    <r>
      <rPr>
        <sz val="10"/>
        <color theme="1"/>
        <rFont val="宋体"/>
        <charset val="134"/>
      </rPr>
      <t>大白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米白</t>
    </r>
    <r>
      <rPr>
        <sz val="10"/>
        <color theme="1"/>
        <rFont val="Calibri Light"/>
        <charset val="134"/>
      </rPr>
      <t xml:space="preserve"> 6.7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</si>
  <si>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高密</t>
    </r>
    <r>
      <rPr>
        <sz val="10"/>
        <color theme="1"/>
        <rFont val="Calibri Light"/>
        <charset val="134"/>
      </rPr>
      <t>TR</t>
    </r>
  </si>
  <si>
    <t>SY25713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</si>
  <si>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4.3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缸染白</t>
    </r>
    <r>
      <rPr>
        <sz val="10"/>
        <color theme="1"/>
        <rFont val="Calibri Light"/>
        <charset val="134"/>
      </rPr>
      <t xml:space="preserve"> 4.5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</si>
  <si>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支仿天丝平纹</t>
    </r>
  </si>
  <si>
    <t>SY25714</t>
  </si>
  <si>
    <r>
      <rPr>
        <sz val="10"/>
        <color theme="1"/>
        <rFont val="宋体"/>
        <charset val="134"/>
      </rPr>
      <t>精梳双面斜</t>
    </r>
  </si>
  <si>
    <t>SY25715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</si>
  <si>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3.9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</si>
  <si>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加密制服昵</t>
    </r>
  </si>
  <si>
    <t>SY25716</t>
  </si>
  <si>
    <r>
      <rPr>
        <sz val="10"/>
        <color theme="1"/>
        <rFont val="Calibri Light"/>
        <charset val="134"/>
      </rPr>
      <t>32</t>
    </r>
    <r>
      <rPr>
        <sz val="10"/>
        <color theme="1"/>
        <rFont val="宋体"/>
        <charset val="134"/>
      </rPr>
      <t>支仿华棉斜纹</t>
    </r>
  </si>
  <si>
    <t>SY25717</t>
  </si>
  <si>
    <r>
      <rPr>
        <sz val="10"/>
        <color theme="1"/>
        <rFont val="宋体"/>
        <charset val="134"/>
      </rPr>
      <t>蝶丝纹</t>
    </r>
  </si>
  <si>
    <t>SY25718</t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</si>
  <si>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5.8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</si>
  <si>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高精纺</t>
    </r>
    <r>
      <rPr>
        <sz val="10"/>
        <color theme="1"/>
        <rFont val="Calibri Light"/>
        <charset val="134"/>
      </rPr>
      <t>9088</t>
    </r>
  </si>
  <si>
    <t>SY25719</t>
  </si>
  <si>
    <r>
      <rPr>
        <sz val="10"/>
        <color theme="1"/>
        <rFont val="Calibri Light"/>
        <charset val="134"/>
      </rPr>
      <t>100%POLY</t>
    </r>
    <r>
      <rPr>
        <sz val="10"/>
        <color theme="1"/>
        <rFont val="宋体"/>
        <charset val="134"/>
      </rPr>
      <t>（超细旦纤维）</t>
    </r>
  </si>
  <si>
    <r>
      <rPr>
        <sz val="10"/>
        <color theme="1"/>
        <rFont val="宋体"/>
        <charset val="134"/>
      </rPr>
      <t>白色</t>
    </r>
    <r>
      <rPr>
        <sz val="10"/>
        <color theme="1"/>
        <rFont val="Calibri Light"/>
        <charset val="134"/>
      </rPr>
      <t xml:space="preserve"> 7.3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</si>
  <si>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冰丝棉</t>
    </r>
  </si>
  <si>
    <r>
      <rPr>
        <sz val="10"/>
        <color theme="1"/>
        <rFont val="宋体"/>
        <charset val="134"/>
      </rPr>
      <t>色丁</t>
    </r>
  </si>
  <si>
    <t>SY25720</t>
  </si>
  <si>
    <t>92%POLY8%SP</t>
  </si>
  <si>
    <r>
      <rPr>
        <sz val="10"/>
        <color theme="1"/>
        <rFont val="宋体"/>
        <charset val="134"/>
      </rPr>
      <t>不含税空差</t>
    </r>
    <r>
      <rPr>
        <sz val="10"/>
        <color theme="1"/>
        <rFont val="Calibri Light"/>
        <charset val="134"/>
      </rPr>
      <t>95</t>
    </r>
  </si>
  <si>
    <r>
      <rPr>
        <sz val="10"/>
        <color theme="1"/>
        <rFont val="宋体"/>
        <charset val="134"/>
      </rPr>
      <t>锦地印染</t>
    </r>
  </si>
  <si>
    <t>SY25721</t>
  </si>
  <si>
    <t>SY25722</t>
  </si>
  <si>
    <t>锦地印染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</si>
  <si>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10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</si>
  <si>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SY25723</t>
  </si>
  <si>
    <t>SY25724</t>
  </si>
  <si>
    <t>SY25725</t>
  </si>
  <si>
    <t>09004</t>
  </si>
  <si>
    <t>SY25726</t>
  </si>
  <si>
    <t>SY25727</t>
  </si>
  <si>
    <t>09075</t>
  </si>
  <si>
    <t>SY25728</t>
  </si>
  <si>
    <t>09093</t>
  </si>
  <si>
    <t>SY25729</t>
  </si>
  <si>
    <r>
      <rPr>
        <sz val="10"/>
        <color theme="1"/>
        <rFont val="宋体"/>
        <charset val="134"/>
      </rPr>
      <t>醋酸黄金缎</t>
    </r>
  </si>
  <si>
    <t>SY25730</t>
  </si>
  <si>
    <t>SY25731</t>
  </si>
  <si>
    <t>SY25732</t>
  </si>
  <si>
    <t>09135</t>
  </si>
  <si>
    <t>SY25733</t>
  </si>
  <si>
    <t>醋酸金銮缎</t>
  </si>
  <si>
    <t>SY25734</t>
  </si>
  <si>
    <r>
      <rPr>
        <sz val="10"/>
        <color theme="1"/>
        <rFont val="宋体"/>
        <charset val="134"/>
      </rPr>
      <t>芬迪缎</t>
    </r>
  </si>
  <si>
    <t>SY25735</t>
  </si>
  <si>
    <t>96%POLY4%SP</t>
  </si>
  <si>
    <r>
      <rPr>
        <sz val="10"/>
        <color theme="1"/>
        <rFont val="宋体"/>
        <charset val="134"/>
      </rPr>
      <t>不含税空差</t>
    </r>
    <r>
      <rPr>
        <sz val="10"/>
        <color theme="1"/>
        <rFont val="Calibri Light"/>
        <charset val="134"/>
      </rPr>
      <t>92</t>
    </r>
    <r>
      <rPr>
        <sz val="10"/>
        <color theme="1"/>
        <rFont val="宋体"/>
        <charset val="134"/>
      </rPr>
      <t>，米白</t>
    </r>
    <r>
      <rPr>
        <sz val="10"/>
        <color theme="1"/>
        <rFont val="Calibri Light"/>
        <charset val="134"/>
      </rPr>
      <t xml:space="preserve"> 4.6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</si>
  <si>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新嘉彩</t>
    </r>
  </si>
  <si>
    <t>SY25736</t>
  </si>
  <si>
    <t>97%POLY3%SP</t>
  </si>
  <si>
    <r>
      <rPr>
        <sz val="10"/>
        <color theme="1"/>
        <rFont val="宋体"/>
        <charset val="134"/>
      </rPr>
      <t>不含税空差</t>
    </r>
    <r>
      <rPr>
        <sz val="10"/>
        <color theme="1"/>
        <rFont val="Calibri Light"/>
        <charset val="134"/>
      </rPr>
      <t>92</t>
    </r>
    <r>
      <rPr>
        <sz val="10"/>
        <color theme="1"/>
        <rFont val="宋体"/>
        <charset val="134"/>
      </rPr>
      <t>，米白</t>
    </r>
    <r>
      <rPr>
        <sz val="10"/>
        <color theme="1"/>
        <rFont val="Calibri Light"/>
        <charset val="134"/>
      </rPr>
      <t xml:space="preserve"> 7.8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</si>
  <si>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SY25737</t>
  </si>
  <si>
    <r>
      <rPr>
        <sz val="10"/>
        <color theme="1"/>
        <rFont val="宋体"/>
        <charset val="134"/>
      </rPr>
      <t>不含税空差</t>
    </r>
    <r>
      <rPr>
        <sz val="10"/>
        <color theme="1"/>
        <rFont val="Calibri Light"/>
        <charset val="134"/>
      </rPr>
      <t>92</t>
    </r>
    <r>
      <rPr>
        <sz val="10"/>
        <color theme="1"/>
        <rFont val="宋体"/>
        <charset val="134"/>
      </rPr>
      <t>，米白</t>
    </r>
    <r>
      <rPr>
        <sz val="10"/>
        <color theme="1"/>
        <rFont val="Calibri Light"/>
        <charset val="134"/>
      </rPr>
      <t xml:space="preserve"> 5.8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</si>
  <si>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SY25738</t>
  </si>
  <si>
    <r>
      <rPr>
        <sz val="10"/>
        <color theme="1"/>
        <rFont val="宋体"/>
        <charset val="134"/>
      </rPr>
      <t>不含税空差</t>
    </r>
    <r>
      <rPr>
        <sz val="10"/>
        <color theme="1"/>
        <rFont val="Calibri Light"/>
        <charset val="134"/>
      </rPr>
      <t>90</t>
    </r>
    <r>
      <rPr>
        <sz val="10"/>
        <color theme="1"/>
        <rFont val="宋体"/>
        <charset val="134"/>
      </rPr>
      <t>，米白</t>
    </r>
    <r>
      <rPr>
        <sz val="10"/>
        <color theme="1"/>
        <rFont val="Calibri Light"/>
        <charset val="134"/>
      </rPr>
      <t xml:space="preserve"> 8.6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</si>
  <si>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SY25739</t>
  </si>
  <si>
    <r>
      <rPr>
        <sz val="10"/>
        <color theme="1"/>
        <rFont val="宋体"/>
        <charset val="134"/>
      </rPr>
      <t>运邦</t>
    </r>
  </si>
  <si>
    <r>
      <rPr>
        <sz val="10"/>
        <color theme="1"/>
        <rFont val="Calibri Light"/>
        <charset val="134"/>
      </rPr>
      <t>100D</t>
    </r>
    <r>
      <rPr>
        <sz val="10"/>
        <color theme="1"/>
        <rFont val="宋体"/>
        <charset val="134"/>
      </rPr>
      <t>四面弹</t>
    </r>
  </si>
  <si>
    <r>
      <rPr>
        <sz val="10"/>
        <color theme="1"/>
        <rFont val="宋体"/>
        <charset val="134"/>
      </rPr>
      <t>四面弹</t>
    </r>
  </si>
  <si>
    <t>8-5</t>
  </si>
  <si>
    <t>SY25740</t>
  </si>
  <si>
    <r>
      <rPr>
        <sz val="10"/>
        <color theme="1"/>
        <rFont val="Calibri Light"/>
        <charset val="134"/>
      </rPr>
      <t>40D</t>
    </r>
    <r>
      <rPr>
        <sz val="10"/>
        <color theme="1"/>
        <rFont val="宋体"/>
        <charset val="134"/>
      </rPr>
      <t>尼龙四面弹</t>
    </r>
  </si>
  <si>
    <t>SY25741</t>
  </si>
  <si>
    <r>
      <rPr>
        <sz val="10"/>
        <color theme="1"/>
        <rFont val="Calibri Light"/>
        <charset val="134"/>
      </rPr>
      <t>70D</t>
    </r>
    <r>
      <rPr>
        <sz val="10"/>
        <color theme="1"/>
        <rFont val="宋体"/>
        <charset val="134"/>
      </rPr>
      <t>尼龙四面弹</t>
    </r>
  </si>
  <si>
    <t>SY25742</t>
  </si>
  <si>
    <r>
      <rPr>
        <sz val="10"/>
        <color theme="1"/>
        <rFont val="Calibri Light"/>
        <charset val="134"/>
      </rPr>
      <t>50D</t>
    </r>
    <r>
      <rPr>
        <sz val="10"/>
        <color theme="1"/>
        <rFont val="宋体"/>
        <charset val="134"/>
      </rPr>
      <t>四面弹</t>
    </r>
  </si>
  <si>
    <t>SY25743</t>
  </si>
  <si>
    <r>
      <rPr>
        <sz val="10"/>
        <color theme="1"/>
        <rFont val="Calibri Light"/>
        <charset val="134"/>
      </rPr>
      <t>75D</t>
    </r>
    <r>
      <rPr>
        <sz val="10"/>
        <color theme="1"/>
        <rFont val="宋体"/>
        <charset val="134"/>
      </rPr>
      <t>斜纹四面弹</t>
    </r>
  </si>
  <si>
    <r>
      <rPr>
        <sz val="10"/>
        <color theme="1"/>
        <rFont val="宋体"/>
        <charset val="134"/>
      </rPr>
      <t>平针和罗纹</t>
    </r>
  </si>
  <si>
    <t>SY25744</t>
  </si>
  <si>
    <r>
      <rPr>
        <sz val="10"/>
        <color theme="1"/>
        <rFont val="宋体"/>
        <charset val="134"/>
      </rPr>
      <t>纯棉</t>
    </r>
    <r>
      <rPr>
        <sz val="10"/>
        <color theme="1"/>
        <rFont val="Calibri Light"/>
        <charset val="134"/>
      </rPr>
      <t>100%</t>
    </r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</si>
  <si>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2.5KG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</si>
  <si>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r>
      <rPr>
        <sz val="10"/>
        <color theme="1"/>
        <rFont val="宋体"/>
        <charset val="134"/>
      </rPr>
      <t>恒生布行</t>
    </r>
  </si>
  <si>
    <t>1823</t>
  </si>
  <si>
    <t>42/KG</t>
  </si>
  <si>
    <t>SY25745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</si>
  <si>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37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</si>
  <si>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1907</t>
  </si>
  <si>
    <t>49/KG</t>
  </si>
  <si>
    <t>SY25746</t>
  </si>
  <si>
    <t>1935B</t>
  </si>
  <si>
    <t>41/KG</t>
  </si>
  <si>
    <t>SY25747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</si>
  <si>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</si>
  <si>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2108</t>
  </si>
  <si>
    <t>35/KG</t>
  </si>
  <si>
    <t>SY25748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</si>
  <si>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</si>
  <si>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40/KG</t>
  </si>
  <si>
    <t>SY25749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</si>
  <si>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46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</si>
  <si>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2199</t>
  </si>
  <si>
    <t>48/KG</t>
  </si>
  <si>
    <t>SY25750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</si>
  <si>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</si>
  <si>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2265</t>
  </si>
  <si>
    <t>SY25751</t>
  </si>
  <si>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100%</t>
    </r>
  </si>
  <si>
    <t>1340</t>
  </si>
  <si>
    <t>43/KG</t>
  </si>
  <si>
    <t>SY25752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</si>
  <si>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2KG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36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</si>
  <si>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1379</t>
  </si>
  <si>
    <t>38/KG</t>
  </si>
  <si>
    <t>SY25753</t>
  </si>
  <si>
    <r>
      <rPr>
        <sz val="10"/>
        <color theme="1"/>
        <rFont val="宋体"/>
        <charset val="134"/>
      </rPr>
      <t>纯棉</t>
    </r>
    <r>
      <rPr>
        <sz val="10"/>
        <color theme="1"/>
        <rFont val="Calibri Light"/>
        <charset val="134"/>
      </rPr>
      <t>95%+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5%</t>
    </r>
  </si>
  <si>
    <t>95%BCI COTTON5%SP</t>
  </si>
  <si>
    <t>1392</t>
  </si>
  <si>
    <t>39/KG</t>
  </si>
  <si>
    <t>SY25754</t>
  </si>
  <si>
    <t>1903</t>
  </si>
  <si>
    <t>SY25755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</si>
  <si>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39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</si>
  <si>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2622</t>
  </si>
  <si>
    <t>SY25756</t>
  </si>
  <si>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93%+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7%</t>
    </r>
  </si>
  <si>
    <t>93%BCI COTTON7%SP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</si>
  <si>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38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</si>
  <si>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1190</t>
  </si>
  <si>
    <t>SY25757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</si>
  <si>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43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</si>
  <si>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1425</t>
  </si>
  <si>
    <t>45/KG</t>
  </si>
  <si>
    <t>SY25758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</si>
  <si>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+37%</t>
    </r>
    <r>
      <rPr>
        <sz val="10"/>
        <color theme="1"/>
        <rFont val="宋体"/>
        <charset val="134"/>
      </rPr>
      <t>涤纶</t>
    </r>
  </si>
  <si>
    <t>63%COTTON37%POLY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</si>
  <si>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</si>
  <si>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2337</t>
  </si>
  <si>
    <t>37/kg</t>
  </si>
  <si>
    <t>SY25759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</si>
  <si>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+33%</t>
    </r>
    <r>
      <rPr>
        <sz val="10"/>
        <color theme="1"/>
        <rFont val="宋体"/>
        <charset val="134"/>
      </rPr>
      <t>涤</t>
    </r>
  </si>
  <si>
    <t>67%COTTON33%POLY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</si>
  <si>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</si>
  <si>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2259</t>
  </si>
  <si>
    <t>SY25760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</si>
  <si>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+21%</t>
    </r>
    <r>
      <rPr>
        <sz val="10"/>
        <color theme="1"/>
        <rFont val="宋体"/>
        <charset val="134"/>
      </rPr>
      <t>涤</t>
    </r>
  </si>
  <si>
    <t>79%COTTON21%POLY</t>
  </si>
  <si>
    <t>2420</t>
  </si>
  <si>
    <t>SY25761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</si>
  <si>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+42</t>
    </r>
    <r>
      <rPr>
        <sz val="10"/>
        <color theme="1"/>
        <rFont val="宋体"/>
        <charset val="134"/>
      </rPr>
      <t>涤</t>
    </r>
  </si>
  <si>
    <t>58%COTTON42%POLY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</si>
  <si>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31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</si>
  <si>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37/KG</t>
  </si>
  <si>
    <t>SY25762</t>
  </si>
  <si>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+35%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+30%</t>
    </r>
    <r>
      <rPr>
        <sz val="10"/>
        <color theme="1"/>
        <rFont val="宋体"/>
        <charset val="134"/>
      </rPr>
      <t>聚酯纤维</t>
    </r>
  </si>
  <si>
    <t>35%COTTON35%RAYON30%POLY</t>
  </si>
  <si>
    <t>1911</t>
  </si>
  <si>
    <t>SY25763</t>
  </si>
  <si>
    <r>
      <rPr>
        <sz val="10"/>
        <color theme="1"/>
        <rFont val="Calibri Light"/>
        <charset val="134"/>
      </rPr>
      <t>41%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+41%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+18%</t>
    </r>
    <r>
      <rPr>
        <sz val="10"/>
        <color theme="1"/>
        <rFont val="宋体"/>
        <charset val="134"/>
      </rPr>
      <t>涤</t>
    </r>
  </si>
  <si>
    <t>41%COTTON41%RAYON18%POLY</t>
  </si>
  <si>
    <t>47/KG</t>
  </si>
  <si>
    <t>SY25764</t>
  </si>
  <si>
    <t>SY25765</t>
  </si>
  <si>
    <t>2003</t>
  </si>
  <si>
    <t>44/KG</t>
  </si>
  <si>
    <t>SY25766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</si>
  <si>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+18%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>+4%</t>
    </r>
    <r>
      <rPr>
        <sz val="10"/>
        <color theme="1"/>
        <rFont val="宋体"/>
        <charset val="134"/>
      </rPr>
      <t>氨纶</t>
    </r>
  </si>
  <si>
    <t>78%COTTON18%POLY4%SP</t>
  </si>
  <si>
    <t>SY25767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</si>
  <si>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纯棉</t>
    </r>
    <r>
      <rPr>
        <sz val="10"/>
        <color theme="1"/>
        <rFont val="Calibri Light"/>
        <charset val="134"/>
      </rPr>
      <t>+5%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</si>
  <si>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41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</si>
  <si>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1017</t>
  </si>
  <si>
    <t>SY25768</t>
  </si>
  <si>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72%+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>28%</t>
    </r>
  </si>
  <si>
    <t>72%COTTON28%POLY</t>
  </si>
  <si>
    <t>SY25769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</si>
  <si>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+38%</t>
    </r>
    <r>
      <rPr>
        <sz val="10"/>
        <color theme="1"/>
        <rFont val="宋体"/>
        <charset val="134"/>
      </rPr>
      <t>涤</t>
    </r>
  </si>
  <si>
    <t>62%COTTON38%POLY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</si>
  <si>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429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</si>
  <si>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2277</t>
  </si>
  <si>
    <t>34/KG</t>
  </si>
  <si>
    <t>SY25770</t>
  </si>
  <si>
    <r>
      <rPr>
        <sz val="10"/>
        <color theme="1"/>
        <rFont val="宋体"/>
        <charset val="134"/>
      </rPr>
      <t>纸管</t>
    </r>
    <r>
      <rPr>
        <sz val="10"/>
        <color theme="1"/>
        <rFont val="Calibri Light"/>
        <charset val="134"/>
      </rPr>
      <t>1KG</t>
    </r>
    <r>
      <rPr>
        <sz val="10"/>
        <color theme="1"/>
        <rFont val="宋体"/>
        <charset val="134"/>
      </rPr>
      <t>，空差</t>
    </r>
    <r>
      <rPr>
        <sz val="10"/>
        <color theme="1"/>
        <rFont val="Calibri Light"/>
        <charset val="134"/>
      </rPr>
      <t>1.5KG</t>
    </r>
    <r>
      <rPr>
        <sz val="10"/>
        <color theme="1"/>
        <rFont val="宋体"/>
        <charset val="134"/>
      </rPr>
      <t>，白色</t>
    </r>
    <r>
      <rPr>
        <sz val="10"/>
        <color theme="1"/>
        <rFont val="Calibri Light"/>
        <charset val="134"/>
      </rPr>
      <t>29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</si>
  <si>
    <t>2277C</t>
  </si>
  <si>
    <r>
      <rPr>
        <sz val="10"/>
        <color theme="1"/>
        <rFont val="宋体"/>
        <charset val="134"/>
      </rPr>
      <t>外贸珍珠</t>
    </r>
  </si>
  <si>
    <t>SY25771</t>
  </si>
  <si>
    <r>
      <rPr>
        <sz val="10"/>
        <color theme="1"/>
        <rFont val="宋体"/>
        <charset val="134"/>
      </rPr>
      <t>宝诚纺织</t>
    </r>
  </si>
  <si>
    <t>347</t>
  </si>
  <si>
    <r>
      <rPr>
        <sz val="10"/>
        <color theme="1"/>
        <rFont val="宋体"/>
        <charset val="134"/>
      </rPr>
      <t>精品珍珠</t>
    </r>
  </si>
  <si>
    <t>SY25772</t>
  </si>
  <si>
    <r>
      <rPr>
        <sz val="10"/>
        <color theme="1"/>
        <rFont val="宋体"/>
        <charset val="134"/>
      </rPr>
      <t>高密珍珠</t>
    </r>
  </si>
  <si>
    <t>SY25773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</si>
  <si>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6.8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</si>
  <si>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雪纺皱</t>
    </r>
  </si>
  <si>
    <t>SY25774</t>
  </si>
  <si>
    <t>SY25775</t>
  </si>
  <si>
    <t>SY25776</t>
  </si>
  <si>
    <t>新合盛布业</t>
  </si>
  <si>
    <t>SY25777</t>
  </si>
  <si>
    <r>
      <rPr>
        <sz val="10"/>
        <color theme="1"/>
        <rFont val="宋体"/>
        <charset val="134"/>
      </rPr>
      <t>弹力雪纺</t>
    </r>
  </si>
  <si>
    <t>SY25778</t>
  </si>
  <si>
    <t>95%Recycle POLY5%SP</t>
  </si>
  <si>
    <t>118PCS</t>
  </si>
  <si>
    <r>
      <rPr>
        <sz val="10"/>
        <color theme="1"/>
        <rFont val="宋体"/>
        <charset val="134"/>
      </rPr>
      <t>逢发纺织</t>
    </r>
  </si>
  <si>
    <t>SY25779</t>
  </si>
  <si>
    <r>
      <rPr>
        <sz val="10"/>
        <color theme="1"/>
        <rFont val="宋体"/>
        <charset val="134"/>
      </rPr>
      <t>亮丝皱</t>
    </r>
  </si>
  <si>
    <t>SY25780</t>
  </si>
  <si>
    <r>
      <rPr>
        <sz val="10"/>
        <color theme="1"/>
        <rFont val="Calibri Light"/>
        <charset val="134"/>
      </rPr>
      <t>30D</t>
    </r>
    <r>
      <rPr>
        <sz val="10"/>
        <color theme="1"/>
        <rFont val="宋体"/>
        <charset val="134"/>
      </rPr>
      <t>天丝</t>
    </r>
  </si>
  <si>
    <t>SY25781</t>
  </si>
  <si>
    <r>
      <rPr>
        <sz val="10"/>
        <color theme="1"/>
        <rFont val="宋体"/>
        <charset val="134"/>
      </rPr>
      <t>钻石雪纺</t>
    </r>
  </si>
  <si>
    <t>SY25782</t>
  </si>
  <si>
    <t>SY25783</t>
  </si>
  <si>
    <r>
      <rPr>
        <sz val="10"/>
        <color theme="1"/>
        <rFont val="Calibri Light"/>
        <charset val="134"/>
      </rPr>
      <t>75D</t>
    </r>
    <r>
      <rPr>
        <sz val="10"/>
        <color theme="1"/>
        <rFont val="宋体"/>
        <charset val="134"/>
      </rPr>
      <t>复合丝</t>
    </r>
  </si>
  <si>
    <t>SY25784</t>
  </si>
  <si>
    <r>
      <rPr>
        <sz val="10"/>
        <color theme="1"/>
        <rFont val="宋体"/>
        <charset val="134"/>
      </rPr>
      <t>钻石皱</t>
    </r>
  </si>
  <si>
    <t>SY25785</t>
  </si>
  <si>
    <t>8040</t>
  </si>
  <si>
    <r>
      <rPr>
        <sz val="10"/>
        <color theme="1"/>
        <rFont val="宋体"/>
        <charset val="134"/>
      </rPr>
      <t>南盛纺织</t>
    </r>
  </si>
  <si>
    <r>
      <rPr>
        <sz val="10"/>
        <color theme="1"/>
        <rFont val="宋体"/>
        <charset val="134"/>
      </rPr>
      <t>骑兵斜手抓花</t>
    </r>
  </si>
  <si>
    <t>SY25786</t>
  </si>
  <si>
    <r>
      <rPr>
        <sz val="10"/>
        <color theme="1"/>
        <rFont val="宋体"/>
        <charset val="134"/>
      </rPr>
      <t>珍珠雪纺</t>
    </r>
  </si>
  <si>
    <t>SY25787</t>
  </si>
  <si>
    <t>8001</t>
  </si>
  <si>
    <r>
      <rPr>
        <sz val="10"/>
        <color theme="1"/>
        <rFont val="宋体"/>
        <charset val="134"/>
      </rPr>
      <t>巴黎珠</t>
    </r>
  </si>
  <si>
    <t>SY25788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</si>
  <si>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</si>
  <si>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t>92%Recycle POLY8%SP</t>
  </si>
  <si>
    <r>
      <rPr>
        <sz val="10"/>
        <color theme="1"/>
        <rFont val="宋体"/>
        <charset val="134"/>
      </rPr>
      <t>顺宇皱</t>
    </r>
  </si>
  <si>
    <t>SY25789</t>
  </si>
  <si>
    <r>
      <rPr>
        <sz val="10"/>
        <color theme="1"/>
        <rFont val="宋体"/>
        <charset val="134"/>
      </rPr>
      <t>加密珍珠</t>
    </r>
  </si>
  <si>
    <t>SY25790</t>
  </si>
  <si>
    <r>
      <rPr>
        <sz val="10"/>
        <color theme="1"/>
        <rFont val="宋体"/>
        <charset val="134"/>
      </rPr>
      <t>特肉雪纺皱</t>
    </r>
  </si>
  <si>
    <t>SY25791</t>
  </si>
  <si>
    <r>
      <rPr>
        <sz val="10"/>
        <color theme="1"/>
        <rFont val="Calibri Light"/>
        <charset val="134"/>
      </rPr>
      <t>3D</t>
    </r>
    <r>
      <rPr>
        <sz val="10"/>
        <color theme="1"/>
        <rFont val="宋体"/>
        <charset val="134"/>
      </rPr>
      <t>真丝皱</t>
    </r>
  </si>
  <si>
    <t>SY25792</t>
  </si>
  <si>
    <t>SY25793</t>
  </si>
  <si>
    <r>
      <rPr>
        <sz val="10"/>
        <color theme="1"/>
        <rFont val="宋体"/>
        <charset val="134"/>
      </rPr>
      <t>乱麻</t>
    </r>
  </si>
  <si>
    <t>SY25794</t>
  </si>
  <si>
    <r>
      <rPr>
        <sz val="10"/>
        <color theme="1"/>
        <rFont val="宋体"/>
        <charset val="134"/>
      </rPr>
      <t>韩国丝</t>
    </r>
  </si>
  <si>
    <t>SY25795</t>
  </si>
  <si>
    <t>97%Recycle POLY3%SP</t>
  </si>
  <si>
    <r>
      <rPr>
        <sz val="10"/>
        <color theme="1"/>
        <rFont val="宋体"/>
        <charset val="134"/>
      </rPr>
      <t>钻石手抓花</t>
    </r>
  </si>
  <si>
    <t>SY25796</t>
  </si>
  <si>
    <r>
      <rPr>
        <sz val="10"/>
        <color theme="1"/>
        <rFont val="宋体"/>
        <charset val="134"/>
      </rPr>
      <t>加密顺纡皱</t>
    </r>
  </si>
  <si>
    <t>SY25797</t>
  </si>
  <si>
    <r>
      <rPr>
        <sz val="10"/>
        <color theme="1"/>
        <rFont val="宋体"/>
        <charset val="134"/>
      </rPr>
      <t>一万</t>
    </r>
    <r>
      <rPr>
        <sz val="10"/>
        <color theme="1"/>
        <rFont val="Calibri Light"/>
        <charset val="134"/>
      </rPr>
      <t>(</t>
    </r>
    <r>
      <rPr>
        <sz val="10"/>
        <color theme="1"/>
        <rFont val="宋体"/>
        <charset val="134"/>
      </rPr>
      <t>名润</t>
    </r>
    <r>
      <rPr>
        <sz val="10"/>
        <color theme="1"/>
        <rFont val="Calibri Light"/>
        <charset val="134"/>
      </rPr>
      <t>)</t>
    </r>
    <r>
      <rPr>
        <sz val="10"/>
        <color theme="1"/>
        <rFont val="宋体"/>
        <charset val="134"/>
      </rPr>
      <t>纺织</t>
    </r>
  </si>
  <si>
    <r>
      <rPr>
        <sz val="10"/>
        <color theme="1"/>
        <rFont val="宋体"/>
        <charset val="134"/>
      </rPr>
      <t>加密雪纺皱</t>
    </r>
  </si>
  <si>
    <t>SY25798</t>
  </si>
  <si>
    <r>
      <rPr>
        <sz val="10"/>
        <color theme="1"/>
        <rFont val="宋体"/>
        <charset val="134"/>
      </rPr>
      <t>加密亮丝皱</t>
    </r>
  </si>
  <si>
    <t>SY25799</t>
  </si>
  <si>
    <r>
      <rPr>
        <sz val="10"/>
        <color theme="1"/>
        <rFont val="宋体"/>
        <charset val="134"/>
      </rPr>
      <t>高品质</t>
    </r>
    <r>
      <rPr>
        <sz val="10"/>
        <color theme="1"/>
        <rFont val="Calibri Light"/>
        <charset val="134"/>
      </rPr>
      <t>30D</t>
    </r>
    <r>
      <rPr>
        <sz val="10"/>
        <color theme="1"/>
        <rFont val="宋体"/>
        <charset val="134"/>
      </rPr>
      <t>真丝皱</t>
    </r>
  </si>
  <si>
    <t>SY25800</t>
  </si>
  <si>
    <r>
      <rPr>
        <sz val="10"/>
        <color theme="1"/>
        <rFont val="宋体"/>
        <charset val="134"/>
      </rPr>
      <t>加密珍珠雪纺</t>
    </r>
  </si>
  <si>
    <t>SY25801</t>
  </si>
  <si>
    <r>
      <rPr>
        <sz val="10"/>
        <color theme="1"/>
        <rFont val="宋体"/>
        <charset val="134"/>
      </rPr>
      <t>加密锦丝皱</t>
    </r>
  </si>
  <si>
    <t>SY25802</t>
  </si>
  <si>
    <t>GFG/CCB</t>
  </si>
  <si>
    <r>
      <rPr>
        <sz val="10"/>
        <color theme="1"/>
        <rFont val="宋体"/>
        <charset val="134"/>
      </rPr>
      <t>高品质高密乱麻（高密韩国麻）</t>
    </r>
  </si>
  <si>
    <t>SY25803</t>
  </si>
  <si>
    <r>
      <rPr>
        <sz val="10"/>
        <color theme="1"/>
        <rFont val="宋体"/>
        <charset val="134"/>
      </rPr>
      <t>新彩纺织</t>
    </r>
  </si>
  <si>
    <r>
      <rPr>
        <sz val="10"/>
        <color theme="1"/>
        <rFont val="Calibri Light"/>
        <charset val="134"/>
      </rPr>
      <t>80D</t>
    </r>
    <r>
      <rPr>
        <sz val="10"/>
        <color theme="1"/>
        <rFont val="宋体"/>
        <charset val="134"/>
      </rPr>
      <t>高弹乱麻（高弹麻）</t>
    </r>
  </si>
  <si>
    <t>SY25804</t>
  </si>
  <si>
    <r>
      <rPr>
        <sz val="10"/>
        <color theme="1"/>
        <rFont val="宋体"/>
        <charset val="134"/>
      </rPr>
      <t>皮革</t>
    </r>
  </si>
  <si>
    <t>SY25805</t>
  </si>
  <si>
    <r>
      <rPr>
        <sz val="10"/>
        <color theme="1"/>
        <rFont val="Calibri Light"/>
        <charset val="134"/>
      </rPr>
      <t>60%PU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</si>
  <si>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Calibri Light"/>
        <charset val="134"/>
      </rPr>
      <t>60%PU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40%POLY</t>
    </r>
  </si>
  <si>
    <r>
      <rPr>
        <sz val="10"/>
        <color theme="1"/>
        <rFont val="宋体"/>
        <charset val="134"/>
      </rPr>
      <t>含税</t>
    </r>
  </si>
  <si>
    <r>
      <rPr>
        <sz val="10"/>
        <color theme="1"/>
        <rFont val="宋体"/>
        <charset val="134"/>
      </rPr>
      <t>鸿茂杰瑞</t>
    </r>
  </si>
  <si>
    <t>SX041</t>
  </si>
  <si>
    <t>SY25806</t>
  </si>
  <si>
    <t>SX040</t>
  </si>
  <si>
    <t>SY25807</t>
  </si>
  <si>
    <t>H2099</t>
  </si>
  <si>
    <t>SY25808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</si>
  <si>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尼龙，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树脂纤维</t>
    </r>
  </si>
  <si>
    <r>
      <rPr>
        <sz val="10"/>
        <color theme="1"/>
        <rFont val="Calibri Light"/>
        <charset val="134"/>
      </rPr>
      <t>75%NYLON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25%PU</t>
    </r>
  </si>
  <si>
    <t>H2052</t>
  </si>
  <si>
    <t>SY25809</t>
  </si>
  <si>
    <t>PU1945</t>
  </si>
  <si>
    <t>SY25810</t>
  </si>
  <si>
    <t>PU1971</t>
  </si>
  <si>
    <t>SY25811</t>
  </si>
  <si>
    <t>PU2058</t>
  </si>
  <si>
    <t>SY25812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</si>
  <si>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50%PU</t>
    </r>
  </si>
  <si>
    <t>50%COTTON 50%PU</t>
  </si>
  <si>
    <t>PU2044</t>
  </si>
  <si>
    <t>SY25813</t>
  </si>
  <si>
    <t>PU2042</t>
  </si>
  <si>
    <t>SY25814</t>
  </si>
  <si>
    <t>PU2047</t>
  </si>
  <si>
    <t>SY25815</t>
  </si>
  <si>
    <t>PU2050</t>
  </si>
  <si>
    <t>SY25816</t>
  </si>
  <si>
    <t>PU2035</t>
  </si>
  <si>
    <t>SY25817</t>
  </si>
  <si>
    <t>PU2043</t>
  </si>
  <si>
    <t>H2315</t>
  </si>
  <si>
    <t>SY25818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</si>
  <si>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棉</t>
    </r>
  </si>
  <si>
    <t>50%Viscose 30%Linen 20%Cotton</t>
  </si>
  <si>
    <t>H1215</t>
  </si>
  <si>
    <r>
      <rPr>
        <sz val="10"/>
        <color theme="1"/>
        <rFont val="宋体"/>
        <charset val="134"/>
      </rPr>
      <t>华帛社二部（华泰）</t>
    </r>
  </si>
  <si>
    <r>
      <rPr>
        <sz val="10"/>
        <color theme="1"/>
        <rFont val="Calibri Light"/>
        <charset val="134"/>
      </rPr>
      <t>2507#</t>
    </r>
    <r>
      <rPr>
        <sz val="10"/>
        <color theme="1"/>
        <rFont val="宋体"/>
        <charset val="134"/>
      </rPr>
      <t>棉麻竹节</t>
    </r>
  </si>
  <si>
    <t>SY25819</t>
  </si>
  <si>
    <r>
      <rPr>
        <sz val="10"/>
        <color theme="1"/>
        <rFont val="Calibri Light"/>
        <charset val="134"/>
      </rPr>
      <t>87%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13%</t>
    </r>
    <r>
      <rPr>
        <sz val="10"/>
        <color theme="1"/>
        <rFont val="宋体"/>
        <charset val="134"/>
      </rPr>
      <t>尼龙</t>
    </r>
  </si>
  <si>
    <t>87%BCI COTTON 13%NYLON</t>
  </si>
  <si>
    <r>
      <rPr>
        <sz val="10"/>
        <color theme="1"/>
        <rFont val="宋体"/>
        <charset val="134"/>
      </rPr>
      <t>恒泰纺织</t>
    </r>
  </si>
  <si>
    <t>H1671</t>
  </si>
  <si>
    <t>SY25820</t>
  </si>
  <si>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51%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亚麻</t>
    </r>
  </si>
  <si>
    <t>34%BCI COTTON 51%TEN 9%NYLON 6%LINEN</t>
  </si>
  <si>
    <t>8581#</t>
  </si>
  <si>
    <t>SY25821</t>
  </si>
  <si>
    <t>47%LYOCELL 38%RAYON 9%NYLON 6%LINEN</t>
  </si>
  <si>
    <t>145-150</t>
  </si>
  <si>
    <r>
      <rPr>
        <sz val="10"/>
        <color theme="1"/>
        <rFont val="宋体"/>
        <charset val="134"/>
      </rPr>
      <t>和兴（和泰）</t>
    </r>
  </si>
  <si>
    <t>A6022</t>
  </si>
  <si>
    <t>SY25822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</si>
  <si>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亚麻</t>
    </r>
  </si>
  <si>
    <t>70%BCI COTTON 30%LINEN</t>
  </si>
  <si>
    <r>
      <rPr>
        <sz val="10"/>
        <color theme="1"/>
        <rFont val="宋体"/>
        <charset val="134"/>
      </rPr>
      <t>富欧棉麻</t>
    </r>
  </si>
  <si>
    <r>
      <rPr>
        <sz val="10"/>
        <color theme="1"/>
        <rFont val="宋体"/>
        <charset val="134"/>
      </rPr>
      <t>天丝亚麻竹节</t>
    </r>
  </si>
  <si>
    <t>SY25823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</si>
  <si>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天丝</t>
    </r>
  </si>
  <si>
    <t>55%BCI COTTON 25%LINEN 20%TEN</t>
  </si>
  <si>
    <t>148-150</t>
  </si>
  <si>
    <t>8395#</t>
  </si>
  <si>
    <r>
      <rPr>
        <sz val="10"/>
        <color theme="1"/>
        <rFont val="宋体"/>
        <charset val="134"/>
      </rPr>
      <t>明兴纺织</t>
    </r>
  </si>
  <si>
    <t>T985</t>
  </si>
  <si>
    <t>SY25824</t>
  </si>
  <si>
    <r>
      <rPr>
        <sz val="10"/>
        <color theme="1"/>
        <rFont val="宋体"/>
        <charset val="134"/>
      </rPr>
      <t>合泰隆纺织</t>
    </r>
  </si>
  <si>
    <t>GFG0546</t>
  </si>
  <si>
    <t>LF091C</t>
  </si>
  <si>
    <t>SY25825</t>
  </si>
  <si>
    <r>
      <rPr>
        <sz val="10"/>
        <color theme="1"/>
        <rFont val="Calibri Light"/>
        <charset val="134"/>
      </rPr>
      <t>1</t>
    </r>
    <r>
      <rPr>
        <sz val="10"/>
        <color theme="1"/>
        <rFont val="宋体"/>
        <charset val="134"/>
      </rPr>
      <t>公斤出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</si>
  <si>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宋体"/>
        <charset val="134"/>
      </rPr>
      <t>龙丰布行</t>
    </r>
  </si>
  <si>
    <t>SY25826</t>
  </si>
  <si>
    <t>92%Recycle POLY 8%SP</t>
  </si>
  <si>
    <r>
      <rPr>
        <sz val="10"/>
        <color theme="1"/>
        <rFont val="宋体"/>
        <charset val="134"/>
      </rPr>
      <t>奥斯卡布业</t>
    </r>
  </si>
  <si>
    <t>521-2#</t>
  </si>
  <si>
    <t>SY25827</t>
  </si>
  <si>
    <t>97% Recycle POLY3%SP</t>
  </si>
  <si>
    <t>0569-9#</t>
  </si>
  <si>
    <t>SY25828</t>
  </si>
  <si>
    <r>
      <rPr>
        <sz val="10"/>
        <color theme="1"/>
        <rFont val="宋体"/>
        <charset val="134"/>
      </rPr>
      <t>无锡美盛</t>
    </r>
  </si>
  <si>
    <t>C675</t>
  </si>
  <si>
    <t>SY25829</t>
  </si>
  <si>
    <r>
      <rPr>
        <sz val="10"/>
        <color theme="1"/>
        <rFont val="宋体"/>
        <charset val="134"/>
      </rPr>
      <t>美盛反馈皱度不行</t>
    </r>
  </si>
  <si>
    <r>
      <rPr>
        <sz val="10"/>
        <color theme="1"/>
        <rFont val="Calibri Light"/>
        <charset val="134"/>
      </rPr>
      <t>T03</t>
    </r>
    <r>
      <rPr>
        <sz val="10"/>
        <color theme="1"/>
        <rFont val="宋体"/>
        <charset val="134"/>
      </rPr>
      <t>棉皱</t>
    </r>
  </si>
  <si>
    <t>SY25830</t>
  </si>
  <si>
    <t>718#D</t>
  </si>
  <si>
    <t>SY25831</t>
  </si>
  <si>
    <r>
      <rPr>
        <sz val="10"/>
        <color theme="1"/>
        <rFont val="宋体"/>
        <charset val="134"/>
      </rPr>
      <t>布友纺织</t>
    </r>
  </si>
  <si>
    <t>933#</t>
  </si>
  <si>
    <t>SY25832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</si>
  <si>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尼龙</t>
    </r>
  </si>
  <si>
    <t>78%R 22%N</t>
  </si>
  <si>
    <t>10154#</t>
  </si>
  <si>
    <t>SY25833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</si>
  <si>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尼龙</t>
    </r>
  </si>
  <si>
    <t>SY25834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</si>
  <si>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锦纶</t>
    </r>
  </si>
  <si>
    <t>45%R 15%N 40%T</t>
  </si>
  <si>
    <r>
      <rPr>
        <sz val="10"/>
        <color theme="1"/>
        <rFont val="宋体"/>
        <charset val="134"/>
      </rPr>
      <t>嘉锐纺织</t>
    </r>
  </si>
  <si>
    <t>SY25835</t>
  </si>
  <si>
    <t>8478-166</t>
  </si>
  <si>
    <t>SY25836</t>
  </si>
  <si>
    <r>
      <rPr>
        <sz val="10"/>
        <color theme="1"/>
        <rFont val="宋体"/>
        <charset val="134"/>
      </rPr>
      <t>嘉盛</t>
    </r>
  </si>
  <si>
    <r>
      <rPr>
        <sz val="10"/>
        <color theme="1"/>
        <rFont val="宋体"/>
        <charset val="134"/>
      </rPr>
      <t>海棠棉</t>
    </r>
  </si>
  <si>
    <t>SY25837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</si>
  <si>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尼龙</t>
    </r>
  </si>
  <si>
    <t>Y7021</t>
  </si>
  <si>
    <t>SY25838</t>
  </si>
  <si>
    <t>018A#</t>
  </si>
  <si>
    <t>SY25839</t>
  </si>
  <si>
    <t>SY25840</t>
  </si>
  <si>
    <r>
      <rPr>
        <sz val="10"/>
        <color theme="1"/>
        <rFont val="Calibri Light"/>
        <charset val="134"/>
      </rPr>
      <t>889#</t>
    </r>
    <r>
      <rPr>
        <sz val="10"/>
        <color theme="1"/>
        <rFont val="宋体"/>
        <charset val="134"/>
      </rPr>
      <t>厚平纹</t>
    </r>
  </si>
  <si>
    <r>
      <rPr>
        <sz val="10"/>
        <color theme="1"/>
        <rFont val="宋体"/>
        <charset val="134"/>
      </rPr>
      <t>华达</t>
    </r>
  </si>
  <si>
    <t>SY25841</t>
  </si>
  <si>
    <r>
      <rPr>
        <sz val="10"/>
        <color theme="1"/>
        <rFont val="Calibri Light"/>
        <charset val="134"/>
      </rPr>
      <t>626#</t>
    </r>
    <r>
      <rPr>
        <sz val="10"/>
        <color theme="1"/>
        <rFont val="宋体"/>
        <charset val="134"/>
      </rPr>
      <t>厚斜纹</t>
    </r>
  </si>
  <si>
    <t>SY25842</t>
  </si>
  <si>
    <t>B5000-7</t>
  </si>
  <si>
    <r>
      <rPr>
        <sz val="10"/>
        <color theme="1"/>
        <rFont val="宋体"/>
        <charset val="134"/>
      </rPr>
      <t>亿鑫</t>
    </r>
  </si>
  <si>
    <t>SY25843</t>
  </si>
  <si>
    <t>B3999-1</t>
  </si>
  <si>
    <t>SY25844</t>
  </si>
  <si>
    <t>B633-1</t>
  </si>
  <si>
    <t>SY25845</t>
  </si>
  <si>
    <t>B3818</t>
  </si>
  <si>
    <t>SY25846</t>
  </si>
  <si>
    <r>
      <rPr>
        <sz val="10"/>
        <color theme="1"/>
        <rFont val="Calibri Light"/>
        <charset val="134"/>
      </rPr>
      <t>22%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78%</t>
    </r>
    <r>
      <rPr>
        <sz val="10"/>
        <color theme="1"/>
        <rFont val="宋体"/>
        <charset val="134"/>
      </rPr>
      <t>天丝</t>
    </r>
  </si>
  <si>
    <t>78%TEN 22%N</t>
  </si>
  <si>
    <t>SY25847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</si>
  <si>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尼龙</t>
    </r>
  </si>
  <si>
    <t>86%POLY 14%N</t>
  </si>
  <si>
    <t>W2002-1</t>
  </si>
  <si>
    <t>SY25848</t>
  </si>
  <si>
    <r>
      <rPr>
        <sz val="10"/>
        <color theme="1"/>
        <rFont val="Calibri Light"/>
        <charset val="134"/>
      </rPr>
      <t>44%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36%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</si>
  <si>
    <t>44%BCI COTTON 36%TEN 20%N</t>
  </si>
  <si>
    <t>9156-1</t>
  </si>
  <si>
    <t>SY25849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</si>
  <si>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尼龙</t>
    </r>
  </si>
  <si>
    <t>65%BCI COTTON 35%N</t>
  </si>
  <si>
    <t>T25H002</t>
  </si>
  <si>
    <t>SY25850</t>
  </si>
  <si>
    <t>T24F96</t>
  </si>
  <si>
    <t>SY25851</t>
  </si>
  <si>
    <r>
      <rPr>
        <sz val="10"/>
        <color theme="1"/>
        <rFont val="Calibri Light"/>
        <charset val="134"/>
      </rPr>
      <t>91.1%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8.9%</t>
    </r>
    <r>
      <rPr>
        <sz val="10"/>
        <color theme="1"/>
        <rFont val="宋体"/>
        <charset val="134"/>
      </rPr>
      <t>尼龙</t>
    </r>
  </si>
  <si>
    <t>91.1%BCI COTTON 8.9%N</t>
  </si>
  <si>
    <t>T24F77</t>
  </si>
  <si>
    <t>SY25852</t>
  </si>
  <si>
    <t>85%POLY 15%COTTON</t>
  </si>
  <si>
    <t>SY25853</t>
  </si>
  <si>
    <t>73%BCI COTTON 27%N</t>
  </si>
  <si>
    <t>M022#</t>
  </si>
  <si>
    <t>SY25854</t>
  </si>
  <si>
    <r>
      <rPr>
        <sz val="10"/>
        <color theme="1"/>
        <rFont val="Calibri Light"/>
        <charset val="134"/>
      </rPr>
      <t>54%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46%</t>
    </r>
    <r>
      <rPr>
        <sz val="10"/>
        <color theme="1"/>
        <rFont val="宋体"/>
        <charset val="134"/>
      </rPr>
      <t>涤纶</t>
    </r>
  </si>
  <si>
    <t>54%BCI COTTON 46%T</t>
  </si>
  <si>
    <t>M011-1#</t>
  </si>
  <si>
    <r>
      <rPr>
        <sz val="10"/>
        <color theme="1"/>
        <rFont val="宋体"/>
        <charset val="134"/>
      </rPr>
      <t>梭织棉布</t>
    </r>
  </si>
  <si>
    <t>SY25855</t>
  </si>
  <si>
    <r>
      <rPr>
        <sz val="10"/>
        <color theme="1"/>
        <rFont val="宋体"/>
        <charset val="134"/>
      </rPr>
      <t>好之量纺织</t>
    </r>
  </si>
  <si>
    <t>K2699-3</t>
  </si>
  <si>
    <t>SY25856</t>
  </si>
  <si>
    <t>K2700-3</t>
  </si>
  <si>
    <t>SY25857</t>
  </si>
  <si>
    <t>K2703-3</t>
  </si>
  <si>
    <t>SY25858</t>
  </si>
  <si>
    <t>K2739-3</t>
  </si>
  <si>
    <t>SY25859</t>
  </si>
  <si>
    <t>K2733-3</t>
  </si>
  <si>
    <t>SY25860</t>
  </si>
  <si>
    <t>K2731-3</t>
  </si>
  <si>
    <t>SY25861</t>
  </si>
  <si>
    <t>K2848-3</t>
  </si>
  <si>
    <t>SY25862</t>
  </si>
  <si>
    <t>K2720-3</t>
  </si>
  <si>
    <t>SY25863</t>
  </si>
  <si>
    <t>K2684-9</t>
  </si>
  <si>
    <t>SY25864</t>
  </si>
  <si>
    <t>K2685-9</t>
  </si>
  <si>
    <t>SY25865</t>
  </si>
  <si>
    <t>K2744-3</t>
  </si>
  <si>
    <t>SY25866</t>
  </si>
  <si>
    <t>K2752-3</t>
  </si>
  <si>
    <r>
      <rPr>
        <sz val="10"/>
        <color theme="1"/>
        <rFont val="宋体"/>
        <charset val="134"/>
      </rPr>
      <t>箱包牛津布</t>
    </r>
  </si>
  <si>
    <t>SY25867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</si>
  <si>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尼龙，</t>
    </r>
    <r>
      <rPr>
        <sz val="10"/>
        <color theme="1"/>
        <rFont val="Calibri Light"/>
        <charset val="134"/>
      </rPr>
      <t>100D*210D,PU*2</t>
    </r>
  </si>
  <si>
    <r>
      <rPr>
        <sz val="10"/>
        <color theme="1"/>
        <rFont val="宋体"/>
        <charset val="134"/>
      </rPr>
      <t>创峰号</t>
    </r>
  </si>
  <si>
    <t>K820</t>
  </si>
  <si>
    <r>
      <rPr>
        <sz val="10"/>
        <color theme="1"/>
        <rFont val="宋体"/>
        <charset val="134"/>
      </rPr>
      <t>广州市花都区狮岭镇皮革城第五期贵丽北五街</t>
    </r>
    <r>
      <rPr>
        <sz val="10"/>
        <color theme="1"/>
        <rFont val="Calibri Light"/>
        <charset val="134"/>
      </rPr>
      <t>12</t>
    </r>
    <r>
      <rPr>
        <sz val="10"/>
        <color theme="1"/>
        <rFont val="宋体"/>
        <charset val="134"/>
      </rPr>
      <t>号，</t>
    </r>
    <r>
      <rPr>
        <sz val="10"/>
        <color theme="1"/>
        <rFont val="Calibri Light"/>
        <charset val="134"/>
      </rPr>
      <t>13710901934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020-86934466</t>
    </r>
  </si>
  <si>
    <t>SY25868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</si>
  <si>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,70D*210D,PU</t>
    </r>
  </si>
  <si>
    <t>SY25869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</si>
  <si>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,K030(1000DCOUDURA),K888(500D) PU*2</t>
    </r>
  </si>
  <si>
    <t>K030/K888</t>
  </si>
  <si>
    <t>SY25870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</si>
  <si>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,400D</t>
    </r>
    <r>
      <rPr>
        <sz val="10"/>
        <color theme="1"/>
        <rFont val="宋体"/>
        <charset val="134"/>
      </rPr>
      <t>洗水</t>
    </r>
    <r>
      <rPr>
        <sz val="10"/>
        <color theme="1"/>
        <rFont val="Calibri Light"/>
        <charset val="134"/>
      </rPr>
      <t>,PU</t>
    </r>
  </si>
  <si>
    <r>
      <rPr>
        <sz val="10"/>
        <color theme="1"/>
        <rFont val="宋体"/>
        <charset val="134"/>
      </rPr>
      <t>大联布行</t>
    </r>
  </si>
  <si>
    <t>DL-1028</t>
  </si>
  <si>
    <t>SY25871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</si>
  <si>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,70D*160D/228T</t>
    </r>
    <r>
      <rPr>
        <sz val="10"/>
        <color theme="1"/>
        <rFont val="宋体"/>
        <charset val="134"/>
      </rPr>
      <t>塔丝隆</t>
    </r>
  </si>
  <si>
    <t>DL-171</t>
  </si>
  <si>
    <t>SY25872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</si>
  <si>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,420D</t>
    </r>
    <r>
      <rPr>
        <sz val="10"/>
        <color theme="1"/>
        <rFont val="宋体"/>
        <charset val="134"/>
      </rPr>
      <t>洗水</t>
    </r>
    <r>
      <rPr>
        <sz val="10"/>
        <color theme="1"/>
        <rFont val="Calibri Light"/>
        <charset val="134"/>
      </rPr>
      <t>,PU</t>
    </r>
  </si>
  <si>
    <t>DL-052</t>
  </si>
  <si>
    <t>SY25873</t>
  </si>
  <si>
    <r>
      <rPr>
        <sz val="10"/>
        <color theme="1"/>
        <rFont val="宋体"/>
        <charset val="134"/>
      </rPr>
      <t>芊蔓再生</t>
    </r>
  </si>
  <si>
    <t>QM-1370</t>
  </si>
  <si>
    <t>SY25874</t>
  </si>
  <si>
    <t>100% RECYCLE POLY</t>
  </si>
  <si>
    <t>QM-8365</t>
  </si>
  <si>
    <t>SY25875</t>
  </si>
  <si>
    <t>QM-8183</t>
  </si>
  <si>
    <t>SY25876</t>
  </si>
  <si>
    <t>QM-8515</t>
  </si>
  <si>
    <t>SY25877</t>
  </si>
  <si>
    <t>QM-8560</t>
  </si>
  <si>
    <t>SY25878</t>
  </si>
  <si>
    <r>
      <rPr>
        <sz val="10"/>
        <color theme="1"/>
        <rFont val="宋体"/>
        <charset val="134"/>
      </rPr>
      <t>兆兴尼龙布</t>
    </r>
  </si>
  <si>
    <t>ZX-16804(2520D)</t>
  </si>
  <si>
    <t>每码不含税运</t>
  </si>
  <si>
    <t>SY25879</t>
  </si>
  <si>
    <r>
      <rPr>
        <sz val="10"/>
        <color theme="1"/>
        <rFont val="Calibri Light"/>
        <charset val="134"/>
      </rPr>
      <t>ZX-16808(1680D</t>
    </r>
    <r>
      <rPr>
        <sz val="10"/>
        <color theme="1"/>
        <rFont val="宋体"/>
        <charset val="134"/>
      </rPr>
      <t>强捻</t>
    </r>
    <r>
      <rPr>
        <sz val="10"/>
        <color theme="1"/>
        <rFont val="Calibri Light"/>
        <charset val="134"/>
      </rPr>
      <t>)</t>
    </r>
  </si>
  <si>
    <t>SY25880</t>
  </si>
  <si>
    <t>420D水洗布</t>
  </si>
  <si>
    <t>ZX-3016</t>
  </si>
  <si>
    <t>SY25881</t>
  </si>
  <si>
    <t>ZX-PAC</t>
  </si>
  <si>
    <t>SY25882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</si>
  <si>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800D</t>
    </r>
  </si>
  <si>
    <t>ZX-8033</t>
  </si>
  <si>
    <t>SY25883</t>
  </si>
  <si>
    <t>ZX-8905</t>
  </si>
  <si>
    <t>SY25884</t>
  </si>
  <si>
    <r>
      <rPr>
        <sz val="10"/>
        <color theme="1"/>
        <rFont val="宋体"/>
        <charset val="134"/>
      </rPr>
      <t>水松底系列</t>
    </r>
  </si>
  <si>
    <r>
      <rPr>
        <sz val="10"/>
        <color theme="1"/>
        <rFont val="Calibri Light"/>
        <charset val="134"/>
      </rPr>
      <t>290T</t>
    </r>
    <r>
      <rPr>
        <sz val="10"/>
        <color theme="1"/>
        <rFont val="宋体"/>
        <charset val="134"/>
      </rPr>
      <t>斜纹价格</t>
    </r>
    <r>
      <rPr>
        <sz val="10"/>
        <color theme="1"/>
        <rFont val="Calibri Light"/>
        <charset val="134"/>
      </rPr>
      <t>35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码，不含税</t>
    </r>
    <r>
      <rPr>
        <sz val="10"/>
        <color theme="1"/>
        <rFont val="Calibri Light"/>
        <charset val="134"/>
      </rPr>
      <t>1200D</t>
    </r>
    <r>
      <rPr>
        <sz val="10"/>
        <color theme="1"/>
        <rFont val="宋体"/>
        <charset val="134"/>
      </rPr>
      <t>古治</t>
    </r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码，不含税</t>
    </r>
  </si>
  <si>
    <t>SY25885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</si>
  <si>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18*18</t>
    </r>
  </si>
  <si>
    <t>18*18</t>
  </si>
  <si>
    <t>ZX-5014</t>
  </si>
  <si>
    <t>SY25886</t>
  </si>
  <si>
    <t>ZX-786</t>
  </si>
  <si>
    <t>SY25887</t>
  </si>
  <si>
    <t>ZX-16802</t>
  </si>
  <si>
    <t>SY25888</t>
  </si>
  <si>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290T</t>
    </r>
    <r>
      <rPr>
        <sz val="10"/>
        <color theme="1"/>
        <rFont val="宋体"/>
        <charset val="134"/>
      </rPr>
      <t>斜纹复合</t>
    </r>
  </si>
  <si>
    <t>SY25889</t>
  </si>
  <si>
    <t>ZX-8015</t>
  </si>
  <si>
    <t>SY25890</t>
  </si>
  <si>
    <t>ZX-P4037</t>
  </si>
  <si>
    <t>SY25891</t>
  </si>
  <si>
    <t>ZX-3012</t>
  </si>
  <si>
    <t>SY25892</t>
  </si>
  <si>
    <t>ZX-P9006</t>
  </si>
  <si>
    <t>SY25893</t>
  </si>
  <si>
    <t>ZX-P4026</t>
  </si>
  <si>
    <t>SY25894</t>
  </si>
  <si>
    <r>
      <rPr>
        <sz val="10"/>
        <color theme="1"/>
        <rFont val="Calibri Light"/>
        <charset val="134"/>
      </rPr>
      <t>420D</t>
    </r>
    <r>
      <rPr>
        <sz val="10"/>
        <color theme="1"/>
        <rFont val="宋体"/>
        <charset val="134"/>
      </rPr>
      <t>斜纹水洗</t>
    </r>
  </si>
  <si>
    <t>ZX-3022</t>
  </si>
  <si>
    <t>SY25895</t>
  </si>
  <si>
    <t>ZX-3822</t>
  </si>
  <si>
    <t>SY25896</t>
  </si>
  <si>
    <t>ZX-2007</t>
  </si>
  <si>
    <t>SY25897</t>
  </si>
  <si>
    <r>
      <rPr>
        <sz val="10"/>
        <color theme="1"/>
        <rFont val="宋体"/>
        <charset val="134"/>
      </rPr>
      <t>万达纺织</t>
    </r>
  </si>
  <si>
    <t>SY25898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</si>
  <si>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人棉</t>
    </r>
  </si>
  <si>
    <t>60%BCI COTTON 30%POLY 10%RAYON</t>
  </si>
  <si>
    <t>SY25899</t>
  </si>
  <si>
    <t>60%BCI COTTON 40%POLY</t>
  </si>
  <si>
    <t>BA017</t>
  </si>
  <si>
    <r>
      <rPr>
        <sz val="10"/>
        <color theme="1"/>
        <rFont val="宋体"/>
        <charset val="134"/>
      </rPr>
      <t>鑫诚纺织</t>
    </r>
  </si>
  <si>
    <t>SY25900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</si>
  <si>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涤纶</t>
    </r>
  </si>
  <si>
    <t>65%BCI COTTON 35%POLY</t>
  </si>
  <si>
    <t>B178</t>
  </si>
  <si>
    <t>SY25901</t>
  </si>
  <si>
    <t>B179</t>
  </si>
  <si>
    <r>
      <rPr>
        <sz val="10"/>
        <color theme="1"/>
        <rFont val="宋体"/>
        <charset val="134"/>
      </rPr>
      <t>重复编号</t>
    </r>
    <r>
      <rPr>
        <sz val="10"/>
        <color theme="1"/>
        <rFont val="Calibri Light"/>
        <charset val="134"/>
      </rPr>
      <t>SY25828</t>
    </r>
    <r>
      <rPr>
        <sz val="10"/>
        <color theme="1"/>
        <rFont val="宋体"/>
        <charset val="134"/>
      </rPr>
      <t>改</t>
    </r>
    <r>
      <rPr>
        <sz val="10"/>
        <color theme="1"/>
        <rFont val="Calibri Light"/>
        <charset val="134"/>
      </rPr>
      <t>SY25902</t>
    </r>
  </si>
  <si>
    <t>C791</t>
  </si>
  <si>
    <r>
      <rPr>
        <sz val="10"/>
        <color theme="1"/>
        <rFont val="Calibri Light"/>
        <charset val="134"/>
      </rPr>
      <t>SY25902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SY25828)</t>
    </r>
  </si>
  <si>
    <t>SY25903</t>
  </si>
  <si>
    <t>QM-8179</t>
  </si>
  <si>
    <t>SY25904</t>
  </si>
  <si>
    <t>QM-8188</t>
  </si>
  <si>
    <t>SY25905</t>
  </si>
  <si>
    <t>QM-8186</t>
  </si>
  <si>
    <t>SY25906</t>
  </si>
  <si>
    <t>100%RECYCLE NYLON</t>
  </si>
  <si>
    <t>QM-8535</t>
  </si>
  <si>
    <t>SY25907</t>
  </si>
  <si>
    <t>QM-8511</t>
  </si>
  <si>
    <t>SY25908</t>
  </si>
  <si>
    <t>QM-1399</t>
  </si>
  <si>
    <t>SY25909</t>
  </si>
  <si>
    <t>QM-610</t>
  </si>
  <si>
    <t>SY25910</t>
  </si>
  <si>
    <t>QM-8503</t>
  </si>
  <si>
    <t>SY25911</t>
  </si>
  <si>
    <t>QM-819</t>
  </si>
  <si>
    <t>SY25912</t>
  </si>
  <si>
    <t>QM-801</t>
  </si>
  <si>
    <r>
      <rPr>
        <sz val="10"/>
        <color theme="1"/>
        <rFont val="宋体"/>
        <charset val="134"/>
      </rPr>
      <t>黄鑫</t>
    </r>
  </si>
  <si>
    <t>SY25913</t>
  </si>
  <si>
    <r>
      <rPr>
        <sz val="10"/>
        <color theme="1"/>
        <rFont val="宋体"/>
        <charset val="134"/>
      </rPr>
      <t>亿泰</t>
    </r>
  </si>
  <si>
    <r>
      <rPr>
        <sz val="10"/>
        <color theme="1"/>
        <rFont val="宋体"/>
        <charset val="134"/>
      </rPr>
      <t>仿麻竹节</t>
    </r>
  </si>
  <si>
    <r>
      <rPr>
        <sz val="10"/>
        <color theme="1"/>
        <rFont val="宋体"/>
        <charset val="134"/>
      </rPr>
      <t>样板房</t>
    </r>
    <r>
      <rPr>
        <sz val="10"/>
        <color theme="1"/>
        <rFont val="Calibri Light"/>
        <charset val="134"/>
      </rPr>
      <t>/GFG</t>
    </r>
  </si>
  <si>
    <r>
      <rPr>
        <sz val="10"/>
        <color theme="1"/>
        <rFont val="宋体"/>
        <charset val="134"/>
      </rPr>
      <t>重复编号</t>
    </r>
    <r>
      <rPr>
        <sz val="10"/>
        <color theme="1"/>
        <rFont val="Calibri Light"/>
        <charset val="134"/>
      </rPr>
      <t>SY25529</t>
    </r>
    <r>
      <rPr>
        <sz val="10"/>
        <color theme="1"/>
        <rFont val="宋体"/>
        <charset val="134"/>
      </rPr>
      <t>改</t>
    </r>
    <r>
      <rPr>
        <sz val="10"/>
        <color theme="1"/>
        <rFont val="Calibri Light"/>
        <charset val="134"/>
      </rPr>
      <t>SY25914</t>
    </r>
  </si>
  <si>
    <t>SY25914</t>
  </si>
  <si>
    <t>70%POLY 30%R</t>
  </si>
  <si>
    <t>欧纺时尚</t>
  </si>
  <si>
    <t>刘淇鑫</t>
  </si>
  <si>
    <t>男装夹克</t>
  </si>
  <si>
    <t>8007#</t>
  </si>
  <si>
    <t>SY25915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</si>
  <si>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</si>
  <si>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80%POLY 17%R 3%SP</t>
  </si>
  <si>
    <t>新蓝</t>
  </si>
  <si>
    <t>双骑兵斜砂洗</t>
  </si>
  <si>
    <t>SY25916</t>
  </si>
  <si>
    <t>100%棉</t>
  </si>
  <si>
    <t>916#</t>
  </si>
  <si>
    <t>新骏马布行</t>
  </si>
  <si>
    <t>586#</t>
  </si>
  <si>
    <t>SY25917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</si>
  <si>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阳离</t>
    </r>
  </si>
  <si>
    <t>8017#</t>
  </si>
  <si>
    <t>SY25918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</si>
  <si>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粘胶</t>
    </r>
  </si>
  <si>
    <t>78%POLY 22%V</t>
  </si>
  <si>
    <t xml:space="preserve">GFG </t>
  </si>
  <si>
    <t>8005#</t>
  </si>
  <si>
    <t>SY25919</t>
  </si>
  <si>
    <t>96%涤纶 4%氨纶</t>
  </si>
  <si>
    <t>GF6095</t>
  </si>
  <si>
    <t>SY25920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</si>
  <si>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锦纶</t>
    </r>
  </si>
  <si>
    <t>国丰纺织</t>
  </si>
  <si>
    <t>1521#</t>
  </si>
  <si>
    <t>SY25921</t>
  </si>
  <si>
    <t>创丰纺织</t>
  </si>
  <si>
    <t>午后沙滩</t>
  </si>
  <si>
    <t>SY25922</t>
  </si>
  <si>
    <t>XYT-948</t>
  </si>
  <si>
    <t>星源泰</t>
  </si>
  <si>
    <t>GS6293</t>
  </si>
  <si>
    <t>SY25923</t>
  </si>
  <si>
    <t>冠胜纺织</t>
  </si>
  <si>
    <t>超柔碳磨水洗棉</t>
  </si>
  <si>
    <t>SY25924</t>
  </si>
  <si>
    <t>JS1966</t>
  </si>
  <si>
    <t>恒信纺织</t>
  </si>
  <si>
    <t>JS1977</t>
  </si>
  <si>
    <t>SY25925</t>
  </si>
  <si>
    <t>恒为信纺织</t>
  </si>
  <si>
    <t>超柔碳磨水洗</t>
  </si>
  <si>
    <t>SY25926</t>
  </si>
  <si>
    <t>信盛</t>
  </si>
  <si>
    <t>SY25927</t>
  </si>
  <si>
    <t>SY25928</t>
  </si>
  <si>
    <r>
      <rPr>
        <sz val="10"/>
        <color theme="1"/>
        <rFont val="Calibri Light"/>
        <charset val="134"/>
      </rPr>
      <t>101%</t>
    </r>
    <r>
      <rPr>
        <sz val="10"/>
        <color theme="1"/>
        <rFont val="宋体"/>
        <charset val="134"/>
      </rPr>
      <t>棉</t>
    </r>
  </si>
  <si>
    <t>蒙古斜砂洗</t>
  </si>
  <si>
    <t>SY25929</t>
  </si>
  <si>
    <t>917#</t>
  </si>
  <si>
    <t>猫眼砂洗</t>
  </si>
  <si>
    <t>SY25930</t>
  </si>
  <si>
    <t>866#</t>
  </si>
  <si>
    <t>细珠帆砂洗</t>
  </si>
  <si>
    <t>SY25931</t>
  </si>
  <si>
    <t>600#</t>
  </si>
  <si>
    <t>骑兵斜砂洗</t>
  </si>
  <si>
    <t>SY25932</t>
  </si>
  <si>
    <t>588#</t>
  </si>
  <si>
    <r>
      <rPr>
        <sz val="10"/>
        <color theme="1"/>
        <rFont val="Calibri Light"/>
        <charset val="134"/>
      </rPr>
      <t>14</t>
    </r>
    <r>
      <rPr>
        <sz val="10"/>
        <color theme="1"/>
        <rFont val="宋体"/>
        <charset val="134"/>
      </rPr>
      <t>坑无弹外销环锭纺</t>
    </r>
  </si>
  <si>
    <t>SY25933</t>
  </si>
  <si>
    <t>2787A</t>
  </si>
  <si>
    <t>隆益纺织</t>
  </si>
  <si>
    <r>
      <rPr>
        <sz val="10"/>
        <color theme="1"/>
        <rFont val="宋体"/>
        <charset val="134"/>
      </rPr>
      <t>仿棉</t>
    </r>
    <r>
      <rPr>
        <sz val="10"/>
        <color theme="1"/>
        <rFont val="Calibri Light"/>
        <charset val="134"/>
      </rPr>
      <t>11</t>
    </r>
    <r>
      <rPr>
        <sz val="10"/>
        <color theme="1"/>
        <rFont val="宋体"/>
        <charset val="134"/>
      </rPr>
      <t>坑</t>
    </r>
  </si>
  <si>
    <t>SY25934</t>
  </si>
  <si>
    <r>
      <rPr>
        <sz val="10"/>
        <color theme="1"/>
        <rFont val="宋体"/>
        <charset val="134"/>
      </rPr>
      <t>仿棉</t>
    </r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坑</t>
    </r>
  </si>
  <si>
    <t>SY25935</t>
  </si>
  <si>
    <t>100%涤纶</t>
  </si>
  <si>
    <r>
      <rPr>
        <sz val="10"/>
        <color theme="1"/>
        <rFont val="Calibri Light"/>
        <charset val="134"/>
      </rPr>
      <t>11</t>
    </r>
    <r>
      <rPr>
        <sz val="10"/>
        <color theme="1"/>
        <rFont val="宋体"/>
        <charset val="134"/>
      </rPr>
      <t>坑无弹外销环锭纺</t>
    </r>
  </si>
  <si>
    <t>SY25936</t>
  </si>
  <si>
    <t>2786A</t>
  </si>
  <si>
    <r>
      <rPr>
        <sz val="10"/>
        <color theme="1"/>
        <rFont val="Calibri Light"/>
        <charset val="134"/>
      </rPr>
      <t>2108#</t>
    </r>
    <r>
      <rPr>
        <sz val="10"/>
        <color theme="1"/>
        <rFont val="宋体"/>
        <charset val="134"/>
      </rPr>
      <t>免洗高弹</t>
    </r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坑直条</t>
    </r>
  </si>
  <si>
    <t>SY25937</t>
  </si>
  <si>
    <t>100%聚酯纤维</t>
  </si>
  <si>
    <t>2108#</t>
  </si>
  <si>
    <t>国宾</t>
  </si>
  <si>
    <r>
      <rPr>
        <sz val="10"/>
        <color theme="1"/>
        <rFont val="宋体"/>
        <charset val="134"/>
      </rPr>
      <t>全棉</t>
    </r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坑</t>
    </r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片无弹</t>
    </r>
  </si>
  <si>
    <t>SY25938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</si>
  <si>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粘胶</t>
    </r>
  </si>
  <si>
    <t>80%BCI COTTON 20%V</t>
  </si>
  <si>
    <t>1508#</t>
  </si>
  <si>
    <r>
      <rPr>
        <sz val="10"/>
        <color theme="1"/>
        <rFont val="宋体"/>
        <charset val="134"/>
      </rPr>
      <t>高弹免洗</t>
    </r>
    <r>
      <rPr>
        <sz val="10"/>
        <color theme="1"/>
        <rFont val="Calibri Light"/>
        <charset val="134"/>
      </rPr>
      <t>11</t>
    </r>
    <r>
      <rPr>
        <sz val="10"/>
        <color theme="1"/>
        <rFont val="宋体"/>
        <charset val="134"/>
      </rPr>
      <t>坑</t>
    </r>
  </si>
  <si>
    <t>SY25939</t>
  </si>
  <si>
    <t>越旺布行</t>
  </si>
  <si>
    <r>
      <rPr>
        <sz val="10"/>
        <color theme="1"/>
        <rFont val="Calibri Light"/>
        <charset val="134"/>
      </rPr>
      <t>T8/T8</t>
    </r>
    <r>
      <rPr>
        <sz val="10"/>
        <color theme="1"/>
        <rFont val="宋体"/>
        <charset val="134"/>
      </rPr>
      <t>抓毛</t>
    </r>
  </si>
  <si>
    <t>SY25940</t>
  </si>
  <si>
    <t>T8/T8抓毛</t>
  </si>
  <si>
    <r>
      <rPr>
        <sz val="10"/>
        <color theme="1"/>
        <rFont val="宋体"/>
        <charset val="134"/>
      </rPr>
      <t>抓毛</t>
    </r>
    <r>
      <rPr>
        <sz val="10"/>
        <color theme="1"/>
        <rFont val="Calibri Light"/>
        <charset val="134"/>
      </rPr>
      <t>+4</t>
    </r>
    <r>
      <rPr>
        <sz val="10"/>
        <color theme="1"/>
        <rFont val="宋体"/>
        <charset val="134"/>
      </rPr>
      <t>元</t>
    </r>
  </si>
  <si>
    <t>SY25941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</si>
  <si>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晴纶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人棉</t>
    </r>
  </si>
  <si>
    <t>60%POLY 20%A 20%R</t>
  </si>
  <si>
    <t>嘉裕</t>
  </si>
  <si>
    <t>SY25942</t>
  </si>
  <si>
    <r>
      <rPr>
        <sz val="10"/>
        <color theme="1"/>
        <rFont val="Calibri Light"/>
        <charset val="134"/>
      </rPr>
      <t>56.9%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33.4%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8.2%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 xml:space="preserve"> 1.5%</t>
    </r>
    <r>
      <rPr>
        <sz val="10"/>
        <color theme="1"/>
        <rFont val="宋体"/>
        <charset val="134"/>
      </rPr>
      <t>氨纶</t>
    </r>
  </si>
  <si>
    <t>56.9%POLY 33.4%R 8.2%W 1.5%SP</t>
  </si>
  <si>
    <t>SY25943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</si>
  <si>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羊毛</t>
    </r>
  </si>
  <si>
    <t>60%POLY 25%R 15%W</t>
  </si>
  <si>
    <t>8019#</t>
  </si>
  <si>
    <t>SY25944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</si>
  <si>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</si>
  <si>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75%POLY 22%V 3%SP</t>
  </si>
  <si>
    <t>B1865</t>
  </si>
  <si>
    <t>SY25945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</si>
  <si>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晴纶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粘胶</t>
    </r>
  </si>
  <si>
    <t>60%POLY 20%V  20% A</t>
  </si>
  <si>
    <t>和泰</t>
  </si>
  <si>
    <t>51053-5</t>
  </si>
  <si>
    <t>SY25946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</si>
  <si>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阳离子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</si>
  <si>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79%POLY 18%R 3%SP</t>
  </si>
  <si>
    <t>51053-3</t>
  </si>
  <si>
    <t>K6133-11</t>
  </si>
  <si>
    <t>SY25947</t>
  </si>
  <si>
    <t>70%涤纶 30%人棉</t>
  </si>
  <si>
    <t>联兴不报价</t>
  </si>
  <si>
    <t>联兴纺织</t>
  </si>
  <si>
    <t>B663-20</t>
  </si>
  <si>
    <t>SY25948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</si>
  <si>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</si>
  <si>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79%POLY18%R 3%SP</t>
  </si>
  <si>
    <t>SY25949</t>
  </si>
  <si>
    <t>60%涤纶 20%晴纶 20%人棉</t>
  </si>
  <si>
    <t>SY25950</t>
  </si>
  <si>
    <t>78%涤纶  18%人棉 4%氨纶</t>
  </si>
  <si>
    <t>78%POLY 18%R 4%SP</t>
  </si>
  <si>
    <t>陈晓彬</t>
  </si>
  <si>
    <t>CF841#</t>
  </si>
  <si>
    <t>SY25951</t>
  </si>
  <si>
    <t>100%尼龙</t>
  </si>
  <si>
    <r>
      <rPr>
        <sz val="10"/>
        <color theme="1"/>
        <rFont val="Calibri Light"/>
        <charset val="134"/>
      </rPr>
      <t>R812</t>
    </r>
    <r>
      <rPr>
        <sz val="10"/>
        <color theme="1"/>
        <rFont val="宋体"/>
        <charset val="134"/>
      </rPr>
      <t>棉感手抓花</t>
    </r>
  </si>
  <si>
    <t>SY25952</t>
  </si>
  <si>
    <t>日日发纺织</t>
  </si>
  <si>
    <r>
      <rPr>
        <sz val="10"/>
        <color theme="1"/>
        <rFont val="Calibri Light"/>
        <charset val="134"/>
      </rPr>
      <t>R901</t>
    </r>
    <r>
      <rPr>
        <sz val="10"/>
        <color theme="1"/>
        <rFont val="宋体"/>
        <charset val="134"/>
      </rPr>
      <t>韩国棉</t>
    </r>
  </si>
  <si>
    <t>SY25953</t>
  </si>
  <si>
    <t>85%人棉 15%尼龙</t>
  </si>
  <si>
    <t>R810山本柔丝斜</t>
  </si>
  <si>
    <t>SY25954</t>
  </si>
  <si>
    <t>D696</t>
  </si>
  <si>
    <t>SY25955</t>
  </si>
  <si>
    <t>75%人棉 25%涤纶</t>
  </si>
  <si>
    <r>
      <rPr>
        <sz val="10"/>
        <color theme="1"/>
        <rFont val="Calibri Light"/>
        <charset val="134"/>
      </rPr>
      <t>R268</t>
    </r>
    <r>
      <rPr>
        <sz val="10"/>
        <color theme="1"/>
        <rFont val="宋体"/>
        <charset val="134"/>
      </rPr>
      <t>柔斜竹节</t>
    </r>
  </si>
  <si>
    <t>SY25956</t>
  </si>
  <si>
    <t>50%棉 50%人棉</t>
  </si>
  <si>
    <t>75%R 25%POLY</t>
  </si>
  <si>
    <t>GFG0537起皱布</t>
  </si>
  <si>
    <t>2501620#</t>
  </si>
  <si>
    <t>SY25957</t>
  </si>
  <si>
    <t>生旺纺织</t>
  </si>
  <si>
    <t>2501632#</t>
  </si>
  <si>
    <t>SY25958</t>
  </si>
  <si>
    <t>371#</t>
  </si>
  <si>
    <t>SY25959</t>
  </si>
  <si>
    <t>82%人棉 18%尼龙</t>
  </si>
  <si>
    <t>布友纺织</t>
  </si>
  <si>
    <t>829#A</t>
  </si>
  <si>
    <t>SY25960</t>
  </si>
  <si>
    <t>SY25961</t>
  </si>
  <si>
    <t>85%棉 15%尼龙</t>
  </si>
  <si>
    <t>东泰纺织</t>
  </si>
  <si>
    <t>YT529</t>
  </si>
  <si>
    <t>SY25962</t>
  </si>
  <si>
    <r>
      <rPr>
        <sz val="10"/>
        <color theme="1"/>
        <rFont val="宋体"/>
        <charset val="134"/>
      </rPr>
      <t>没寄出给</t>
    </r>
    <r>
      <rPr>
        <sz val="10"/>
        <color theme="1"/>
        <rFont val="Calibri Light"/>
        <charset val="134"/>
      </rPr>
      <t>GFG</t>
    </r>
  </si>
  <si>
    <t>取消，不报价</t>
  </si>
  <si>
    <r>
      <rPr>
        <sz val="10"/>
        <color theme="1"/>
        <rFont val="Calibri Light"/>
        <charset val="134"/>
      </rPr>
      <t>R668</t>
    </r>
    <r>
      <rPr>
        <sz val="10"/>
        <color theme="1"/>
        <rFont val="宋体"/>
        <charset val="134"/>
      </rPr>
      <t>桃花格</t>
    </r>
  </si>
  <si>
    <t>SY25963</t>
  </si>
  <si>
    <r>
      <rPr>
        <sz val="10"/>
        <color theme="1"/>
        <rFont val="Calibri Light"/>
        <charset val="134"/>
      </rPr>
      <t>R801</t>
    </r>
    <r>
      <rPr>
        <sz val="10"/>
        <color theme="1"/>
        <rFont val="宋体"/>
        <charset val="134"/>
      </rPr>
      <t>云朵绉</t>
    </r>
  </si>
  <si>
    <t>SY25964</t>
  </si>
  <si>
    <t>80%人棉 18%锦纶 2%氨纶</t>
  </si>
  <si>
    <t>80%R 18%N 2%SP</t>
  </si>
  <si>
    <r>
      <rPr>
        <sz val="10"/>
        <color theme="1"/>
        <rFont val="Calibri Light"/>
        <charset val="134"/>
      </rPr>
      <t>R618</t>
    </r>
    <r>
      <rPr>
        <sz val="10"/>
        <color theme="1"/>
        <rFont val="宋体"/>
        <charset val="134"/>
      </rPr>
      <t>隐条</t>
    </r>
  </si>
  <si>
    <t>SY25965</t>
  </si>
  <si>
    <t>85%人棉 15%涤纶</t>
  </si>
  <si>
    <r>
      <rPr>
        <sz val="10"/>
        <color theme="1"/>
        <rFont val="Calibri Light"/>
        <charset val="134"/>
      </rPr>
      <t>R802</t>
    </r>
    <r>
      <rPr>
        <sz val="10"/>
        <color theme="1"/>
        <rFont val="宋体"/>
        <charset val="134"/>
      </rPr>
      <t>樱桃格</t>
    </r>
  </si>
  <si>
    <t>SY25966</t>
  </si>
  <si>
    <t>80%棉 20%涤纶</t>
  </si>
  <si>
    <r>
      <rPr>
        <sz val="10"/>
        <color theme="1"/>
        <rFont val="Calibri Light"/>
        <charset val="134"/>
      </rPr>
      <t>R806</t>
    </r>
    <r>
      <rPr>
        <sz val="10"/>
        <color theme="1"/>
        <rFont val="宋体"/>
        <charset val="134"/>
      </rPr>
      <t>芙蓉格</t>
    </r>
  </si>
  <si>
    <t>SY25967</t>
  </si>
  <si>
    <r>
      <rPr>
        <sz val="10"/>
        <color theme="1"/>
        <rFont val="Calibri Light"/>
        <charset val="134"/>
      </rPr>
      <t>R803</t>
    </r>
    <r>
      <rPr>
        <sz val="10"/>
        <color theme="1"/>
        <rFont val="宋体"/>
        <charset val="134"/>
      </rPr>
      <t>京东格</t>
    </r>
  </si>
  <si>
    <t>SY25968</t>
  </si>
  <si>
    <r>
      <rPr>
        <sz val="10"/>
        <color theme="1"/>
        <rFont val="Calibri Light"/>
        <charset val="134"/>
      </rPr>
      <t>R808</t>
    </r>
    <r>
      <rPr>
        <sz val="10"/>
        <color theme="1"/>
        <rFont val="宋体"/>
        <charset val="134"/>
      </rPr>
      <t>天丝泡泡条</t>
    </r>
  </si>
  <si>
    <t>SY25969</t>
  </si>
  <si>
    <t>85%天丝 15%尼龙</t>
  </si>
  <si>
    <t>85%TEL 15%N</t>
  </si>
  <si>
    <r>
      <rPr>
        <sz val="10"/>
        <color theme="1"/>
        <rFont val="Calibri Light"/>
        <charset val="134"/>
      </rPr>
      <t>R805</t>
    </r>
    <r>
      <rPr>
        <sz val="10"/>
        <color theme="1"/>
        <rFont val="宋体"/>
        <charset val="134"/>
      </rPr>
      <t>海浪皱</t>
    </r>
  </si>
  <si>
    <t>SY25970</t>
  </si>
  <si>
    <t>天丝圣罗兰</t>
  </si>
  <si>
    <t>SY25971</t>
  </si>
  <si>
    <r>
      <rPr>
        <sz val="10"/>
        <color theme="1"/>
        <rFont val="Calibri Light"/>
        <charset val="134"/>
      </rPr>
      <t>R809</t>
    </r>
    <r>
      <rPr>
        <sz val="10"/>
        <color theme="1"/>
        <rFont val="宋体"/>
        <charset val="134"/>
      </rPr>
      <t>天丝雅菲条</t>
    </r>
  </si>
  <si>
    <t>SY25972</t>
  </si>
  <si>
    <t>GFG0539针织布</t>
  </si>
  <si>
    <r>
      <rPr>
        <sz val="10"/>
        <color theme="1"/>
        <rFont val="宋体"/>
        <charset val="134"/>
      </rPr>
      <t>雪花天丝</t>
    </r>
    <r>
      <rPr>
        <sz val="10"/>
        <color theme="1"/>
        <rFont val="Calibri Light"/>
        <charset val="134"/>
      </rPr>
      <t>-RS</t>
    </r>
  </si>
  <si>
    <t>SY25973</t>
  </si>
  <si>
    <t>75%涤纶25%人棉</t>
  </si>
  <si>
    <t>75%POLY 25%R</t>
  </si>
  <si>
    <t>4.91M/KG</t>
  </si>
  <si>
    <t>健润纺织</t>
  </si>
  <si>
    <r>
      <rPr>
        <sz val="10"/>
        <color theme="1"/>
        <rFont val="宋体"/>
        <charset val="134"/>
      </rPr>
      <t>渐变罗纹</t>
    </r>
    <r>
      <rPr>
        <sz val="10"/>
        <color theme="1"/>
        <rFont val="Calibri Light"/>
        <charset val="134"/>
      </rPr>
      <t>-RS</t>
    </r>
  </si>
  <si>
    <t>SY25974</t>
  </si>
  <si>
    <t>92%涤纶8%氨纶</t>
  </si>
  <si>
    <t>3.91M/KG</t>
  </si>
  <si>
    <r>
      <rPr>
        <sz val="10"/>
        <color theme="1"/>
        <rFont val="Calibri Light"/>
        <charset val="134"/>
      </rPr>
      <t>5*3</t>
    </r>
    <r>
      <rPr>
        <sz val="10"/>
        <color theme="1"/>
        <rFont val="宋体"/>
        <charset val="134"/>
      </rPr>
      <t>罗纹竹节</t>
    </r>
    <r>
      <rPr>
        <sz val="10"/>
        <color theme="1"/>
        <rFont val="Calibri Light"/>
        <charset val="134"/>
      </rPr>
      <t>-RS</t>
    </r>
  </si>
  <si>
    <t>SY25975</t>
  </si>
  <si>
    <t>6.17M/KG</t>
  </si>
  <si>
    <r>
      <rPr>
        <sz val="10"/>
        <color theme="1"/>
        <rFont val="宋体"/>
        <charset val="134"/>
      </rPr>
      <t>悠夏罗纹</t>
    </r>
    <r>
      <rPr>
        <sz val="10"/>
        <color theme="1"/>
        <rFont val="Calibri Light"/>
        <charset val="134"/>
      </rPr>
      <t>-RS</t>
    </r>
  </si>
  <si>
    <t>SY25976</t>
  </si>
  <si>
    <t>5.27M/KG</t>
  </si>
  <si>
    <r>
      <rPr>
        <sz val="10"/>
        <color theme="1"/>
        <rFont val="宋体"/>
        <charset val="134"/>
      </rPr>
      <t>逸柔</t>
    </r>
    <r>
      <rPr>
        <sz val="10"/>
        <color theme="1"/>
        <rFont val="Calibri Light"/>
        <charset val="134"/>
      </rPr>
      <t>3*2</t>
    </r>
    <r>
      <rPr>
        <sz val="10"/>
        <color theme="1"/>
        <rFont val="宋体"/>
        <charset val="134"/>
      </rPr>
      <t>罗纹</t>
    </r>
    <r>
      <rPr>
        <sz val="10"/>
        <color theme="1"/>
        <rFont val="Calibri Light"/>
        <charset val="134"/>
      </rPr>
      <t>-RS</t>
    </r>
  </si>
  <si>
    <t>SY25977</t>
  </si>
  <si>
    <t>85%涤纶 15%人棉</t>
  </si>
  <si>
    <t>85%POLY 15%R</t>
  </si>
  <si>
    <t>5.21M/KG</t>
  </si>
  <si>
    <r>
      <rPr>
        <sz val="10"/>
        <color theme="1"/>
        <rFont val="宋体"/>
        <charset val="134"/>
      </rPr>
      <t>逸柔5*3罗纹</t>
    </r>
    <r>
      <rPr>
        <sz val="10"/>
        <color theme="1"/>
        <rFont val="Calibri Light"/>
        <charset val="134"/>
      </rPr>
      <t>-RS</t>
    </r>
  </si>
  <si>
    <t>SY25978</t>
  </si>
  <si>
    <t>6.06M/KG</t>
  </si>
  <si>
    <r>
      <rPr>
        <sz val="10"/>
        <color theme="1"/>
        <rFont val="Calibri Light"/>
        <charset val="134"/>
      </rPr>
      <t>2#</t>
    </r>
    <r>
      <rPr>
        <sz val="10"/>
        <color theme="1"/>
        <rFont val="宋体"/>
        <charset val="134"/>
      </rPr>
      <t>超薄天竹罗纹染色</t>
    </r>
  </si>
  <si>
    <t>SY25979</t>
  </si>
  <si>
    <r>
      <rPr>
        <sz val="10"/>
        <color theme="1"/>
        <rFont val="Calibri Light"/>
        <charset val="134"/>
      </rPr>
      <t>33%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62%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</si>
  <si>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62%POLY 33%R 5%SP</t>
  </si>
  <si>
    <t>3.45M/KG</t>
  </si>
  <si>
    <t>天竹罗纹不等间</t>
  </si>
  <si>
    <t>SY25980</t>
  </si>
  <si>
    <r>
      <rPr>
        <sz val="10"/>
        <color theme="1"/>
        <rFont val="Calibri Light"/>
        <charset val="134"/>
      </rPr>
      <t>61%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氨纶</t>
    </r>
  </si>
  <si>
    <t>61%POLY 33%R 6%SP</t>
  </si>
  <si>
    <t>3.13M/KG</t>
  </si>
  <si>
    <r>
      <rPr>
        <sz val="10"/>
        <color theme="1"/>
        <rFont val="Calibri Light"/>
        <charset val="134"/>
      </rPr>
      <t>3*2</t>
    </r>
    <r>
      <rPr>
        <sz val="10"/>
        <color theme="1"/>
        <rFont val="宋体"/>
        <charset val="134"/>
      </rPr>
      <t>花灰罗纹</t>
    </r>
    <r>
      <rPr>
        <sz val="10"/>
        <color theme="1"/>
        <rFont val="Calibri Light"/>
        <charset val="134"/>
      </rPr>
      <t>-RS</t>
    </r>
  </si>
  <si>
    <t>SY25981</t>
  </si>
  <si>
    <r>
      <rPr>
        <sz val="10"/>
        <color theme="1"/>
        <rFont val="宋体"/>
        <charset val="134"/>
      </rPr>
      <t>舒雅棉</t>
    </r>
    <r>
      <rPr>
        <sz val="10"/>
        <color theme="1"/>
        <rFont val="Calibri Light"/>
        <charset val="134"/>
      </rPr>
      <t>2*2-RS</t>
    </r>
  </si>
  <si>
    <t>SY25982</t>
  </si>
  <si>
    <r>
      <rPr>
        <sz val="10"/>
        <color theme="1"/>
        <rFont val="Calibri Light"/>
        <charset val="134"/>
      </rPr>
      <t>71%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</si>
  <si>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71%POLY 22%R 7%SP</t>
  </si>
  <si>
    <t>5.11M/KG</t>
  </si>
  <si>
    <r>
      <rPr>
        <sz val="10"/>
        <color theme="1"/>
        <rFont val="Calibri Light"/>
        <charset val="134"/>
      </rPr>
      <t>3485</t>
    </r>
    <r>
      <rPr>
        <sz val="10"/>
        <color theme="1"/>
        <rFont val="宋体"/>
        <charset val="134"/>
      </rPr>
      <t>天丝羊绒</t>
    </r>
  </si>
  <si>
    <t>SY25983</t>
  </si>
  <si>
    <t>80%POLY 20%R</t>
  </si>
  <si>
    <t>4.2M/KG</t>
  </si>
  <si>
    <t>泓泰时尚</t>
  </si>
  <si>
    <t>N113-14</t>
  </si>
  <si>
    <t>SY25984</t>
  </si>
  <si>
    <t>95%涤纶 5%氨纶</t>
  </si>
  <si>
    <t>3.7M/KG</t>
  </si>
  <si>
    <t>楠兴泰</t>
  </si>
  <si>
    <t>华宙鞋业</t>
  </si>
  <si>
    <r>
      <rPr>
        <sz val="10"/>
        <color theme="1"/>
        <rFont val="Calibri Light"/>
        <charset val="134"/>
      </rPr>
      <t>2521#75D</t>
    </r>
    <r>
      <rPr>
        <sz val="10"/>
        <color theme="1"/>
        <rFont val="宋体"/>
        <charset val="134"/>
      </rPr>
      <t>登山布防水</t>
    </r>
  </si>
  <si>
    <t>SY25985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</si>
  <si>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7%</t>
    </r>
    <r>
      <rPr>
        <sz val="10"/>
        <color theme="1"/>
        <rFont val="宋体"/>
        <charset val="134"/>
      </rPr>
      <t>氨纶</t>
    </r>
  </si>
  <si>
    <t>93%T 7%SP</t>
  </si>
  <si>
    <t>XS</t>
  </si>
  <si>
    <r>
      <rPr>
        <sz val="10"/>
        <color theme="1"/>
        <rFont val="宋体"/>
        <charset val="134"/>
      </rPr>
      <t>四面弹</t>
    </r>
    <r>
      <rPr>
        <sz val="10"/>
        <color theme="1"/>
        <rFont val="Calibri Light"/>
        <charset val="134"/>
      </rPr>
      <t>206006</t>
    </r>
  </si>
  <si>
    <t>SY25986</t>
  </si>
  <si>
    <t>160-165</t>
  </si>
  <si>
    <t>运邦</t>
  </si>
  <si>
    <t>亮光/哑光效果涤纶布</t>
  </si>
  <si>
    <t>SY25987</t>
  </si>
  <si>
    <t>智德纺织</t>
  </si>
  <si>
    <t>平布价格9.2，压折价格22.4</t>
  </si>
  <si>
    <t>SY25988</t>
  </si>
  <si>
    <t>恒泰丰</t>
  </si>
  <si>
    <t>20405-1</t>
  </si>
  <si>
    <t>SY25989</t>
  </si>
  <si>
    <t>SY25990</t>
  </si>
  <si>
    <t>19113-1</t>
  </si>
  <si>
    <t>SY25991</t>
  </si>
  <si>
    <t>SY25992</t>
  </si>
  <si>
    <t>SY25993</t>
  </si>
  <si>
    <t>A1723</t>
  </si>
  <si>
    <t>SY25994</t>
  </si>
  <si>
    <t>97%涤 3%氨轮</t>
  </si>
  <si>
    <t>鸿盛纺织</t>
  </si>
  <si>
    <t>亮光涤纶格子布</t>
  </si>
  <si>
    <t>SY25995</t>
  </si>
  <si>
    <t>奔月提花</t>
  </si>
  <si>
    <t>B3815</t>
  </si>
  <si>
    <t>SY25996</t>
  </si>
  <si>
    <t>亿鑫</t>
  </si>
  <si>
    <t>SY25997</t>
  </si>
  <si>
    <t>50514#</t>
  </si>
  <si>
    <t>SY25998</t>
  </si>
  <si>
    <t>铭兴纺织</t>
  </si>
  <si>
    <t>斑马纹印花布</t>
  </si>
  <si>
    <t>SY25999</t>
  </si>
  <si>
    <r>
      <rPr>
        <sz val="10"/>
        <color theme="1"/>
        <rFont val="Calibri Light"/>
        <charset val="134"/>
      </rPr>
      <t>77%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23%</t>
    </r>
    <r>
      <rPr>
        <sz val="10"/>
        <color theme="1"/>
        <rFont val="宋体"/>
        <charset val="134"/>
      </rPr>
      <t>尼龙</t>
    </r>
  </si>
  <si>
    <t>77%R 23%N</t>
  </si>
  <si>
    <t>富亿纺织</t>
  </si>
  <si>
    <t>B1089</t>
  </si>
  <si>
    <t>SY251000</t>
  </si>
  <si>
    <t>DS1072</t>
  </si>
  <si>
    <t>SY251001</t>
  </si>
  <si>
    <t>ZL615</t>
  </si>
  <si>
    <t>SY251002</t>
  </si>
  <si>
    <t>唯美纺织</t>
  </si>
  <si>
    <t>YS36</t>
  </si>
  <si>
    <t>SY251003</t>
  </si>
  <si>
    <t>YS25</t>
  </si>
  <si>
    <t>SY251004</t>
  </si>
  <si>
    <t>P66</t>
  </si>
  <si>
    <t>SY251005</t>
  </si>
  <si>
    <t>P46</t>
  </si>
  <si>
    <t>SY251006</t>
  </si>
  <si>
    <t>P107</t>
  </si>
  <si>
    <t>SY251007</t>
  </si>
  <si>
    <t>P109</t>
  </si>
  <si>
    <t>SY251008</t>
  </si>
  <si>
    <t>P106</t>
  </si>
  <si>
    <t>SY251009</t>
  </si>
  <si>
    <t>DST-573</t>
  </si>
  <si>
    <t>SY251010</t>
  </si>
  <si>
    <t>永华纺织</t>
  </si>
  <si>
    <t>DS6349</t>
  </si>
  <si>
    <t>SY251011</t>
  </si>
  <si>
    <t>DW618#</t>
  </si>
  <si>
    <t>SY251012</t>
  </si>
  <si>
    <t>RM349#</t>
  </si>
  <si>
    <t>SY251013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</si>
  <si>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亚麻</t>
    </r>
  </si>
  <si>
    <t>80%BCI COTTON 20%L</t>
  </si>
  <si>
    <t>S00472</t>
  </si>
  <si>
    <t>SY251014</t>
  </si>
  <si>
    <t>S00502</t>
  </si>
  <si>
    <t>SY251015</t>
  </si>
  <si>
    <t>SY251017</t>
  </si>
  <si>
    <r>
      <rPr>
        <sz val="10"/>
        <color theme="1"/>
        <rFont val="Calibri Light"/>
        <charset val="134"/>
      </rPr>
      <t>600D</t>
    </r>
    <r>
      <rPr>
        <sz val="10"/>
        <color theme="1"/>
        <rFont val="宋体"/>
        <charset val="134"/>
      </rPr>
      <t>舞龙</t>
    </r>
  </si>
  <si>
    <t>兆兴尼龙布</t>
  </si>
  <si>
    <t>ZX-P4039</t>
  </si>
  <si>
    <t>SY251018</t>
  </si>
  <si>
    <t>尼龙粗斜纹</t>
  </si>
  <si>
    <t>ZX-8008</t>
  </si>
  <si>
    <t>SY251019</t>
  </si>
  <si>
    <r>
      <rPr>
        <sz val="10"/>
        <color theme="1"/>
        <rFont val="Calibri Light"/>
        <charset val="134"/>
      </rPr>
      <t>600D</t>
    </r>
    <r>
      <rPr>
        <sz val="10"/>
        <color theme="1"/>
        <rFont val="宋体"/>
        <charset val="134"/>
      </rPr>
      <t>斜纹舞龙</t>
    </r>
  </si>
  <si>
    <t>ZX-P4029</t>
  </si>
  <si>
    <t>SY251020</t>
  </si>
  <si>
    <t>ZX-16803</t>
  </si>
  <si>
    <t>SY251021</t>
  </si>
  <si>
    <r>
      <rPr>
        <sz val="10"/>
        <color theme="1"/>
        <rFont val="Calibri Light"/>
        <charset val="134"/>
      </rPr>
      <t>400D</t>
    </r>
    <r>
      <rPr>
        <sz val="10"/>
        <color theme="1"/>
        <rFont val="宋体"/>
        <charset val="134"/>
      </rPr>
      <t>消光斜纹</t>
    </r>
  </si>
  <si>
    <t>ZX-3056</t>
  </si>
  <si>
    <t>SY251022</t>
  </si>
  <si>
    <t>PU</t>
  </si>
  <si>
    <t>ZX-3016C</t>
  </si>
  <si>
    <t>SY251023</t>
  </si>
  <si>
    <t>1000DInvista</t>
  </si>
  <si>
    <t>创峰号</t>
  </si>
  <si>
    <t>030C</t>
  </si>
  <si>
    <t>SY251024</t>
  </si>
  <si>
    <r>
      <rPr>
        <sz val="10"/>
        <color theme="1"/>
        <rFont val="Calibri Light"/>
        <charset val="134"/>
      </rPr>
      <t>420D</t>
    </r>
    <r>
      <rPr>
        <sz val="10"/>
        <color theme="1"/>
        <rFont val="宋体"/>
        <charset val="134"/>
      </rPr>
      <t>水宋底</t>
    </r>
  </si>
  <si>
    <t>B388</t>
  </si>
  <si>
    <t>SY251025</t>
  </si>
  <si>
    <t>100%锦纶</t>
  </si>
  <si>
    <t>水松胶底</t>
  </si>
  <si>
    <t>B199</t>
  </si>
  <si>
    <t>SY251026</t>
  </si>
  <si>
    <t>ZX-P4026A</t>
  </si>
  <si>
    <t>SY251027</t>
  </si>
  <si>
    <t>ZX-007（大牛津复合）</t>
  </si>
  <si>
    <t>SY251028</t>
  </si>
  <si>
    <r>
      <rPr>
        <sz val="10"/>
        <color theme="1"/>
        <rFont val="Calibri Light"/>
        <charset val="134"/>
      </rPr>
      <t>150D</t>
    </r>
    <r>
      <rPr>
        <sz val="10"/>
        <color theme="1"/>
        <rFont val="宋体"/>
        <charset val="134"/>
      </rPr>
      <t>舞龙布</t>
    </r>
  </si>
  <si>
    <t>ZX-P4033复合</t>
  </si>
  <si>
    <t>SY251029</t>
  </si>
  <si>
    <r>
      <rPr>
        <sz val="10"/>
        <color theme="1"/>
        <rFont val="Calibri Light"/>
        <charset val="134"/>
      </rPr>
      <t>151D</t>
    </r>
    <r>
      <rPr>
        <sz val="10"/>
        <color theme="1"/>
        <rFont val="宋体"/>
        <charset val="134"/>
      </rPr>
      <t>舞龙布</t>
    </r>
  </si>
  <si>
    <t>ZX-P4034PVC</t>
  </si>
  <si>
    <t>SY251030</t>
  </si>
  <si>
    <t>1260D双股 PU</t>
  </si>
  <si>
    <t>ZX-16809</t>
  </si>
  <si>
    <t>SY251031</t>
  </si>
  <si>
    <t>290T斜纹复合</t>
  </si>
  <si>
    <t>ZX-3012-F</t>
  </si>
  <si>
    <t>SY251032</t>
  </si>
  <si>
    <t>200D提花</t>
  </si>
  <si>
    <t>ZX-3006</t>
  </si>
  <si>
    <t>SY251033</t>
  </si>
  <si>
    <r>
      <rPr>
        <sz val="10"/>
        <color theme="1"/>
        <rFont val="Calibri Light"/>
        <charset val="134"/>
      </rPr>
      <t>400D</t>
    </r>
    <r>
      <rPr>
        <sz val="10"/>
        <color theme="1"/>
        <rFont val="宋体"/>
        <charset val="134"/>
      </rPr>
      <t>三色色织布</t>
    </r>
  </si>
  <si>
    <t>ZX-3035</t>
  </si>
  <si>
    <t>SY251034</t>
  </si>
  <si>
    <t>400D斜纹</t>
  </si>
  <si>
    <t>ZX-3037</t>
  </si>
  <si>
    <t>SY251035</t>
  </si>
  <si>
    <t>双面PU</t>
  </si>
  <si>
    <t>ZX-3909</t>
  </si>
  <si>
    <t>SY251036</t>
  </si>
  <si>
    <r>
      <rPr>
        <sz val="10"/>
        <color theme="1"/>
        <rFont val="Calibri Light"/>
        <charset val="134"/>
      </rPr>
      <t>400D</t>
    </r>
    <r>
      <rPr>
        <sz val="10"/>
        <color theme="1"/>
        <rFont val="宋体"/>
        <charset val="134"/>
      </rPr>
      <t>双色格子</t>
    </r>
  </si>
  <si>
    <t>ZX-3019</t>
  </si>
  <si>
    <t>SY251037</t>
  </si>
  <si>
    <r>
      <rPr>
        <sz val="10"/>
        <color theme="1"/>
        <rFont val="Calibri Light"/>
        <charset val="134"/>
      </rPr>
      <t>400D</t>
    </r>
    <r>
      <rPr>
        <sz val="10"/>
        <color theme="1"/>
        <rFont val="宋体"/>
        <charset val="134"/>
      </rPr>
      <t>珍珠点</t>
    </r>
  </si>
  <si>
    <t>ZX-3001</t>
  </si>
  <si>
    <t>SY251038</t>
  </si>
  <si>
    <t>ZX-3021</t>
  </si>
  <si>
    <t>SY251039</t>
  </si>
  <si>
    <r>
      <rPr>
        <sz val="10"/>
        <color theme="1"/>
        <rFont val="宋体"/>
        <charset val="134"/>
      </rPr>
      <t>尼龙大马力格</t>
    </r>
    <r>
      <rPr>
        <sz val="10"/>
        <color theme="1"/>
        <rFont val="Calibri Light"/>
        <charset val="134"/>
      </rPr>
      <t xml:space="preserve"> PU</t>
    </r>
  </si>
  <si>
    <t>ZX-9178(尼龙大马力格）</t>
  </si>
  <si>
    <t>SY251040</t>
  </si>
  <si>
    <r>
      <rPr>
        <sz val="10"/>
        <color theme="1"/>
        <rFont val="Calibri Light"/>
        <charset val="134"/>
      </rPr>
      <t>PU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420D</t>
    </r>
    <r>
      <rPr>
        <sz val="10"/>
        <color theme="1"/>
        <rFont val="宋体"/>
        <charset val="134"/>
      </rPr>
      <t>斜纹水洗</t>
    </r>
  </si>
  <si>
    <t>涤纶420D斜纹水洗</t>
  </si>
  <si>
    <t>SY251041</t>
  </si>
  <si>
    <t>600D</t>
  </si>
  <si>
    <t>ZX-P4001</t>
  </si>
  <si>
    <t>SY251042</t>
  </si>
  <si>
    <t>ZX-P4032</t>
  </si>
  <si>
    <t>SY251043</t>
  </si>
  <si>
    <r>
      <rPr>
        <sz val="10"/>
        <color theme="1"/>
        <rFont val="Calibri Light"/>
        <charset val="134"/>
      </rPr>
      <t>600D</t>
    </r>
    <r>
      <rPr>
        <sz val="10"/>
        <color theme="1"/>
        <rFont val="宋体"/>
        <charset val="134"/>
      </rPr>
      <t>回收料</t>
    </r>
    <r>
      <rPr>
        <sz val="10"/>
        <color theme="1"/>
        <rFont val="Calibri Light"/>
        <charset val="134"/>
      </rPr>
      <t xml:space="preserve"> Recycle PET</t>
    </r>
  </si>
  <si>
    <t>ZX-P6007</t>
  </si>
  <si>
    <t>SY251044</t>
  </si>
  <si>
    <t>ZX-P6003</t>
  </si>
  <si>
    <t>SY251045</t>
  </si>
  <si>
    <r>
      <rPr>
        <sz val="10"/>
        <color theme="1"/>
        <rFont val="Calibri Light"/>
        <charset val="134"/>
      </rPr>
      <t>16N</t>
    </r>
    <r>
      <rPr>
        <sz val="10"/>
        <color theme="1"/>
        <rFont val="宋体"/>
        <charset val="134"/>
      </rPr>
      <t>仿帆布</t>
    </r>
  </si>
  <si>
    <t>ZX-P9010(16N仿帆布）</t>
  </si>
  <si>
    <t>SY251046</t>
  </si>
  <si>
    <r>
      <rPr>
        <sz val="10"/>
        <color theme="1"/>
        <rFont val="Calibri Light"/>
        <charset val="134"/>
      </rPr>
      <t>230T</t>
    </r>
    <r>
      <rPr>
        <sz val="10"/>
        <color theme="1"/>
        <rFont val="宋体"/>
        <charset val="134"/>
      </rPr>
      <t>斜纹</t>
    </r>
  </si>
  <si>
    <t>ZX-1007</t>
  </si>
  <si>
    <t>SY251048</t>
  </si>
  <si>
    <t>1200D</t>
  </si>
  <si>
    <t>ZX-560（1200D）</t>
  </si>
  <si>
    <t>SY251049</t>
  </si>
  <si>
    <t>600D舞龙</t>
  </si>
  <si>
    <t>ZX-5088</t>
  </si>
  <si>
    <t>SY251050</t>
  </si>
  <si>
    <r>
      <rPr>
        <sz val="10"/>
        <color theme="1"/>
        <rFont val="Calibri Light"/>
        <charset val="134"/>
      </rPr>
      <t>14N</t>
    </r>
    <r>
      <rPr>
        <sz val="10"/>
        <color theme="1"/>
        <rFont val="宋体"/>
        <charset val="134"/>
      </rPr>
      <t>仿帆布</t>
    </r>
  </si>
  <si>
    <t>ZX-5013</t>
  </si>
  <si>
    <t>SY251051</t>
  </si>
  <si>
    <r>
      <rPr>
        <sz val="10"/>
        <color theme="1"/>
        <rFont val="Calibri Light"/>
        <charset val="134"/>
      </rPr>
      <t>200D</t>
    </r>
    <r>
      <rPr>
        <sz val="10"/>
        <color theme="1"/>
        <rFont val="宋体"/>
        <charset val="134"/>
      </rPr>
      <t>水洗</t>
    </r>
  </si>
  <si>
    <t>ZX-2024</t>
  </si>
  <si>
    <t>粘胶/莫代尔面料/GFG0545</t>
  </si>
  <si>
    <t>LF847C莫代尔</t>
  </si>
  <si>
    <t>SY251052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</si>
  <si>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氨纶</t>
    </r>
  </si>
  <si>
    <t>92%V 8%SP</t>
  </si>
  <si>
    <r>
      <rPr>
        <sz val="10"/>
        <color rgb="FFFF0000"/>
        <rFont val="Calibri Light"/>
        <charset val="134"/>
      </rPr>
      <t>1KG=3.3.</t>
    </r>
    <r>
      <rPr>
        <sz val="10"/>
        <color rgb="FFFF0000"/>
        <rFont val="宋体"/>
        <charset val="134"/>
      </rPr>
      <t>米</t>
    </r>
  </si>
  <si>
    <t>LF847C</t>
  </si>
  <si>
    <t>龙丰布行</t>
  </si>
  <si>
    <t>LC847C</t>
  </si>
  <si>
    <t>粘胶/莫代尔面料</t>
  </si>
  <si>
    <t>LF847HJ加厚莫代尔</t>
  </si>
  <si>
    <t>SY251053</t>
  </si>
  <si>
    <t>95%V 5%SP</t>
  </si>
  <si>
    <r>
      <rPr>
        <sz val="10"/>
        <color rgb="FFFF0000"/>
        <rFont val="Calibri Light"/>
        <charset val="134"/>
      </rPr>
      <t>37#/55#</t>
    </r>
    <r>
      <rPr>
        <sz val="10"/>
        <color rgb="FFFF0000"/>
        <rFont val="宋体"/>
        <charset val="134"/>
      </rPr>
      <t>活性黑</t>
    </r>
    <r>
      <rPr>
        <sz val="10"/>
        <color rgb="FFFF0000"/>
        <rFont val="Calibri Light"/>
        <charset val="134"/>
      </rPr>
      <t>+3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23#/38#/39#69#+2</t>
    </r>
    <r>
      <rPr>
        <sz val="10"/>
        <color rgb="FFFF0000"/>
        <rFont val="宋体"/>
        <charset val="134"/>
      </rPr>
      <t>元；</t>
    </r>
    <r>
      <rPr>
        <sz val="10"/>
        <color rgb="FFFF0000"/>
        <rFont val="Calibri Light"/>
        <charset val="134"/>
      </rPr>
      <t>1KG=2.5</t>
    </r>
    <r>
      <rPr>
        <sz val="10"/>
        <color rgb="FFFF0000"/>
        <rFont val="宋体"/>
        <charset val="134"/>
      </rPr>
      <t>米</t>
    </r>
  </si>
  <si>
    <t>LF847HJ</t>
  </si>
  <si>
    <r>
      <rPr>
        <sz val="10"/>
        <color theme="1"/>
        <rFont val="Calibri Light"/>
        <charset val="134"/>
      </rPr>
      <t>LF0010</t>
    </r>
    <r>
      <rPr>
        <sz val="10"/>
        <color theme="1"/>
        <rFont val="宋体"/>
        <charset val="134"/>
      </rPr>
      <t>丝光棉</t>
    </r>
  </si>
  <si>
    <t>SY251054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</si>
  <si>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氨纶</t>
    </r>
  </si>
  <si>
    <t>94%V 6%SP</t>
  </si>
  <si>
    <t>LF0010</t>
  </si>
  <si>
    <t>木代尔</t>
  </si>
  <si>
    <t>SY251055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</si>
  <si>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氨纶</t>
    </r>
  </si>
  <si>
    <t>90%V 10%SP</t>
  </si>
  <si>
    <r>
      <rPr>
        <sz val="10"/>
        <color rgb="FFFF0000"/>
        <rFont val="Calibri Light"/>
        <charset val="134"/>
      </rPr>
      <t>1KG=3</t>
    </r>
    <r>
      <rPr>
        <sz val="10"/>
        <color rgb="FFFF0000"/>
        <rFont val="宋体"/>
        <charset val="134"/>
      </rPr>
      <t>米</t>
    </r>
  </si>
  <si>
    <t>佳鸿布行</t>
  </si>
  <si>
    <t>粘胶/莫代尔面料/GFG0546</t>
  </si>
  <si>
    <t>人棉喷气仿</t>
  </si>
  <si>
    <t>SY251056</t>
  </si>
  <si>
    <t>160/180</t>
  </si>
  <si>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</t>
    </r>
    <r>
      <rPr>
        <sz val="10"/>
        <color theme="1"/>
        <rFont val="Calibri Light"/>
        <charset val="134"/>
      </rPr>
      <t>8</t>
    </r>
  </si>
  <si>
    <t>SY251057</t>
  </si>
  <si>
    <r>
      <rPr>
        <sz val="10"/>
        <color rgb="FFFF0000"/>
        <rFont val="Calibri Light"/>
        <charset val="134"/>
      </rPr>
      <t>1KG=2.2</t>
    </r>
    <r>
      <rPr>
        <sz val="10"/>
        <color rgb="FFFF0000"/>
        <rFont val="宋体"/>
        <charset val="134"/>
      </rPr>
      <t>米</t>
    </r>
  </si>
  <si>
    <r>
      <rPr>
        <sz val="10"/>
        <color theme="1"/>
        <rFont val="Calibri Light"/>
        <charset val="134"/>
      </rPr>
      <t>40s</t>
    </r>
    <r>
      <rPr>
        <sz val="10"/>
        <color theme="1"/>
        <rFont val="宋体"/>
        <charset val="134"/>
      </rPr>
      <t>莫代尔</t>
    </r>
  </si>
  <si>
    <t>SY251058</t>
  </si>
  <si>
    <r>
      <rPr>
        <sz val="10"/>
        <color rgb="FFFF0000"/>
        <rFont val="宋体"/>
        <charset val="134"/>
      </rPr>
      <t>7#/17#/41#/51#/63#/64#+3元，</t>
    </r>
    <r>
      <rPr>
        <sz val="10"/>
        <color rgb="FFFF0000"/>
        <rFont val="Calibri Light"/>
        <charset val="134"/>
      </rPr>
      <t>16#/21#/68#+1</t>
    </r>
    <r>
      <rPr>
        <sz val="10"/>
        <color rgb="FFFF0000"/>
        <rFont val="宋体"/>
        <charset val="134"/>
      </rPr>
      <t>元；</t>
    </r>
    <r>
      <rPr>
        <sz val="10"/>
        <color rgb="FFFF0000"/>
        <rFont val="Calibri Light"/>
        <charset val="134"/>
      </rPr>
      <t>1KG=3.3</t>
    </r>
    <r>
      <rPr>
        <sz val="10"/>
        <color rgb="FFFF0000"/>
        <rFont val="宋体"/>
        <charset val="134"/>
      </rPr>
      <t>米</t>
    </r>
  </si>
  <si>
    <t>28894#</t>
  </si>
  <si>
    <t>东盛恒旺布行</t>
  </si>
  <si>
    <r>
      <rPr>
        <sz val="10"/>
        <color theme="1"/>
        <rFont val="Calibri Light"/>
        <charset val="134"/>
      </rPr>
      <t>10402</t>
    </r>
    <r>
      <rPr>
        <sz val="10"/>
        <color theme="1"/>
        <rFont val="宋体"/>
        <charset val="134"/>
      </rPr>
      <t>精细</t>
    </r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支人棉拉架</t>
    </r>
  </si>
  <si>
    <t>SY251059</t>
  </si>
  <si>
    <r>
      <rPr>
        <sz val="10"/>
        <color rgb="FFFF0000"/>
        <rFont val="宋体"/>
        <charset val="134"/>
      </rPr>
      <t>16#/21#/25#/27#/30#/31#+3元，</t>
    </r>
    <r>
      <rPr>
        <sz val="10"/>
        <color rgb="FFFF0000"/>
        <rFont val="Calibri Light"/>
        <charset val="134"/>
      </rPr>
      <t>1#/34#/36#/40#/43#/51#/53#/54#/58#/61#/63#/64#/67#+2</t>
    </r>
    <r>
      <rPr>
        <sz val="10"/>
        <color rgb="FFFF0000"/>
        <rFont val="宋体"/>
        <charset val="134"/>
      </rPr>
      <t>元；</t>
    </r>
    <r>
      <rPr>
        <sz val="10"/>
        <color rgb="FFFF0000"/>
        <rFont val="Calibri Light"/>
        <charset val="134"/>
      </rPr>
      <t>1KG=3.1</t>
    </r>
    <r>
      <rPr>
        <sz val="10"/>
        <color rgb="FFFF0000"/>
        <rFont val="宋体"/>
        <charset val="134"/>
      </rPr>
      <t>米</t>
    </r>
  </si>
  <si>
    <t>东成布业</t>
  </si>
  <si>
    <t>831#</t>
  </si>
  <si>
    <t>SY251060</t>
  </si>
  <si>
    <r>
      <rPr>
        <sz val="10"/>
        <color rgb="FFFF0000"/>
        <rFont val="Calibri Light"/>
        <charset val="134"/>
      </rPr>
      <t>17#+3</t>
    </r>
    <r>
      <rPr>
        <sz val="10"/>
        <color rgb="FFFF0000"/>
        <rFont val="宋体"/>
        <charset val="134"/>
      </rPr>
      <t>元，</t>
    </r>
    <r>
      <rPr>
        <sz val="10"/>
        <color rgb="FFFF0000"/>
        <rFont val="Calibri Light"/>
        <charset val="134"/>
      </rPr>
      <t>10#/13#/23#/25#/26#/28#/30#/35#/47#/52#/53#/64#/66#/73#/78#/79#/81#/91#/94#/101#/114#/116#/117#/120#/130#/131#/132#/137#/140#/150#/151#/158#+2</t>
    </r>
    <r>
      <rPr>
        <sz val="10"/>
        <color rgb="FFFF0000"/>
        <rFont val="宋体"/>
        <charset val="134"/>
      </rPr>
      <t>元</t>
    </r>
    <r>
      <rPr>
        <sz val="10"/>
        <color rgb="FFFF0000"/>
        <rFont val="Calibri Light"/>
        <charset val="134"/>
      </rPr>
      <t xml:space="preserve"> 1KG=3.1</t>
    </r>
    <r>
      <rPr>
        <sz val="10"/>
        <color rgb="FFFF0000"/>
        <rFont val="宋体"/>
        <charset val="134"/>
      </rPr>
      <t>米</t>
    </r>
  </si>
  <si>
    <t>8273#</t>
  </si>
  <si>
    <t>科丽达联丰</t>
  </si>
  <si>
    <t>A8784</t>
  </si>
  <si>
    <t>SY251062</t>
  </si>
  <si>
    <r>
      <rPr>
        <sz val="10"/>
        <color theme="1"/>
        <rFont val="Calibri Light"/>
        <charset val="134"/>
      </rPr>
      <t>51#/52#/86#/94#/+0.4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  106#+0.5</t>
    </r>
    <r>
      <rPr>
        <sz val="10"/>
        <color theme="1"/>
        <rFont val="宋体"/>
        <charset val="134"/>
      </rPr>
      <t>元</t>
    </r>
  </si>
  <si>
    <t>万顺纺织</t>
  </si>
  <si>
    <t>B1345</t>
  </si>
  <si>
    <t>SY251061</t>
  </si>
  <si>
    <t>永兴</t>
  </si>
  <si>
    <t>ZX-2006</t>
  </si>
  <si>
    <t>SY251063</t>
  </si>
  <si>
    <r>
      <rPr>
        <sz val="10"/>
        <color theme="1"/>
        <rFont val="Calibri Light"/>
        <charset val="134"/>
      </rPr>
      <t>200D</t>
    </r>
    <r>
      <rPr>
        <sz val="10"/>
        <color theme="1"/>
        <rFont val="宋体"/>
        <charset val="134"/>
      </rPr>
      <t>提花</t>
    </r>
  </si>
  <si>
    <t>ZX-P6004</t>
  </si>
  <si>
    <t>SY251064</t>
  </si>
  <si>
    <r>
      <rPr>
        <sz val="10"/>
        <color theme="1"/>
        <rFont val="Calibri Light"/>
        <charset val="134"/>
      </rPr>
      <t>600D</t>
    </r>
    <r>
      <rPr>
        <sz val="10"/>
        <color theme="1"/>
        <rFont val="宋体"/>
        <charset val="134"/>
      </rPr>
      <t>加密</t>
    </r>
  </si>
  <si>
    <t>ZX-P16802-V</t>
  </si>
  <si>
    <t>SY251069</t>
  </si>
  <si>
    <r>
      <rPr>
        <sz val="10"/>
        <color theme="1"/>
        <rFont val="Calibri Light"/>
        <charset val="134"/>
      </rPr>
      <t>1680D</t>
    </r>
    <r>
      <rPr>
        <sz val="10"/>
        <color theme="1"/>
        <rFont val="宋体"/>
        <charset val="134"/>
      </rPr>
      <t>双股</t>
    </r>
  </si>
  <si>
    <t>ZX-8003</t>
  </si>
  <si>
    <t>SY251070</t>
  </si>
  <si>
    <r>
      <rPr>
        <sz val="10"/>
        <color theme="1"/>
        <rFont val="Calibri Light"/>
        <charset val="134"/>
      </rPr>
      <t>840D</t>
    </r>
    <r>
      <rPr>
        <sz val="10"/>
        <color theme="1"/>
        <rFont val="宋体"/>
        <charset val="134"/>
      </rPr>
      <t>小双股</t>
    </r>
  </si>
  <si>
    <r>
      <rPr>
        <sz val="10"/>
        <color theme="1"/>
        <rFont val="Calibri Light"/>
        <charset val="134"/>
      </rPr>
      <t>23</t>
    </r>
    <r>
      <rPr>
        <sz val="10"/>
        <color theme="1"/>
        <rFont val="宋体"/>
        <charset val="134"/>
      </rPr>
      <t>（不含税）</t>
    </r>
  </si>
  <si>
    <t>ZX-P16802-U</t>
  </si>
  <si>
    <t>SY251071</t>
  </si>
  <si>
    <r>
      <rPr>
        <sz val="10"/>
        <color theme="1"/>
        <rFont val="Calibri Light"/>
        <charset val="134"/>
      </rPr>
      <t>1680D</t>
    </r>
    <r>
      <rPr>
        <sz val="10"/>
        <color theme="1"/>
        <rFont val="宋体"/>
        <charset val="134"/>
      </rPr>
      <t>双股</t>
    </r>
    <r>
      <rPr>
        <sz val="10"/>
        <color theme="1"/>
        <rFont val="Calibri Light"/>
        <charset val="134"/>
      </rPr>
      <t xml:space="preserve">  </t>
    </r>
    <r>
      <rPr>
        <sz val="10"/>
        <color theme="1"/>
        <rFont val="宋体"/>
        <charset val="134"/>
      </rPr>
      <t>优丽胶</t>
    </r>
  </si>
  <si>
    <r>
      <rPr>
        <sz val="10"/>
        <color theme="1"/>
        <rFont val="Calibri Light"/>
        <charset val="134"/>
      </rPr>
      <t>11.5</t>
    </r>
    <r>
      <rPr>
        <sz val="10"/>
        <color theme="1"/>
        <rFont val="宋体"/>
        <charset val="134"/>
      </rPr>
      <t>（不含税）</t>
    </r>
  </si>
  <si>
    <t>ZX-16810</t>
  </si>
  <si>
    <t>SY251072</t>
  </si>
  <si>
    <t>1260D</t>
  </si>
  <si>
    <r>
      <rPr>
        <sz val="10"/>
        <color theme="1"/>
        <rFont val="Calibri Light"/>
        <charset val="134"/>
      </rPr>
      <t>1260D</t>
    </r>
    <r>
      <rPr>
        <sz val="10"/>
        <color theme="1"/>
        <rFont val="宋体"/>
        <charset val="134"/>
      </rPr>
      <t>古治</t>
    </r>
    <r>
      <rPr>
        <sz val="10"/>
        <color theme="1"/>
        <rFont val="Calibri Light"/>
        <charset val="134"/>
      </rPr>
      <t xml:space="preserve"> PU</t>
    </r>
  </si>
  <si>
    <r>
      <rPr>
        <sz val="10"/>
        <color theme="1"/>
        <rFont val="Calibri Light"/>
        <charset val="134"/>
      </rPr>
      <t>28.5</t>
    </r>
    <r>
      <rPr>
        <sz val="10"/>
        <color theme="1"/>
        <rFont val="宋体"/>
        <charset val="134"/>
      </rPr>
      <t>（不含税）</t>
    </r>
  </si>
  <si>
    <t>陈炎林</t>
  </si>
  <si>
    <t>QM-830</t>
  </si>
  <si>
    <t>SY251077</t>
  </si>
  <si>
    <r>
      <rPr>
        <sz val="10"/>
        <color theme="1"/>
        <rFont val="Calibri Light"/>
        <charset val="134"/>
      </rPr>
      <t>320T</t>
    </r>
    <r>
      <rPr>
        <sz val="10"/>
        <color theme="1"/>
        <rFont val="宋体"/>
        <charset val="134"/>
      </rPr>
      <t>塔丝隆</t>
    </r>
  </si>
  <si>
    <t>芊蔓再生</t>
  </si>
  <si>
    <t>真丝皱</t>
  </si>
  <si>
    <t>SY251078</t>
  </si>
  <si>
    <t>100%RECYCLE POLY</t>
  </si>
  <si>
    <t>宝诚纺织</t>
  </si>
  <si>
    <r>
      <rPr>
        <sz val="10"/>
        <color theme="1"/>
        <rFont val="Calibri Light"/>
        <charset val="134"/>
      </rPr>
      <t>CL121</t>
    </r>
    <r>
      <rPr>
        <sz val="10"/>
        <color theme="1"/>
        <rFont val="宋体"/>
        <charset val="134"/>
      </rPr>
      <t>精品水晶麻</t>
    </r>
  </si>
  <si>
    <t>SY251079</t>
  </si>
  <si>
    <t>95%Recycel POLY5%SP</t>
  </si>
  <si>
    <t>3.2m/kg</t>
  </si>
  <si>
    <t>广隆布纺</t>
  </si>
  <si>
    <t>12.7(40.6/KG)</t>
  </si>
  <si>
    <r>
      <rPr>
        <sz val="10"/>
        <color theme="1"/>
        <rFont val="宋体"/>
        <charset val="134"/>
      </rPr>
      <t>颜色</t>
    </r>
    <r>
      <rPr>
        <sz val="10"/>
        <color theme="1"/>
        <rFont val="Calibri Light"/>
        <charset val="134"/>
      </rPr>
      <t>28 29 30 58 59 61 62 63 64 65 66 67 68 69 70 98 99 101 102 103 104 132 133 134+1</t>
    </r>
    <r>
      <rPr>
        <sz val="10"/>
        <color theme="1"/>
        <rFont val="宋体"/>
        <charset val="134"/>
      </rPr>
      <t>元，90 91 92加1.5元，208#加4元</t>
    </r>
  </si>
  <si>
    <t>358-1#</t>
  </si>
  <si>
    <t>SY251080</t>
  </si>
  <si>
    <t>3m/kg  1#/2#/60#+2  17#/26#/27#/39#/41#/42#/44#/45#/46#/48#/50#/53#/57#/88#/91#/+2   92#/+3</t>
  </si>
  <si>
    <t>强鑫纺织</t>
  </si>
  <si>
    <t>13.1(39.2/KG)</t>
  </si>
  <si>
    <t>2309#</t>
  </si>
  <si>
    <t>SY251081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</si>
  <si>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乐丽丝5%氨纶</t>
    </r>
  </si>
  <si>
    <t>95%POLY 5%SP</t>
  </si>
  <si>
    <t>布林</t>
  </si>
  <si>
    <t>20/21/24/26/29</t>
  </si>
  <si>
    <t>R37111-2</t>
  </si>
  <si>
    <t>SY251082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</si>
  <si>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人棉4%氨纶</t>
    </r>
  </si>
  <si>
    <t>75%POLY21%RAYON4%SP</t>
  </si>
  <si>
    <t>联鑫纺织</t>
  </si>
  <si>
    <t>574#</t>
  </si>
  <si>
    <t>SY251083</t>
  </si>
  <si>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人棉75%涤纶5%氨纶</t>
    </r>
  </si>
  <si>
    <t>20%RAYON75%POLY5%SP</t>
  </si>
  <si>
    <t>D804</t>
  </si>
  <si>
    <t>SY251084</t>
  </si>
  <si>
    <t>100% BCI COTTON</t>
  </si>
  <si>
    <t>长春</t>
  </si>
  <si>
    <t>33620M3</t>
  </si>
  <si>
    <t>SY251085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</si>
  <si>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人棉50%尼龙</t>
    </r>
  </si>
  <si>
    <t>50%ROAYON50%NYLON</t>
  </si>
  <si>
    <t>辉裕</t>
  </si>
  <si>
    <t>1629-8</t>
  </si>
  <si>
    <t>SY251086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</si>
  <si>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粘胶8%涤纶</t>
    </r>
  </si>
  <si>
    <t>92%VISCOSE8%POLY</t>
  </si>
  <si>
    <t>金星布坊</t>
  </si>
  <si>
    <r>
      <rPr>
        <sz val="10"/>
        <color theme="1"/>
        <rFont val="Calibri Light"/>
        <charset val="134"/>
      </rPr>
      <t>Y0024#60S</t>
    </r>
    <r>
      <rPr>
        <sz val="10"/>
        <color theme="1"/>
        <rFont val="宋体"/>
        <charset val="134"/>
      </rPr>
      <t>锦棉罗马</t>
    </r>
  </si>
  <si>
    <t>针织</t>
  </si>
  <si>
    <t>SY251087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</si>
  <si>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人棉38%锦纶5%氨纶</t>
    </r>
  </si>
  <si>
    <t>57%RAYON38%NYLON5%SP</t>
  </si>
  <si>
    <t>2.5m/kg</t>
  </si>
  <si>
    <t>裕德兴纺织</t>
  </si>
  <si>
    <r>
      <rPr>
        <sz val="10"/>
        <color theme="1"/>
        <rFont val="Calibri Light"/>
        <charset val="134"/>
      </rPr>
      <t>Q1009-</t>
    </r>
    <r>
      <rPr>
        <sz val="10"/>
        <color theme="1"/>
        <rFont val="宋体"/>
        <charset val="134"/>
      </rPr>
      <t>锦棉罗马布-260</t>
    </r>
    <r>
      <rPr>
        <sz val="10"/>
        <color theme="1"/>
        <rFont val="Calibri Light"/>
        <charset val="134"/>
      </rPr>
      <t>g(</t>
    </r>
    <r>
      <rPr>
        <sz val="10"/>
        <color theme="1"/>
        <rFont val="宋体"/>
        <charset val="134"/>
      </rPr>
      <t>紧赛）</t>
    </r>
  </si>
  <si>
    <t>SY251088</t>
  </si>
  <si>
    <r>
      <rPr>
        <sz val="10"/>
        <color theme="1"/>
        <rFont val="Calibri Light"/>
        <charset val="134"/>
      </rPr>
      <t>62.5%</t>
    </r>
    <r>
      <rPr>
        <sz val="10"/>
        <color theme="1"/>
        <rFont val="宋体"/>
        <charset val="134"/>
      </rPr>
      <t>人棉32.5%锦纶5%氨纶</t>
    </r>
  </si>
  <si>
    <t>62.5%RAYON32.5%NYLON5%SP</t>
  </si>
  <si>
    <t>七米果</t>
  </si>
  <si>
    <t>健康布拉架</t>
  </si>
  <si>
    <t>SY251089</t>
  </si>
  <si>
    <r>
      <rPr>
        <sz val="11"/>
        <rFont val="Calibri Light"/>
        <charset val="134"/>
      </rPr>
      <t>97%</t>
    </r>
    <r>
      <rPr>
        <sz val="11"/>
        <rFont val="宋体"/>
        <charset val="134"/>
      </rPr>
      <t>涤纶</t>
    </r>
    <r>
      <rPr>
        <sz val="11"/>
        <rFont val="Calibri Light"/>
        <charset val="134"/>
      </rPr>
      <t>3%</t>
    </r>
    <r>
      <rPr>
        <sz val="11"/>
        <rFont val="宋体"/>
        <charset val="134"/>
      </rPr>
      <t>氨纶</t>
    </r>
  </si>
  <si>
    <r>
      <rPr>
        <sz val="10"/>
        <color theme="1"/>
        <rFont val="宋体"/>
        <charset val="134"/>
      </rPr>
      <t>米白</t>
    </r>
    <r>
      <rPr>
        <sz val="10"/>
        <color theme="1"/>
        <rFont val="Calibri Light"/>
        <charset val="134"/>
      </rPr>
      <t xml:space="preserve">22.4 </t>
    </r>
    <r>
      <rPr>
        <sz val="10"/>
        <color theme="1"/>
        <rFont val="宋体"/>
        <charset val="134"/>
      </rPr>
      <t>黑</t>
    </r>
    <r>
      <rPr>
        <sz val="10"/>
        <color theme="1"/>
        <rFont val="Calibri Light"/>
        <charset val="134"/>
      </rPr>
      <t>23.4</t>
    </r>
  </si>
  <si>
    <t>亨元</t>
  </si>
  <si>
    <r>
      <rPr>
        <sz val="10"/>
        <color theme="1"/>
        <rFont val="Calibri Light"/>
        <charset val="134"/>
      </rPr>
      <t>8009 50S</t>
    </r>
    <r>
      <rPr>
        <sz val="10"/>
        <color theme="1"/>
        <rFont val="宋体"/>
        <charset val="134"/>
      </rPr>
      <t>锦棉罗马</t>
    </r>
  </si>
  <si>
    <t>SY251090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</si>
  <si>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人棉30%锦纶5%氨纶</t>
    </r>
  </si>
  <si>
    <t>65%RAYON30%NYLON5%SP</t>
  </si>
  <si>
    <t>2m/kg</t>
  </si>
  <si>
    <t>东华针织</t>
  </si>
  <si>
    <t>3&amp;4</t>
  </si>
  <si>
    <r>
      <rPr>
        <sz val="10"/>
        <color theme="1"/>
        <rFont val="Calibri Light"/>
        <charset val="134"/>
      </rPr>
      <t>40D</t>
    </r>
    <r>
      <rPr>
        <sz val="10"/>
        <color theme="1"/>
        <rFont val="宋体"/>
        <charset val="134"/>
      </rPr>
      <t>涤氨网</t>
    </r>
  </si>
  <si>
    <t>SY251091</t>
  </si>
  <si>
    <t>6.8m/kg</t>
  </si>
  <si>
    <t>缤汇纺织</t>
  </si>
  <si>
    <t>1348#</t>
  </si>
  <si>
    <t>SY251092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</si>
  <si>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微软雅黑"/>
        <charset val="134"/>
      </rPr>
      <t>涤纶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微软雅黑"/>
        <charset val="134"/>
      </rPr>
      <t>氨纶</t>
    </r>
  </si>
  <si>
    <t>96%Recycel POLY4%SP</t>
  </si>
  <si>
    <t>三好</t>
  </si>
  <si>
    <t>7/13/14</t>
  </si>
  <si>
    <r>
      <rPr>
        <sz val="10"/>
        <color theme="1"/>
        <rFont val="Calibri Light"/>
        <charset val="134"/>
      </rPr>
      <t>32S</t>
    </r>
    <r>
      <rPr>
        <sz val="10"/>
        <color theme="1"/>
        <rFont val="宋体"/>
        <charset val="134"/>
      </rPr>
      <t>全棉2*2罗纹拉架</t>
    </r>
    <r>
      <rPr>
        <sz val="10"/>
        <color theme="1"/>
        <rFont val="Calibri Light"/>
        <charset val="134"/>
      </rPr>
      <t xml:space="preserve"> 13210#</t>
    </r>
  </si>
  <si>
    <t>SY251093</t>
  </si>
  <si>
    <t>3.4m/kg</t>
  </si>
  <si>
    <t>13210#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</si>
  <si>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39.5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公斤</t>
    </r>
  </si>
  <si>
    <r>
      <rPr>
        <sz val="10"/>
        <color theme="1"/>
        <rFont val="Calibri Light"/>
        <charset val="134"/>
      </rPr>
      <t>6179#</t>
    </r>
    <r>
      <rPr>
        <sz val="10"/>
        <color theme="1"/>
        <rFont val="宋体"/>
        <charset val="134"/>
      </rPr>
      <t>简美罗纹</t>
    </r>
  </si>
  <si>
    <t>SY251094</t>
  </si>
  <si>
    <t>95%棉5%氨纶</t>
  </si>
  <si>
    <t>2.8m/kg</t>
  </si>
  <si>
    <t>鸿盛泰富</t>
  </si>
  <si>
    <r>
      <rPr>
        <sz val="10"/>
        <color theme="1"/>
        <rFont val="Calibri Light"/>
        <charset val="134"/>
      </rPr>
      <t xml:space="preserve">A117 </t>
    </r>
    <r>
      <rPr>
        <sz val="10"/>
        <color theme="1"/>
        <rFont val="宋体"/>
        <charset val="134"/>
      </rPr>
      <t>消光长丝</t>
    </r>
  </si>
  <si>
    <t>SY251095</t>
  </si>
  <si>
    <t>95%涤纶5%氨纶</t>
  </si>
  <si>
    <t>正大</t>
  </si>
  <si>
    <r>
      <rPr>
        <sz val="10"/>
        <color theme="1"/>
        <rFont val="Calibri Light"/>
        <charset val="134"/>
      </rPr>
      <t xml:space="preserve">9102 </t>
    </r>
    <r>
      <rPr>
        <sz val="10"/>
        <color theme="1"/>
        <rFont val="宋体"/>
        <charset val="134"/>
      </rPr>
      <t>精品消光长丝</t>
    </r>
  </si>
  <si>
    <t>SY251096</t>
  </si>
  <si>
    <t>正弘南盛</t>
  </si>
  <si>
    <r>
      <rPr>
        <sz val="10"/>
        <color theme="1"/>
        <rFont val="Calibri Light"/>
        <charset val="134"/>
      </rPr>
      <t xml:space="preserve">1302# </t>
    </r>
    <r>
      <rPr>
        <sz val="10"/>
        <color theme="1"/>
        <rFont val="宋体"/>
        <charset val="134"/>
      </rPr>
      <t>韩国条</t>
    </r>
  </si>
  <si>
    <t>SY251097</t>
  </si>
  <si>
    <t>琼生布业</t>
  </si>
  <si>
    <r>
      <rPr>
        <sz val="10"/>
        <color theme="1"/>
        <rFont val="Calibri Light"/>
        <charset val="134"/>
      </rPr>
      <t>1303# 32S</t>
    </r>
    <r>
      <rPr>
        <sz val="10"/>
        <color theme="1"/>
        <rFont val="宋体"/>
        <charset val="134"/>
      </rPr>
      <t>棉坑条罗纹</t>
    </r>
  </si>
  <si>
    <t>SY251098</t>
  </si>
  <si>
    <t>97%棉3%氨纶</t>
  </si>
  <si>
    <t>3.6m/kg</t>
  </si>
  <si>
    <t>2168粘亚麻棉</t>
  </si>
  <si>
    <t>70%BCI COTTON LINEN30%POLY</t>
  </si>
  <si>
    <t>SY251099</t>
  </si>
  <si>
    <t>55%棉45%麻</t>
  </si>
  <si>
    <t>55%BCI COTTON 45%LINEN</t>
  </si>
  <si>
    <r>
      <rPr>
        <sz val="10"/>
        <color theme="1"/>
        <rFont val="宋体"/>
        <charset val="134"/>
      </rPr>
      <t>麻本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米白</t>
    </r>
    <r>
      <rPr>
        <sz val="10"/>
        <color theme="1"/>
        <rFont val="Calibri Light"/>
        <charset val="134"/>
      </rPr>
      <t>14.3</t>
    </r>
  </si>
  <si>
    <t>宏丰棉麻</t>
  </si>
  <si>
    <t>奥代尔</t>
  </si>
  <si>
    <t>SY251100</t>
  </si>
  <si>
    <t>3.5m/kg</t>
  </si>
  <si>
    <t>鑫达纺织</t>
  </si>
  <si>
    <r>
      <rPr>
        <sz val="10"/>
        <color theme="1"/>
        <rFont val="Calibri Light"/>
        <charset val="134"/>
      </rPr>
      <t xml:space="preserve">HT6933# </t>
    </r>
    <r>
      <rPr>
        <sz val="10"/>
        <color theme="1"/>
        <rFont val="宋体"/>
        <charset val="134"/>
      </rPr>
      <t>全棉精梳棉</t>
    </r>
  </si>
  <si>
    <t>SY251101</t>
  </si>
  <si>
    <t>3m/kg</t>
  </si>
  <si>
    <t>辉泰纺织</t>
  </si>
  <si>
    <r>
      <rPr>
        <sz val="10"/>
        <color theme="1"/>
        <rFont val="Calibri Light"/>
        <charset val="134"/>
      </rPr>
      <t>CA119(</t>
    </r>
    <r>
      <rPr>
        <sz val="10"/>
        <color theme="1"/>
        <rFont val="宋体"/>
        <charset val="134"/>
      </rPr>
      <t>大）#棉罗纹</t>
    </r>
  </si>
  <si>
    <t>SY251102</t>
  </si>
  <si>
    <t>2.3m/kg</t>
  </si>
  <si>
    <t>盛氏布行</t>
  </si>
  <si>
    <r>
      <rPr>
        <sz val="10"/>
        <color theme="1"/>
        <rFont val="Calibri Light"/>
        <charset val="134"/>
      </rPr>
      <t xml:space="preserve">0827# </t>
    </r>
    <r>
      <rPr>
        <sz val="10"/>
        <color theme="1"/>
        <rFont val="宋体"/>
        <charset val="134"/>
      </rPr>
      <t>赛络棉</t>
    </r>
  </si>
  <si>
    <t>SY251103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</si>
  <si>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棉5%氨纶</t>
    </r>
  </si>
  <si>
    <t>顺和丰</t>
  </si>
  <si>
    <t>82020-1#</t>
  </si>
  <si>
    <t>SY251104</t>
  </si>
  <si>
    <r>
      <rPr>
        <sz val="10"/>
        <color theme="1"/>
        <rFont val="Calibri Light"/>
        <charset val="134"/>
      </rPr>
      <t>HT8-18#</t>
    </r>
    <r>
      <rPr>
        <sz val="10"/>
        <color theme="1"/>
        <rFont val="宋体"/>
        <charset val="134"/>
      </rPr>
      <t>棉锦</t>
    </r>
  </si>
  <si>
    <t>SY251105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</si>
  <si>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棉45%锦纶5%氨纶</t>
    </r>
  </si>
  <si>
    <t>50%BCI COTTON 45%NYLON5%SP</t>
  </si>
  <si>
    <t>汇通布行</t>
  </si>
  <si>
    <r>
      <rPr>
        <sz val="10"/>
        <color theme="1"/>
        <rFont val="Calibri Light"/>
        <charset val="134"/>
      </rPr>
      <t xml:space="preserve">HL177-A </t>
    </r>
    <r>
      <rPr>
        <sz val="10"/>
        <color theme="1"/>
        <rFont val="宋体"/>
        <charset val="134"/>
      </rPr>
      <t>双层棉锦</t>
    </r>
  </si>
  <si>
    <t>SY251106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</si>
  <si>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棉35%锦纶5%氨纶</t>
    </r>
  </si>
  <si>
    <t>60%BCI COTTON 35%NYLON5%SP</t>
  </si>
  <si>
    <t>华纶纺织</t>
  </si>
  <si>
    <t>此产品有撞白黑</t>
  </si>
  <si>
    <r>
      <rPr>
        <sz val="10"/>
        <color theme="1"/>
        <rFont val="Calibri Light"/>
        <charset val="134"/>
      </rPr>
      <t xml:space="preserve">3937# </t>
    </r>
    <r>
      <rPr>
        <sz val="10"/>
        <color theme="1"/>
        <rFont val="宋体"/>
        <charset val="134"/>
      </rPr>
      <t>天枢棉</t>
    </r>
  </si>
  <si>
    <t>SY251107</t>
  </si>
  <si>
    <t>2.4m/kg</t>
  </si>
  <si>
    <t>1962# 220g提花华夫格</t>
  </si>
  <si>
    <t>SY251108</t>
  </si>
  <si>
    <t>顺丰发</t>
  </si>
  <si>
    <t>2177#</t>
  </si>
  <si>
    <t>SY251109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</si>
  <si>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棉65%涤纶</t>
    </r>
  </si>
  <si>
    <t>35%BCI COTTON65%POLY</t>
  </si>
  <si>
    <t>2.2m/kg</t>
  </si>
  <si>
    <t>俊泰布业</t>
  </si>
  <si>
    <t>特殊色24 31 42 49 58 61 67 78 82 83，花灰色68 69 70 71</t>
  </si>
  <si>
    <r>
      <rPr>
        <sz val="10"/>
        <color theme="1"/>
        <rFont val="Calibri Light"/>
        <charset val="134"/>
      </rPr>
      <t>A32 TR</t>
    </r>
    <r>
      <rPr>
        <sz val="10"/>
        <color theme="1"/>
        <rFont val="宋体"/>
        <charset val="134"/>
      </rPr>
      <t>细斜</t>
    </r>
  </si>
  <si>
    <t>83%T 13%R 4%SP</t>
  </si>
  <si>
    <r>
      <rPr>
        <sz val="10"/>
        <color theme="1"/>
        <rFont val="Calibri Light"/>
        <charset val="134"/>
      </rPr>
      <t>TR</t>
    </r>
    <r>
      <rPr>
        <sz val="10"/>
        <color theme="1"/>
        <rFont val="宋体"/>
        <charset val="134"/>
      </rPr>
      <t>细斜</t>
    </r>
  </si>
  <si>
    <t>SY251111</t>
  </si>
  <si>
    <t>70%涤纶27%人棉3%氨纶</t>
  </si>
  <si>
    <t>TR细斜</t>
  </si>
  <si>
    <t>新兴</t>
  </si>
  <si>
    <t>精品牛奶丝双磨210g*172cm≈2.7m</t>
  </si>
  <si>
    <t>SY251112</t>
  </si>
  <si>
    <r>
      <rPr>
        <sz val="10"/>
        <rFont val="Calibri Light"/>
        <charset val="134"/>
      </rPr>
      <t>95%</t>
    </r>
    <r>
      <rPr>
        <sz val="10"/>
        <rFont val="宋体"/>
        <charset val="134"/>
      </rPr>
      <t>涤纶</t>
    </r>
    <r>
      <rPr>
        <sz val="10"/>
        <rFont val="Calibri Light"/>
        <charset val="134"/>
      </rPr>
      <t>5%</t>
    </r>
    <r>
      <rPr>
        <sz val="10"/>
        <rFont val="宋体"/>
        <charset val="134"/>
      </rPr>
      <t>氨纶</t>
    </r>
  </si>
  <si>
    <t>2.7m/kg</t>
  </si>
  <si>
    <t>精品牛奶丝双磨210g*172cm</t>
  </si>
  <si>
    <t>槟海布业</t>
  </si>
  <si>
    <r>
      <rPr>
        <sz val="10"/>
        <color theme="1"/>
        <rFont val="宋体"/>
        <charset val="134"/>
      </rPr>
      <t>精品牛奶丝双磨</t>
    </r>
    <r>
      <rPr>
        <sz val="10"/>
        <color theme="1"/>
        <rFont val="Calibri Light"/>
        <charset val="134"/>
      </rPr>
      <t>210g*172cm</t>
    </r>
  </si>
  <si>
    <t>精品牛奶丝双磨230g*172cm≈2.5m</t>
  </si>
  <si>
    <t>SY251113</t>
  </si>
  <si>
    <t>精品牛奶丝双磨230g*172cm</t>
  </si>
  <si>
    <r>
      <rPr>
        <sz val="10"/>
        <color theme="1"/>
        <rFont val="宋体"/>
        <charset val="134"/>
      </rPr>
      <t>精品牛奶丝双磨</t>
    </r>
    <r>
      <rPr>
        <sz val="10"/>
        <color theme="1"/>
        <rFont val="Calibri Light"/>
        <charset val="134"/>
      </rPr>
      <t>230g*172cm</t>
    </r>
  </si>
  <si>
    <t>牛奶丝拉架</t>
  </si>
  <si>
    <t>SY251114</t>
  </si>
  <si>
    <r>
      <rPr>
        <sz val="10"/>
        <color theme="1"/>
        <rFont val="Calibri Light"/>
        <charset val="134"/>
      </rPr>
      <t>2.7m/kg,</t>
    </r>
    <r>
      <rPr>
        <sz val="10"/>
        <color theme="1"/>
        <rFont val="宋体"/>
        <charset val="134"/>
      </rPr>
      <t>米白</t>
    </r>
    <r>
      <rPr>
        <sz val="10"/>
        <color theme="1"/>
        <rFont val="Calibri Light"/>
        <charset val="134"/>
      </rPr>
      <t xml:space="preserve">16 </t>
    </r>
    <r>
      <rPr>
        <sz val="10"/>
        <color theme="1"/>
        <rFont val="宋体"/>
        <charset val="134"/>
      </rPr>
      <t>黑色</t>
    </r>
    <r>
      <rPr>
        <sz val="10"/>
        <color theme="1"/>
        <rFont val="Calibri Light"/>
        <charset val="134"/>
      </rPr>
      <t>17</t>
    </r>
  </si>
  <si>
    <t>大汇针织</t>
  </si>
  <si>
    <r>
      <rPr>
        <sz val="10"/>
        <color theme="1"/>
        <rFont val="Calibri Light"/>
        <charset val="134"/>
      </rPr>
      <t>22 48 49 100</t>
    </r>
    <r>
      <rPr>
        <sz val="10"/>
        <color theme="1"/>
        <rFont val="宋体"/>
        <charset val="134"/>
      </rPr>
      <t>特殊颜色另外加钱</t>
    </r>
  </si>
  <si>
    <r>
      <rPr>
        <sz val="10"/>
        <color theme="1"/>
        <rFont val="Calibri Light"/>
        <charset val="134"/>
      </rPr>
      <t xml:space="preserve">6 </t>
    </r>
    <r>
      <rPr>
        <sz val="10"/>
        <color theme="1"/>
        <rFont val="宋体"/>
        <charset val="134"/>
      </rPr>
      <t>、</t>
    </r>
    <r>
      <rPr>
        <sz val="10"/>
        <color theme="1"/>
        <rFont val="Calibri Light"/>
        <charset val="134"/>
      </rPr>
      <t xml:space="preserve">8 </t>
    </r>
    <r>
      <rPr>
        <sz val="10"/>
        <color theme="1"/>
        <rFont val="宋体"/>
        <charset val="134"/>
      </rPr>
      <t>、</t>
    </r>
    <r>
      <rPr>
        <sz val="10"/>
        <color theme="1"/>
        <rFont val="Calibri Light"/>
        <charset val="134"/>
      </rPr>
      <t>10</t>
    </r>
  </si>
  <si>
    <r>
      <rPr>
        <sz val="10"/>
        <color theme="1"/>
        <rFont val="Calibri Light"/>
        <charset val="134"/>
      </rPr>
      <t>13003# 21S</t>
    </r>
    <r>
      <rPr>
        <sz val="10"/>
        <color theme="1"/>
        <rFont val="宋体"/>
        <charset val="134"/>
      </rPr>
      <t>精棉平纹</t>
    </r>
  </si>
  <si>
    <t>SY251115</t>
  </si>
  <si>
    <t>2.9m/kg</t>
  </si>
  <si>
    <r>
      <rPr>
        <sz val="10"/>
        <color theme="1"/>
        <rFont val="Calibri Light"/>
        <charset val="134"/>
      </rPr>
      <t>18032# 26s</t>
    </r>
    <r>
      <rPr>
        <sz val="10"/>
        <color theme="1"/>
        <rFont val="宋体"/>
        <charset val="134"/>
      </rPr>
      <t>精棉平纹食毛</t>
    </r>
  </si>
  <si>
    <t>SY251116</t>
  </si>
  <si>
    <t>3.3m/kg</t>
  </si>
  <si>
    <r>
      <rPr>
        <sz val="10"/>
        <color theme="1"/>
        <rFont val="Calibri Light"/>
        <charset val="134"/>
      </rPr>
      <t>1018#21S</t>
    </r>
    <r>
      <rPr>
        <sz val="10"/>
        <color theme="1"/>
        <rFont val="宋体"/>
        <charset val="134"/>
      </rPr>
      <t>精棉平纹</t>
    </r>
  </si>
  <si>
    <t>SY251117</t>
  </si>
  <si>
    <t>沣泰布业</t>
  </si>
  <si>
    <r>
      <rPr>
        <sz val="10"/>
        <color theme="1"/>
        <rFont val="Calibri Light"/>
        <charset val="134"/>
      </rPr>
      <t xml:space="preserve">4 5 827 32 33 36 41 47 48 52 56 57 63 64 66 67 69 70 71 86 90 118 101 109 113 114 34# </t>
    </r>
    <r>
      <rPr>
        <sz val="10"/>
        <color theme="1"/>
        <rFont val="宋体"/>
        <charset val="134"/>
      </rPr>
      <t>活性黑 89# 无尘环保黑+2，102 111+3，110 112 130 131 132 133 122 撞白宝蓝 123# 撞白活性黑+4.</t>
    </r>
  </si>
  <si>
    <t>GFG0542</t>
  </si>
  <si>
    <r>
      <rPr>
        <sz val="10"/>
        <color theme="1"/>
        <rFont val="Calibri Light"/>
        <charset val="134"/>
      </rPr>
      <t>26509#</t>
    </r>
    <r>
      <rPr>
        <sz val="10"/>
        <color theme="1"/>
        <rFont val="宋体"/>
        <charset val="134"/>
      </rPr>
      <t>棉拉架</t>
    </r>
  </si>
  <si>
    <t>SY251118</t>
  </si>
  <si>
    <t>伊彩儿</t>
  </si>
  <si>
    <r>
      <rPr>
        <sz val="10"/>
        <color theme="1"/>
        <rFont val="Calibri Light"/>
        <charset val="134"/>
      </rPr>
      <t>2678#</t>
    </r>
    <r>
      <rPr>
        <sz val="10"/>
        <color theme="1"/>
        <rFont val="宋体"/>
        <charset val="134"/>
      </rPr>
      <t>精棉拉架</t>
    </r>
  </si>
  <si>
    <t>SY251119</t>
  </si>
  <si>
    <r>
      <rPr>
        <sz val="10"/>
        <color theme="1"/>
        <rFont val="Calibri Light"/>
        <charset val="134"/>
      </rPr>
      <t>0329#</t>
    </r>
    <r>
      <rPr>
        <sz val="10"/>
        <color theme="1"/>
        <rFont val="宋体"/>
        <charset val="134"/>
      </rPr>
      <t>纯棉双纱</t>
    </r>
  </si>
  <si>
    <t>SY251120</t>
  </si>
  <si>
    <r>
      <rPr>
        <sz val="10"/>
        <color theme="1"/>
        <rFont val="Calibri Light"/>
        <charset val="134"/>
      </rPr>
      <t>2609#</t>
    </r>
    <r>
      <rPr>
        <sz val="10"/>
        <color theme="1"/>
        <rFont val="宋体"/>
        <charset val="134"/>
      </rPr>
      <t>精棉拉架</t>
    </r>
  </si>
  <si>
    <t>SY251121</t>
  </si>
  <si>
    <t>GFG0543</t>
  </si>
  <si>
    <r>
      <rPr>
        <sz val="10"/>
        <color theme="1"/>
        <rFont val="Calibri Light"/>
        <charset val="134"/>
      </rPr>
      <t>1028#</t>
    </r>
    <r>
      <rPr>
        <sz val="10"/>
        <color theme="1"/>
        <rFont val="宋体"/>
        <charset val="134"/>
      </rPr>
      <t>铜氨贡缎</t>
    </r>
  </si>
  <si>
    <t>SY251122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</si>
  <si>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铜氨</t>
    </r>
    <r>
      <rPr>
        <sz val="10"/>
        <color theme="1"/>
        <rFont val="Calibri Light"/>
        <charset val="134"/>
      </rPr>
      <t xml:space="preserve"> 42%</t>
    </r>
    <r>
      <rPr>
        <sz val="10"/>
        <color theme="1"/>
        <rFont val="宋体"/>
        <charset val="134"/>
      </rPr>
      <t>人棉</t>
    </r>
  </si>
  <si>
    <t>58%CU 42%R</t>
  </si>
  <si>
    <t>中邦纺织</t>
  </si>
  <si>
    <r>
      <rPr>
        <sz val="10"/>
        <color theme="1"/>
        <rFont val="Calibri Light"/>
        <charset val="134"/>
      </rPr>
      <t>1039#</t>
    </r>
    <r>
      <rPr>
        <sz val="10"/>
        <color theme="1"/>
        <rFont val="宋体"/>
        <charset val="134"/>
      </rPr>
      <t>铜氨人棉缎纹</t>
    </r>
  </si>
  <si>
    <t>SY251123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</si>
  <si>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铜氨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人棉</t>
    </r>
  </si>
  <si>
    <t>50%CU 50%R</t>
  </si>
  <si>
    <t>皮革</t>
  </si>
  <si>
    <r>
      <rPr>
        <sz val="10"/>
        <color theme="1"/>
        <rFont val="宋体"/>
        <charset val="134"/>
      </rPr>
      <t>风度</t>
    </r>
    <r>
      <rPr>
        <sz val="10"/>
        <color theme="1"/>
        <rFont val="Calibri Light"/>
        <charset val="134"/>
      </rPr>
      <t>527</t>
    </r>
  </si>
  <si>
    <t>SY251124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</si>
  <si>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>25%PU</t>
    </r>
  </si>
  <si>
    <t>75%POLY25%PU</t>
  </si>
  <si>
    <t>杰瑞鸿茂</t>
  </si>
  <si>
    <t>鸿茂皮革</t>
  </si>
  <si>
    <r>
      <rPr>
        <sz val="10"/>
        <color theme="1"/>
        <rFont val="Calibri Light"/>
        <charset val="134"/>
      </rPr>
      <t>12/Y(</t>
    </r>
    <r>
      <rPr>
        <sz val="10"/>
        <color theme="1"/>
        <rFont val="宋体"/>
        <charset val="134"/>
      </rPr>
      <t>不含税）</t>
    </r>
  </si>
  <si>
    <t>丁</t>
  </si>
  <si>
    <t>大提花</t>
  </si>
  <si>
    <t>DS3561</t>
  </si>
  <si>
    <t>SY251125</t>
  </si>
  <si>
    <t>2%氨纶98%涤纶</t>
  </si>
  <si>
    <t>98%POLY2%SP</t>
  </si>
  <si>
    <t>单布</t>
  </si>
  <si>
    <t>和记纺织</t>
  </si>
  <si>
    <t>含税不含运</t>
  </si>
  <si>
    <t>DS2189</t>
  </si>
  <si>
    <t>SY251126</t>
  </si>
  <si>
    <t>DS3453(2)</t>
  </si>
  <si>
    <t>SY251127</t>
  </si>
  <si>
    <t>DS3524</t>
  </si>
  <si>
    <t>SY251128</t>
  </si>
  <si>
    <t>DS3526</t>
  </si>
  <si>
    <t>SY251129</t>
  </si>
  <si>
    <t>DS3527</t>
  </si>
  <si>
    <t>SY251130</t>
  </si>
  <si>
    <t>DS3528</t>
  </si>
  <si>
    <t>SY251131</t>
  </si>
  <si>
    <t>DS3529</t>
  </si>
  <si>
    <t>SY251132</t>
  </si>
  <si>
    <t>DS3530</t>
  </si>
  <si>
    <t>SY251133</t>
  </si>
  <si>
    <t>DS3533</t>
  </si>
  <si>
    <t>SY251134/1510</t>
  </si>
  <si>
    <t>DS3534</t>
  </si>
  <si>
    <t>SY251135</t>
  </si>
  <si>
    <t>DS3535</t>
  </si>
  <si>
    <t>SY251136</t>
  </si>
  <si>
    <t>DS3538</t>
  </si>
  <si>
    <t>SY251137</t>
  </si>
  <si>
    <t>DS3539</t>
  </si>
  <si>
    <t>SY251138</t>
  </si>
  <si>
    <t>DS3105-T</t>
  </si>
  <si>
    <t>SY251139</t>
  </si>
  <si>
    <t>涤47%/TPU53%</t>
  </si>
  <si>
    <t>47%POLY53%TPU</t>
  </si>
  <si>
    <t>DS2118T</t>
  </si>
  <si>
    <t>SY251140</t>
  </si>
  <si>
    <t>52%涤纶48%TPU</t>
  </si>
  <si>
    <t>52%POLY48%TPU</t>
  </si>
  <si>
    <t>DS3602</t>
  </si>
  <si>
    <t>SY251141</t>
  </si>
  <si>
    <t>69%涤纶31%TPU</t>
  </si>
  <si>
    <t>69%POLY31%TPU</t>
  </si>
  <si>
    <t>DS4361</t>
  </si>
  <si>
    <t>SY251142</t>
  </si>
  <si>
    <t>33%涤纶67%单丝</t>
  </si>
  <si>
    <t>33%POLY67%Monofilament</t>
  </si>
  <si>
    <t>JZ020</t>
  </si>
  <si>
    <t>SY251143</t>
  </si>
  <si>
    <t>DS3595</t>
  </si>
  <si>
    <t>SY251144</t>
  </si>
  <si>
    <t>DS3767-1</t>
  </si>
  <si>
    <t>SY251145</t>
  </si>
  <si>
    <t>DS3760-1</t>
  </si>
  <si>
    <t>SY251146</t>
  </si>
  <si>
    <t>DS3757(2)</t>
  </si>
  <si>
    <t>SY251147</t>
  </si>
  <si>
    <t>DS3755</t>
  </si>
  <si>
    <t>SY251148</t>
  </si>
  <si>
    <t>DS3750</t>
  </si>
  <si>
    <t>SY251149</t>
  </si>
  <si>
    <t>DS3735</t>
  </si>
  <si>
    <t>SY251150</t>
  </si>
  <si>
    <t>DS3860</t>
  </si>
  <si>
    <t>SY251151</t>
  </si>
  <si>
    <t>DS3857</t>
  </si>
  <si>
    <t>SY251152</t>
  </si>
  <si>
    <t>DS3855</t>
  </si>
  <si>
    <t>SY251153</t>
  </si>
  <si>
    <t>DS3853</t>
  </si>
  <si>
    <t>SY251154</t>
  </si>
  <si>
    <t>DS3843</t>
  </si>
  <si>
    <t>SY251155</t>
  </si>
  <si>
    <t>DS3831(2)</t>
  </si>
  <si>
    <t>SY251156</t>
  </si>
  <si>
    <t>DS3831(1)</t>
  </si>
  <si>
    <t>SY251157</t>
  </si>
  <si>
    <t>DS3797</t>
  </si>
  <si>
    <t>SY251158</t>
  </si>
  <si>
    <t>DS3795</t>
  </si>
  <si>
    <t>SY251159</t>
  </si>
  <si>
    <t>DS3793</t>
  </si>
  <si>
    <t>SY251160</t>
  </si>
  <si>
    <t>DS3791</t>
  </si>
  <si>
    <t>SY251161</t>
  </si>
  <si>
    <t>DS3782</t>
  </si>
  <si>
    <t>SY251162</t>
  </si>
  <si>
    <r>
      <rPr>
        <sz val="10"/>
        <color theme="1"/>
        <rFont val="Calibri Light"/>
        <charset val="134"/>
      </rPr>
      <t>DS3963</t>
    </r>
    <r>
      <rPr>
        <sz val="10"/>
        <color theme="1"/>
        <rFont val="宋体"/>
        <charset val="134"/>
      </rPr>
      <t>（男款）</t>
    </r>
  </si>
  <si>
    <t>SY251163</t>
  </si>
  <si>
    <r>
      <rPr>
        <sz val="10"/>
        <color theme="1"/>
        <rFont val="Calibri Light"/>
        <charset val="134"/>
      </rPr>
      <t>DS3962</t>
    </r>
    <r>
      <rPr>
        <sz val="10"/>
        <color theme="1"/>
        <rFont val="宋体"/>
        <charset val="134"/>
      </rPr>
      <t>（男款）</t>
    </r>
  </si>
  <si>
    <t>SY251164</t>
  </si>
  <si>
    <r>
      <rPr>
        <sz val="10"/>
        <color theme="1"/>
        <rFont val="Calibri Light"/>
        <charset val="134"/>
      </rPr>
      <t>DS3961</t>
    </r>
    <r>
      <rPr>
        <sz val="10"/>
        <color theme="1"/>
        <rFont val="宋体"/>
        <charset val="134"/>
      </rPr>
      <t>（男款）</t>
    </r>
  </si>
  <si>
    <t>SY251165</t>
  </si>
  <si>
    <r>
      <rPr>
        <sz val="10"/>
        <color theme="1"/>
        <rFont val="Calibri Light"/>
        <charset val="134"/>
      </rPr>
      <t>DS3956</t>
    </r>
    <r>
      <rPr>
        <sz val="10"/>
        <color theme="1"/>
        <rFont val="宋体"/>
        <charset val="134"/>
      </rPr>
      <t>（男女同款）</t>
    </r>
  </si>
  <si>
    <t>SY251166</t>
  </si>
  <si>
    <t>DS3954</t>
  </si>
  <si>
    <t>SY251167</t>
  </si>
  <si>
    <r>
      <rPr>
        <sz val="10"/>
        <color theme="1"/>
        <rFont val="Calibri Light"/>
        <charset val="134"/>
      </rPr>
      <t>DS3918</t>
    </r>
    <r>
      <rPr>
        <sz val="10"/>
        <color theme="1"/>
        <rFont val="宋体"/>
        <charset val="134"/>
      </rPr>
      <t>（女款）</t>
    </r>
  </si>
  <si>
    <t>SY251168</t>
  </si>
  <si>
    <t>DS3864</t>
  </si>
  <si>
    <t>SY251169</t>
  </si>
  <si>
    <t>42%涤纶58%雪尼尔</t>
  </si>
  <si>
    <t>42%POLY58%Chenllle</t>
  </si>
  <si>
    <t>DS3863</t>
  </si>
  <si>
    <t>SY251170</t>
  </si>
  <si>
    <t>48%涤纶50%雪尼尔2%氨纶</t>
  </si>
  <si>
    <t>48%POLY50%Chenllle2%SP</t>
  </si>
  <si>
    <t>DS3880</t>
  </si>
  <si>
    <t>SY251171</t>
  </si>
  <si>
    <r>
      <rPr>
        <sz val="10"/>
        <color theme="1"/>
        <rFont val="Calibri Light"/>
        <charset val="134"/>
      </rPr>
      <t>DS3869</t>
    </r>
    <r>
      <rPr>
        <sz val="10"/>
        <color theme="1"/>
        <rFont val="宋体"/>
        <charset val="134"/>
      </rPr>
      <t>（女款）</t>
    </r>
  </si>
  <si>
    <t>SY251172</t>
  </si>
  <si>
    <t>79%涤纶21%金银丝</t>
  </si>
  <si>
    <t>79%POLY21%Lurex</t>
  </si>
  <si>
    <t>DS3866</t>
  </si>
  <si>
    <t>SY251173</t>
  </si>
  <si>
    <t>59%涤纶41%雪尼尔</t>
  </si>
  <si>
    <t>59%POLY41%Chenllle</t>
  </si>
  <si>
    <t>DS3881</t>
  </si>
  <si>
    <t>SY251174</t>
  </si>
  <si>
    <t>DS3882</t>
  </si>
  <si>
    <t>SY251175</t>
  </si>
  <si>
    <t>DS3884</t>
  </si>
  <si>
    <t>SY251176</t>
  </si>
  <si>
    <r>
      <rPr>
        <sz val="10"/>
        <color theme="1"/>
        <rFont val="Calibri Light"/>
        <charset val="134"/>
      </rPr>
      <t>DS3890</t>
    </r>
    <r>
      <rPr>
        <sz val="10"/>
        <color theme="1"/>
        <rFont val="宋体"/>
        <charset val="134"/>
      </rPr>
      <t>（女款）</t>
    </r>
  </si>
  <si>
    <t>SY251177</t>
  </si>
  <si>
    <t>55%涤纶2%金银丝43%雪尼尔</t>
  </si>
  <si>
    <t>55%POLY2%Lurex43%Chenllle</t>
  </si>
  <si>
    <t>DS3891</t>
  </si>
  <si>
    <t>SY251178</t>
  </si>
  <si>
    <t>DS3892</t>
  </si>
  <si>
    <t>SY251179</t>
  </si>
  <si>
    <t>50%涤纶48%珍珠棉2%金银丝</t>
  </si>
  <si>
    <t>50%POLY48%BCI COTTON2%Lurex</t>
  </si>
  <si>
    <t>DS3911</t>
  </si>
  <si>
    <t>SY251180</t>
  </si>
  <si>
    <t>2%SP98%Recycle POLY</t>
  </si>
  <si>
    <t>DS3915</t>
  </si>
  <si>
    <t>SY251181</t>
  </si>
  <si>
    <t>DS3925</t>
  </si>
  <si>
    <t>SY251182</t>
  </si>
  <si>
    <r>
      <rPr>
        <sz val="10"/>
        <color theme="1"/>
        <rFont val="Calibri Light"/>
        <charset val="134"/>
      </rPr>
      <t>DS3946</t>
    </r>
    <r>
      <rPr>
        <sz val="10"/>
        <color theme="1"/>
        <rFont val="宋体"/>
        <charset val="134"/>
      </rPr>
      <t>（男款）</t>
    </r>
  </si>
  <si>
    <t>SY251183</t>
  </si>
  <si>
    <t>DS3943</t>
  </si>
  <si>
    <t>SY251184</t>
  </si>
  <si>
    <t>DS3729(2)</t>
  </si>
  <si>
    <t>SY251185</t>
  </si>
  <si>
    <t>DS3729(1)</t>
  </si>
  <si>
    <t>SY251186</t>
  </si>
  <si>
    <t>DS3707</t>
  </si>
  <si>
    <t>SY251187</t>
  </si>
  <si>
    <t>DS3706</t>
  </si>
  <si>
    <t>SY251188</t>
  </si>
  <si>
    <t>DS3705</t>
  </si>
  <si>
    <t>SY251189</t>
  </si>
  <si>
    <t>DS3696</t>
  </si>
  <si>
    <t>SY251190</t>
  </si>
  <si>
    <t>DS3685</t>
  </si>
  <si>
    <t>SY251191</t>
  </si>
  <si>
    <t>DS3627</t>
  </si>
  <si>
    <t>SY251192</t>
  </si>
  <si>
    <t>DS3583</t>
  </si>
  <si>
    <t>SY251193</t>
  </si>
  <si>
    <t>DS3582</t>
  </si>
  <si>
    <t>SY251194</t>
  </si>
  <si>
    <t>DS3581</t>
  </si>
  <si>
    <t>SY251195</t>
  </si>
  <si>
    <t>DS3580</t>
  </si>
  <si>
    <t>SY251196</t>
  </si>
  <si>
    <t>DS3576</t>
  </si>
  <si>
    <t>SY251197</t>
  </si>
  <si>
    <t>DS3575</t>
  </si>
  <si>
    <t>SY251198</t>
  </si>
  <si>
    <t>DS3563</t>
  </si>
  <si>
    <t>SY251199</t>
  </si>
  <si>
    <t>DS3562</t>
  </si>
  <si>
    <t>SY251200</t>
  </si>
  <si>
    <t>SY251201</t>
  </si>
  <si>
    <t>DS3555</t>
  </si>
  <si>
    <t>SY251202</t>
  </si>
  <si>
    <t>DS3550</t>
  </si>
  <si>
    <t>SY251203</t>
  </si>
  <si>
    <t>DS3541</t>
  </si>
  <si>
    <t>SY251204</t>
  </si>
  <si>
    <t>DS3725</t>
  </si>
  <si>
    <t>SY251205</t>
  </si>
  <si>
    <t>DS3726</t>
  </si>
  <si>
    <t>SY251206</t>
  </si>
  <si>
    <r>
      <rPr>
        <sz val="10"/>
        <color theme="1"/>
        <rFont val="Calibri Light"/>
        <charset val="134"/>
      </rPr>
      <t>DS3960</t>
    </r>
    <r>
      <rPr>
        <sz val="10"/>
        <color theme="1"/>
        <rFont val="宋体"/>
        <charset val="134"/>
      </rPr>
      <t>（男款）</t>
    </r>
  </si>
  <si>
    <t>SY251207</t>
  </si>
  <si>
    <t>DS3927</t>
  </si>
  <si>
    <t>SY251208</t>
  </si>
  <si>
    <t>DS3928</t>
  </si>
  <si>
    <t>SY251209</t>
  </si>
  <si>
    <r>
      <rPr>
        <sz val="10"/>
        <color theme="1"/>
        <rFont val="Calibri Light"/>
        <charset val="134"/>
      </rPr>
      <t>DS3934</t>
    </r>
    <r>
      <rPr>
        <sz val="10"/>
        <color theme="1"/>
        <rFont val="宋体"/>
        <charset val="134"/>
      </rPr>
      <t>（女款）</t>
    </r>
  </si>
  <si>
    <t>SY251210</t>
  </si>
  <si>
    <t>DS3941</t>
  </si>
  <si>
    <t>SY251211</t>
  </si>
  <si>
    <r>
      <rPr>
        <sz val="10"/>
        <color theme="1"/>
        <rFont val="Calibri Light"/>
        <charset val="134"/>
      </rPr>
      <t>DS3966</t>
    </r>
    <r>
      <rPr>
        <sz val="10"/>
        <color theme="1"/>
        <rFont val="宋体"/>
        <charset val="134"/>
      </rPr>
      <t>（女款）</t>
    </r>
  </si>
  <si>
    <t>SY251212</t>
  </si>
  <si>
    <r>
      <rPr>
        <sz val="10"/>
        <color theme="1"/>
        <rFont val="Calibri Light"/>
        <charset val="134"/>
      </rPr>
      <t>DS3967</t>
    </r>
    <r>
      <rPr>
        <sz val="10"/>
        <color theme="1"/>
        <rFont val="宋体"/>
        <charset val="134"/>
      </rPr>
      <t>（男款）</t>
    </r>
  </si>
  <si>
    <t>SY251213</t>
  </si>
  <si>
    <t>DS2101</t>
  </si>
  <si>
    <t>SY251214</t>
  </si>
  <si>
    <r>
      <rPr>
        <sz val="10"/>
        <color theme="1"/>
        <rFont val="Calibri Light"/>
        <charset val="134"/>
      </rPr>
      <t>DS2102</t>
    </r>
    <r>
      <rPr>
        <sz val="10"/>
        <color theme="1"/>
        <rFont val="宋体"/>
        <charset val="134"/>
      </rPr>
      <t>（男款）</t>
    </r>
  </si>
  <si>
    <t>SY251215</t>
  </si>
  <si>
    <t>44%雪尼尔 56%涤纶</t>
  </si>
  <si>
    <t>44%Chenllle 56%POLY</t>
  </si>
  <si>
    <t>DS2111</t>
  </si>
  <si>
    <t>SY251216</t>
  </si>
  <si>
    <r>
      <rPr>
        <sz val="10"/>
        <color theme="1"/>
        <rFont val="Calibri Light"/>
        <charset val="134"/>
      </rPr>
      <t>DS2129</t>
    </r>
    <r>
      <rPr>
        <sz val="10"/>
        <color theme="1"/>
        <rFont val="宋体"/>
        <charset val="134"/>
      </rPr>
      <t>（女款）</t>
    </r>
  </si>
  <si>
    <t>SY251217</t>
  </si>
  <si>
    <t>DS2130</t>
  </si>
  <si>
    <t>SY251218</t>
  </si>
  <si>
    <t>79% POLY21%Lurex</t>
  </si>
  <si>
    <t>DS2140</t>
  </si>
  <si>
    <t>SY251219</t>
  </si>
  <si>
    <t>95%涤纶5%金银丝</t>
  </si>
  <si>
    <t>95%Recycle POLY5%Lurex</t>
  </si>
  <si>
    <r>
      <rPr>
        <sz val="10"/>
        <color theme="1"/>
        <rFont val="Calibri Light"/>
        <charset val="134"/>
      </rPr>
      <t>DS2146</t>
    </r>
    <r>
      <rPr>
        <sz val="10"/>
        <color theme="1"/>
        <rFont val="宋体"/>
        <charset val="134"/>
      </rPr>
      <t>（男款）</t>
    </r>
  </si>
  <si>
    <t>SY251220</t>
  </si>
  <si>
    <r>
      <rPr>
        <sz val="10"/>
        <color theme="1"/>
        <rFont val="Calibri Light"/>
        <charset val="134"/>
      </rPr>
      <t>DS2147</t>
    </r>
    <r>
      <rPr>
        <sz val="10"/>
        <color theme="1"/>
        <rFont val="宋体"/>
        <charset val="134"/>
      </rPr>
      <t>（女款）</t>
    </r>
  </si>
  <si>
    <t>SY251221</t>
  </si>
  <si>
    <t>DS3348</t>
  </si>
  <si>
    <t>SY251222</t>
  </si>
  <si>
    <t>DS3355</t>
  </si>
  <si>
    <t>SY251223</t>
  </si>
  <si>
    <t>DS3358</t>
  </si>
  <si>
    <t>SY251224</t>
  </si>
  <si>
    <t>DS3363</t>
  </si>
  <si>
    <t>SY251225</t>
  </si>
  <si>
    <t>2%氨纶2%金银丝96%涤纶</t>
  </si>
  <si>
    <t>2%SP2%Lurex96%Recycle POLY</t>
  </si>
  <si>
    <t>DS3382</t>
  </si>
  <si>
    <t>SY251226</t>
  </si>
  <si>
    <t>DS3386</t>
  </si>
  <si>
    <t>SY251227</t>
  </si>
  <si>
    <t>DS3387</t>
  </si>
  <si>
    <t>SY251228</t>
  </si>
  <si>
    <t>DS3399</t>
  </si>
  <si>
    <t>SY251229</t>
  </si>
  <si>
    <t>DS3439</t>
  </si>
  <si>
    <t>SY251230</t>
  </si>
  <si>
    <t>DS3656</t>
  </si>
  <si>
    <t>SY251231</t>
  </si>
  <si>
    <t>89%涤纶11%金银丝</t>
  </si>
  <si>
    <t>89%POLY11%Lurex</t>
  </si>
  <si>
    <t>DS3634</t>
  </si>
  <si>
    <t>SY251232</t>
  </si>
  <si>
    <t>涤86%/氨纶14%</t>
  </si>
  <si>
    <t>86%POLY14%SP</t>
  </si>
  <si>
    <t>DS3607</t>
  </si>
  <si>
    <t>SY251233</t>
  </si>
  <si>
    <t>DS3624</t>
  </si>
  <si>
    <t>SY251234</t>
  </si>
  <si>
    <t>64%涤纶36%雪尼尔</t>
  </si>
  <si>
    <t>64%POLY36%Chenllle</t>
  </si>
  <si>
    <t>DS3710-1</t>
  </si>
  <si>
    <t>SY251235</t>
  </si>
  <si>
    <t>DS3759</t>
  </si>
  <si>
    <t>SY251236</t>
  </si>
  <si>
    <t>DS3776</t>
  </si>
  <si>
    <t>SY251237</t>
  </si>
  <si>
    <t>DS3777</t>
  </si>
  <si>
    <t>SY251238</t>
  </si>
  <si>
    <t>DS3779</t>
  </si>
  <si>
    <t>SY251239</t>
  </si>
  <si>
    <t>GFG0544</t>
  </si>
  <si>
    <t>2478-22</t>
  </si>
  <si>
    <t>SY251240</t>
  </si>
  <si>
    <t>76%涤纶20%人棉4%氨纶</t>
  </si>
  <si>
    <t>嘉源</t>
  </si>
  <si>
    <t>2049-8</t>
  </si>
  <si>
    <t>SY251241</t>
  </si>
  <si>
    <t>1016#</t>
  </si>
  <si>
    <t>SY251242</t>
  </si>
  <si>
    <t>95%Recycel POLY 5%SP</t>
  </si>
  <si>
    <t>315#</t>
  </si>
  <si>
    <t>SY251243</t>
  </si>
  <si>
    <r>
      <rPr>
        <sz val="10"/>
        <color theme="1"/>
        <rFont val="Calibri Light"/>
        <charset val="134"/>
      </rPr>
      <t>21S</t>
    </r>
    <r>
      <rPr>
        <sz val="10"/>
        <color theme="1"/>
        <rFont val="宋体"/>
        <charset val="134"/>
      </rPr>
      <t>超爽棉单面</t>
    </r>
  </si>
  <si>
    <t>SY251244</t>
  </si>
  <si>
    <r>
      <rPr>
        <sz val="10"/>
        <color theme="1"/>
        <rFont val="宋体"/>
        <charset val="134"/>
      </rPr>
      <t>特殊色</t>
    </r>
    <r>
      <rPr>
        <sz val="10"/>
        <color theme="1"/>
        <rFont val="Calibri Light"/>
        <charset val="134"/>
      </rPr>
      <t>+3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1kg=3.3m</t>
    </r>
  </si>
  <si>
    <t>13033#</t>
  </si>
  <si>
    <t>GFG0547</t>
  </si>
  <si>
    <t>水晶麻</t>
  </si>
  <si>
    <t>SY251245</t>
  </si>
  <si>
    <t>94%涤6%氨纶</t>
  </si>
  <si>
    <r>
      <rPr>
        <sz val="10"/>
        <color theme="1"/>
        <rFont val="宋体"/>
        <charset val="134"/>
      </rPr>
      <t>特殊色</t>
    </r>
    <r>
      <rPr>
        <sz val="10"/>
        <color theme="1"/>
        <rFont val="Calibri Light"/>
        <charset val="134"/>
      </rPr>
      <t>+4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1kg=3.4m</t>
    </r>
  </si>
  <si>
    <t>6101#</t>
  </si>
  <si>
    <r>
      <rPr>
        <sz val="10"/>
        <color theme="1"/>
        <rFont val="Calibri Light"/>
        <charset val="134"/>
      </rPr>
      <t>1016#40</t>
    </r>
    <r>
      <rPr>
        <sz val="10"/>
        <color theme="1"/>
        <rFont val="宋体"/>
        <charset val="134"/>
      </rPr>
      <t>支双纱爽棉</t>
    </r>
  </si>
  <si>
    <t>SY251246</t>
  </si>
  <si>
    <t>1kg=2.7m</t>
  </si>
  <si>
    <t>绞综</t>
  </si>
  <si>
    <t>JP058</t>
  </si>
  <si>
    <t>SY251247</t>
  </si>
  <si>
    <r>
      <rPr>
        <sz val="10"/>
        <color theme="1"/>
        <rFont val="Calibri Light"/>
        <charset val="134"/>
      </rPr>
      <t>49%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51%TPEE</t>
    </r>
  </si>
  <si>
    <t>49%POLY51%TPEE</t>
  </si>
  <si>
    <t>JP059</t>
  </si>
  <si>
    <t>SY251248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</si>
  <si>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53%TPEE</t>
    </r>
  </si>
  <si>
    <t>47%POLY53%TPEE</t>
  </si>
  <si>
    <t>JP070</t>
  </si>
  <si>
    <t>SY251249</t>
  </si>
  <si>
    <t>JP075</t>
  </si>
  <si>
    <t>SY251250</t>
  </si>
  <si>
    <t>JP082</t>
  </si>
  <si>
    <t>SY251251</t>
  </si>
  <si>
    <t>JP084</t>
  </si>
  <si>
    <t>SY251252</t>
  </si>
  <si>
    <t>李晓玲</t>
  </si>
  <si>
    <r>
      <rPr>
        <sz val="10"/>
        <color theme="1"/>
        <rFont val="宋体"/>
        <charset val="134"/>
      </rPr>
      <t>人字纹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鱼骨纹</t>
    </r>
  </si>
  <si>
    <t>F569</t>
  </si>
  <si>
    <t>SY251253</t>
  </si>
  <si>
    <t>70%涤纶 29%人棉 1%氨纶</t>
  </si>
  <si>
    <t>70% T29%R 1%SP</t>
  </si>
  <si>
    <t>金量布行</t>
  </si>
  <si>
    <t>F464</t>
  </si>
  <si>
    <t>SY251254</t>
  </si>
  <si>
    <t>60%涤纶35%人棉5%氨纶</t>
  </si>
  <si>
    <t>60%T 35%R 5%SP</t>
  </si>
  <si>
    <t>F478</t>
  </si>
  <si>
    <t>SY251255</t>
  </si>
  <si>
    <t>78%涤纶  20%人棉 2%氨纶</t>
  </si>
  <si>
    <t>78%T 20%R 2%SP</t>
  </si>
  <si>
    <t>B302</t>
  </si>
  <si>
    <t>SY251256</t>
  </si>
  <si>
    <t>SY251257</t>
  </si>
  <si>
    <t>80%涤 20%羊毛</t>
  </si>
  <si>
    <t>80%T 20%W</t>
  </si>
  <si>
    <t>宏泰纺织</t>
  </si>
  <si>
    <t>SY251258</t>
  </si>
  <si>
    <t>SY251259</t>
  </si>
  <si>
    <t>SY251260</t>
  </si>
  <si>
    <t>SY251261</t>
  </si>
  <si>
    <t>SY251262</t>
  </si>
  <si>
    <t>SY251263</t>
  </si>
  <si>
    <t>SY251264</t>
  </si>
  <si>
    <t>晨诚纺织</t>
  </si>
  <si>
    <t>78265-61</t>
  </si>
  <si>
    <t>SY251265</t>
  </si>
  <si>
    <t>豪曼纺织</t>
  </si>
  <si>
    <t>03125</t>
  </si>
  <si>
    <t>SY251266</t>
  </si>
  <si>
    <t>天丝3% 醋酸3%人棉18% 涤纶72% 氨纶4%</t>
  </si>
  <si>
    <t>72%T 18%R 3%TEN 3%CA 4%SP</t>
  </si>
  <si>
    <t>华力纺织</t>
  </si>
  <si>
    <t>千鸟格</t>
  </si>
  <si>
    <t>SY251267</t>
  </si>
  <si>
    <t>035115#</t>
  </si>
  <si>
    <t>SY251268</t>
  </si>
  <si>
    <t>亿丰纺织</t>
  </si>
  <si>
    <t>SY251269</t>
  </si>
  <si>
    <t>新万利纺织</t>
  </si>
  <si>
    <t>SY251270</t>
  </si>
  <si>
    <t>拉毛格</t>
  </si>
  <si>
    <t>SY251271</t>
  </si>
  <si>
    <t>SY251272</t>
  </si>
  <si>
    <t>F548</t>
  </si>
  <si>
    <t>SY251273</t>
  </si>
  <si>
    <t>小方格</t>
  </si>
  <si>
    <t>SY251274</t>
  </si>
  <si>
    <t>SY251275</t>
  </si>
  <si>
    <t>97720#</t>
  </si>
  <si>
    <t>SY251276</t>
  </si>
  <si>
    <t>30%毛70%化纤</t>
  </si>
  <si>
    <t>70%T 30%W</t>
  </si>
  <si>
    <t>SY251277</t>
  </si>
  <si>
    <t>80%涤 20%人棉</t>
  </si>
  <si>
    <t>XJ-4</t>
  </si>
  <si>
    <t>SY251278</t>
  </si>
  <si>
    <t>98%涤纶2%氨纶</t>
  </si>
  <si>
    <t>98% Recycle POLY 2%SP</t>
  </si>
  <si>
    <t>方格</t>
  </si>
  <si>
    <t>XJ-10</t>
  </si>
  <si>
    <t>SY251279</t>
  </si>
  <si>
    <t>15-3</t>
  </si>
  <si>
    <t>SY251280</t>
  </si>
  <si>
    <t>XJ-21</t>
  </si>
  <si>
    <t>SY251281</t>
  </si>
  <si>
    <t>D-110</t>
  </si>
  <si>
    <t>SY251282</t>
  </si>
  <si>
    <t>XJ-17</t>
  </si>
  <si>
    <t>SY251283</t>
  </si>
  <si>
    <t>62557-67</t>
  </si>
  <si>
    <t>SY251284</t>
  </si>
  <si>
    <t>62551-64</t>
  </si>
  <si>
    <t>SY251285</t>
  </si>
  <si>
    <t>62525-66</t>
  </si>
  <si>
    <t>SY251286</t>
  </si>
  <si>
    <t>62599-66</t>
  </si>
  <si>
    <t>SY251287</t>
  </si>
  <si>
    <t>62559-67</t>
  </si>
  <si>
    <t>SY251288</t>
  </si>
  <si>
    <t>68403-64</t>
  </si>
  <si>
    <t>SY251289</t>
  </si>
  <si>
    <t>68215-64</t>
  </si>
  <si>
    <t>SY251290</t>
  </si>
  <si>
    <t>SY251291</t>
  </si>
  <si>
    <t xml:space="preserve">70%涤纶 26%人棉 4%氨纶 </t>
  </si>
  <si>
    <t>70% T26%R 4%SP</t>
  </si>
  <si>
    <t>SY251292</t>
  </si>
  <si>
    <t>SY251293</t>
  </si>
  <si>
    <t>SY251294</t>
  </si>
  <si>
    <t>平纹</t>
  </si>
  <si>
    <t>SY251295</t>
  </si>
  <si>
    <t>78321-62</t>
  </si>
  <si>
    <t>SY251296</t>
  </si>
  <si>
    <t>羊毛</t>
  </si>
  <si>
    <t>SY251297</t>
  </si>
  <si>
    <t>SY251298</t>
  </si>
  <si>
    <t>细条纹</t>
  </si>
  <si>
    <t>48214#</t>
  </si>
  <si>
    <t>SY251299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</si>
  <si>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22%</t>
    </r>
    <r>
      <rPr>
        <sz val="10"/>
        <color theme="1"/>
        <rFont val="宋体"/>
        <charset val="134"/>
      </rPr>
      <t>人棉</t>
    </r>
  </si>
  <si>
    <t>78%POLY 22%R</t>
  </si>
  <si>
    <t>47813#</t>
  </si>
  <si>
    <t>SY251300</t>
  </si>
  <si>
    <t>78165-55</t>
  </si>
  <si>
    <t>SY251301</t>
  </si>
  <si>
    <t>92%涤纶3%人棉5%氨纶</t>
  </si>
  <si>
    <t>92%T 3%r 5%SP</t>
  </si>
  <si>
    <t>78195-55</t>
  </si>
  <si>
    <t>SY251302</t>
  </si>
  <si>
    <t>7853-64</t>
  </si>
  <si>
    <t>SY251303</t>
  </si>
  <si>
    <t>5811-63</t>
  </si>
  <si>
    <t>SY251304</t>
  </si>
  <si>
    <t>71%涤纶27%人棉22%氨纶</t>
  </si>
  <si>
    <t>71%POLY 27%R 2%SP</t>
  </si>
  <si>
    <t>78165-64</t>
  </si>
  <si>
    <t>SY251305</t>
  </si>
  <si>
    <t>70%涤纶 26%人棉 4%氨纶</t>
  </si>
  <si>
    <t>78152-64</t>
  </si>
  <si>
    <t>SY251306</t>
  </si>
  <si>
    <t>80%涤纶 18%人棉 2%氨纶</t>
  </si>
  <si>
    <t>80%T 18%R 2%SP</t>
  </si>
  <si>
    <t>78250-66</t>
  </si>
  <si>
    <t>SY251307</t>
  </si>
  <si>
    <t>69%涤纶 28%人棉 3%氨纶</t>
  </si>
  <si>
    <t>69%T 28%R 3%SP</t>
  </si>
  <si>
    <t>78146-66</t>
  </si>
  <si>
    <t>SY251308</t>
  </si>
  <si>
    <t>69%涤纶 27%人棉 4%氨纶</t>
  </si>
  <si>
    <t>SY251309</t>
  </si>
  <si>
    <t>95%涤纶 5%人棉</t>
  </si>
  <si>
    <t>95%T 5%R</t>
  </si>
  <si>
    <t>SY251310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</si>
  <si>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</si>
  <si>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93%T 4%R 3%SP</t>
  </si>
  <si>
    <t>SY251311</t>
  </si>
  <si>
    <t>SY251312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</si>
  <si>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</si>
  <si>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82%T 15%R 3%SP</t>
  </si>
  <si>
    <t>SY251313</t>
  </si>
  <si>
    <t>97%涤纶 3%氨纶</t>
  </si>
  <si>
    <t>动物纹</t>
  </si>
  <si>
    <t>5408#</t>
  </si>
  <si>
    <t>SY251314</t>
  </si>
  <si>
    <t>洪雅纺织</t>
  </si>
  <si>
    <t>5404#</t>
  </si>
  <si>
    <t>SY251315</t>
  </si>
  <si>
    <t>5448#</t>
  </si>
  <si>
    <t>SY251316</t>
  </si>
  <si>
    <t>4871#</t>
  </si>
  <si>
    <t>SY251317</t>
  </si>
  <si>
    <t>5460#</t>
  </si>
  <si>
    <t>SY251318</t>
  </si>
  <si>
    <t>5423#</t>
  </si>
  <si>
    <t>SY251319</t>
  </si>
  <si>
    <t>5339#</t>
  </si>
  <si>
    <t>SY251320</t>
  </si>
  <si>
    <t>5430#</t>
  </si>
  <si>
    <t>SY251321</t>
  </si>
  <si>
    <t>4925#</t>
  </si>
  <si>
    <t>SY251322</t>
  </si>
  <si>
    <t>5425#</t>
  </si>
  <si>
    <t>SY251323</t>
  </si>
  <si>
    <t>展业条纹</t>
  </si>
  <si>
    <t>3351#</t>
  </si>
  <si>
    <t>SY251324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</si>
  <si>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粘胶30%涤纶5%氨纶</t>
    </r>
  </si>
  <si>
    <t>65%R30%POLY5%SP</t>
  </si>
  <si>
    <t>46.2/3.1</t>
  </si>
  <si>
    <r>
      <rPr>
        <sz val="10"/>
        <color theme="1"/>
        <rFont val="Calibri Light"/>
        <charset val="134"/>
      </rPr>
      <t>KL004</t>
    </r>
    <r>
      <rPr>
        <sz val="10"/>
        <color theme="1"/>
        <rFont val="宋体"/>
        <charset val="134"/>
      </rPr>
      <t>酷棉罗纹</t>
    </r>
  </si>
  <si>
    <t>SY251325</t>
  </si>
  <si>
    <t>KL004</t>
  </si>
  <si>
    <t>新彩凤</t>
  </si>
  <si>
    <t>34.5/2.4</t>
  </si>
  <si>
    <r>
      <rPr>
        <sz val="10"/>
        <color theme="1"/>
        <rFont val="Calibri Light"/>
        <charset val="134"/>
      </rPr>
      <t>KL001</t>
    </r>
    <r>
      <rPr>
        <sz val="10"/>
        <color theme="1"/>
        <rFont val="宋体"/>
        <charset val="134"/>
      </rPr>
      <t>酷棉罗纹</t>
    </r>
  </si>
  <si>
    <t>SY251326</t>
  </si>
  <si>
    <t>KL001</t>
  </si>
  <si>
    <t>34.5/2.3</t>
  </si>
  <si>
    <r>
      <rPr>
        <sz val="10"/>
        <color theme="1"/>
        <rFont val="Calibri Light"/>
        <charset val="134"/>
      </rPr>
      <t>JLE501</t>
    </r>
    <r>
      <rPr>
        <sz val="10"/>
        <color theme="1"/>
        <rFont val="宋体"/>
        <charset val="134"/>
      </rPr>
      <t>冰爽双面</t>
    </r>
  </si>
  <si>
    <t>SY251327</t>
  </si>
  <si>
    <r>
      <rPr>
        <sz val="10"/>
        <color theme="1"/>
        <rFont val="Calibri Light"/>
        <charset val="134"/>
      </rPr>
      <t>91%</t>
    </r>
    <r>
      <rPr>
        <sz val="10"/>
        <color theme="1"/>
        <rFont val="宋体"/>
        <charset val="134"/>
      </rPr>
      <t>锦纶9%氨纶</t>
    </r>
  </si>
  <si>
    <t>91%NYLON9%SP</t>
  </si>
  <si>
    <t>JLE501</t>
  </si>
  <si>
    <t>68.3/2.6</t>
  </si>
  <si>
    <t>抓毛牛津布5033/5034</t>
  </si>
  <si>
    <t>SY251328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</si>
  <si>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棉50%涤纶</t>
    </r>
  </si>
  <si>
    <t>50%BCI COTTON50%POLY</t>
  </si>
  <si>
    <t>5033/5034</t>
  </si>
  <si>
    <t>宏达三俊</t>
  </si>
  <si>
    <t>高密21支青年布5012</t>
  </si>
  <si>
    <t>SY251329</t>
  </si>
  <si>
    <t>低密21支青年布5015</t>
  </si>
  <si>
    <t>SY251330</t>
  </si>
  <si>
    <r>
      <rPr>
        <sz val="10"/>
        <color theme="1"/>
        <rFont val="宋体"/>
        <charset val="134"/>
      </rPr>
      <t>低密</t>
    </r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支青年布</t>
    </r>
    <r>
      <rPr>
        <sz val="10"/>
        <color theme="1"/>
        <rFont val="Calibri Light"/>
        <charset val="134"/>
      </rPr>
      <t>5016</t>
    </r>
  </si>
  <si>
    <t>SY251331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</si>
  <si>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</si>
  <si>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薄50%棉牛津纺2004</t>
  </si>
  <si>
    <t>SY251332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</si>
  <si>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粘胶50%涤纶</t>
    </r>
  </si>
  <si>
    <t>50%R50%POLY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</si>
  <si>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棉牛津纺3008</t>
    </r>
  </si>
  <si>
    <t>SY251333</t>
  </si>
  <si>
    <t>SY251334</t>
  </si>
  <si>
    <t>万达纺织</t>
  </si>
  <si>
    <t>SY251335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</si>
  <si>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棉30%涤纶</t>
    </r>
  </si>
  <si>
    <t>70%BCI COTTON30%POLY</t>
  </si>
  <si>
    <t>SY251336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</si>
  <si>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棉30%人棉</t>
    </r>
  </si>
  <si>
    <t>70%BCI COTTON30%VISCOSE</t>
  </si>
  <si>
    <t>SY251337</t>
  </si>
  <si>
    <t>加厚仿天丝牛津纺</t>
  </si>
  <si>
    <t>SY251338</t>
  </si>
  <si>
    <t>SY251339</t>
  </si>
  <si>
    <t>SY251340</t>
  </si>
  <si>
    <t>全棉牛条</t>
  </si>
  <si>
    <t>SY251341</t>
  </si>
  <si>
    <t>SY251342</t>
  </si>
  <si>
    <t>SY251343</t>
  </si>
  <si>
    <t>SY251344</t>
  </si>
  <si>
    <t>SY251345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</si>
  <si>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棉35%涤纶</t>
    </r>
  </si>
  <si>
    <t>65%BCI COTTON35%POLY</t>
  </si>
  <si>
    <r>
      <rPr>
        <sz val="10"/>
        <color theme="1"/>
        <rFont val="Calibri Light"/>
        <charset val="134"/>
      </rPr>
      <t>5362</t>
    </r>
    <r>
      <rPr>
        <sz val="10"/>
        <color theme="1"/>
        <rFont val="宋体"/>
        <charset val="134"/>
      </rPr>
      <t>洗水</t>
    </r>
  </si>
  <si>
    <t>SY251346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</si>
  <si>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棉25%人棉</t>
    </r>
  </si>
  <si>
    <t>75%BCI COTTON 25%ROYAN</t>
  </si>
  <si>
    <t>三佰服装</t>
  </si>
  <si>
    <t>SY251347</t>
  </si>
  <si>
    <t>SY251348</t>
  </si>
  <si>
    <t>SY251349</t>
  </si>
  <si>
    <t>SY251350</t>
  </si>
  <si>
    <t>SY251351</t>
  </si>
  <si>
    <t>SY251352</t>
  </si>
  <si>
    <t>SY251353</t>
  </si>
  <si>
    <t>琳琅沛丽客户</t>
  </si>
  <si>
    <t>JZ002</t>
  </si>
  <si>
    <t>SY251354</t>
  </si>
  <si>
    <r>
      <rPr>
        <sz val="10"/>
        <color theme="1"/>
        <rFont val="Calibri Light"/>
        <charset val="134"/>
      </rPr>
      <t>68%TPEE28%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尼龙</t>
    </r>
  </si>
  <si>
    <t>68%TPEE28%POLY4%NYLON</t>
  </si>
  <si>
    <r>
      <rPr>
        <sz val="10"/>
        <color theme="1"/>
        <rFont val="宋体"/>
        <charset val="134"/>
      </rPr>
      <t>含税不含运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每码</t>
    </r>
  </si>
  <si>
    <t>JZ003</t>
  </si>
  <si>
    <t>SY251355</t>
  </si>
  <si>
    <r>
      <rPr>
        <sz val="10"/>
        <color theme="1"/>
        <rFont val="Calibri Light"/>
        <charset val="134"/>
      </rPr>
      <t>65%TPEE35%</t>
    </r>
    <r>
      <rPr>
        <sz val="10"/>
        <color theme="1"/>
        <rFont val="宋体"/>
        <charset val="134"/>
      </rPr>
      <t>涤纶</t>
    </r>
  </si>
  <si>
    <t>65%TPEE35%POLY</t>
  </si>
  <si>
    <t>JZ006</t>
  </si>
  <si>
    <t>SY251356</t>
  </si>
  <si>
    <r>
      <rPr>
        <sz val="10"/>
        <color theme="1"/>
        <rFont val="Calibri Light"/>
        <charset val="134"/>
      </rPr>
      <t>63%TPEE32%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尼龙</t>
    </r>
  </si>
  <si>
    <t>63%TPEE32%POLY5%NYLON</t>
  </si>
  <si>
    <t>JZ017</t>
  </si>
  <si>
    <t>SY251357</t>
  </si>
  <si>
    <r>
      <rPr>
        <sz val="10"/>
        <color theme="1"/>
        <rFont val="Calibri Light"/>
        <charset val="134"/>
      </rPr>
      <t>63%TPEE37%</t>
    </r>
    <r>
      <rPr>
        <sz val="10"/>
        <color theme="1"/>
        <rFont val="宋体"/>
        <charset val="134"/>
      </rPr>
      <t>涤纶</t>
    </r>
  </si>
  <si>
    <t>63%TPEE37%POLY</t>
  </si>
  <si>
    <t>JZ021</t>
  </si>
  <si>
    <t>SY251358</t>
  </si>
  <si>
    <r>
      <rPr>
        <sz val="10"/>
        <color theme="1"/>
        <rFont val="Calibri Light"/>
        <charset val="134"/>
      </rPr>
      <t>68%TPEE32%</t>
    </r>
    <r>
      <rPr>
        <sz val="10"/>
        <color theme="1"/>
        <rFont val="宋体"/>
        <charset val="134"/>
      </rPr>
      <t>涤纶</t>
    </r>
  </si>
  <si>
    <t>68%TPEE32%POLY</t>
  </si>
  <si>
    <t>JZ022</t>
  </si>
  <si>
    <t>SY251359</t>
  </si>
  <si>
    <r>
      <rPr>
        <sz val="10"/>
        <color theme="1"/>
        <rFont val="Calibri Light"/>
        <charset val="134"/>
      </rPr>
      <t>26%TPEE74%</t>
    </r>
    <r>
      <rPr>
        <sz val="10"/>
        <color theme="1"/>
        <rFont val="宋体"/>
        <charset val="134"/>
      </rPr>
      <t>涤纶</t>
    </r>
  </si>
  <si>
    <t>26%TPEE74%POLY</t>
  </si>
  <si>
    <t>JZ024</t>
  </si>
  <si>
    <t>SY251360</t>
  </si>
  <si>
    <r>
      <rPr>
        <sz val="10"/>
        <color theme="1"/>
        <rFont val="Calibri Light"/>
        <charset val="134"/>
      </rPr>
      <t>51%TPEE49%</t>
    </r>
    <r>
      <rPr>
        <sz val="10"/>
        <color theme="1"/>
        <rFont val="宋体"/>
        <charset val="134"/>
      </rPr>
      <t>涤纶</t>
    </r>
  </si>
  <si>
    <t>51%TPEE49%POLY</t>
  </si>
  <si>
    <t>JZ027</t>
  </si>
  <si>
    <t>SY251361</t>
  </si>
  <si>
    <r>
      <rPr>
        <sz val="10"/>
        <color theme="1"/>
        <rFont val="Calibri Light"/>
        <charset val="134"/>
      </rPr>
      <t>44%TPEE56%</t>
    </r>
    <r>
      <rPr>
        <sz val="10"/>
        <color theme="1"/>
        <rFont val="宋体"/>
        <charset val="134"/>
      </rPr>
      <t>涤纶</t>
    </r>
  </si>
  <si>
    <t>44%TPEE56%POLY</t>
  </si>
  <si>
    <t>JZ028</t>
  </si>
  <si>
    <t>SY251362</t>
  </si>
  <si>
    <r>
      <rPr>
        <sz val="10"/>
        <color theme="1"/>
        <rFont val="Calibri Light"/>
        <charset val="134"/>
      </rPr>
      <t>28%TPEE72%</t>
    </r>
    <r>
      <rPr>
        <sz val="10"/>
        <color theme="1"/>
        <rFont val="宋体"/>
        <charset val="134"/>
      </rPr>
      <t>涤纶</t>
    </r>
  </si>
  <si>
    <t>28%TPEE72%POLY</t>
  </si>
  <si>
    <t>JP043</t>
  </si>
  <si>
    <t>SY251363</t>
  </si>
  <si>
    <t>JP044</t>
  </si>
  <si>
    <t>SY251364</t>
  </si>
  <si>
    <t>JP053</t>
  </si>
  <si>
    <t>SY251365</t>
  </si>
  <si>
    <r>
      <rPr>
        <sz val="10"/>
        <color theme="1"/>
        <rFont val="Calibri Light"/>
        <charset val="134"/>
      </rPr>
      <t>52%TPEE48%</t>
    </r>
    <r>
      <rPr>
        <sz val="10"/>
        <color theme="1"/>
        <rFont val="宋体"/>
        <charset val="134"/>
      </rPr>
      <t>涤纶</t>
    </r>
  </si>
  <si>
    <t>52%TPEE48%POLY</t>
  </si>
  <si>
    <t>DS2243</t>
  </si>
  <si>
    <t>SY251366</t>
  </si>
  <si>
    <r>
      <rPr>
        <sz val="10"/>
        <color theme="1"/>
        <rFont val="Calibri Light"/>
        <charset val="134"/>
      </rPr>
      <t>33%TPEE67%</t>
    </r>
    <r>
      <rPr>
        <sz val="10"/>
        <color theme="1"/>
        <rFont val="宋体"/>
        <charset val="134"/>
      </rPr>
      <t>涤纶</t>
    </r>
  </si>
  <si>
    <t>33%TPEE67%POLY</t>
  </si>
  <si>
    <t>PVH</t>
  </si>
  <si>
    <t>DS3978</t>
  </si>
  <si>
    <t>SY251367</t>
  </si>
  <si>
    <t>DS2193</t>
  </si>
  <si>
    <t>SY251368</t>
  </si>
  <si>
    <t>DS2188</t>
  </si>
  <si>
    <t>SY251369</t>
  </si>
  <si>
    <t>DS3940</t>
  </si>
  <si>
    <t>SY251370</t>
  </si>
  <si>
    <t>DS3944</t>
  </si>
  <si>
    <t>SY251371</t>
  </si>
  <si>
    <t>DS8798</t>
  </si>
  <si>
    <t>SY251372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</si>
  <si>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尼龙</t>
    </r>
  </si>
  <si>
    <t>92%POLY8%NYLON</t>
  </si>
  <si>
    <t>泰瑞</t>
  </si>
  <si>
    <t>DS6123</t>
  </si>
  <si>
    <t>SY251373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</si>
  <si>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36%</t>
    </r>
    <r>
      <rPr>
        <sz val="10"/>
        <color theme="1"/>
        <rFont val="宋体"/>
        <charset val="134"/>
      </rPr>
      <t>涤纶</t>
    </r>
  </si>
  <si>
    <t>64%NYLON36%POLY</t>
  </si>
  <si>
    <t>M6539</t>
  </si>
  <si>
    <t>印花底布</t>
  </si>
  <si>
    <t>SY251374</t>
  </si>
  <si>
    <t>20%锦纶80%天丝</t>
  </si>
  <si>
    <t>20%N 80%TEL</t>
  </si>
  <si>
    <t>M6558</t>
  </si>
  <si>
    <t>SY251375</t>
  </si>
  <si>
    <t>20%锦纶20%涤纶60%人棉</t>
  </si>
  <si>
    <t>20%N 20%T 60%R</t>
  </si>
  <si>
    <t>M6560</t>
  </si>
  <si>
    <t>SY251376</t>
  </si>
  <si>
    <t>20%锦纶80%人棉</t>
  </si>
  <si>
    <t>20%N 80%R</t>
  </si>
  <si>
    <t>354#莫代尔</t>
  </si>
  <si>
    <t>SY251377</t>
  </si>
  <si>
    <t>92%人棉 8%氨纶</t>
  </si>
  <si>
    <t>92%R8%SP</t>
  </si>
  <si>
    <r>
      <rPr>
        <sz val="10"/>
        <color theme="1"/>
        <rFont val="Calibri Light"/>
        <charset val="134"/>
      </rPr>
      <t>354#</t>
    </r>
    <r>
      <rPr>
        <sz val="10"/>
        <color theme="1"/>
        <rFont val="宋体"/>
        <charset val="134"/>
      </rPr>
      <t>莫代尔</t>
    </r>
  </si>
  <si>
    <t>1440L</t>
  </si>
  <si>
    <t>SY251378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</si>
  <si>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</si>
  <si>
    <t>鸿远布业</t>
  </si>
  <si>
    <r>
      <rPr>
        <sz val="10"/>
        <color theme="1"/>
        <rFont val="宋体"/>
        <charset val="134"/>
      </rPr>
      <t>拉毛</t>
    </r>
    <r>
      <rPr>
        <sz val="10"/>
        <color theme="1"/>
        <rFont val="Calibri Light"/>
        <charset val="134"/>
      </rPr>
      <t>1238</t>
    </r>
  </si>
  <si>
    <t>SY251379</t>
  </si>
  <si>
    <t>65%涤纶35%棉</t>
  </si>
  <si>
    <t>拉毛6200</t>
  </si>
  <si>
    <t>SY251380</t>
  </si>
  <si>
    <t>富鑫纺织</t>
  </si>
  <si>
    <t>拉毛6203</t>
  </si>
  <si>
    <t>SY251381</t>
  </si>
  <si>
    <t>SY251382</t>
  </si>
  <si>
    <t>JK601</t>
  </si>
  <si>
    <t>SY251383</t>
  </si>
  <si>
    <t>65%T35%COTTON</t>
  </si>
  <si>
    <t>JC139</t>
  </si>
  <si>
    <t>SY251384</t>
  </si>
  <si>
    <r>
      <rPr>
        <sz val="10"/>
        <color theme="1"/>
        <rFont val="Calibri Light"/>
        <charset val="134"/>
      </rPr>
      <t>F1039-</t>
    </r>
    <r>
      <rPr>
        <sz val="10"/>
        <color theme="1"/>
        <rFont val="宋体"/>
        <charset val="134"/>
      </rPr>
      <t>下单号</t>
    </r>
    <r>
      <rPr>
        <sz val="10"/>
        <color theme="1"/>
        <rFont val="Calibri Light"/>
        <charset val="134"/>
      </rPr>
      <t>1</t>
    </r>
  </si>
  <si>
    <t>SY251385</t>
  </si>
  <si>
    <t>F1039</t>
  </si>
  <si>
    <t>C275</t>
  </si>
  <si>
    <t>SY251386</t>
  </si>
  <si>
    <t>50%涤纶50%人棉</t>
  </si>
  <si>
    <t>50%POLY50%R</t>
  </si>
  <si>
    <t>拉毛6186</t>
  </si>
  <si>
    <t>SY251387</t>
  </si>
  <si>
    <r>
      <rPr>
        <sz val="10"/>
        <color theme="1"/>
        <rFont val="Calibri Light"/>
        <charset val="134"/>
      </rPr>
      <t>F1039-</t>
    </r>
    <r>
      <rPr>
        <sz val="10"/>
        <color theme="1"/>
        <rFont val="宋体"/>
        <charset val="134"/>
      </rPr>
      <t>下单号</t>
    </r>
    <r>
      <rPr>
        <sz val="10"/>
        <color theme="1"/>
        <rFont val="Calibri Light"/>
        <charset val="134"/>
      </rPr>
      <t>2</t>
    </r>
  </si>
  <si>
    <t>SY251388</t>
  </si>
  <si>
    <t>65%棉35%涤纶</t>
  </si>
  <si>
    <t>65%COTTON35%POLY</t>
  </si>
  <si>
    <t>A13856</t>
  </si>
  <si>
    <t>SY251389</t>
  </si>
  <si>
    <t>50%涤纶50%棉</t>
  </si>
  <si>
    <t>50%POLY50%C</t>
  </si>
  <si>
    <t>拉毛1257</t>
  </si>
  <si>
    <t>SY251390</t>
  </si>
  <si>
    <t>拉毛1258</t>
  </si>
  <si>
    <t>SY251391</t>
  </si>
  <si>
    <t>A13791+2</t>
  </si>
  <si>
    <t>SY251392</t>
  </si>
  <si>
    <t>50%POLY50%BCI COTTON</t>
  </si>
  <si>
    <t>A13991</t>
  </si>
  <si>
    <t>SY251393</t>
  </si>
  <si>
    <t>A14007</t>
  </si>
  <si>
    <t>SY251394</t>
  </si>
  <si>
    <t>拉毛6210</t>
  </si>
  <si>
    <t>SY251395</t>
  </si>
  <si>
    <t>拉毛6178</t>
  </si>
  <si>
    <t>SY251396</t>
  </si>
  <si>
    <t>拉毛6207</t>
  </si>
  <si>
    <t>SY251397</t>
  </si>
  <si>
    <t>磨毛364</t>
  </si>
  <si>
    <t>SY251398</t>
  </si>
  <si>
    <t>？</t>
  </si>
  <si>
    <t>SY251399</t>
  </si>
  <si>
    <t>CD1225#</t>
  </si>
  <si>
    <t>SY251400</t>
  </si>
  <si>
    <t>文源牛仔</t>
  </si>
  <si>
    <t>201#</t>
  </si>
  <si>
    <t>SY251401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</si>
  <si>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</si>
  <si>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 xml:space="preserve">34 38 71 73 84 </t>
    </r>
    <r>
      <rPr>
        <sz val="10"/>
        <color theme="1"/>
        <rFont val="宋体"/>
        <charset val="134"/>
      </rPr>
      <t>活性黑</t>
    </r>
    <r>
      <rPr>
        <sz val="10"/>
        <color theme="1"/>
        <rFont val="Calibri Light"/>
        <charset val="134"/>
      </rPr>
      <t>+0.5</t>
    </r>
    <r>
      <rPr>
        <sz val="10"/>
        <color theme="1"/>
        <rFont val="宋体"/>
        <charset val="134"/>
      </rPr>
      <t>元</t>
    </r>
  </si>
  <si>
    <t>203#</t>
  </si>
  <si>
    <t>SY251402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</si>
  <si>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</si>
  <si>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60%R36%POLY4%SP</t>
  </si>
  <si>
    <r>
      <rPr>
        <sz val="10"/>
        <color theme="1"/>
        <rFont val="Calibri Light"/>
        <charset val="134"/>
      </rPr>
      <t>67+0.5</t>
    </r>
    <r>
      <rPr>
        <sz val="10"/>
        <color theme="1"/>
        <rFont val="宋体"/>
        <charset val="134"/>
      </rPr>
      <t>元</t>
    </r>
  </si>
  <si>
    <t>206#</t>
  </si>
  <si>
    <t>SY251403</t>
  </si>
  <si>
    <t>65%人棉30%涤纶5%氨纶</t>
  </si>
  <si>
    <t>261#</t>
  </si>
  <si>
    <t>SY251404</t>
  </si>
  <si>
    <t>95%乐丽丝5%氨纶</t>
  </si>
  <si>
    <t>95%LELIX5%SP</t>
  </si>
  <si>
    <r>
      <rPr>
        <sz val="10"/>
        <color theme="1"/>
        <rFont val="Calibri Light"/>
        <charset val="134"/>
      </rPr>
      <t>14 25 26 27 28 41 +0.5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92+4</t>
    </r>
    <r>
      <rPr>
        <sz val="10"/>
        <color theme="1"/>
        <rFont val="宋体"/>
        <charset val="134"/>
      </rPr>
      <t>元</t>
    </r>
  </si>
  <si>
    <t>265#</t>
  </si>
  <si>
    <t>SY251405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</si>
  <si>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复合丝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</si>
  <si>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t>92%COMPOSITE SILK8%SP</t>
  </si>
  <si>
    <r>
      <rPr>
        <sz val="10"/>
        <color theme="1"/>
        <rFont val="Arial"/>
        <charset val="134"/>
      </rPr>
      <t>17 19 24 28 37 58 +0.3</t>
    </r>
    <r>
      <rPr>
        <sz val="10"/>
        <color theme="1"/>
        <rFont val="宋体"/>
        <charset val="134"/>
      </rPr>
      <t>元</t>
    </r>
    <r>
      <rPr>
        <sz val="10"/>
        <color theme="1"/>
        <rFont val="Arial"/>
        <charset val="134"/>
      </rPr>
      <t>18 59 +0.5</t>
    </r>
    <r>
      <rPr>
        <sz val="10"/>
        <color theme="1"/>
        <rFont val="宋体"/>
        <charset val="134"/>
      </rPr>
      <t>元</t>
    </r>
    <r>
      <rPr>
        <sz val="10"/>
        <color theme="1"/>
        <rFont val="Arial"/>
        <charset val="134"/>
      </rPr>
      <t xml:space="preserve"> 97+3</t>
    </r>
    <r>
      <rPr>
        <sz val="10"/>
        <color theme="1"/>
        <rFont val="宋体"/>
        <charset val="134"/>
      </rPr>
      <t>元</t>
    </r>
  </si>
  <si>
    <t>1026#</t>
  </si>
  <si>
    <t>SY251406</t>
  </si>
  <si>
    <t>80%涤纶20%人棉</t>
  </si>
  <si>
    <r>
      <rPr>
        <sz val="10"/>
        <color theme="1"/>
        <rFont val="Calibri Light"/>
        <charset val="134"/>
      </rPr>
      <t>99 102 108 118 119 120 121 +0.5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128+2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</si>
  <si>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Calibri Light"/>
        <charset val="134"/>
      </rPr>
      <t xml:space="preserve">84120-4 </t>
    </r>
    <r>
      <rPr>
        <sz val="10"/>
        <color theme="1"/>
        <rFont val="宋体"/>
        <charset val="134"/>
      </rPr>
      <t>铜氨单面</t>
    </r>
  </si>
  <si>
    <t>SY251407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</si>
  <si>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铜氨丝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</t>
    </r>
  </si>
  <si>
    <t>70%MODAL30%T</t>
  </si>
  <si>
    <t>法国细螺纹</t>
  </si>
  <si>
    <t>SY251408</t>
  </si>
  <si>
    <t>94%人棉6%氨纶</t>
  </si>
  <si>
    <t>94%R6%SP</t>
  </si>
  <si>
    <t>密根日本棉</t>
  </si>
  <si>
    <t>SY251409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</si>
  <si>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 xml:space="preserve"> </t>
    </r>
  </si>
  <si>
    <t>65%POLY30%R5%SP</t>
  </si>
  <si>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罗纹拉架</t>
    </r>
    <r>
      <rPr>
        <sz val="10"/>
        <color theme="1"/>
        <rFont val="Calibri Light"/>
        <charset val="134"/>
      </rPr>
      <t xml:space="preserve"> 13283#</t>
    </r>
  </si>
  <si>
    <t>SY251410</t>
  </si>
  <si>
    <t>93%人棉7%氨纶</t>
  </si>
  <si>
    <t>93%R7%SP</t>
  </si>
  <si>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罗纹拉架</t>
    </r>
    <r>
      <rPr>
        <sz val="10"/>
        <color theme="1"/>
        <rFont val="Calibri Light"/>
        <charset val="134"/>
      </rPr>
      <t xml:space="preserve"> 13893#</t>
    </r>
  </si>
  <si>
    <t>SY251411</t>
  </si>
  <si>
    <t>SY251412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</si>
  <si>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人棉</t>
    </r>
  </si>
  <si>
    <t>50COTTON44%POLY6%R</t>
  </si>
  <si>
    <t>曼杰纺织</t>
  </si>
  <si>
    <t>SY251413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</si>
  <si>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棉</t>
    </r>
  </si>
  <si>
    <t>66%POLY34%COTTON</t>
  </si>
  <si>
    <r>
      <rPr>
        <sz val="10"/>
        <color theme="1"/>
        <rFont val="Calibri Light"/>
        <charset val="134"/>
      </rPr>
      <t>A7061#  60s</t>
    </r>
    <r>
      <rPr>
        <sz val="10"/>
        <color theme="1"/>
        <rFont val="宋体"/>
        <charset val="134"/>
      </rPr>
      <t>锦棉罗马</t>
    </r>
  </si>
  <si>
    <t>SY251414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</si>
  <si>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尼龙5%氨纶</t>
    </r>
  </si>
  <si>
    <t>八方染织</t>
  </si>
  <si>
    <r>
      <rPr>
        <sz val="10"/>
        <color theme="1"/>
        <rFont val="Calibri Light"/>
        <charset val="134"/>
      </rPr>
      <t>21#+2</t>
    </r>
    <r>
      <rPr>
        <sz val="10"/>
        <color theme="1"/>
        <rFont val="宋体"/>
        <charset val="134"/>
      </rPr>
      <t>元</t>
    </r>
  </si>
  <si>
    <t>H1003-2</t>
  </si>
  <si>
    <t>SY251415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</si>
  <si>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</si>
  <si>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60%R35%NYLON5%SP</t>
  </si>
  <si>
    <t>A929#</t>
  </si>
  <si>
    <t>SY251416</t>
  </si>
  <si>
    <t>润达纺织</t>
  </si>
  <si>
    <r>
      <rPr>
        <sz val="10"/>
        <color theme="1"/>
        <rFont val="Calibri Light"/>
        <charset val="134"/>
      </rPr>
      <t>41 57 +0.2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 xml:space="preserve"> 38 56 65+0.4</t>
    </r>
    <r>
      <rPr>
        <sz val="10"/>
        <color theme="1"/>
        <rFont val="宋体"/>
        <charset val="134"/>
      </rPr>
      <t>元</t>
    </r>
  </si>
  <si>
    <t>SY251417</t>
  </si>
  <si>
    <t>达泰纺织</t>
  </si>
  <si>
    <t>仿醋酸双面缎</t>
  </si>
  <si>
    <t>SY251418</t>
  </si>
  <si>
    <t>莱米</t>
  </si>
  <si>
    <t>醋酸双面缎</t>
  </si>
  <si>
    <t>SY251419</t>
  </si>
  <si>
    <t>臻彩集团</t>
  </si>
  <si>
    <r>
      <rPr>
        <sz val="10"/>
        <color theme="1"/>
        <rFont val="宋体"/>
        <charset val="134"/>
      </rPr>
      <t>亚麻粘</t>
    </r>
    <r>
      <rPr>
        <sz val="10"/>
        <color theme="1"/>
        <rFont val="Calibri Light"/>
        <charset val="134"/>
      </rPr>
      <t xml:space="preserve"> 88418</t>
    </r>
  </si>
  <si>
    <t>SY251420</t>
  </si>
  <si>
    <t>85%粘胶 15%亚麻</t>
  </si>
  <si>
    <t>85%VISCOSE 15%L</t>
  </si>
  <si>
    <t>顺达成纺织</t>
  </si>
  <si>
    <r>
      <rPr>
        <sz val="10"/>
        <color theme="1"/>
        <rFont val="宋体"/>
        <charset val="134"/>
      </rPr>
      <t>亚麻粘水洗</t>
    </r>
    <r>
      <rPr>
        <sz val="10"/>
        <color theme="1"/>
        <rFont val="Calibri Light"/>
        <charset val="134"/>
      </rPr>
      <t>66861</t>
    </r>
  </si>
  <si>
    <t>SY251421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</si>
  <si>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麻</t>
    </r>
  </si>
  <si>
    <t>70%VISCOSE30%L</t>
  </si>
  <si>
    <t>亚麻棉66725</t>
  </si>
  <si>
    <t>SY251422</t>
  </si>
  <si>
    <t>70%粘胶30%麻</t>
  </si>
  <si>
    <t>1802#</t>
  </si>
  <si>
    <t>SY251423</t>
  </si>
  <si>
    <r>
      <rPr>
        <sz val="10"/>
        <color theme="1"/>
        <rFont val="Calibri Light"/>
        <charset val="134"/>
      </rPr>
      <t>86%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尼龙</t>
    </r>
  </si>
  <si>
    <t>86%R14%NYLON</t>
  </si>
  <si>
    <t>三好纺织</t>
  </si>
  <si>
    <r>
      <rPr>
        <sz val="10"/>
        <color theme="1"/>
        <rFont val="Calibri Light"/>
        <charset val="134"/>
      </rPr>
      <t>Z3014</t>
    </r>
    <r>
      <rPr>
        <sz val="10"/>
        <color theme="1"/>
        <rFont val="宋体"/>
        <charset val="134"/>
      </rPr>
      <t>麻粘砂洗</t>
    </r>
  </si>
  <si>
    <t>SY251424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</si>
  <si>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麻</t>
    </r>
  </si>
  <si>
    <t>70%R30%L</t>
  </si>
  <si>
    <t>广丰纺织</t>
  </si>
  <si>
    <r>
      <rPr>
        <sz val="10"/>
        <color theme="1"/>
        <rFont val="Calibri Light"/>
        <charset val="134"/>
      </rPr>
      <t>2276-1</t>
    </r>
    <r>
      <rPr>
        <sz val="10"/>
        <color theme="1"/>
        <rFont val="宋体"/>
        <charset val="134"/>
      </rPr>
      <t>麻棉</t>
    </r>
  </si>
  <si>
    <t>SY251425</t>
  </si>
  <si>
    <t>A9046</t>
  </si>
  <si>
    <t>SY251426</t>
  </si>
  <si>
    <t>70%人棉30%麻</t>
  </si>
  <si>
    <t>潮牌双纱YY915</t>
  </si>
  <si>
    <t>SY251427</t>
  </si>
  <si>
    <t>衣雅</t>
  </si>
  <si>
    <r>
      <rPr>
        <sz val="10"/>
        <color theme="1"/>
        <rFont val="宋体"/>
        <charset val="134"/>
      </rPr>
      <t>潮牌双纱</t>
    </r>
    <r>
      <rPr>
        <sz val="10"/>
        <color theme="1"/>
        <rFont val="Calibri Light"/>
        <charset val="134"/>
      </rPr>
      <t>YY923</t>
    </r>
  </si>
  <si>
    <t>SY251428</t>
  </si>
  <si>
    <r>
      <rPr>
        <sz val="10"/>
        <color theme="1"/>
        <rFont val="Calibri Light"/>
        <charset val="134"/>
      </rPr>
      <t>32</t>
    </r>
    <r>
      <rPr>
        <sz val="10"/>
        <color theme="1"/>
        <rFont val="宋体"/>
        <charset val="134"/>
      </rPr>
      <t>支精棉拉架YX81010</t>
    </r>
  </si>
  <si>
    <t>SY251429</t>
  </si>
  <si>
    <t>3.1m/kg</t>
  </si>
  <si>
    <t>粤信布业</t>
  </si>
  <si>
    <t>潮牌双纱YX5551</t>
  </si>
  <si>
    <t>SY251430</t>
  </si>
  <si>
    <t>四季绒A B00</t>
  </si>
  <si>
    <t>SY251431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</si>
  <si>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羊毛</t>
    </r>
  </si>
  <si>
    <t>70%POLY20%VISCOSE10%WOOL</t>
  </si>
  <si>
    <t>晟泰纺织</t>
  </si>
  <si>
    <t>K5175-42</t>
  </si>
  <si>
    <t>SY251432</t>
  </si>
  <si>
    <t>SY251433</t>
  </si>
  <si>
    <t>永兴纺织</t>
  </si>
  <si>
    <r>
      <rPr>
        <sz val="10"/>
        <color theme="1"/>
        <rFont val="Calibri Light"/>
        <charset val="134"/>
      </rPr>
      <t xml:space="preserve">C16 </t>
    </r>
    <r>
      <rPr>
        <sz val="10"/>
        <color theme="1"/>
        <rFont val="宋体"/>
        <charset val="134"/>
      </rPr>
      <t>天丝粗斜纹</t>
    </r>
  </si>
  <si>
    <t>SY251434</t>
  </si>
  <si>
    <t>100%TENCEL</t>
  </si>
  <si>
    <t>江丰</t>
  </si>
  <si>
    <t>一风斜</t>
  </si>
  <si>
    <t>SY251435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</si>
  <si>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人棉</t>
    </r>
  </si>
  <si>
    <t>宇成纺织</t>
  </si>
  <si>
    <t>子母斜</t>
  </si>
  <si>
    <t>SY251436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</si>
  <si>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莫代尔</t>
    </r>
  </si>
  <si>
    <t>80%R30%MODAL</t>
  </si>
  <si>
    <t>SY251437</t>
  </si>
  <si>
    <t>逢发纺织</t>
  </si>
  <si>
    <t>雪纺皱</t>
  </si>
  <si>
    <t>SY251438</t>
  </si>
  <si>
    <r>
      <rPr>
        <sz val="10"/>
        <color theme="1"/>
        <rFont val="Calibri Light"/>
        <charset val="134"/>
      </rPr>
      <t>6036</t>
    </r>
    <r>
      <rPr>
        <sz val="10"/>
        <color theme="1"/>
        <rFont val="宋体"/>
        <charset val="134"/>
      </rPr>
      <t>真丝皱</t>
    </r>
  </si>
  <si>
    <t>SY251439</t>
  </si>
  <si>
    <r>
      <rPr>
        <sz val="10"/>
        <color theme="1"/>
        <rFont val="宋体"/>
        <charset val="134"/>
      </rPr>
      <t>豪曼纺织</t>
    </r>
    <r>
      <rPr>
        <sz val="10"/>
        <color theme="1"/>
        <rFont val="Calibri Light"/>
        <charset val="134"/>
      </rPr>
      <t>62599-66/</t>
    </r>
    <r>
      <rPr>
        <sz val="10"/>
        <color theme="1"/>
        <rFont val="宋体"/>
        <charset val="134"/>
      </rPr>
      <t>华力纺织</t>
    </r>
    <r>
      <rPr>
        <sz val="10"/>
        <color theme="1"/>
        <rFont val="Calibri Light"/>
        <charset val="134"/>
      </rPr>
      <t>2206</t>
    </r>
    <r>
      <rPr>
        <sz val="10"/>
        <color theme="1"/>
        <rFont val="宋体"/>
        <charset val="134"/>
      </rPr>
      <t>类似样，</t>
    </r>
    <r>
      <rPr>
        <sz val="10"/>
        <color theme="1"/>
        <rFont val="Calibri Light"/>
        <charset val="134"/>
      </rPr>
      <t>15</t>
    </r>
    <r>
      <rPr>
        <sz val="10"/>
        <color theme="1"/>
        <rFont val="宋体"/>
        <charset val="134"/>
      </rPr>
      <t>元以下</t>
    </r>
  </si>
  <si>
    <t>SY251440</t>
  </si>
  <si>
    <t>75%涤纶 20%人棉 5%氨纶</t>
  </si>
  <si>
    <t>75%T 20%R 5%SP</t>
  </si>
  <si>
    <t>F25028</t>
  </si>
  <si>
    <t>叶氏纺织</t>
  </si>
  <si>
    <r>
      <rPr>
        <sz val="10"/>
        <color theme="1"/>
        <rFont val="宋体"/>
        <charset val="134"/>
      </rPr>
      <t>没寄</t>
    </r>
    <r>
      <rPr>
        <sz val="10"/>
        <color theme="1"/>
        <rFont val="Calibri Light"/>
        <charset val="134"/>
      </rPr>
      <t>GFG</t>
    </r>
  </si>
  <si>
    <r>
      <rPr>
        <sz val="10"/>
        <color theme="1"/>
        <rFont val="宋体"/>
        <charset val="134"/>
      </rPr>
      <t>豪曼纺织</t>
    </r>
    <r>
      <rPr>
        <sz val="10"/>
        <color theme="1"/>
        <rFont val="Calibri Light"/>
        <charset val="134"/>
      </rPr>
      <t>62599-66/</t>
    </r>
    <r>
      <rPr>
        <sz val="10"/>
        <color theme="1"/>
        <rFont val="宋体"/>
        <charset val="134"/>
      </rPr>
      <t>华力纺织</t>
    </r>
    <r>
      <rPr>
        <sz val="10"/>
        <color theme="1"/>
        <rFont val="Calibri Light"/>
        <charset val="134"/>
      </rPr>
      <t xml:space="preserve">2206 </t>
    </r>
    <r>
      <rPr>
        <sz val="10"/>
        <color theme="1"/>
        <rFont val="宋体"/>
        <charset val="134"/>
      </rPr>
      <t>类似样，</t>
    </r>
    <r>
      <rPr>
        <sz val="10"/>
        <color theme="1"/>
        <rFont val="Calibri Light"/>
        <charset val="134"/>
      </rPr>
      <t>15</t>
    </r>
    <r>
      <rPr>
        <sz val="10"/>
        <color theme="1"/>
        <rFont val="宋体"/>
        <charset val="134"/>
      </rPr>
      <t>元以下</t>
    </r>
  </si>
  <si>
    <t>SY251441</t>
  </si>
  <si>
    <r>
      <rPr>
        <sz val="10"/>
        <color theme="1"/>
        <rFont val="Calibri Light"/>
        <charset val="134"/>
      </rPr>
      <t>80%T20%</t>
    </r>
    <r>
      <rPr>
        <sz val="10"/>
        <color theme="1"/>
        <rFont val="宋体"/>
        <charset val="134"/>
      </rPr>
      <t>R</t>
    </r>
  </si>
  <si>
    <t>F25027</t>
  </si>
  <si>
    <t>SY251442</t>
  </si>
  <si>
    <t>F25038</t>
  </si>
  <si>
    <t>SY251443</t>
  </si>
  <si>
    <t>988-181</t>
  </si>
  <si>
    <t>SY251444</t>
  </si>
  <si>
    <t>SY251445</t>
  </si>
  <si>
    <t>一品纺织</t>
  </si>
  <si>
    <t>SY251446</t>
  </si>
  <si>
    <t>A6505</t>
  </si>
  <si>
    <t>卡曼</t>
  </si>
  <si>
    <t>SY251447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</si>
  <si>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</si>
  <si>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80%POLY 18%R 2%SP</t>
  </si>
  <si>
    <t>荣玺</t>
  </si>
  <si>
    <t>SY251448</t>
  </si>
  <si>
    <t>85%T 15%R</t>
  </si>
  <si>
    <t>SY251449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</si>
  <si>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</t>
    </r>
    <r>
      <rPr>
        <sz val="10"/>
        <color theme="1"/>
        <rFont val="宋体"/>
        <charset val="134"/>
      </rPr>
      <t>氨纶</t>
    </r>
  </si>
  <si>
    <t>弹力格</t>
  </si>
  <si>
    <r>
      <rPr>
        <sz val="10"/>
        <color theme="1"/>
        <rFont val="宋体"/>
        <charset val="134"/>
      </rPr>
      <t>对应</t>
    </r>
    <r>
      <rPr>
        <sz val="10"/>
        <color theme="1"/>
        <rFont val="Calibri Light"/>
        <charset val="134"/>
      </rPr>
      <t>SY25544</t>
    </r>
    <r>
      <rPr>
        <sz val="10"/>
        <color theme="1"/>
        <rFont val="宋体"/>
        <charset val="134"/>
      </rPr>
      <t>色丁</t>
    </r>
  </si>
  <si>
    <t>SY251450</t>
  </si>
  <si>
    <t>100D*100D+40D</t>
  </si>
  <si>
    <t>华尔缎</t>
  </si>
  <si>
    <t>SYL20251018-4</t>
  </si>
  <si>
    <t>GFG0569</t>
  </si>
  <si>
    <t>QC7685</t>
  </si>
  <si>
    <t>提花</t>
  </si>
  <si>
    <t>SY251451</t>
  </si>
  <si>
    <t>70%涤纶 25%棉 5%氨纶</t>
  </si>
  <si>
    <t>千彩</t>
  </si>
  <si>
    <r>
      <rPr>
        <sz val="10"/>
        <color theme="1"/>
        <rFont val="Calibri Light"/>
        <charset val="134"/>
      </rPr>
      <t>6848</t>
    </r>
    <r>
      <rPr>
        <sz val="10"/>
        <color theme="1"/>
        <rFont val="宋体"/>
        <charset val="134"/>
      </rPr>
      <t>提花麻</t>
    </r>
  </si>
  <si>
    <t>SY251452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</si>
  <si>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23%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麻</t>
    </r>
  </si>
  <si>
    <t>65%T 23%N 12%L</t>
  </si>
  <si>
    <t>6m/kg</t>
  </si>
  <si>
    <t>优泰纺织</t>
  </si>
  <si>
    <t>179#</t>
  </si>
  <si>
    <t>SY251453</t>
  </si>
  <si>
    <t>艺纺布行</t>
  </si>
  <si>
    <t>A3020</t>
  </si>
  <si>
    <t>SY251454</t>
  </si>
  <si>
    <t>2.6m/kg</t>
  </si>
  <si>
    <t>亿通纺织</t>
  </si>
  <si>
    <t>TW436</t>
  </si>
  <si>
    <t>SY251455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</si>
  <si>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棉</t>
    </r>
  </si>
  <si>
    <t>65%T 25%N 15%L</t>
  </si>
  <si>
    <t>230-250</t>
  </si>
  <si>
    <r>
      <rPr>
        <sz val="10"/>
        <color theme="1"/>
        <rFont val="宋体"/>
        <charset val="134"/>
      </rPr>
      <t>替代</t>
    </r>
    <r>
      <rPr>
        <sz val="10"/>
        <color theme="1"/>
        <rFont val="Calibri Light"/>
        <charset val="134"/>
      </rPr>
      <t>SY25051</t>
    </r>
  </si>
  <si>
    <t>天丝竹节</t>
  </si>
  <si>
    <t>SY251456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</si>
  <si>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55%</t>
    </r>
    <r>
      <rPr>
        <sz val="10"/>
        <color theme="1"/>
        <rFont val="宋体"/>
        <charset val="134"/>
      </rPr>
      <t>人棉</t>
    </r>
  </si>
  <si>
    <t>45%R 55%T</t>
  </si>
  <si>
    <t>中海纺织</t>
  </si>
  <si>
    <t>GFG0570 裙子类似面料</t>
  </si>
  <si>
    <t>A9936</t>
  </si>
  <si>
    <t>SY251457</t>
  </si>
  <si>
    <t>盛益达纺织</t>
  </si>
  <si>
    <t>018A</t>
  </si>
  <si>
    <t>SY251458</t>
  </si>
  <si>
    <t>5200#</t>
  </si>
  <si>
    <t>SY251459</t>
  </si>
  <si>
    <t>92%涤纶 8%氨纶</t>
  </si>
  <si>
    <t>恒昇纺织</t>
  </si>
  <si>
    <t>107#</t>
  </si>
  <si>
    <t>SY251460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</si>
  <si>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氨轮</t>
    </r>
  </si>
  <si>
    <t>万利行</t>
  </si>
  <si>
    <t>6692-2#</t>
  </si>
  <si>
    <t>SY251461</t>
  </si>
  <si>
    <t>88%涤纶 12%氨纶</t>
  </si>
  <si>
    <t>GFG0571</t>
  </si>
  <si>
    <r>
      <rPr>
        <sz val="10"/>
        <color theme="1"/>
        <rFont val="Calibri Light"/>
        <charset val="134"/>
      </rPr>
      <t>160g</t>
    </r>
    <r>
      <rPr>
        <sz val="10"/>
        <color theme="1"/>
        <rFont val="宋体"/>
        <charset val="134"/>
      </rPr>
      <t>水晶麻</t>
    </r>
  </si>
  <si>
    <t>SY251462</t>
  </si>
  <si>
    <t>星光纺织</t>
  </si>
  <si>
    <r>
      <rPr>
        <sz val="10"/>
        <color theme="1"/>
        <rFont val="Calibri Light"/>
        <charset val="134"/>
      </rPr>
      <t>190-200g</t>
    </r>
    <r>
      <rPr>
        <sz val="10"/>
        <color theme="1"/>
        <rFont val="宋体"/>
        <charset val="134"/>
      </rPr>
      <t>精品水晶麻</t>
    </r>
    <r>
      <rPr>
        <sz val="10"/>
        <color theme="1"/>
        <rFont val="Calibri Light"/>
        <charset val="134"/>
      </rPr>
      <t xml:space="preserve"> 1304#</t>
    </r>
  </si>
  <si>
    <t>SY251463</t>
  </si>
  <si>
    <t>新嘉彩</t>
  </si>
  <si>
    <r>
      <rPr>
        <sz val="10"/>
        <color theme="1"/>
        <rFont val="Calibri Light"/>
        <charset val="134"/>
      </rPr>
      <t xml:space="preserve">LF040 </t>
    </r>
    <r>
      <rPr>
        <sz val="10"/>
        <color theme="1"/>
        <rFont val="宋体"/>
        <charset val="134"/>
      </rPr>
      <t>水晶麻</t>
    </r>
  </si>
  <si>
    <t>SY251464</t>
  </si>
  <si>
    <t>GFG0572 含棉点点印花汗布</t>
  </si>
  <si>
    <r>
      <rPr>
        <sz val="10"/>
        <color theme="1"/>
        <rFont val="宋体"/>
        <charset val="134"/>
      </rPr>
      <t>蚂蚁布</t>
    </r>
    <r>
      <rPr>
        <sz val="10"/>
        <color theme="1"/>
        <rFont val="Calibri Light"/>
        <charset val="134"/>
      </rPr>
      <t xml:space="preserve"> 1</t>
    </r>
    <r>
      <rPr>
        <sz val="10"/>
        <color theme="1"/>
        <rFont val="宋体"/>
        <charset val="134"/>
      </rPr>
      <t>公分圆</t>
    </r>
  </si>
  <si>
    <t>SY251465</t>
  </si>
  <si>
    <t>新金丰</t>
  </si>
  <si>
    <r>
      <rPr>
        <sz val="10"/>
        <color theme="1"/>
        <rFont val="宋体"/>
        <charset val="134"/>
      </rPr>
      <t>蚂蚁布</t>
    </r>
    <r>
      <rPr>
        <sz val="10"/>
        <color theme="1"/>
        <rFont val="Calibri Light"/>
        <charset val="134"/>
      </rPr>
      <t xml:space="preserve"> 2</t>
    </r>
    <r>
      <rPr>
        <sz val="10"/>
        <color theme="1"/>
        <rFont val="宋体"/>
        <charset val="134"/>
      </rPr>
      <t>公分圆</t>
    </r>
  </si>
  <si>
    <t>SY251466</t>
  </si>
  <si>
    <t>3037#</t>
  </si>
  <si>
    <t>SY251467</t>
  </si>
  <si>
    <t>95%棉 5%氨纶</t>
  </si>
  <si>
    <t>鼎盛布行</t>
  </si>
  <si>
    <t>2026/4/23寄依斯高</t>
  </si>
  <si>
    <t>3070#</t>
  </si>
  <si>
    <t>SY251468</t>
  </si>
  <si>
    <t>GFG0573 宽条汗布和窄条汗布</t>
  </si>
  <si>
    <r>
      <rPr>
        <sz val="10"/>
        <color theme="1"/>
        <rFont val="Calibri Light"/>
        <charset val="134"/>
      </rPr>
      <t xml:space="preserve">10-395# </t>
    </r>
    <r>
      <rPr>
        <sz val="10"/>
        <color theme="1"/>
        <rFont val="宋体"/>
        <charset val="134"/>
      </rPr>
      <t>天枢棉罗纹</t>
    </r>
  </si>
  <si>
    <t>SY251469</t>
  </si>
  <si>
    <t>1.7m/kg</t>
  </si>
  <si>
    <r>
      <rPr>
        <sz val="10"/>
        <color theme="1"/>
        <rFont val="Calibri Light"/>
        <charset val="134"/>
      </rPr>
      <t>3964#</t>
    </r>
    <r>
      <rPr>
        <sz val="10"/>
        <color theme="1"/>
        <rFont val="宋体"/>
        <charset val="134"/>
      </rPr>
      <t>天枢棉</t>
    </r>
  </si>
  <si>
    <t>SY251470</t>
  </si>
  <si>
    <r>
      <rPr>
        <sz val="10"/>
        <color theme="1"/>
        <rFont val="Calibri Light"/>
        <charset val="134"/>
      </rPr>
      <t>5038#</t>
    </r>
    <r>
      <rPr>
        <sz val="10"/>
        <color theme="1"/>
        <rFont val="宋体"/>
        <charset val="134"/>
      </rPr>
      <t>自由间大卫衣</t>
    </r>
  </si>
  <si>
    <t>SY251471</t>
  </si>
  <si>
    <t>1.5m/kg</t>
  </si>
  <si>
    <r>
      <rPr>
        <sz val="10"/>
        <color theme="1"/>
        <rFont val="Calibri Light"/>
        <charset val="134"/>
      </rPr>
      <t>10031#</t>
    </r>
    <r>
      <rPr>
        <sz val="10"/>
        <color theme="1"/>
        <rFont val="宋体"/>
        <charset val="134"/>
      </rPr>
      <t>精品双纱</t>
    </r>
  </si>
  <si>
    <t>SY251472</t>
  </si>
  <si>
    <r>
      <rPr>
        <sz val="10"/>
        <color theme="1"/>
        <rFont val="Calibri Light"/>
        <charset val="134"/>
      </rPr>
      <t>86%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</si>
  <si>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Calibri Light"/>
        <charset val="134"/>
      </rPr>
      <t>86%COTTON 14%</t>
    </r>
    <r>
      <rPr>
        <sz val="10"/>
        <color theme="1"/>
        <rFont val="宋体"/>
        <charset val="134"/>
      </rPr>
      <t>涤纶</t>
    </r>
  </si>
  <si>
    <t>1.9m/kg</t>
  </si>
  <si>
    <r>
      <rPr>
        <sz val="10"/>
        <color theme="1"/>
        <rFont val="Calibri Light"/>
        <charset val="134"/>
      </rPr>
      <t>6503#</t>
    </r>
    <r>
      <rPr>
        <sz val="10"/>
        <color theme="1"/>
        <rFont val="宋体"/>
        <charset val="134"/>
      </rPr>
      <t>秋韩卫衣自动间</t>
    </r>
    <r>
      <rPr>
        <sz val="10"/>
        <color theme="1"/>
        <rFont val="Calibri Light"/>
        <charset val="134"/>
      </rPr>
      <t>3+3</t>
    </r>
  </si>
  <si>
    <t>SY251473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</si>
  <si>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</si>
  <si>
    <t>50%COTTON 50%POLY</t>
  </si>
  <si>
    <r>
      <rPr>
        <sz val="10"/>
        <color theme="1"/>
        <rFont val="Calibri Light"/>
        <charset val="134"/>
      </rPr>
      <t>10303#</t>
    </r>
    <r>
      <rPr>
        <sz val="10"/>
        <color theme="1"/>
        <rFont val="宋体"/>
        <charset val="134"/>
      </rPr>
      <t>精棉双纱</t>
    </r>
  </si>
  <si>
    <t>SY251474</t>
  </si>
  <si>
    <t>1.8m/kg</t>
  </si>
  <si>
    <r>
      <rPr>
        <sz val="10"/>
        <color theme="1"/>
        <rFont val="Calibri Light"/>
        <charset val="134"/>
      </rPr>
      <t>J40#</t>
    </r>
    <r>
      <rPr>
        <sz val="10"/>
        <color theme="1"/>
        <rFont val="宋体"/>
        <charset val="134"/>
      </rPr>
      <t>九宫格</t>
    </r>
    <r>
      <rPr>
        <sz val="10"/>
        <color theme="1"/>
        <rFont val="Calibri Light"/>
        <charset val="134"/>
      </rPr>
      <t>4*4</t>
    </r>
  </si>
  <si>
    <t>SY251475</t>
  </si>
  <si>
    <r>
      <rPr>
        <sz val="10"/>
        <color theme="1"/>
        <rFont val="Calibri Light"/>
        <charset val="134"/>
      </rPr>
      <t>AW075</t>
    </r>
    <r>
      <rPr>
        <sz val="10"/>
        <color theme="1"/>
        <rFont val="宋体"/>
        <charset val="134"/>
      </rPr>
      <t>泰迪双纱</t>
    </r>
  </si>
  <si>
    <t>SY251476</t>
  </si>
  <si>
    <r>
      <rPr>
        <sz val="10"/>
        <color theme="1"/>
        <rFont val="Calibri Light"/>
        <charset val="134"/>
      </rPr>
      <t xml:space="preserve">3V1212 </t>
    </r>
    <r>
      <rPr>
        <sz val="10"/>
        <color theme="1"/>
        <rFont val="宋体"/>
        <charset val="134"/>
      </rPr>
      <t>棉双面</t>
    </r>
  </si>
  <si>
    <t>SY251477</t>
  </si>
  <si>
    <t>星海纺织</t>
  </si>
  <si>
    <r>
      <rPr>
        <sz val="10"/>
        <color theme="1"/>
        <rFont val="Calibri Light"/>
        <charset val="134"/>
      </rPr>
      <t xml:space="preserve">KQ0707 </t>
    </r>
    <r>
      <rPr>
        <sz val="10"/>
        <color theme="1"/>
        <rFont val="宋体"/>
        <charset val="134"/>
      </rPr>
      <t>天丝空气层</t>
    </r>
  </si>
  <si>
    <t>SY251478</t>
  </si>
  <si>
    <r>
      <rPr>
        <sz val="10"/>
        <color theme="1"/>
        <rFont val="Calibri Light"/>
        <charset val="134"/>
      </rPr>
      <t>22%</t>
    </r>
    <r>
      <rPr>
        <sz val="10"/>
        <color theme="1"/>
        <rFont val="宋体"/>
        <charset val="134"/>
      </rPr>
      <t>锦</t>
    </r>
    <r>
      <rPr>
        <sz val="10"/>
        <color theme="1"/>
        <rFont val="Calibri Light"/>
        <charset val="134"/>
      </rPr>
      <t xml:space="preserve"> 36%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42%</t>
    </r>
    <r>
      <rPr>
        <sz val="10"/>
        <color theme="1"/>
        <rFont val="宋体"/>
        <charset val="134"/>
      </rPr>
      <t>棉</t>
    </r>
  </si>
  <si>
    <t>42%C 36%T 22%N</t>
  </si>
  <si>
    <r>
      <rPr>
        <sz val="10"/>
        <color theme="1"/>
        <rFont val="Calibri Light"/>
        <charset val="134"/>
      </rPr>
      <t xml:space="preserve">1L1010 </t>
    </r>
    <r>
      <rPr>
        <sz val="10"/>
        <color theme="1"/>
        <rFont val="宋体"/>
        <charset val="134"/>
      </rPr>
      <t>酷丝绵罗纹</t>
    </r>
  </si>
  <si>
    <t>SY251479</t>
  </si>
  <si>
    <r>
      <rPr>
        <sz val="10"/>
        <color theme="1"/>
        <rFont val="Calibri Light"/>
        <charset val="134"/>
      </rPr>
      <t xml:space="preserve">JG9090 </t>
    </r>
    <r>
      <rPr>
        <sz val="10"/>
        <color theme="1"/>
        <rFont val="宋体"/>
        <charset val="134"/>
      </rPr>
      <t>九宫格</t>
    </r>
  </si>
  <si>
    <t>SY251480</t>
  </si>
  <si>
    <r>
      <rPr>
        <sz val="10"/>
        <color theme="1"/>
        <rFont val="Calibri Light"/>
        <charset val="134"/>
      </rPr>
      <t>2J8080 21</t>
    </r>
    <r>
      <rPr>
        <sz val="10"/>
        <color theme="1"/>
        <rFont val="宋体"/>
        <charset val="134"/>
      </rPr>
      <t>支精棉双纱</t>
    </r>
  </si>
  <si>
    <t>SY251481</t>
  </si>
  <si>
    <t>2.1m/kg</t>
  </si>
  <si>
    <t>新蓝 574# 类似面料</t>
  </si>
  <si>
    <t>579#</t>
  </si>
  <si>
    <t>SY251482</t>
  </si>
  <si>
    <t>591#</t>
  </si>
  <si>
    <t>SY251483</t>
  </si>
  <si>
    <t>280#</t>
  </si>
  <si>
    <t>SY251484</t>
  </si>
  <si>
    <t>全棉斜纹布</t>
  </si>
  <si>
    <t>SY251485</t>
  </si>
  <si>
    <t>利鑫行</t>
  </si>
  <si>
    <t>P19801#</t>
  </si>
  <si>
    <t>SY251486</t>
  </si>
  <si>
    <t>利达牛仔</t>
  </si>
  <si>
    <t>P19802#</t>
  </si>
  <si>
    <t>SY251487</t>
  </si>
  <si>
    <t>P19803#</t>
  </si>
  <si>
    <t>SY251488</t>
  </si>
  <si>
    <t>P191138#</t>
  </si>
  <si>
    <t>SY251489</t>
  </si>
  <si>
    <t>P191148#</t>
  </si>
  <si>
    <t>SY251490</t>
  </si>
  <si>
    <t>DS2220</t>
  </si>
  <si>
    <t>SY251491</t>
  </si>
  <si>
    <t>DS2317</t>
  </si>
  <si>
    <t>SY251492</t>
  </si>
  <si>
    <t>DS2330</t>
  </si>
  <si>
    <t>SY251493</t>
  </si>
  <si>
    <t>DS22330</t>
  </si>
  <si>
    <t>DS2337</t>
  </si>
  <si>
    <t>SY251494</t>
  </si>
  <si>
    <t>DS2342</t>
  </si>
  <si>
    <t>SY251495</t>
  </si>
  <si>
    <t>DS2161</t>
  </si>
  <si>
    <t>SY251496</t>
  </si>
  <si>
    <t>97%涤纶3%金银丝</t>
  </si>
  <si>
    <t>97%POLY3%Lurex</t>
  </si>
  <si>
    <t>DN3793</t>
  </si>
  <si>
    <t>SY251497</t>
  </si>
  <si>
    <t>DN3782</t>
  </si>
  <si>
    <t>SY251498</t>
  </si>
  <si>
    <t>DN3533</t>
  </si>
  <si>
    <t>SY251499</t>
  </si>
  <si>
    <t>SY251500</t>
  </si>
  <si>
    <t>DS2141(男女）</t>
  </si>
  <si>
    <t>SY251501</t>
  </si>
  <si>
    <t>47.5%涤纶52.5TPEE</t>
  </si>
  <si>
    <t>52.5%TPEE47.5%POLY</t>
  </si>
  <si>
    <t>SY251502</t>
  </si>
  <si>
    <t>48%涤纶2%氨纶50%雪尼尔</t>
  </si>
  <si>
    <t>50%ChenIlle48%POLY2%SP</t>
  </si>
  <si>
    <t>DS2244</t>
  </si>
  <si>
    <t>SY251503</t>
  </si>
  <si>
    <t>DS2162</t>
  </si>
  <si>
    <t>SY251504</t>
  </si>
  <si>
    <t>46%涤纶54%TPEE</t>
  </si>
  <si>
    <t>54%TPEE46%POLY</t>
  </si>
  <si>
    <t>DS2163</t>
  </si>
  <si>
    <t>SY251505</t>
  </si>
  <si>
    <t>DS2271</t>
  </si>
  <si>
    <t>SY251506</t>
  </si>
  <si>
    <t>DS2287</t>
  </si>
  <si>
    <t>SY251507</t>
  </si>
  <si>
    <t>DS2280</t>
  </si>
  <si>
    <t>SY251508</t>
  </si>
  <si>
    <t>DS2237</t>
  </si>
  <si>
    <t>SY251509</t>
  </si>
  <si>
    <t>SY251510/1134</t>
  </si>
  <si>
    <t>SY251511</t>
  </si>
  <si>
    <t>DS3709</t>
  </si>
  <si>
    <t>SY251512</t>
  </si>
  <si>
    <t>SY251513</t>
  </si>
  <si>
    <t>SY251515</t>
  </si>
  <si>
    <t>SY251514</t>
  </si>
  <si>
    <t>SY251516</t>
  </si>
  <si>
    <t>DS8821</t>
  </si>
  <si>
    <t>SY251517</t>
  </si>
  <si>
    <t>90%尼龙+10%pe</t>
  </si>
  <si>
    <t>90%NYLON10%pe</t>
  </si>
  <si>
    <t>DS8797</t>
  </si>
  <si>
    <t>SY251518</t>
  </si>
  <si>
    <t>100%tpee</t>
  </si>
  <si>
    <t>白色25 彩色分化30</t>
  </si>
  <si>
    <t>DS2349</t>
  </si>
  <si>
    <t>SY251519</t>
  </si>
  <si>
    <t>DS2341</t>
  </si>
  <si>
    <t>SY251520</t>
  </si>
  <si>
    <t>DS2141</t>
  </si>
  <si>
    <t>SY251521</t>
  </si>
  <si>
    <t>52.5TPEE47.5%POLY</t>
  </si>
  <si>
    <t>JZ001</t>
  </si>
  <si>
    <t>SY251522</t>
  </si>
  <si>
    <t>31%涤纶69%TPEE</t>
  </si>
  <si>
    <t>69%TPEE31%POLY</t>
  </si>
  <si>
    <t>JZ005</t>
  </si>
  <si>
    <t>SY251523</t>
  </si>
  <si>
    <t>64%TPEE+31%涤纶+5%尼龙</t>
  </si>
  <si>
    <t>64%TPEE31%POLY5%NYLON</t>
  </si>
  <si>
    <t>JZ007</t>
  </si>
  <si>
    <t>SY251524</t>
  </si>
  <si>
    <t>52%TPEE+45%涤纶+3%尼龙</t>
  </si>
  <si>
    <t>52%TPEE45%POLY3%NYLON</t>
  </si>
  <si>
    <t>JZ012</t>
  </si>
  <si>
    <t>SY251525</t>
  </si>
  <si>
    <t>33%TPEE+39%涤纶+28%尼龙</t>
  </si>
  <si>
    <t>39%POLY33%TPEE28%NYLON</t>
  </si>
  <si>
    <t>JZ013</t>
  </si>
  <si>
    <t>SY251526</t>
  </si>
  <si>
    <t>23%TPEE+41%涤纶+36%尼龙</t>
  </si>
  <si>
    <t>41%POLY36%NYLON23%TPEE</t>
  </si>
  <si>
    <t>JZ014</t>
  </si>
  <si>
    <t>SY251527</t>
  </si>
  <si>
    <t>27%TPEE+35%涤纶+38%尼龙</t>
  </si>
  <si>
    <t>38%NYLON35%POLY27%TPEE</t>
  </si>
  <si>
    <t>JZ015</t>
  </si>
  <si>
    <t>SY251528</t>
  </si>
  <si>
    <t>20%TPEE+53%涤纶+27%尼龙</t>
  </si>
  <si>
    <t>53%POLY27%NYLON20%TPEE</t>
  </si>
  <si>
    <t>JZ018</t>
  </si>
  <si>
    <t>SY251529</t>
  </si>
  <si>
    <t>36%涤纶64%TPEE</t>
  </si>
  <si>
    <t>64%TPEE36%POLY</t>
  </si>
  <si>
    <t>JZ019</t>
  </si>
  <si>
    <t>SY251530</t>
  </si>
  <si>
    <t>29%涤纶71%TPEE</t>
  </si>
  <si>
    <t>71%TPEE29%POLY</t>
  </si>
  <si>
    <t>JZ025</t>
  </si>
  <si>
    <t>SY251531</t>
  </si>
  <si>
    <t>43%涤纶57%TPEE</t>
  </si>
  <si>
    <t>57%TPEE43%POLY</t>
  </si>
  <si>
    <t>JZ026</t>
  </si>
  <si>
    <t>SY251532</t>
  </si>
  <si>
    <t>38%涤纶62%TPEE</t>
  </si>
  <si>
    <t>62%TPEE38%POLY</t>
  </si>
  <si>
    <t>JZ032</t>
  </si>
  <si>
    <t>SY251533</t>
  </si>
  <si>
    <t>52%涤纶48%TPEE</t>
  </si>
  <si>
    <t>52%POLY48%TPEE</t>
  </si>
  <si>
    <t>JP045</t>
  </si>
  <si>
    <t>SY251534</t>
  </si>
  <si>
    <t>49%涤纶51%TPEE</t>
  </si>
  <si>
    <t>JP049</t>
  </si>
  <si>
    <t>SY251535</t>
  </si>
  <si>
    <t>JP050</t>
  </si>
  <si>
    <t>SY251536</t>
  </si>
  <si>
    <t>JP051</t>
  </si>
  <si>
    <t>SY251537</t>
  </si>
  <si>
    <t>47%涤纶53%TPEE</t>
  </si>
  <si>
    <t>53%TPEE47%POLY</t>
  </si>
  <si>
    <t>JP057</t>
  </si>
  <si>
    <t>SY251538</t>
  </si>
  <si>
    <t>JP061</t>
  </si>
  <si>
    <t>SY251539</t>
  </si>
  <si>
    <t>JP062</t>
  </si>
  <si>
    <t>SY251540</t>
  </si>
  <si>
    <t>JP063</t>
  </si>
  <si>
    <t>SY251541</t>
  </si>
  <si>
    <t>JP065</t>
  </si>
  <si>
    <t>SY251542</t>
  </si>
  <si>
    <t>JP073</t>
  </si>
  <si>
    <t>SY251543</t>
  </si>
  <si>
    <t>JP078</t>
  </si>
  <si>
    <t>SY251544</t>
  </si>
  <si>
    <t>JP079</t>
  </si>
  <si>
    <t>SY251545</t>
  </si>
  <si>
    <t>JP080</t>
  </si>
  <si>
    <t>SY251546</t>
  </si>
  <si>
    <t>JP083</t>
  </si>
  <si>
    <t>SY251547</t>
  </si>
  <si>
    <t>JP122</t>
  </si>
  <si>
    <t>SY251548</t>
  </si>
  <si>
    <t>DS2192</t>
  </si>
  <si>
    <t>SY251549</t>
  </si>
  <si>
    <t>39%涤纶61%TPEE</t>
  </si>
  <si>
    <t>61%TPEE39%POLY</t>
  </si>
  <si>
    <t>DS2240</t>
  </si>
  <si>
    <t>SY251550</t>
  </si>
  <si>
    <t>66%涤纶34%TPEE</t>
  </si>
  <si>
    <t>66%POLY34%TPEE</t>
  </si>
  <si>
    <t>DS2225-1</t>
  </si>
  <si>
    <t>SY251551</t>
  </si>
  <si>
    <t>DS2259</t>
  </si>
  <si>
    <t>SY251552</t>
  </si>
  <si>
    <t>DS2303</t>
  </si>
  <si>
    <t>SY251553</t>
  </si>
  <si>
    <t>DS2334</t>
  </si>
  <si>
    <t>SY251554</t>
  </si>
  <si>
    <t>DS2336</t>
  </si>
  <si>
    <t>SY251555</t>
  </si>
  <si>
    <t>DS2338</t>
  </si>
  <si>
    <t>SY251556</t>
  </si>
  <si>
    <t>DS3976</t>
  </si>
  <si>
    <t>SY251557</t>
  </si>
  <si>
    <t>DS3977</t>
  </si>
  <si>
    <t>SY251558</t>
  </si>
  <si>
    <t>DS3979</t>
  </si>
  <si>
    <t>SY251559</t>
  </si>
  <si>
    <t>C901</t>
  </si>
  <si>
    <t>SY251560</t>
  </si>
  <si>
    <t>润景纺织</t>
  </si>
  <si>
    <t>没寄出</t>
  </si>
  <si>
    <t>C797</t>
  </si>
  <si>
    <t>SY251561</t>
  </si>
  <si>
    <t>7767#</t>
  </si>
  <si>
    <t>SY251562</t>
  </si>
  <si>
    <t>柏林纺织</t>
  </si>
  <si>
    <t>7706#</t>
  </si>
  <si>
    <t>SY251563</t>
  </si>
  <si>
    <t>7108#</t>
  </si>
  <si>
    <t>SY251564</t>
  </si>
  <si>
    <t>A3997#丝光棉</t>
  </si>
  <si>
    <t>SY251565</t>
  </si>
  <si>
    <t>林丰</t>
  </si>
  <si>
    <t>A2921#</t>
  </si>
  <si>
    <t>SY251566</t>
  </si>
  <si>
    <t>A1571#超柔碳磨</t>
  </si>
  <si>
    <t>SY251567</t>
  </si>
  <si>
    <t>1039丝光</t>
  </si>
  <si>
    <t>SY251568</t>
  </si>
  <si>
    <t>华源纺织</t>
  </si>
  <si>
    <t>2164洗褪</t>
  </si>
  <si>
    <t>SY251569</t>
  </si>
  <si>
    <t>2189超柔</t>
  </si>
  <si>
    <t>SY251570</t>
  </si>
  <si>
    <t>2324碳磨</t>
  </si>
  <si>
    <t>SY251571</t>
  </si>
  <si>
    <t>陈奕钧</t>
  </si>
  <si>
    <t>珠片布</t>
  </si>
  <si>
    <r>
      <rPr>
        <sz val="10"/>
        <color theme="1"/>
        <rFont val="Calibri Light"/>
        <charset val="134"/>
      </rPr>
      <t>9</t>
    </r>
    <r>
      <rPr>
        <sz val="10"/>
        <color theme="1"/>
        <rFont val="宋体"/>
        <charset val="134"/>
      </rPr>
      <t>厘羽毛</t>
    </r>
  </si>
  <si>
    <t>SY251572</t>
  </si>
  <si>
    <t>万生纺织</t>
  </si>
  <si>
    <t>1679#</t>
  </si>
  <si>
    <t>SY251573</t>
  </si>
  <si>
    <t>1705#</t>
  </si>
  <si>
    <t>SY251574</t>
  </si>
  <si>
    <t>1580#</t>
  </si>
  <si>
    <t>SY251575</t>
  </si>
  <si>
    <t>1447#</t>
  </si>
  <si>
    <t>SY251576</t>
  </si>
  <si>
    <t>1660#</t>
  </si>
  <si>
    <t>SY251577</t>
  </si>
  <si>
    <t>K026#</t>
  </si>
  <si>
    <t>SY251578</t>
  </si>
  <si>
    <t>鑫发纺织</t>
  </si>
  <si>
    <t>1531#</t>
  </si>
  <si>
    <t>SY251579</t>
  </si>
  <si>
    <t>S10</t>
  </si>
  <si>
    <t>SY251580</t>
  </si>
  <si>
    <t>德源纺织</t>
  </si>
  <si>
    <t>PU人造革</t>
  </si>
  <si>
    <t>江不晚（蛋白）</t>
  </si>
  <si>
    <t>SY251581</t>
  </si>
  <si>
    <r>
      <rPr>
        <sz val="10"/>
        <color theme="1"/>
        <rFont val="Calibri Light"/>
        <charset val="134"/>
      </rPr>
      <t>45%PU55%</t>
    </r>
    <r>
      <rPr>
        <sz val="10"/>
        <color theme="1"/>
        <rFont val="宋体"/>
        <charset val="134"/>
      </rPr>
      <t>涤纶</t>
    </r>
  </si>
  <si>
    <t>45% PU 55%POLY</t>
  </si>
  <si>
    <r>
      <rPr>
        <sz val="10"/>
        <color theme="1"/>
        <rFont val="Calibri Light"/>
        <charset val="134"/>
      </rPr>
      <t>0.6</t>
    </r>
    <r>
      <rPr>
        <sz val="10"/>
        <color theme="1"/>
        <rFont val="微软雅黑"/>
        <charset val="134"/>
      </rPr>
      <t>±</t>
    </r>
    <r>
      <rPr>
        <sz val="10"/>
        <color theme="1"/>
        <rFont val="Calibri Light"/>
        <charset val="134"/>
      </rPr>
      <t>0.05</t>
    </r>
  </si>
  <si>
    <t>德诚皮革</t>
  </si>
  <si>
    <t>鹤眠绒</t>
  </si>
  <si>
    <t>SY251582</t>
  </si>
  <si>
    <r>
      <rPr>
        <sz val="10"/>
        <color theme="1"/>
        <rFont val="Calibri Light"/>
        <charset val="134"/>
      </rPr>
      <t>0.5</t>
    </r>
    <r>
      <rPr>
        <sz val="10"/>
        <color theme="1"/>
        <rFont val="微软雅黑"/>
        <charset val="134"/>
      </rPr>
      <t>±</t>
    </r>
    <r>
      <rPr>
        <sz val="10"/>
        <color theme="1"/>
        <rFont val="Calibri Light"/>
        <charset val="134"/>
      </rPr>
      <t>0.05</t>
    </r>
  </si>
  <si>
    <r>
      <rPr>
        <sz val="10"/>
        <color theme="1"/>
        <rFont val="Calibri Light"/>
        <charset val="134"/>
      </rPr>
      <t>H700</t>
    </r>
    <r>
      <rPr>
        <sz val="10"/>
        <color theme="1"/>
        <rFont val="宋体"/>
        <charset val="134"/>
      </rPr>
      <t>（双面）</t>
    </r>
  </si>
  <si>
    <t>SY251583</t>
  </si>
  <si>
    <t>0.7mm</t>
  </si>
  <si>
    <t>凤剪梅</t>
  </si>
  <si>
    <t>SY251584</t>
  </si>
  <si>
    <r>
      <rPr>
        <sz val="10"/>
        <color theme="1"/>
        <rFont val="Calibri Light"/>
        <charset val="134"/>
      </rPr>
      <t>0.8</t>
    </r>
    <r>
      <rPr>
        <sz val="10"/>
        <color theme="1"/>
        <rFont val="微软雅黑"/>
        <charset val="134"/>
      </rPr>
      <t>±</t>
    </r>
    <r>
      <rPr>
        <sz val="10"/>
        <color theme="1"/>
        <rFont val="Calibri Light"/>
        <charset val="134"/>
      </rPr>
      <t>0.05</t>
    </r>
  </si>
  <si>
    <t>时光</t>
  </si>
  <si>
    <t>SY251585</t>
  </si>
  <si>
    <r>
      <rPr>
        <sz val="10"/>
        <color theme="1"/>
        <rFont val="Calibri Light"/>
        <charset val="134"/>
      </rPr>
      <t>0.4</t>
    </r>
    <r>
      <rPr>
        <sz val="10"/>
        <color theme="1"/>
        <rFont val="微软雅黑"/>
        <charset val="134"/>
      </rPr>
      <t>±</t>
    </r>
    <r>
      <rPr>
        <sz val="10"/>
        <color theme="1"/>
        <rFont val="Calibri Light"/>
        <charset val="134"/>
      </rPr>
      <t>0.05</t>
    </r>
  </si>
  <si>
    <t>枫丹白露</t>
  </si>
  <si>
    <t>SY251586</t>
  </si>
  <si>
    <r>
      <rPr>
        <sz val="10"/>
        <color theme="1"/>
        <rFont val="Calibri Light"/>
        <charset val="134"/>
      </rPr>
      <t>45%PU55%</t>
    </r>
    <r>
      <rPr>
        <sz val="10"/>
        <color theme="1"/>
        <rFont val="宋体"/>
        <charset val="134"/>
      </rPr>
      <t>黏胶</t>
    </r>
  </si>
  <si>
    <t>55%V45%PU</t>
  </si>
  <si>
    <t>霸王龙</t>
  </si>
  <si>
    <t>SY251587</t>
  </si>
  <si>
    <t>0.7±0.05mm</t>
  </si>
  <si>
    <r>
      <rPr>
        <sz val="10"/>
        <color theme="1"/>
        <rFont val="宋体"/>
        <charset val="134"/>
      </rPr>
      <t>流萤</t>
    </r>
    <r>
      <rPr>
        <sz val="10"/>
        <color theme="1"/>
        <rFont val="Calibri Light"/>
        <charset val="134"/>
      </rPr>
      <t>0.7</t>
    </r>
  </si>
  <si>
    <t>SY251588</t>
  </si>
  <si>
    <t>暹罗鳄</t>
  </si>
  <si>
    <t>SY251589</t>
  </si>
  <si>
    <r>
      <rPr>
        <sz val="10"/>
        <color theme="1"/>
        <rFont val="宋体"/>
        <charset val="134"/>
      </rPr>
      <t>面：</t>
    </r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聚氨酯</t>
    </r>
    <r>
      <rPr>
        <sz val="10"/>
        <color theme="1"/>
        <rFont val="Calibri Light"/>
        <charset val="134"/>
      </rPr>
      <t xml:space="preserve"> 
</t>
    </r>
    <r>
      <rPr>
        <sz val="10"/>
        <color theme="1"/>
        <rFont val="宋体"/>
        <charset val="134"/>
      </rPr>
      <t>底：</t>
    </r>
    <r>
      <rPr>
        <sz val="10"/>
        <color theme="1"/>
        <rFont val="Calibri Light"/>
        <charset val="134"/>
      </rPr>
      <t xml:space="preserve">100% </t>
    </r>
    <r>
      <rPr>
        <sz val="10"/>
        <color theme="1"/>
        <rFont val="宋体"/>
        <charset val="134"/>
      </rPr>
      <t>黏胶</t>
    </r>
  </si>
  <si>
    <t>PU+VISCOSE</t>
  </si>
  <si>
    <t>福建雄炜皮革</t>
  </si>
  <si>
    <t>伏特加</t>
  </si>
  <si>
    <t>SY251590</t>
  </si>
  <si>
    <r>
      <rPr>
        <sz val="10"/>
        <color theme="1"/>
        <rFont val="宋体"/>
        <charset val="134"/>
      </rPr>
      <t>面：</t>
    </r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聚氨酯</t>
    </r>
    <r>
      <rPr>
        <sz val="10"/>
        <color theme="1"/>
        <rFont val="Calibri Light"/>
        <charset val="134"/>
      </rPr>
      <t xml:space="preserve"> 
</t>
    </r>
    <r>
      <rPr>
        <sz val="10"/>
        <color theme="1"/>
        <rFont val="宋体"/>
        <charset val="134"/>
      </rPr>
      <t>底：</t>
    </r>
    <r>
      <rPr>
        <sz val="10"/>
        <color theme="1"/>
        <rFont val="Calibri Light"/>
        <charset val="134"/>
      </rPr>
      <t xml:space="preserve">100% </t>
    </r>
    <r>
      <rPr>
        <sz val="10"/>
        <color theme="1"/>
        <rFont val="宋体"/>
        <charset val="134"/>
      </rPr>
      <t>涤纶</t>
    </r>
  </si>
  <si>
    <t>PU+POLY</t>
  </si>
  <si>
    <r>
      <rPr>
        <sz val="10"/>
        <color theme="1"/>
        <rFont val="Calibri Light"/>
        <charset val="134"/>
      </rPr>
      <t>0.6</t>
    </r>
    <r>
      <rPr>
        <sz val="10"/>
        <color theme="1"/>
        <rFont val="微软雅黑"/>
        <charset val="134"/>
      </rPr>
      <t>±</t>
    </r>
    <r>
      <rPr>
        <sz val="10"/>
        <color theme="1"/>
        <rFont val="Calibri Light"/>
        <charset val="134"/>
      </rPr>
      <t>0.05mm</t>
    </r>
  </si>
  <si>
    <t>坦克</t>
  </si>
  <si>
    <t>SY251591</t>
  </si>
  <si>
    <t>瑶池</t>
  </si>
  <si>
    <t>SY251592</t>
  </si>
  <si>
    <t>FP432</t>
  </si>
  <si>
    <t>SY251593</t>
  </si>
  <si>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涤纶</t>
    </r>
  </si>
  <si>
    <t>90%Recycle POLY 10%SP</t>
  </si>
  <si>
    <t>金达皮革</t>
  </si>
  <si>
    <t>灵蛇舞动</t>
  </si>
  <si>
    <t>SY251594</t>
  </si>
  <si>
    <r>
      <rPr>
        <sz val="10"/>
        <color theme="1"/>
        <rFont val="Calibri Light"/>
        <charset val="134"/>
      </rPr>
      <t>55%PU45%</t>
    </r>
    <r>
      <rPr>
        <sz val="10"/>
        <color theme="1"/>
        <rFont val="宋体"/>
        <charset val="134"/>
      </rPr>
      <t>涤纶</t>
    </r>
  </si>
  <si>
    <t>55%PU45%POLY</t>
  </si>
  <si>
    <t>弹力蛇纹（环保）</t>
  </si>
  <si>
    <t>SY251595</t>
  </si>
  <si>
    <t>55%POLY45%PU</t>
  </si>
  <si>
    <t>彩虹蟒（环保）</t>
  </si>
  <si>
    <t>SY251596</t>
  </si>
  <si>
    <t>梦想家B</t>
  </si>
  <si>
    <t>SY251597</t>
  </si>
  <si>
    <r>
      <rPr>
        <sz val="10"/>
        <color theme="1"/>
        <rFont val="Calibri Light"/>
        <charset val="134"/>
      </rPr>
      <t xml:space="preserve">45%PU50% 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金属丝</t>
    </r>
  </si>
  <si>
    <t>50%BCI COTTON45%PU5%LINEN</t>
  </si>
  <si>
    <t>红日皮革</t>
  </si>
  <si>
    <t>经典蛇皮</t>
  </si>
  <si>
    <t>SY251598</t>
  </si>
  <si>
    <t>油皮A6</t>
  </si>
  <si>
    <t>SY251599</t>
  </si>
  <si>
    <t>A90JA</t>
  </si>
  <si>
    <t>SY251600</t>
  </si>
  <si>
    <r>
      <rPr>
        <sz val="10"/>
        <color theme="1"/>
        <rFont val="Calibri Light"/>
        <charset val="134"/>
      </rPr>
      <t>55%PU45%</t>
    </r>
    <r>
      <rPr>
        <sz val="10"/>
        <color theme="1"/>
        <rFont val="宋体"/>
        <charset val="134"/>
      </rPr>
      <t>人棉</t>
    </r>
  </si>
  <si>
    <t>55%PU45%R</t>
  </si>
  <si>
    <t>6622B</t>
  </si>
  <si>
    <t>SY251601</t>
  </si>
  <si>
    <t>45%PU50% 棉5%金属丝</t>
  </si>
  <si>
    <r>
      <rPr>
        <sz val="10"/>
        <color theme="1"/>
        <rFont val="宋体"/>
        <charset val="134"/>
      </rPr>
      <t>点石成金</t>
    </r>
    <r>
      <rPr>
        <sz val="10"/>
        <color theme="1"/>
        <rFont val="Calibri Light"/>
        <charset val="134"/>
      </rPr>
      <t>335</t>
    </r>
  </si>
  <si>
    <t>SY251602</t>
  </si>
  <si>
    <r>
      <rPr>
        <sz val="10"/>
        <color theme="1"/>
        <rFont val="Calibri Light"/>
        <charset val="134"/>
      </rPr>
      <t>50%PU50%</t>
    </r>
    <r>
      <rPr>
        <sz val="10"/>
        <color theme="1"/>
        <rFont val="宋体"/>
        <charset val="134"/>
      </rPr>
      <t>涤纶</t>
    </r>
  </si>
  <si>
    <t>50%PU50%POLY</t>
  </si>
  <si>
    <r>
      <rPr>
        <sz val="10"/>
        <color theme="1"/>
        <rFont val="宋体"/>
        <charset val="134"/>
      </rPr>
      <t>玉米蛇</t>
    </r>
    <r>
      <rPr>
        <sz val="10"/>
        <color theme="1"/>
        <rFont val="Calibri Light"/>
        <charset val="134"/>
      </rPr>
      <t>-1</t>
    </r>
  </si>
  <si>
    <t>SY251603</t>
  </si>
  <si>
    <t>45%PU55%涤纶</t>
  </si>
  <si>
    <r>
      <rPr>
        <sz val="10"/>
        <color theme="1"/>
        <rFont val="宋体"/>
        <charset val="134"/>
      </rPr>
      <t>珊瑚蛇</t>
    </r>
    <r>
      <rPr>
        <sz val="10"/>
        <color theme="1"/>
        <rFont val="Calibri Light"/>
        <charset val="134"/>
      </rPr>
      <t>-1</t>
    </r>
  </si>
  <si>
    <t>SY251604</t>
  </si>
  <si>
    <r>
      <rPr>
        <sz val="10"/>
        <color theme="1"/>
        <rFont val="Calibri Light"/>
        <charset val="134"/>
      </rPr>
      <t>50% PU50%</t>
    </r>
    <r>
      <rPr>
        <sz val="10"/>
        <color theme="1"/>
        <rFont val="宋体"/>
        <charset val="134"/>
      </rPr>
      <t>涤纶</t>
    </r>
  </si>
  <si>
    <t>红树林B</t>
  </si>
  <si>
    <t>SY251605</t>
  </si>
  <si>
    <r>
      <rPr>
        <sz val="10"/>
        <color theme="1"/>
        <rFont val="Calibri Light"/>
        <charset val="134"/>
      </rPr>
      <t>45%PU55%</t>
    </r>
    <r>
      <rPr>
        <sz val="10"/>
        <color theme="1"/>
        <rFont val="宋体"/>
        <charset val="134"/>
      </rPr>
      <t>涤棉</t>
    </r>
  </si>
  <si>
    <t>装饰布</t>
  </si>
  <si>
    <t>SY251606</t>
  </si>
  <si>
    <r>
      <rPr>
        <sz val="10"/>
        <color theme="1"/>
        <rFont val="Calibri Light"/>
        <charset val="134"/>
      </rPr>
      <t>T&amp;T</t>
    </r>
    <r>
      <rPr>
        <sz val="10"/>
        <color theme="1"/>
        <rFont val="宋体"/>
        <charset val="134"/>
      </rPr>
      <t>时尚</t>
    </r>
  </si>
  <si>
    <r>
      <rPr>
        <sz val="10"/>
        <color theme="1"/>
        <rFont val="Calibri Light"/>
        <charset val="134"/>
      </rPr>
      <t>G146</t>
    </r>
    <r>
      <rPr>
        <sz val="10"/>
        <color theme="1"/>
        <rFont val="宋体"/>
        <charset val="134"/>
      </rPr>
      <t>织带</t>
    </r>
  </si>
  <si>
    <t>SY251607</t>
  </si>
  <si>
    <t>G368</t>
  </si>
  <si>
    <t>SY251608</t>
  </si>
  <si>
    <t>G378</t>
  </si>
  <si>
    <t>SY251609</t>
  </si>
  <si>
    <t>G353</t>
  </si>
  <si>
    <t>SY251610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</si>
  <si>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</t>
    </r>
  </si>
  <si>
    <t>55%NYLON45%POLY</t>
  </si>
  <si>
    <t>G2020</t>
  </si>
  <si>
    <t>SY251611</t>
  </si>
  <si>
    <t>SY251612</t>
  </si>
  <si>
    <t>千姿纺织</t>
  </si>
  <si>
    <t>SY251613</t>
  </si>
  <si>
    <t>741#</t>
  </si>
  <si>
    <t>SY251614</t>
  </si>
  <si>
    <t>品艺纺</t>
  </si>
  <si>
    <t>625#</t>
  </si>
  <si>
    <t>SY251615</t>
  </si>
  <si>
    <t>G376</t>
  </si>
  <si>
    <t>SY251616</t>
  </si>
  <si>
    <t>A024#</t>
  </si>
  <si>
    <t>SY251617</t>
  </si>
  <si>
    <t>2057#</t>
  </si>
  <si>
    <t>SY251618</t>
  </si>
  <si>
    <t>SY251619</t>
  </si>
  <si>
    <t>SY251620</t>
  </si>
  <si>
    <t>Z205</t>
  </si>
  <si>
    <t>SY251621</t>
  </si>
  <si>
    <t>1841-3</t>
  </si>
  <si>
    <t>SY251622</t>
  </si>
  <si>
    <t>W166</t>
  </si>
  <si>
    <t>SY251623</t>
  </si>
  <si>
    <t>F390#</t>
  </si>
  <si>
    <t>SY251624</t>
  </si>
  <si>
    <t>F2167</t>
  </si>
  <si>
    <t>SY251625</t>
  </si>
  <si>
    <t>Y25123</t>
  </si>
  <si>
    <t>SY251626</t>
  </si>
  <si>
    <t>蕾丝绣花</t>
  </si>
  <si>
    <t>SY251627</t>
  </si>
  <si>
    <t>裕程蕾丝</t>
  </si>
  <si>
    <t>SY251628</t>
  </si>
  <si>
    <t>SY251629</t>
  </si>
  <si>
    <t>SY251630</t>
  </si>
  <si>
    <t>M1666</t>
  </si>
  <si>
    <t>SY251631</t>
  </si>
  <si>
    <t>P23286</t>
  </si>
  <si>
    <t>SY251632</t>
  </si>
  <si>
    <t>24108#-13</t>
  </si>
  <si>
    <t>SY251633</t>
  </si>
  <si>
    <t>恒大花边</t>
  </si>
  <si>
    <t>241013#-10</t>
  </si>
  <si>
    <t>SY251634</t>
  </si>
  <si>
    <t>276  13</t>
  </si>
  <si>
    <t>SY251635</t>
  </si>
  <si>
    <t>SY251636</t>
  </si>
  <si>
    <t>1006#-8</t>
  </si>
  <si>
    <t>SY251637</t>
  </si>
  <si>
    <t>6043#-11</t>
  </si>
  <si>
    <t>SY251638</t>
  </si>
  <si>
    <t>9151#-9</t>
  </si>
  <si>
    <t>SY251639</t>
  </si>
  <si>
    <r>
      <rPr>
        <sz val="10"/>
        <color theme="1"/>
        <rFont val="宋体"/>
        <charset val="134"/>
      </rPr>
      <t>欧菊</t>
    </r>
    <r>
      <rPr>
        <sz val="10"/>
        <color theme="1"/>
        <rFont val="Calibri Light"/>
        <charset val="134"/>
      </rPr>
      <t xml:space="preserve"> K06</t>
    </r>
  </si>
  <si>
    <t>SY251640</t>
  </si>
  <si>
    <t>尚祤布业</t>
  </si>
  <si>
    <r>
      <rPr>
        <sz val="10"/>
        <color theme="1"/>
        <rFont val="宋体"/>
        <charset val="134"/>
      </rPr>
      <t>寒梅</t>
    </r>
    <r>
      <rPr>
        <sz val="10"/>
        <color theme="1"/>
        <rFont val="Calibri Light"/>
        <charset val="134"/>
      </rPr>
      <t>B0314</t>
    </r>
  </si>
  <si>
    <t>SY251641</t>
  </si>
  <si>
    <t>65%涤纶35%人棉</t>
  </si>
  <si>
    <t>雪韵KD3-1</t>
  </si>
  <si>
    <t>SY251642</t>
  </si>
  <si>
    <t>丝麻玫瑰A080</t>
  </si>
  <si>
    <t>SY251643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</si>
  <si>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人棉</t>
    </r>
  </si>
  <si>
    <t>70%POLY30%Rayon</t>
  </si>
  <si>
    <t>玫瑰园K37-308137</t>
  </si>
  <si>
    <t>SY251644</t>
  </si>
  <si>
    <t>提叶牡丹HY-13</t>
  </si>
  <si>
    <t>SY251645</t>
  </si>
  <si>
    <t>祥云花HY-8</t>
  </si>
  <si>
    <t>SY251646</t>
  </si>
  <si>
    <t>P634</t>
  </si>
  <si>
    <t>SY251647</t>
  </si>
  <si>
    <t>T&amp;T时尚</t>
  </si>
  <si>
    <t>G380</t>
  </si>
  <si>
    <t>SY251648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</si>
  <si>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锦纶</t>
    </r>
  </si>
  <si>
    <t>50%POLY50%NYLON</t>
  </si>
  <si>
    <t>A78#</t>
  </si>
  <si>
    <t>SY251649</t>
  </si>
  <si>
    <t>SY251650</t>
  </si>
  <si>
    <t>依丽纺织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</si>
  <si>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217</t>
    </r>
  </si>
  <si>
    <t>SY251651</t>
  </si>
  <si>
    <t>SY251652</t>
  </si>
  <si>
    <t>SY251653</t>
  </si>
  <si>
    <r>
      <rPr>
        <sz val="10"/>
        <color theme="1"/>
        <rFont val="Calibri Light"/>
        <charset val="134"/>
      </rPr>
      <t>8556</t>
    </r>
    <r>
      <rPr>
        <sz val="10"/>
        <color theme="1"/>
        <rFont val="宋体"/>
        <charset val="134"/>
      </rPr>
      <t>珠</t>
    </r>
  </si>
  <si>
    <t>SY251654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</si>
  <si>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159</t>
    </r>
  </si>
  <si>
    <t>SY251655</t>
  </si>
  <si>
    <t>SY251656</t>
  </si>
  <si>
    <t>SY251657</t>
  </si>
  <si>
    <t>SY251658</t>
  </si>
  <si>
    <t>SY251659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</si>
  <si>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221</t>
    </r>
  </si>
  <si>
    <t>SY251660</t>
  </si>
  <si>
    <t>SY251661</t>
  </si>
  <si>
    <t>SY251662</t>
  </si>
  <si>
    <t>SY251663</t>
  </si>
  <si>
    <r>
      <rPr>
        <sz val="10"/>
        <color theme="1"/>
        <rFont val="Calibri Light"/>
        <charset val="134"/>
      </rPr>
      <t>13#</t>
    </r>
    <r>
      <rPr>
        <sz val="10"/>
        <color theme="1"/>
        <rFont val="宋体"/>
        <charset val="134"/>
      </rPr>
      <t>白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咖</t>
    </r>
  </si>
  <si>
    <t>色丁</t>
  </si>
  <si>
    <t>SY251664</t>
  </si>
  <si>
    <t>9078#</t>
  </si>
  <si>
    <t>SY251665</t>
  </si>
  <si>
    <t>SY251666</t>
  </si>
  <si>
    <t>93%涤纶 7%氨纶</t>
  </si>
  <si>
    <r>
      <rPr>
        <sz val="10"/>
        <color rgb="FFFF0000"/>
        <rFont val="Calibri Light"/>
        <charset val="134"/>
      </rPr>
      <t>150D</t>
    </r>
    <r>
      <rPr>
        <sz val="10"/>
        <color rgb="FFFF0000"/>
        <rFont val="宋体"/>
        <charset val="134"/>
      </rPr>
      <t>长丝四面弹</t>
    </r>
  </si>
  <si>
    <t>SY251667</t>
  </si>
  <si>
    <r>
      <rPr>
        <sz val="10"/>
        <color theme="1"/>
        <rFont val="Calibri Light"/>
        <charset val="134"/>
      </rPr>
      <t>150D</t>
    </r>
    <r>
      <rPr>
        <sz val="10"/>
        <color theme="1"/>
        <rFont val="宋体"/>
        <charset val="134"/>
      </rPr>
      <t>长丝四面弹</t>
    </r>
  </si>
  <si>
    <t>源隆纺织</t>
  </si>
  <si>
    <r>
      <rPr>
        <sz val="10"/>
        <color theme="1"/>
        <rFont val="Calibri Light"/>
        <charset val="134"/>
      </rPr>
      <t>5/7 GFG</t>
    </r>
    <r>
      <rPr>
        <sz val="10"/>
        <color theme="1"/>
        <rFont val="宋体"/>
        <charset val="134"/>
      </rPr>
      <t>要报价</t>
    </r>
  </si>
  <si>
    <t>超薄金銮缎</t>
  </si>
  <si>
    <t>SY251668</t>
  </si>
  <si>
    <t>双面缎手抓花</t>
  </si>
  <si>
    <t>SY251669</t>
  </si>
  <si>
    <t>玫瑰缎</t>
  </si>
  <si>
    <t>SY251670</t>
  </si>
  <si>
    <t>消光缎</t>
  </si>
  <si>
    <t>SY251671</t>
  </si>
  <si>
    <t>仿醋酸单面麻</t>
  </si>
  <si>
    <t>SY251672</t>
  </si>
  <si>
    <t>SY251673</t>
  </si>
  <si>
    <t>88%涤纶12%氨纶</t>
  </si>
  <si>
    <t>钻石缎面</t>
  </si>
  <si>
    <t>SY251674</t>
  </si>
  <si>
    <r>
      <rPr>
        <sz val="10"/>
        <color rgb="FFFF0000"/>
        <rFont val="Calibri Light"/>
        <charset val="134"/>
      </rPr>
      <t>T400</t>
    </r>
    <r>
      <rPr>
        <sz val="10"/>
        <color rgb="FFFF0000"/>
        <rFont val="宋体"/>
        <charset val="134"/>
      </rPr>
      <t>小牛津</t>
    </r>
  </si>
  <si>
    <t>SY251675</t>
  </si>
  <si>
    <r>
      <rPr>
        <sz val="10"/>
        <color theme="1"/>
        <rFont val="Calibri Light"/>
        <charset val="134"/>
      </rPr>
      <t>T400</t>
    </r>
    <r>
      <rPr>
        <sz val="10"/>
        <color theme="1"/>
        <rFont val="宋体"/>
        <charset val="134"/>
      </rPr>
      <t>小牛津</t>
    </r>
  </si>
  <si>
    <t>雪花麻</t>
  </si>
  <si>
    <t>SY251676</t>
  </si>
  <si>
    <t>加厚弹力色丁</t>
  </si>
  <si>
    <t>SY251677</t>
  </si>
  <si>
    <t>水晶缎面</t>
  </si>
  <si>
    <t>SY251678</t>
  </si>
  <si>
    <t>雪花双皱</t>
  </si>
  <si>
    <t>SY251679</t>
  </si>
  <si>
    <t>醋酸亮缎</t>
  </si>
  <si>
    <t>SY251680</t>
  </si>
  <si>
    <r>
      <rPr>
        <sz val="10"/>
        <color rgb="FFFF0000"/>
        <rFont val="Calibri Light"/>
        <charset val="134"/>
      </rPr>
      <t>75D</t>
    </r>
    <r>
      <rPr>
        <sz val="10"/>
        <color rgb="FFFF0000"/>
        <rFont val="宋体"/>
        <charset val="134"/>
      </rPr>
      <t>双层四面弹</t>
    </r>
  </si>
  <si>
    <t>SY251681</t>
  </si>
  <si>
    <r>
      <rPr>
        <sz val="10"/>
        <color theme="1"/>
        <rFont val="Calibri Light"/>
        <charset val="134"/>
      </rPr>
      <t>75D</t>
    </r>
    <r>
      <rPr>
        <sz val="10"/>
        <color theme="1"/>
        <rFont val="宋体"/>
        <charset val="134"/>
      </rPr>
      <t>双层四面弹</t>
    </r>
  </si>
  <si>
    <t>T/R</t>
  </si>
  <si>
    <t>酷丝棉斜纹</t>
  </si>
  <si>
    <t>SY251682</t>
  </si>
  <si>
    <r>
      <rPr>
        <sz val="10"/>
        <color rgb="FFFF0000"/>
        <rFont val="Calibri Light"/>
        <charset val="134"/>
      </rPr>
      <t>T400</t>
    </r>
    <r>
      <rPr>
        <sz val="10"/>
        <color rgb="FFFF0000"/>
        <rFont val="宋体"/>
        <charset val="134"/>
      </rPr>
      <t>酷丝平纹</t>
    </r>
  </si>
  <si>
    <t>SY251683</t>
  </si>
  <si>
    <r>
      <rPr>
        <sz val="10"/>
        <color theme="1"/>
        <rFont val="Calibri Light"/>
        <charset val="134"/>
      </rPr>
      <t>T400</t>
    </r>
    <r>
      <rPr>
        <sz val="10"/>
        <color theme="1"/>
        <rFont val="宋体"/>
        <charset val="134"/>
      </rPr>
      <t>酷丝平纹</t>
    </r>
  </si>
  <si>
    <r>
      <rPr>
        <sz val="10"/>
        <color rgb="FFFF0000"/>
        <rFont val="Calibri Light"/>
        <charset val="134"/>
      </rPr>
      <t>100D</t>
    </r>
    <r>
      <rPr>
        <sz val="10"/>
        <color rgb="FFFF0000"/>
        <rFont val="宋体"/>
        <charset val="134"/>
      </rPr>
      <t>四面弹</t>
    </r>
  </si>
  <si>
    <t>SY251684</t>
  </si>
  <si>
    <t>高密消光破卡</t>
  </si>
  <si>
    <t>SY251685</t>
  </si>
  <si>
    <t>孔雀斜</t>
  </si>
  <si>
    <t>SY251686</t>
  </si>
  <si>
    <t>气流乐丽丝</t>
  </si>
  <si>
    <t>SY251687</t>
  </si>
  <si>
    <r>
      <rPr>
        <sz val="10"/>
        <color rgb="FFFF0000"/>
        <rFont val="宋体"/>
        <charset val="134"/>
      </rPr>
      <t>乐丽丝</t>
    </r>
    <r>
      <rPr>
        <sz val="10"/>
        <color rgb="FFFF0000"/>
        <rFont val="Calibri Light"/>
        <charset val="134"/>
      </rPr>
      <t>2/2</t>
    </r>
    <r>
      <rPr>
        <sz val="10"/>
        <color rgb="FFFF0000"/>
        <rFont val="宋体"/>
        <charset val="134"/>
      </rPr>
      <t>斜</t>
    </r>
  </si>
  <si>
    <t>SY251688</t>
  </si>
  <si>
    <t>97%涤纶3%氨纶</t>
  </si>
  <si>
    <r>
      <rPr>
        <sz val="10"/>
        <color theme="1"/>
        <rFont val="宋体"/>
        <charset val="134"/>
      </rPr>
      <t>乐丽丝</t>
    </r>
    <r>
      <rPr>
        <sz val="10"/>
        <color theme="1"/>
        <rFont val="Calibri Light"/>
        <charset val="134"/>
      </rPr>
      <t>2/2</t>
    </r>
    <r>
      <rPr>
        <sz val="10"/>
        <color theme="1"/>
        <rFont val="宋体"/>
        <charset val="134"/>
      </rPr>
      <t>斜</t>
    </r>
  </si>
  <si>
    <t>SY251689</t>
  </si>
  <si>
    <t>飞凤凰</t>
  </si>
  <si>
    <t>加密仿真丝</t>
  </si>
  <si>
    <t>SY251690</t>
  </si>
  <si>
    <r>
      <rPr>
        <sz val="10"/>
        <color rgb="FFFF0000"/>
        <rFont val="Calibri Light"/>
        <charset val="134"/>
      </rPr>
      <t>815</t>
    </r>
    <r>
      <rPr>
        <sz val="10"/>
        <color rgb="FFFF0000"/>
        <rFont val="宋体"/>
        <charset val="134"/>
      </rPr>
      <t>雪花真丝</t>
    </r>
  </si>
  <si>
    <t>SY251691</t>
  </si>
  <si>
    <r>
      <rPr>
        <sz val="10"/>
        <color theme="1"/>
        <rFont val="Calibri Light"/>
        <charset val="134"/>
      </rPr>
      <t>815</t>
    </r>
    <r>
      <rPr>
        <sz val="10"/>
        <color theme="1"/>
        <rFont val="宋体"/>
        <charset val="134"/>
      </rPr>
      <t>雪花真丝</t>
    </r>
  </si>
  <si>
    <t>醋酸单面麻</t>
  </si>
  <si>
    <t>SY251692</t>
  </si>
  <si>
    <t>SY251693</t>
  </si>
  <si>
    <t>高弹缎</t>
  </si>
  <si>
    <t>SY251694</t>
  </si>
  <si>
    <t>高弹哑光缎</t>
  </si>
  <si>
    <t>SY251695</t>
  </si>
  <si>
    <t>SY251696</t>
  </si>
  <si>
    <t>柔云缎</t>
  </si>
  <si>
    <t>SY251697</t>
  </si>
  <si>
    <t>高弹龙凤缎</t>
  </si>
  <si>
    <t>SY251698</t>
  </si>
  <si>
    <r>
      <rPr>
        <sz val="10"/>
        <color rgb="FFFF0000"/>
        <rFont val="Calibri Light"/>
        <charset val="134"/>
      </rPr>
      <t>806</t>
    </r>
    <r>
      <rPr>
        <sz val="10"/>
        <color rgb="FFFF0000"/>
        <rFont val="宋体"/>
        <charset val="134"/>
      </rPr>
      <t>仿醋酸</t>
    </r>
  </si>
  <si>
    <t>SY251699</t>
  </si>
  <si>
    <r>
      <rPr>
        <sz val="10"/>
        <color theme="1"/>
        <rFont val="Calibri Light"/>
        <charset val="134"/>
      </rPr>
      <t>806</t>
    </r>
    <r>
      <rPr>
        <sz val="10"/>
        <color theme="1"/>
        <rFont val="宋体"/>
        <charset val="134"/>
      </rPr>
      <t>仿醋酸</t>
    </r>
  </si>
  <si>
    <t>水晶缎</t>
  </si>
  <si>
    <t>SY251700</t>
  </si>
  <si>
    <t>法国皱</t>
  </si>
  <si>
    <t>SY251701</t>
  </si>
  <si>
    <t>梭织提花</t>
  </si>
  <si>
    <r>
      <rPr>
        <sz val="10"/>
        <color rgb="FFFF0000"/>
        <rFont val="Calibri Light"/>
        <charset val="134"/>
      </rPr>
      <t>88101</t>
    </r>
    <r>
      <rPr>
        <sz val="10"/>
        <color rgb="FFFF0000"/>
        <rFont val="宋体"/>
        <charset val="134"/>
      </rPr>
      <t>轻蝶</t>
    </r>
  </si>
  <si>
    <t>SY251702</t>
  </si>
  <si>
    <r>
      <rPr>
        <sz val="10"/>
        <color theme="1"/>
        <rFont val="Calibri Light"/>
        <charset val="134"/>
      </rPr>
      <t>88101</t>
    </r>
    <r>
      <rPr>
        <sz val="10"/>
        <color theme="1"/>
        <rFont val="宋体"/>
        <charset val="134"/>
      </rPr>
      <t>轻蝶</t>
    </r>
  </si>
  <si>
    <t>信织</t>
  </si>
  <si>
    <r>
      <rPr>
        <sz val="10"/>
        <color rgb="FFFF0000"/>
        <rFont val="Calibri Light"/>
        <charset val="134"/>
      </rPr>
      <t>8826</t>
    </r>
    <r>
      <rPr>
        <sz val="10"/>
        <color rgb="FFFF0000"/>
        <rFont val="宋体"/>
        <charset val="134"/>
      </rPr>
      <t>萝卜花</t>
    </r>
  </si>
  <si>
    <t>SY251703</t>
  </si>
  <si>
    <r>
      <rPr>
        <sz val="10"/>
        <color theme="1"/>
        <rFont val="Calibri Light"/>
        <charset val="134"/>
      </rPr>
      <t>8826</t>
    </r>
    <r>
      <rPr>
        <sz val="10"/>
        <color theme="1"/>
        <rFont val="宋体"/>
        <charset val="134"/>
      </rPr>
      <t>萝卜花</t>
    </r>
  </si>
  <si>
    <r>
      <rPr>
        <sz val="10"/>
        <color rgb="FFFF0000"/>
        <rFont val="Calibri Light"/>
        <charset val="134"/>
      </rPr>
      <t>8802</t>
    </r>
    <r>
      <rPr>
        <sz val="10"/>
        <color rgb="FFFF0000"/>
        <rFont val="宋体"/>
        <charset val="134"/>
      </rPr>
      <t>菱形格</t>
    </r>
  </si>
  <si>
    <t>SY251704</t>
  </si>
  <si>
    <r>
      <rPr>
        <sz val="10"/>
        <color theme="1"/>
        <rFont val="Calibri Light"/>
        <charset val="134"/>
      </rPr>
      <t>8802</t>
    </r>
    <r>
      <rPr>
        <sz val="10"/>
        <color theme="1"/>
        <rFont val="宋体"/>
        <charset val="134"/>
      </rPr>
      <t>菱形格</t>
    </r>
  </si>
  <si>
    <t>SY251705</t>
  </si>
  <si>
    <t>8886-8898</t>
  </si>
  <si>
    <t>SY251706</t>
  </si>
  <si>
    <r>
      <rPr>
        <sz val="10"/>
        <color rgb="FFFF0000"/>
        <rFont val="Calibri Light"/>
        <charset val="134"/>
      </rPr>
      <t>8858</t>
    </r>
    <r>
      <rPr>
        <sz val="10"/>
        <color rgb="FFFF0000"/>
        <rFont val="宋体"/>
        <charset val="134"/>
      </rPr>
      <t>芙蓉花</t>
    </r>
  </si>
  <si>
    <t>SY251707</t>
  </si>
  <si>
    <r>
      <rPr>
        <sz val="10"/>
        <color theme="1"/>
        <rFont val="Calibri Light"/>
        <charset val="134"/>
      </rPr>
      <t>8858</t>
    </r>
    <r>
      <rPr>
        <sz val="10"/>
        <color theme="1"/>
        <rFont val="宋体"/>
        <charset val="134"/>
      </rPr>
      <t>芙蓉花</t>
    </r>
  </si>
  <si>
    <r>
      <rPr>
        <sz val="10"/>
        <color rgb="FFFF0000"/>
        <rFont val="Calibri Light"/>
        <charset val="134"/>
      </rPr>
      <t>8857</t>
    </r>
    <r>
      <rPr>
        <sz val="10"/>
        <color rgb="FFFF0000"/>
        <rFont val="宋体"/>
        <charset val="134"/>
      </rPr>
      <t>大麦</t>
    </r>
  </si>
  <si>
    <t>SY251708</t>
  </si>
  <si>
    <r>
      <rPr>
        <sz val="10"/>
        <color theme="1"/>
        <rFont val="Calibri Light"/>
        <charset val="134"/>
      </rPr>
      <t>8857</t>
    </r>
    <r>
      <rPr>
        <sz val="10"/>
        <color theme="1"/>
        <rFont val="宋体"/>
        <charset val="134"/>
      </rPr>
      <t>大麦</t>
    </r>
  </si>
  <si>
    <r>
      <rPr>
        <sz val="10"/>
        <color rgb="FFFF0000"/>
        <rFont val="Calibri Light"/>
        <charset val="134"/>
      </rPr>
      <t>8807</t>
    </r>
    <r>
      <rPr>
        <sz val="10"/>
        <color rgb="FFFF0000"/>
        <rFont val="宋体"/>
        <charset val="134"/>
      </rPr>
      <t>抽象花</t>
    </r>
  </si>
  <si>
    <t>SY251709</t>
  </si>
  <si>
    <r>
      <rPr>
        <sz val="10"/>
        <color theme="1"/>
        <rFont val="Calibri Light"/>
        <charset val="134"/>
      </rPr>
      <t>8807</t>
    </r>
    <r>
      <rPr>
        <sz val="10"/>
        <color theme="1"/>
        <rFont val="宋体"/>
        <charset val="134"/>
      </rPr>
      <t>抽象花</t>
    </r>
  </si>
  <si>
    <r>
      <rPr>
        <sz val="10"/>
        <color rgb="FFFF0000"/>
        <rFont val="Calibri Light"/>
        <charset val="134"/>
      </rPr>
      <t>8803</t>
    </r>
    <r>
      <rPr>
        <sz val="10"/>
        <color rgb="FFFF0000"/>
        <rFont val="宋体"/>
        <charset val="134"/>
      </rPr>
      <t>大花</t>
    </r>
  </si>
  <si>
    <t>SY251710</t>
  </si>
  <si>
    <r>
      <rPr>
        <sz val="10"/>
        <color theme="1"/>
        <rFont val="Calibri Light"/>
        <charset val="134"/>
      </rPr>
      <t>8803</t>
    </r>
    <r>
      <rPr>
        <sz val="10"/>
        <color theme="1"/>
        <rFont val="宋体"/>
        <charset val="134"/>
      </rPr>
      <t>大花</t>
    </r>
  </si>
  <si>
    <r>
      <rPr>
        <sz val="10"/>
        <color rgb="FFFF0000"/>
        <rFont val="Calibri Light"/>
        <charset val="134"/>
      </rPr>
      <t>8817</t>
    </r>
    <r>
      <rPr>
        <sz val="10"/>
        <color rgb="FFFF0000"/>
        <rFont val="宋体"/>
        <charset val="134"/>
      </rPr>
      <t>小碎花</t>
    </r>
  </si>
  <si>
    <t>SY251711</t>
  </si>
  <si>
    <r>
      <rPr>
        <sz val="10"/>
        <color theme="1"/>
        <rFont val="Calibri Light"/>
        <charset val="134"/>
      </rPr>
      <t>8817</t>
    </r>
    <r>
      <rPr>
        <sz val="10"/>
        <color theme="1"/>
        <rFont val="宋体"/>
        <charset val="134"/>
      </rPr>
      <t>小碎花</t>
    </r>
  </si>
  <si>
    <r>
      <rPr>
        <sz val="10"/>
        <color rgb="FFFF0000"/>
        <rFont val="Calibri Light"/>
        <charset val="134"/>
      </rPr>
      <t>8806</t>
    </r>
    <r>
      <rPr>
        <sz val="10"/>
        <color rgb="FFFF0000"/>
        <rFont val="宋体"/>
        <charset val="134"/>
      </rPr>
      <t>非洲菊</t>
    </r>
  </si>
  <si>
    <t>SY251712</t>
  </si>
  <si>
    <r>
      <rPr>
        <sz val="10"/>
        <color theme="1"/>
        <rFont val="Calibri Light"/>
        <charset val="134"/>
      </rPr>
      <t>8806</t>
    </r>
    <r>
      <rPr>
        <sz val="10"/>
        <color theme="1"/>
        <rFont val="宋体"/>
        <charset val="134"/>
      </rPr>
      <t>非洲菊</t>
    </r>
  </si>
  <si>
    <r>
      <rPr>
        <sz val="10"/>
        <color rgb="FFFF0000"/>
        <rFont val="Calibri Light"/>
        <charset val="134"/>
      </rPr>
      <t>8827</t>
    </r>
    <r>
      <rPr>
        <sz val="10"/>
        <color rgb="FFFF0000"/>
        <rFont val="宋体"/>
        <charset val="134"/>
      </rPr>
      <t>四方格</t>
    </r>
  </si>
  <si>
    <t>SY251713</t>
  </si>
  <si>
    <r>
      <rPr>
        <sz val="10"/>
        <color theme="1"/>
        <rFont val="Calibri Light"/>
        <charset val="134"/>
      </rPr>
      <t>8827</t>
    </r>
    <r>
      <rPr>
        <sz val="10"/>
        <color theme="1"/>
        <rFont val="宋体"/>
        <charset val="134"/>
      </rPr>
      <t>四方格</t>
    </r>
  </si>
  <si>
    <t>8865-8881</t>
  </si>
  <si>
    <t>SY251714</t>
  </si>
  <si>
    <r>
      <rPr>
        <sz val="10"/>
        <color rgb="FFFF0000"/>
        <rFont val="Calibri Light"/>
        <charset val="134"/>
      </rPr>
      <t>8843</t>
    </r>
    <r>
      <rPr>
        <sz val="10"/>
        <color rgb="FFFF0000"/>
        <rFont val="宋体"/>
        <charset val="134"/>
      </rPr>
      <t>爱心</t>
    </r>
  </si>
  <si>
    <t>SY251715</t>
  </si>
  <si>
    <r>
      <rPr>
        <sz val="10"/>
        <color theme="1"/>
        <rFont val="Calibri Light"/>
        <charset val="134"/>
      </rPr>
      <t>8843</t>
    </r>
    <r>
      <rPr>
        <sz val="10"/>
        <color theme="1"/>
        <rFont val="宋体"/>
        <charset val="134"/>
      </rPr>
      <t>爱心</t>
    </r>
  </si>
  <si>
    <r>
      <rPr>
        <sz val="10"/>
        <color rgb="FFFF0000"/>
        <rFont val="Calibri Light"/>
        <charset val="134"/>
      </rPr>
      <t>8872</t>
    </r>
    <r>
      <rPr>
        <sz val="10"/>
        <color rgb="FFFF0000"/>
        <rFont val="宋体"/>
        <charset val="134"/>
      </rPr>
      <t>几何图形</t>
    </r>
  </si>
  <si>
    <t>SY251716</t>
  </si>
  <si>
    <r>
      <rPr>
        <sz val="10"/>
        <color theme="1"/>
        <rFont val="Calibri Light"/>
        <charset val="134"/>
      </rPr>
      <t>8872</t>
    </r>
    <r>
      <rPr>
        <sz val="10"/>
        <color theme="1"/>
        <rFont val="宋体"/>
        <charset val="134"/>
      </rPr>
      <t>几何图形</t>
    </r>
  </si>
  <si>
    <r>
      <rPr>
        <sz val="10"/>
        <color rgb="FFFF0000"/>
        <rFont val="Calibri Light"/>
        <charset val="134"/>
      </rPr>
      <t>9903</t>
    </r>
    <r>
      <rPr>
        <sz val="10"/>
        <color rgb="FFFF0000"/>
        <rFont val="宋体"/>
        <charset val="134"/>
      </rPr>
      <t>小雪花</t>
    </r>
  </si>
  <si>
    <t>SY251717</t>
  </si>
  <si>
    <r>
      <rPr>
        <sz val="10"/>
        <color theme="1"/>
        <rFont val="Calibri Light"/>
        <charset val="134"/>
      </rPr>
      <t>9903</t>
    </r>
    <r>
      <rPr>
        <sz val="10"/>
        <color theme="1"/>
        <rFont val="宋体"/>
        <charset val="134"/>
      </rPr>
      <t>小雪花</t>
    </r>
  </si>
  <si>
    <r>
      <rPr>
        <sz val="10"/>
        <color rgb="FFFF0000"/>
        <rFont val="Calibri Light"/>
        <charset val="134"/>
      </rPr>
      <t>8838</t>
    </r>
    <r>
      <rPr>
        <sz val="10"/>
        <color rgb="FFFF0000"/>
        <rFont val="宋体"/>
        <charset val="134"/>
      </rPr>
      <t>油菜花</t>
    </r>
  </si>
  <si>
    <t>SY251718</t>
  </si>
  <si>
    <r>
      <rPr>
        <sz val="10"/>
        <color theme="1"/>
        <rFont val="Calibri Light"/>
        <charset val="134"/>
      </rPr>
      <t>8838</t>
    </r>
    <r>
      <rPr>
        <sz val="10"/>
        <color theme="1"/>
        <rFont val="宋体"/>
        <charset val="134"/>
      </rPr>
      <t>油菜花</t>
    </r>
  </si>
  <si>
    <r>
      <rPr>
        <sz val="10"/>
        <color rgb="FFFF0000"/>
        <rFont val="Calibri Light"/>
        <charset val="134"/>
      </rPr>
      <t>8829-</t>
    </r>
    <r>
      <rPr>
        <sz val="10"/>
        <color rgb="FFFF0000"/>
        <rFont val="宋体"/>
        <charset val="134"/>
      </rPr>
      <t>朵花</t>
    </r>
  </si>
  <si>
    <t>SY251719</t>
  </si>
  <si>
    <r>
      <rPr>
        <sz val="10"/>
        <color theme="1"/>
        <rFont val="Calibri Light"/>
        <charset val="134"/>
      </rPr>
      <t>8829-</t>
    </r>
    <r>
      <rPr>
        <sz val="10"/>
        <color theme="1"/>
        <rFont val="宋体"/>
        <charset val="134"/>
      </rPr>
      <t>朵花</t>
    </r>
  </si>
  <si>
    <t>SY251720</t>
  </si>
  <si>
    <r>
      <rPr>
        <sz val="10"/>
        <color rgb="FFFF0000"/>
        <rFont val="Calibri Light"/>
        <charset val="134"/>
      </rPr>
      <t>8861</t>
    </r>
    <r>
      <rPr>
        <sz val="10"/>
        <color rgb="FFFF0000"/>
        <rFont val="宋体"/>
        <charset val="134"/>
      </rPr>
      <t>向阳花</t>
    </r>
  </si>
  <si>
    <t>SY251721</t>
  </si>
  <si>
    <r>
      <rPr>
        <sz val="10"/>
        <color theme="1"/>
        <rFont val="Calibri Light"/>
        <charset val="134"/>
      </rPr>
      <t>8861</t>
    </r>
    <r>
      <rPr>
        <sz val="10"/>
        <color theme="1"/>
        <rFont val="宋体"/>
        <charset val="134"/>
      </rPr>
      <t>向阳花</t>
    </r>
  </si>
  <si>
    <r>
      <rPr>
        <sz val="10"/>
        <color rgb="FFFF0000"/>
        <rFont val="Calibri Light"/>
        <charset val="134"/>
      </rPr>
      <t>9908</t>
    </r>
    <r>
      <rPr>
        <sz val="10"/>
        <color rgb="FFFF0000"/>
        <rFont val="宋体"/>
        <charset val="134"/>
      </rPr>
      <t>满地花</t>
    </r>
  </si>
  <si>
    <t>SY251722</t>
  </si>
  <si>
    <r>
      <rPr>
        <sz val="10"/>
        <color theme="1"/>
        <rFont val="Calibri Light"/>
        <charset val="134"/>
      </rPr>
      <t>9908</t>
    </r>
    <r>
      <rPr>
        <sz val="10"/>
        <color theme="1"/>
        <rFont val="宋体"/>
        <charset val="134"/>
      </rPr>
      <t>满地花</t>
    </r>
  </si>
  <si>
    <r>
      <rPr>
        <sz val="10"/>
        <color rgb="FFFF0000"/>
        <rFont val="Calibri Light"/>
        <charset val="134"/>
      </rPr>
      <t>8855</t>
    </r>
    <r>
      <rPr>
        <sz val="10"/>
        <color rgb="FFFF0000"/>
        <rFont val="宋体"/>
        <charset val="134"/>
      </rPr>
      <t>海胆花</t>
    </r>
  </si>
  <si>
    <t>SY251723</t>
  </si>
  <si>
    <r>
      <rPr>
        <sz val="10"/>
        <color theme="1"/>
        <rFont val="Calibri Light"/>
        <charset val="134"/>
      </rPr>
      <t>8855</t>
    </r>
    <r>
      <rPr>
        <sz val="10"/>
        <color theme="1"/>
        <rFont val="宋体"/>
        <charset val="134"/>
      </rPr>
      <t>海胆花</t>
    </r>
  </si>
  <si>
    <r>
      <rPr>
        <sz val="10"/>
        <color rgb="FFFF0000"/>
        <rFont val="Calibri Light"/>
        <charset val="134"/>
      </rPr>
      <t>88103</t>
    </r>
    <r>
      <rPr>
        <sz val="10"/>
        <color rgb="FFFF0000"/>
        <rFont val="宋体"/>
        <charset val="134"/>
      </rPr>
      <t>回字格</t>
    </r>
  </si>
  <si>
    <t>SY251724</t>
  </si>
  <si>
    <r>
      <rPr>
        <sz val="10"/>
        <color theme="1"/>
        <rFont val="Calibri Light"/>
        <charset val="134"/>
      </rPr>
      <t>88103</t>
    </r>
    <r>
      <rPr>
        <sz val="10"/>
        <color theme="1"/>
        <rFont val="宋体"/>
        <charset val="134"/>
      </rPr>
      <t>回字格</t>
    </r>
  </si>
  <si>
    <r>
      <rPr>
        <sz val="10"/>
        <color rgb="FFFF0000"/>
        <rFont val="Calibri Light"/>
        <charset val="134"/>
      </rPr>
      <t>8851</t>
    </r>
    <r>
      <rPr>
        <sz val="10"/>
        <color rgb="FFFF0000"/>
        <rFont val="宋体"/>
        <charset val="134"/>
      </rPr>
      <t>海星花</t>
    </r>
  </si>
  <si>
    <t>SY251725</t>
  </si>
  <si>
    <r>
      <rPr>
        <sz val="10"/>
        <color theme="1"/>
        <rFont val="Calibri Light"/>
        <charset val="134"/>
      </rPr>
      <t>8851</t>
    </r>
    <r>
      <rPr>
        <sz val="10"/>
        <color theme="1"/>
        <rFont val="宋体"/>
        <charset val="134"/>
      </rPr>
      <t>海星花</t>
    </r>
  </si>
  <si>
    <r>
      <rPr>
        <sz val="10"/>
        <color rgb="FFFF0000"/>
        <rFont val="Calibri Light"/>
        <charset val="134"/>
      </rPr>
      <t>8852</t>
    </r>
    <r>
      <rPr>
        <sz val="10"/>
        <color rgb="FFFF0000"/>
        <rFont val="宋体"/>
        <charset val="134"/>
      </rPr>
      <t>大花</t>
    </r>
  </si>
  <si>
    <t>SY251726</t>
  </si>
  <si>
    <r>
      <rPr>
        <sz val="10"/>
        <color theme="1"/>
        <rFont val="Calibri Light"/>
        <charset val="134"/>
      </rPr>
      <t>8852</t>
    </r>
    <r>
      <rPr>
        <sz val="10"/>
        <color theme="1"/>
        <rFont val="宋体"/>
        <charset val="134"/>
      </rPr>
      <t>大花</t>
    </r>
  </si>
  <si>
    <r>
      <rPr>
        <sz val="10"/>
        <color rgb="FFFF0000"/>
        <rFont val="Calibri Light"/>
        <charset val="134"/>
      </rPr>
      <t>8850</t>
    </r>
    <r>
      <rPr>
        <sz val="10"/>
        <color rgb="FFFF0000"/>
        <rFont val="宋体"/>
        <charset val="134"/>
      </rPr>
      <t>大月季</t>
    </r>
  </si>
  <si>
    <t>SY251727</t>
  </si>
  <si>
    <r>
      <rPr>
        <sz val="10"/>
        <color theme="1"/>
        <rFont val="Calibri Light"/>
        <charset val="134"/>
      </rPr>
      <t>8850</t>
    </r>
    <r>
      <rPr>
        <sz val="10"/>
        <color theme="1"/>
        <rFont val="宋体"/>
        <charset val="134"/>
      </rPr>
      <t>大月季</t>
    </r>
  </si>
  <si>
    <r>
      <rPr>
        <sz val="10"/>
        <color rgb="FFFF0000"/>
        <rFont val="Calibri Light"/>
        <charset val="134"/>
      </rPr>
      <t>8856</t>
    </r>
    <r>
      <rPr>
        <sz val="10"/>
        <color rgb="FFFF0000"/>
        <rFont val="宋体"/>
        <charset val="134"/>
      </rPr>
      <t>小草花</t>
    </r>
  </si>
  <si>
    <t>SY251728</t>
  </si>
  <si>
    <r>
      <rPr>
        <sz val="10"/>
        <color theme="1"/>
        <rFont val="Calibri Light"/>
        <charset val="134"/>
      </rPr>
      <t>8856</t>
    </r>
    <r>
      <rPr>
        <sz val="10"/>
        <color theme="1"/>
        <rFont val="宋体"/>
        <charset val="134"/>
      </rPr>
      <t>小草花</t>
    </r>
  </si>
  <si>
    <r>
      <rPr>
        <sz val="10"/>
        <color rgb="FFFF0000"/>
        <rFont val="Calibri Light"/>
        <charset val="134"/>
      </rPr>
      <t>8845</t>
    </r>
    <r>
      <rPr>
        <sz val="10"/>
        <color rgb="FFFF0000"/>
        <rFont val="宋体"/>
        <charset val="134"/>
      </rPr>
      <t>新玫瑰</t>
    </r>
  </si>
  <si>
    <t>SY251729</t>
  </si>
  <si>
    <r>
      <rPr>
        <sz val="10"/>
        <color theme="1"/>
        <rFont val="Calibri Light"/>
        <charset val="134"/>
      </rPr>
      <t>8845</t>
    </r>
    <r>
      <rPr>
        <sz val="10"/>
        <color theme="1"/>
        <rFont val="宋体"/>
        <charset val="134"/>
      </rPr>
      <t>新玫瑰</t>
    </r>
  </si>
  <si>
    <r>
      <rPr>
        <sz val="10"/>
        <color rgb="FFFF0000"/>
        <rFont val="Calibri Light"/>
        <charset val="134"/>
      </rPr>
      <t>88104</t>
    </r>
    <r>
      <rPr>
        <sz val="10"/>
        <color rgb="FFFF0000"/>
        <rFont val="宋体"/>
        <charset val="134"/>
      </rPr>
      <t>海棠花</t>
    </r>
  </si>
  <si>
    <t>SY251730</t>
  </si>
  <si>
    <r>
      <rPr>
        <sz val="10"/>
        <color theme="1"/>
        <rFont val="Calibri Light"/>
        <charset val="134"/>
      </rPr>
      <t>88104</t>
    </r>
    <r>
      <rPr>
        <sz val="10"/>
        <color theme="1"/>
        <rFont val="宋体"/>
        <charset val="134"/>
      </rPr>
      <t>海棠花</t>
    </r>
  </si>
  <si>
    <r>
      <rPr>
        <sz val="10"/>
        <color rgb="FFFF0000"/>
        <rFont val="Calibri Light"/>
        <charset val="134"/>
      </rPr>
      <t>88105</t>
    </r>
    <r>
      <rPr>
        <sz val="10"/>
        <color rgb="FFFF0000"/>
        <rFont val="宋体"/>
        <charset val="134"/>
      </rPr>
      <t>富贵花</t>
    </r>
  </si>
  <si>
    <t>SY251731</t>
  </si>
  <si>
    <r>
      <rPr>
        <sz val="10"/>
        <color theme="1"/>
        <rFont val="Calibri Light"/>
        <charset val="134"/>
      </rPr>
      <t>88105</t>
    </r>
    <r>
      <rPr>
        <sz val="10"/>
        <color theme="1"/>
        <rFont val="宋体"/>
        <charset val="134"/>
      </rPr>
      <t>富贵花</t>
    </r>
  </si>
  <si>
    <r>
      <rPr>
        <sz val="10"/>
        <color rgb="FFFF0000"/>
        <rFont val="Calibri Light"/>
        <charset val="134"/>
      </rPr>
      <t>88106</t>
    </r>
    <r>
      <rPr>
        <sz val="10"/>
        <color rgb="FFFF0000"/>
        <rFont val="宋体"/>
        <charset val="134"/>
      </rPr>
      <t>秋菊</t>
    </r>
  </si>
  <si>
    <t>SY251732</t>
  </si>
  <si>
    <r>
      <rPr>
        <sz val="10"/>
        <color theme="1"/>
        <rFont val="Calibri Light"/>
        <charset val="134"/>
      </rPr>
      <t>88106</t>
    </r>
    <r>
      <rPr>
        <sz val="10"/>
        <color theme="1"/>
        <rFont val="宋体"/>
        <charset val="134"/>
      </rPr>
      <t>秋菊</t>
    </r>
  </si>
  <si>
    <r>
      <rPr>
        <sz val="10"/>
        <color rgb="FFFF0000"/>
        <rFont val="Calibri Light"/>
        <charset val="134"/>
      </rPr>
      <t>9915</t>
    </r>
    <r>
      <rPr>
        <sz val="10"/>
        <color rgb="FFFF0000"/>
        <rFont val="宋体"/>
        <charset val="134"/>
      </rPr>
      <t>贝母玫瑰</t>
    </r>
  </si>
  <si>
    <t>SY251733</t>
  </si>
  <si>
    <r>
      <rPr>
        <sz val="10"/>
        <color theme="1"/>
        <rFont val="Calibri Light"/>
        <charset val="134"/>
      </rPr>
      <t>9915</t>
    </r>
    <r>
      <rPr>
        <sz val="10"/>
        <color theme="1"/>
        <rFont val="宋体"/>
        <charset val="134"/>
      </rPr>
      <t>贝母玫瑰</t>
    </r>
  </si>
  <si>
    <t>SY251734</t>
  </si>
  <si>
    <r>
      <rPr>
        <sz val="10"/>
        <color rgb="FFFF0000"/>
        <rFont val="Calibri Light"/>
        <charset val="134"/>
      </rPr>
      <t>88102</t>
    </r>
    <r>
      <rPr>
        <sz val="10"/>
        <color rgb="FFFF0000"/>
        <rFont val="宋体"/>
        <charset val="134"/>
      </rPr>
      <t>水纹花</t>
    </r>
  </si>
  <si>
    <t>SY251735</t>
  </si>
  <si>
    <r>
      <rPr>
        <sz val="10"/>
        <color theme="1"/>
        <rFont val="Calibri Light"/>
        <charset val="134"/>
      </rPr>
      <t>88102</t>
    </r>
    <r>
      <rPr>
        <sz val="10"/>
        <color theme="1"/>
        <rFont val="宋体"/>
        <charset val="134"/>
      </rPr>
      <t>水纹花</t>
    </r>
  </si>
  <si>
    <r>
      <rPr>
        <sz val="10"/>
        <color rgb="FFFF0000"/>
        <rFont val="Calibri Light"/>
        <charset val="134"/>
      </rPr>
      <t>7701</t>
    </r>
    <r>
      <rPr>
        <sz val="10"/>
        <color rgb="FFFF0000"/>
        <rFont val="宋体"/>
        <charset val="134"/>
      </rPr>
      <t>水莲花</t>
    </r>
  </si>
  <si>
    <t>SY251736</t>
  </si>
  <si>
    <t>100%仿人丝</t>
  </si>
  <si>
    <t>100%Viscose</t>
  </si>
  <si>
    <r>
      <rPr>
        <sz val="10"/>
        <color theme="1"/>
        <rFont val="Calibri Light"/>
        <charset val="134"/>
      </rPr>
      <t>7701</t>
    </r>
    <r>
      <rPr>
        <sz val="10"/>
        <color theme="1"/>
        <rFont val="宋体"/>
        <charset val="134"/>
      </rPr>
      <t>水莲花</t>
    </r>
  </si>
  <si>
    <r>
      <rPr>
        <sz val="10"/>
        <color rgb="FFFF0000"/>
        <rFont val="Calibri Light"/>
        <charset val="134"/>
      </rPr>
      <t>7708</t>
    </r>
    <r>
      <rPr>
        <sz val="10"/>
        <color rgb="FFFF0000"/>
        <rFont val="宋体"/>
        <charset val="134"/>
      </rPr>
      <t>烟花</t>
    </r>
  </si>
  <si>
    <t>SY251737</t>
  </si>
  <si>
    <r>
      <rPr>
        <sz val="10"/>
        <color theme="1"/>
        <rFont val="Calibri Light"/>
        <charset val="134"/>
      </rPr>
      <t>7708</t>
    </r>
    <r>
      <rPr>
        <sz val="10"/>
        <color theme="1"/>
        <rFont val="宋体"/>
        <charset val="134"/>
      </rPr>
      <t>烟花</t>
    </r>
  </si>
  <si>
    <r>
      <rPr>
        <sz val="10"/>
        <color rgb="FFFF0000"/>
        <rFont val="Calibri Light"/>
        <charset val="134"/>
      </rPr>
      <t>7709</t>
    </r>
    <r>
      <rPr>
        <sz val="10"/>
        <color rgb="FFFF0000"/>
        <rFont val="宋体"/>
        <charset val="134"/>
      </rPr>
      <t>藤蔓</t>
    </r>
  </si>
  <si>
    <t>SY251738</t>
  </si>
  <si>
    <r>
      <rPr>
        <sz val="10"/>
        <color theme="1"/>
        <rFont val="Calibri Light"/>
        <charset val="134"/>
      </rPr>
      <t>7709</t>
    </r>
    <r>
      <rPr>
        <sz val="10"/>
        <color theme="1"/>
        <rFont val="宋体"/>
        <charset val="134"/>
      </rPr>
      <t>藤蔓</t>
    </r>
  </si>
  <si>
    <r>
      <rPr>
        <sz val="10"/>
        <color rgb="FFFF0000"/>
        <rFont val="Calibri Light"/>
        <charset val="134"/>
      </rPr>
      <t>7712</t>
    </r>
    <r>
      <rPr>
        <sz val="10"/>
        <color rgb="FFFF0000"/>
        <rFont val="宋体"/>
        <charset val="134"/>
      </rPr>
      <t>腰果花</t>
    </r>
  </si>
  <si>
    <t>SY251739</t>
  </si>
  <si>
    <r>
      <rPr>
        <sz val="10"/>
        <color theme="1"/>
        <rFont val="Calibri Light"/>
        <charset val="134"/>
      </rPr>
      <t>7712</t>
    </r>
    <r>
      <rPr>
        <sz val="10"/>
        <color theme="1"/>
        <rFont val="宋体"/>
        <charset val="134"/>
      </rPr>
      <t>腰果花</t>
    </r>
  </si>
  <si>
    <r>
      <rPr>
        <sz val="10"/>
        <color rgb="FFFF0000"/>
        <rFont val="Calibri Light"/>
        <charset val="134"/>
      </rPr>
      <t>8853</t>
    </r>
    <r>
      <rPr>
        <sz val="10"/>
        <color rgb="FFFF0000"/>
        <rFont val="宋体"/>
        <charset val="134"/>
      </rPr>
      <t>多肉植物</t>
    </r>
  </si>
  <si>
    <t>SY251740</t>
  </si>
  <si>
    <r>
      <rPr>
        <sz val="10"/>
        <color theme="1"/>
        <rFont val="Calibri Light"/>
        <charset val="134"/>
      </rPr>
      <t>8853</t>
    </r>
    <r>
      <rPr>
        <sz val="10"/>
        <color theme="1"/>
        <rFont val="宋体"/>
        <charset val="134"/>
      </rPr>
      <t>多肉植物</t>
    </r>
  </si>
  <si>
    <t>SY251741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</si>
  <si>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涤纶3%氨纶</t>
    </r>
  </si>
  <si>
    <r>
      <rPr>
        <sz val="10"/>
        <color rgb="FFFF0000"/>
        <rFont val="Calibri Light"/>
        <charset val="134"/>
      </rPr>
      <t>6848</t>
    </r>
    <r>
      <rPr>
        <sz val="10"/>
        <color rgb="FFFF0000"/>
        <rFont val="宋体"/>
        <charset val="134"/>
      </rPr>
      <t>钢铁条</t>
    </r>
  </si>
  <si>
    <t>SY251742</t>
  </si>
  <si>
    <r>
      <rPr>
        <sz val="10"/>
        <color theme="1"/>
        <rFont val="Calibri Light"/>
        <charset val="134"/>
      </rPr>
      <t>6848</t>
    </r>
    <r>
      <rPr>
        <sz val="10"/>
        <color theme="1"/>
        <rFont val="宋体"/>
        <charset val="134"/>
      </rPr>
      <t>钢铁条</t>
    </r>
  </si>
  <si>
    <t>SY251743</t>
  </si>
  <si>
    <r>
      <rPr>
        <sz val="10"/>
        <color rgb="FFFF0000"/>
        <rFont val="Calibri Light"/>
        <charset val="134"/>
      </rPr>
      <t>6801</t>
    </r>
    <r>
      <rPr>
        <sz val="10"/>
        <color rgb="FFFF0000"/>
        <rFont val="宋体"/>
        <charset val="134"/>
      </rPr>
      <t>小碎花</t>
    </r>
  </si>
  <si>
    <t>SY251744</t>
  </si>
  <si>
    <r>
      <rPr>
        <sz val="10"/>
        <color theme="1"/>
        <rFont val="Calibri Light"/>
        <charset val="134"/>
      </rPr>
      <t>6801</t>
    </r>
    <r>
      <rPr>
        <sz val="10"/>
        <color theme="1"/>
        <rFont val="宋体"/>
        <charset val="134"/>
      </rPr>
      <t>小碎花</t>
    </r>
  </si>
  <si>
    <t>SY251745</t>
  </si>
  <si>
    <r>
      <rPr>
        <sz val="10"/>
        <color rgb="FFFF0000"/>
        <rFont val="Calibri Light"/>
        <charset val="134"/>
      </rPr>
      <t>6805</t>
    </r>
    <r>
      <rPr>
        <sz val="10"/>
        <color rgb="FFFF0000"/>
        <rFont val="宋体"/>
        <charset val="134"/>
      </rPr>
      <t>流星花</t>
    </r>
  </si>
  <si>
    <t>SY251746</t>
  </si>
  <si>
    <r>
      <rPr>
        <sz val="10"/>
        <color theme="1"/>
        <rFont val="Calibri Light"/>
        <charset val="134"/>
      </rPr>
      <t>6805</t>
    </r>
    <r>
      <rPr>
        <sz val="10"/>
        <color theme="1"/>
        <rFont val="宋体"/>
        <charset val="134"/>
      </rPr>
      <t>流星花</t>
    </r>
  </si>
  <si>
    <r>
      <rPr>
        <sz val="10"/>
        <color rgb="FFFF0000"/>
        <rFont val="Calibri Light"/>
        <charset val="134"/>
      </rPr>
      <t>6820</t>
    </r>
    <r>
      <rPr>
        <sz val="10"/>
        <color rgb="FFFF0000"/>
        <rFont val="宋体"/>
        <charset val="134"/>
      </rPr>
      <t>巴黎条</t>
    </r>
  </si>
  <si>
    <t>SY251747</t>
  </si>
  <si>
    <r>
      <rPr>
        <sz val="10"/>
        <color theme="1"/>
        <rFont val="Calibri Light"/>
        <charset val="134"/>
      </rPr>
      <t>6820</t>
    </r>
    <r>
      <rPr>
        <sz val="10"/>
        <color theme="1"/>
        <rFont val="宋体"/>
        <charset val="134"/>
      </rPr>
      <t>巴黎条</t>
    </r>
  </si>
  <si>
    <r>
      <rPr>
        <sz val="10"/>
        <color rgb="FFFF0000"/>
        <rFont val="Calibri Light"/>
        <charset val="134"/>
      </rPr>
      <t>6830</t>
    </r>
    <r>
      <rPr>
        <sz val="10"/>
        <color rgb="FFFF0000"/>
        <rFont val="宋体"/>
        <charset val="134"/>
      </rPr>
      <t>小星星</t>
    </r>
  </si>
  <si>
    <t>SY251748</t>
  </si>
  <si>
    <r>
      <rPr>
        <sz val="10"/>
        <color theme="1"/>
        <rFont val="Calibri Light"/>
        <charset val="134"/>
      </rPr>
      <t>6830</t>
    </r>
    <r>
      <rPr>
        <sz val="10"/>
        <color theme="1"/>
        <rFont val="宋体"/>
        <charset val="134"/>
      </rPr>
      <t>小星星</t>
    </r>
  </si>
  <si>
    <r>
      <rPr>
        <sz val="10"/>
        <color rgb="FFFF0000"/>
        <rFont val="Calibri Light"/>
        <charset val="134"/>
      </rPr>
      <t>6808</t>
    </r>
    <r>
      <rPr>
        <sz val="10"/>
        <color rgb="FFFF0000"/>
        <rFont val="宋体"/>
        <charset val="134"/>
      </rPr>
      <t>字母</t>
    </r>
  </si>
  <si>
    <t>SY251749</t>
  </si>
  <si>
    <r>
      <rPr>
        <sz val="10"/>
        <color theme="1"/>
        <rFont val="Calibri Light"/>
        <charset val="134"/>
      </rPr>
      <t>6808</t>
    </r>
    <r>
      <rPr>
        <sz val="10"/>
        <color theme="1"/>
        <rFont val="宋体"/>
        <charset val="134"/>
      </rPr>
      <t>字母</t>
    </r>
  </si>
  <si>
    <t>SY251750</t>
  </si>
  <si>
    <r>
      <rPr>
        <sz val="10"/>
        <color rgb="FFFF0000"/>
        <rFont val="Calibri Light"/>
        <charset val="134"/>
      </rPr>
      <t>6818</t>
    </r>
    <r>
      <rPr>
        <sz val="10"/>
        <color rgb="FFFF0000"/>
        <rFont val="宋体"/>
        <charset val="134"/>
      </rPr>
      <t>双菊花</t>
    </r>
  </si>
  <si>
    <t>SY251751</t>
  </si>
  <si>
    <r>
      <rPr>
        <sz val="10"/>
        <color theme="1"/>
        <rFont val="Calibri Light"/>
        <charset val="134"/>
      </rPr>
      <t>6818</t>
    </r>
    <r>
      <rPr>
        <sz val="10"/>
        <color theme="1"/>
        <rFont val="宋体"/>
        <charset val="134"/>
      </rPr>
      <t>双菊花</t>
    </r>
  </si>
  <si>
    <t>SY251752</t>
  </si>
  <si>
    <t>1501-1506</t>
  </si>
  <si>
    <t>SY251753</t>
  </si>
  <si>
    <t>SY251754</t>
  </si>
  <si>
    <r>
      <rPr>
        <sz val="10"/>
        <color rgb="FFFF0000"/>
        <rFont val="Calibri Light"/>
        <charset val="134"/>
      </rPr>
      <t>6810</t>
    </r>
    <r>
      <rPr>
        <sz val="10"/>
        <color rgb="FFFF0000"/>
        <rFont val="宋体"/>
        <charset val="134"/>
      </rPr>
      <t>小雏菊</t>
    </r>
  </si>
  <si>
    <t>SY251755</t>
  </si>
  <si>
    <r>
      <rPr>
        <sz val="10"/>
        <color theme="1"/>
        <rFont val="Calibri Light"/>
        <charset val="134"/>
      </rPr>
      <t>6810</t>
    </r>
    <r>
      <rPr>
        <sz val="10"/>
        <color theme="1"/>
        <rFont val="宋体"/>
        <charset val="134"/>
      </rPr>
      <t>小雏菊</t>
    </r>
  </si>
  <si>
    <r>
      <rPr>
        <sz val="10"/>
        <color rgb="FFFF0000"/>
        <rFont val="Calibri Light"/>
        <charset val="134"/>
      </rPr>
      <t>6809</t>
    </r>
    <r>
      <rPr>
        <sz val="10"/>
        <color rgb="FFFF0000"/>
        <rFont val="宋体"/>
        <charset val="134"/>
      </rPr>
      <t>葫芦花</t>
    </r>
  </si>
  <si>
    <t>SY251756</t>
  </si>
  <si>
    <r>
      <rPr>
        <sz val="10"/>
        <color theme="1"/>
        <rFont val="Calibri Light"/>
        <charset val="134"/>
      </rPr>
      <t>6809</t>
    </r>
    <r>
      <rPr>
        <sz val="10"/>
        <color theme="1"/>
        <rFont val="宋体"/>
        <charset val="134"/>
      </rPr>
      <t>葫芦花</t>
    </r>
  </si>
  <si>
    <r>
      <rPr>
        <sz val="10"/>
        <color rgb="FFFF0000"/>
        <rFont val="Calibri Light"/>
        <charset val="134"/>
      </rPr>
      <t>6840</t>
    </r>
    <r>
      <rPr>
        <sz val="10"/>
        <color rgb="FFFF0000"/>
        <rFont val="宋体"/>
        <charset val="134"/>
      </rPr>
      <t>蓝蝴蝶花</t>
    </r>
  </si>
  <si>
    <t>SY251757</t>
  </si>
  <si>
    <r>
      <rPr>
        <sz val="10"/>
        <color theme="1"/>
        <rFont val="Calibri Light"/>
        <charset val="134"/>
      </rPr>
      <t>6840</t>
    </r>
    <r>
      <rPr>
        <sz val="10"/>
        <color theme="1"/>
        <rFont val="宋体"/>
        <charset val="134"/>
      </rPr>
      <t>蓝蝴蝶花</t>
    </r>
  </si>
  <si>
    <r>
      <rPr>
        <sz val="10"/>
        <color rgb="FFFF0000"/>
        <rFont val="Calibri Light"/>
        <charset val="134"/>
      </rPr>
      <t>6849</t>
    </r>
    <r>
      <rPr>
        <sz val="10"/>
        <color rgb="FFFF0000"/>
        <rFont val="宋体"/>
        <charset val="134"/>
      </rPr>
      <t>爱心格</t>
    </r>
  </si>
  <si>
    <t>SY251758</t>
  </si>
  <si>
    <r>
      <rPr>
        <sz val="10"/>
        <color theme="1"/>
        <rFont val="Calibri Light"/>
        <charset val="134"/>
      </rPr>
      <t>6849</t>
    </r>
    <r>
      <rPr>
        <sz val="10"/>
        <color theme="1"/>
        <rFont val="宋体"/>
        <charset val="134"/>
      </rPr>
      <t>爱心格</t>
    </r>
  </si>
  <si>
    <t>SY251759</t>
  </si>
  <si>
    <t>SY251760</t>
  </si>
  <si>
    <r>
      <rPr>
        <sz val="10"/>
        <color rgb="FFFF0000"/>
        <rFont val="Calibri Light"/>
        <charset val="134"/>
      </rPr>
      <t>6853</t>
    </r>
    <r>
      <rPr>
        <sz val="10"/>
        <color rgb="FFFF0000"/>
        <rFont val="宋体"/>
        <charset val="134"/>
      </rPr>
      <t>海藻花</t>
    </r>
  </si>
  <si>
    <t>SY251761</t>
  </si>
  <si>
    <r>
      <rPr>
        <sz val="10"/>
        <color theme="1"/>
        <rFont val="Calibri Light"/>
        <charset val="134"/>
      </rPr>
      <t>6853</t>
    </r>
    <r>
      <rPr>
        <sz val="10"/>
        <color theme="1"/>
        <rFont val="宋体"/>
        <charset val="134"/>
      </rPr>
      <t>海藻花</t>
    </r>
  </si>
  <si>
    <r>
      <rPr>
        <sz val="10"/>
        <color rgb="FFFF0000"/>
        <rFont val="Calibri Light"/>
        <charset val="134"/>
      </rPr>
      <t>6843</t>
    </r>
    <r>
      <rPr>
        <sz val="10"/>
        <color rgb="FFFF0000"/>
        <rFont val="宋体"/>
        <charset val="134"/>
      </rPr>
      <t>小星星</t>
    </r>
  </si>
  <si>
    <t>SY251762</t>
  </si>
  <si>
    <r>
      <rPr>
        <sz val="10"/>
        <color theme="1"/>
        <rFont val="Calibri Light"/>
        <charset val="134"/>
      </rPr>
      <t>6843</t>
    </r>
    <r>
      <rPr>
        <sz val="10"/>
        <color theme="1"/>
        <rFont val="宋体"/>
        <charset val="134"/>
      </rPr>
      <t>小星星</t>
    </r>
  </si>
  <si>
    <t>褶裥</t>
  </si>
  <si>
    <t>2444#</t>
  </si>
  <si>
    <t>SY251763</t>
  </si>
  <si>
    <r>
      <rPr>
        <sz val="10"/>
        <color theme="1"/>
        <rFont val="Calibri Light"/>
        <charset val="134"/>
      </rPr>
      <t>IU</t>
    </r>
    <r>
      <rPr>
        <sz val="10"/>
        <color theme="1"/>
        <rFont val="宋体"/>
        <charset val="134"/>
      </rPr>
      <t>纺织</t>
    </r>
  </si>
  <si>
    <t>2442#</t>
  </si>
  <si>
    <t>SY251764</t>
  </si>
  <si>
    <t>2443#</t>
  </si>
  <si>
    <t>SY251765</t>
  </si>
  <si>
    <t>2531#</t>
  </si>
  <si>
    <t>SY251766</t>
  </si>
  <si>
    <t>83%涤纶 15%人棉 2%氨纶</t>
  </si>
  <si>
    <t>83%POLY15%R2%SP</t>
  </si>
  <si>
    <t>2530#</t>
  </si>
  <si>
    <t>SY251767</t>
  </si>
  <si>
    <t>2511#</t>
  </si>
  <si>
    <t>SY251768</t>
  </si>
  <si>
    <t>2506#</t>
  </si>
  <si>
    <t>SY251769</t>
  </si>
  <si>
    <t>2505#</t>
  </si>
  <si>
    <t>SY251770</t>
  </si>
  <si>
    <t>SY251771</t>
  </si>
  <si>
    <t>2398#</t>
  </si>
  <si>
    <t>SY251772</t>
  </si>
  <si>
    <t>2396#</t>
  </si>
  <si>
    <t>SY251773</t>
  </si>
  <si>
    <t>2425#</t>
  </si>
  <si>
    <t>SY251774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</si>
  <si>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</si>
  <si>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65%BCI COTTON 33%NYLON2%SP</t>
  </si>
  <si>
    <t>2395#</t>
  </si>
  <si>
    <t>SY251775</t>
  </si>
  <si>
    <t>2419#</t>
  </si>
  <si>
    <t>SY251776</t>
  </si>
  <si>
    <t>2414#</t>
  </si>
  <si>
    <t>SY251777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</si>
  <si>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氨纶</t>
    </r>
  </si>
  <si>
    <t>90%Recycle POLY10%SP</t>
  </si>
  <si>
    <t>2393#</t>
  </si>
  <si>
    <t>SY251778</t>
  </si>
  <si>
    <t>SY251779</t>
  </si>
  <si>
    <t>2439#</t>
  </si>
  <si>
    <t>SY251780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</si>
  <si>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麻</t>
    </r>
  </si>
  <si>
    <t>2410#</t>
  </si>
  <si>
    <t>SY251781</t>
  </si>
  <si>
    <t>2387#</t>
  </si>
  <si>
    <t>SY251782</t>
  </si>
  <si>
    <r>
      <rPr>
        <sz val="10"/>
        <color theme="1"/>
        <rFont val="Calibri Light"/>
        <charset val="134"/>
      </rPr>
      <t>98%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</si>
  <si>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2529#</t>
  </si>
  <si>
    <t>SY251783</t>
  </si>
  <si>
    <t>2451#</t>
  </si>
  <si>
    <t>SY251784</t>
  </si>
  <si>
    <t>2448#</t>
  </si>
  <si>
    <t>SY251785</t>
  </si>
  <si>
    <t>2446#</t>
  </si>
  <si>
    <t>SY251786</t>
  </si>
  <si>
    <t>2431#</t>
  </si>
  <si>
    <t>SY251787</t>
  </si>
  <si>
    <t>2429#</t>
  </si>
  <si>
    <t>SY251788</t>
  </si>
  <si>
    <t>2403#</t>
  </si>
  <si>
    <t>SY251789</t>
  </si>
  <si>
    <t>98% Recycle POLY2%SP</t>
  </si>
  <si>
    <t>2407#</t>
  </si>
  <si>
    <t>SY251790</t>
  </si>
  <si>
    <t>2409#</t>
  </si>
  <si>
    <t>SY251791</t>
  </si>
  <si>
    <t>2386#</t>
  </si>
  <si>
    <t>SY251792</t>
  </si>
  <si>
    <t>2384#</t>
  </si>
  <si>
    <t>SY251793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</si>
  <si>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</si>
  <si>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63%POLY35%COTTON2%SP</t>
  </si>
  <si>
    <t>2381#</t>
  </si>
  <si>
    <t>SY251794</t>
  </si>
  <si>
    <t>95% POLY 5%SP</t>
  </si>
  <si>
    <t>2201#</t>
  </si>
  <si>
    <t>SY251795</t>
  </si>
  <si>
    <t>2202#</t>
  </si>
  <si>
    <t>SY251796</t>
  </si>
  <si>
    <t>2203#</t>
  </si>
  <si>
    <t>SY251797</t>
  </si>
  <si>
    <t>2204#</t>
  </si>
  <si>
    <t>SY251798</t>
  </si>
  <si>
    <t>2216#</t>
  </si>
  <si>
    <t>SY251799</t>
  </si>
  <si>
    <t>2214#</t>
  </si>
  <si>
    <t>SY251800</t>
  </si>
  <si>
    <t>2211#</t>
  </si>
  <si>
    <t>SY251801</t>
  </si>
  <si>
    <t>2236#</t>
  </si>
  <si>
    <t>SY251802</t>
  </si>
  <si>
    <t>2237#</t>
  </si>
  <si>
    <t>SY251803</t>
  </si>
  <si>
    <t>SY251804</t>
  </si>
  <si>
    <t>SY251805</t>
  </si>
  <si>
    <t>2361#</t>
  </si>
  <si>
    <t>SY251806</t>
  </si>
  <si>
    <t>2218#</t>
  </si>
  <si>
    <t>SY251807</t>
  </si>
  <si>
    <t>2244#</t>
  </si>
  <si>
    <t>SY251808</t>
  </si>
  <si>
    <r>
      <rPr>
        <sz val="10"/>
        <color theme="1"/>
        <rFont val="Calibri Light"/>
        <charset val="134"/>
      </rPr>
      <t>37%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</si>
  <si>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60%BCI COTTON 37%R3%SP</t>
  </si>
  <si>
    <t>2219#</t>
  </si>
  <si>
    <t>SY251809</t>
  </si>
  <si>
    <t>2206#</t>
  </si>
  <si>
    <t>SY251810</t>
  </si>
  <si>
    <t>94%涤 6%氨纶</t>
  </si>
  <si>
    <t>2373#</t>
  </si>
  <si>
    <t>SY251811</t>
  </si>
  <si>
    <t>2376#</t>
  </si>
  <si>
    <t>SY251812</t>
  </si>
  <si>
    <t>90%涤纶10%氨纶</t>
  </si>
  <si>
    <t>2352#</t>
  </si>
  <si>
    <t>SY251813</t>
  </si>
  <si>
    <t>60%棉35%锦纶5%氨纶</t>
  </si>
  <si>
    <t>60%BCI COTTON 30%NYLON5%SP</t>
  </si>
  <si>
    <t>2208#</t>
  </si>
  <si>
    <t>SY251814</t>
  </si>
  <si>
    <r>
      <rPr>
        <sz val="10"/>
        <color rgb="FFFF0000"/>
        <rFont val="宋体"/>
        <charset val="134"/>
      </rPr>
      <t>小孔</t>
    </r>
    <r>
      <rPr>
        <sz val="10"/>
        <color rgb="FFFF0000"/>
        <rFont val="Calibri Light"/>
        <charset val="134"/>
      </rPr>
      <t>6</t>
    </r>
    <r>
      <rPr>
        <sz val="10"/>
        <color rgb="FFFF0000"/>
        <rFont val="宋体"/>
        <charset val="134"/>
      </rPr>
      <t>厘吊片</t>
    </r>
  </si>
  <si>
    <t>SY251815</t>
  </si>
  <si>
    <t>70%棉30%涤纶</t>
  </si>
  <si>
    <r>
      <rPr>
        <sz val="10"/>
        <color theme="1"/>
        <rFont val="宋体"/>
        <charset val="134"/>
      </rPr>
      <t>小孔</t>
    </r>
    <r>
      <rPr>
        <sz val="10"/>
        <color theme="1"/>
        <rFont val="Calibri Light"/>
        <charset val="134"/>
      </rPr>
      <t>6</t>
    </r>
    <r>
      <rPr>
        <sz val="10"/>
        <color theme="1"/>
        <rFont val="宋体"/>
        <charset val="134"/>
      </rPr>
      <t>厘吊片</t>
    </r>
  </si>
  <si>
    <t>明轩泰纺织</t>
  </si>
  <si>
    <t>小孔扎染复合</t>
  </si>
  <si>
    <t>SY251816</t>
  </si>
  <si>
    <t>牛仔布</t>
  </si>
  <si>
    <t>H8121</t>
  </si>
  <si>
    <t>SY251817</t>
  </si>
  <si>
    <r>
      <rPr>
        <sz val="10"/>
        <color theme="1"/>
        <rFont val="Calibri Light"/>
        <charset val="134"/>
      </rPr>
      <t>82.5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15.3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2.2</t>
    </r>
    <r>
      <rPr>
        <sz val="10"/>
        <color theme="1"/>
        <rFont val="宋体"/>
        <charset val="134"/>
      </rPr>
      <t>氨纶</t>
    </r>
  </si>
  <si>
    <t>82.5%POLY15.3%R2.2%SP</t>
  </si>
  <si>
    <r>
      <rPr>
        <sz val="10"/>
        <color rgb="FFFF0000"/>
        <rFont val="宋体"/>
        <charset val="134"/>
      </rPr>
      <t>豹纹</t>
    </r>
    <r>
      <rPr>
        <sz val="10"/>
        <color rgb="FFFF0000"/>
        <rFont val="Calibri Light"/>
        <charset val="134"/>
      </rPr>
      <t>128</t>
    </r>
    <r>
      <rPr>
        <sz val="10"/>
        <color rgb="FFFF0000"/>
        <rFont val="宋体"/>
        <charset val="134"/>
      </rPr>
      <t>（精棉植绒）</t>
    </r>
  </si>
  <si>
    <t>SY251818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</si>
  <si>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涤纶</t>
    </r>
  </si>
  <si>
    <t>80%BCI COTTON 20%POLY</t>
  </si>
  <si>
    <r>
      <rPr>
        <sz val="10"/>
        <color theme="1"/>
        <rFont val="宋体"/>
        <charset val="134"/>
      </rPr>
      <t>豹纹</t>
    </r>
    <r>
      <rPr>
        <sz val="10"/>
        <color theme="1"/>
        <rFont val="Calibri Light"/>
        <charset val="134"/>
      </rPr>
      <t>128</t>
    </r>
    <r>
      <rPr>
        <sz val="10"/>
        <color theme="1"/>
        <rFont val="宋体"/>
        <charset val="134"/>
      </rPr>
      <t>（精棉植绒）</t>
    </r>
  </si>
  <si>
    <r>
      <rPr>
        <sz val="10"/>
        <color rgb="FFFF0000"/>
        <rFont val="Calibri Light"/>
        <charset val="134"/>
      </rPr>
      <t>H7515</t>
    </r>
    <r>
      <rPr>
        <sz val="10"/>
        <color rgb="FFFF0000"/>
        <rFont val="宋体"/>
        <charset val="134"/>
      </rPr>
      <t>（免洗仿牛）</t>
    </r>
  </si>
  <si>
    <t>SY251819</t>
  </si>
  <si>
    <r>
      <rPr>
        <sz val="10"/>
        <color theme="1"/>
        <rFont val="Calibri Light"/>
        <charset val="134"/>
      </rPr>
      <t>78.6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1.6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19.8</t>
    </r>
    <r>
      <rPr>
        <sz val="10"/>
        <color theme="1"/>
        <rFont val="宋体"/>
        <charset val="134"/>
      </rPr>
      <t>粘纤</t>
    </r>
  </si>
  <si>
    <t>78.6%POLY19.8%V1.6%SP</t>
  </si>
  <si>
    <r>
      <rPr>
        <sz val="10"/>
        <color theme="1"/>
        <rFont val="Calibri Light"/>
        <charset val="134"/>
      </rPr>
      <t>H7515</t>
    </r>
    <r>
      <rPr>
        <sz val="10"/>
        <color theme="1"/>
        <rFont val="宋体"/>
        <charset val="134"/>
      </rPr>
      <t>（免洗仿牛）</t>
    </r>
  </si>
  <si>
    <r>
      <rPr>
        <sz val="10"/>
        <color rgb="FFFF0000"/>
        <rFont val="Calibri Light"/>
        <charset val="134"/>
      </rPr>
      <t>822-</t>
    </r>
    <r>
      <rPr>
        <sz val="10"/>
        <color rgb="FFFF0000"/>
        <rFont val="宋体"/>
        <charset val="134"/>
      </rPr>
      <t>双股小斜纹</t>
    </r>
  </si>
  <si>
    <t>SY251820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</si>
  <si>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17.5%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3.5%</t>
    </r>
    <r>
      <rPr>
        <sz val="10"/>
        <color theme="1"/>
        <rFont val="宋体"/>
        <charset val="134"/>
      </rPr>
      <t>氨纶</t>
    </r>
  </si>
  <si>
    <t>79%POLY17.5%R 2.5%SP</t>
  </si>
  <si>
    <r>
      <rPr>
        <sz val="10"/>
        <color theme="1"/>
        <rFont val="Calibri Light"/>
        <charset val="134"/>
      </rPr>
      <t>822-</t>
    </r>
    <r>
      <rPr>
        <sz val="10"/>
        <color theme="1"/>
        <rFont val="宋体"/>
        <charset val="134"/>
      </rPr>
      <t>双股小斜纹</t>
    </r>
  </si>
  <si>
    <r>
      <rPr>
        <sz val="10"/>
        <color rgb="FFFF0000"/>
        <rFont val="Calibri Light"/>
        <charset val="134"/>
      </rPr>
      <t>8822</t>
    </r>
    <r>
      <rPr>
        <sz val="10"/>
        <color rgb="FFFF0000"/>
        <rFont val="宋体"/>
        <charset val="134"/>
      </rPr>
      <t>小斜纹面抓毛</t>
    </r>
  </si>
  <si>
    <t>SY251821</t>
  </si>
  <si>
    <r>
      <rPr>
        <sz val="10"/>
        <color theme="1"/>
        <rFont val="Calibri Light"/>
        <charset val="134"/>
      </rPr>
      <t>8822</t>
    </r>
    <r>
      <rPr>
        <sz val="10"/>
        <color theme="1"/>
        <rFont val="宋体"/>
        <charset val="134"/>
      </rPr>
      <t>小斜纹面抓毛</t>
    </r>
  </si>
  <si>
    <r>
      <rPr>
        <sz val="10"/>
        <color rgb="FFFF0000"/>
        <rFont val="Calibri Light"/>
        <charset val="134"/>
      </rPr>
      <t>832</t>
    </r>
    <r>
      <rPr>
        <sz val="10"/>
        <color rgb="FFFF0000"/>
        <rFont val="宋体"/>
        <charset val="134"/>
      </rPr>
      <t>小斜纹底抓毛</t>
    </r>
  </si>
  <si>
    <t>SY251822</t>
  </si>
  <si>
    <r>
      <rPr>
        <sz val="10"/>
        <color theme="1"/>
        <rFont val="Calibri Light"/>
        <charset val="134"/>
      </rPr>
      <t>832</t>
    </r>
    <r>
      <rPr>
        <sz val="10"/>
        <color theme="1"/>
        <rFont val="宋体"/>
        <charset val="134"/>
      </rPr>
      <t>小斜纹底抓毛</t>
    </r>
  </si>
  <si>
    <r>
      <rPr>
        <sz val="10"/>
        <color rgb="FFFF0000"/>
        <rFont val="Calibri Light"/>
        <charset val="134"/>
      </rPr>
      <t>208</t>
    </r>
    <r>
      <rPr>
        <sz val="10"/>
        <color rgb="FFFF0000"/>
        <rFont val="宋体"/>
        <charset val="134"/>
      </rPr>
      <t>小斜纹双面抓毛</t>
    </r>
  </si>
  <si>
    <t>SY251823</t>
  </si>
  <si>
    <r>
      <rPr>
        <sz val="10"/>
        <color theme="1"/>
        <rFont val="Calibri Light"/>
        <charset val="134"/>
      </rPr>
      <t>208</t>
    </r>
    <r>
      <rPr>
        <sz val="10"/>
        <color theme="1"/>
        <rFont val="宋体"/>
        <charset val="134"/>
      </rPr>
      <t>小斜纹双面抓毛</t>
    </r>
  </si>
  <si>
    <t>D873#</t>
  </si>
  <si>
    <t>SY251824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</si>
  <si>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聚酯纤维</t>
    </r>
  </si>
  <si>
    <t>佳美达牛仔</t>
  </si>
  <si>
    <t>D875#</t>
  </si>
  <si>
    <t>SY251825</t>
  </si>
  <si>
    <t>D876#</t>
  </si>
  <si>
    <t>SY251826</t>
  </si>
  <si>
    <t>D877#</t>
  </si>
  <si>
    <t>SY251827</t>
  </si>
  <si>
    <t>D878#</t>
  </si>
  <si>
    <t>SY251828</t>
  </si>
  <si>
    <t>D879#</t>
  </si>
  <si>
    <t>SY251829</t>
  </si>
  <si>
    <t>D880#</t>
  </si>
  <si>
    <t>SY251830</t>
  </si>
  <si>
    <t>D881#</t>
  </si>
  <si>
    <t>SY251831</t>
  </si>
  <si>
    <t>33266#</t>
  </si>
  <si>
    <t>SY251832</t>
  </si>
  <si>
    <t>70%棉20%聚酯纤维10%再生纤维</t>
  </si>
  <si>
    <t>70%BCI COTTON 30%POLY</t>
  </si>
  <si>
    <t>33231#</t>
  </si>
  <si>
    <t>SY251833</t>
  </si>
  <si>
    <t>33270#</t>
  </si>
  <si>
    <t>SY251834</t>
  </si>
  <si>
    <t>60%棉20%聚酯纤维20%再生纤维</t>
  </si>
  <si>
    <t>33271#</t>
  </si>
  <si>
    <t>SY251835</t>
  </si>
  <si>
    <t>33239#</t>
  </si>
  <si>
    <t>SY251836</t>
  </si>
  <si>
    <t>33238#</t>
  </si>
  <si>
    <t>SY251837</t>
  </si>
  <si>
    <t>38591#</t>
  </si>
  <si>
    <t>SY251838</t>
  </si>
  <si>
    <t>38592#</t>
  </si>
  <si>
    <t>SY251839</t>
  </si>
  <si>
    <t>77115#</t>
  </si>
  <si>
    <t>SY251840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</si>
  <si>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聚酯纤维</t>
    </r>
  </si>
  <si>
    <t>77289#</t>
  </si>
  <si>
    <t>SY251841</t>
  </si>
  <si>
    <t>77317#</t>
  </si>
  <si>
    <t>SY251842</t>
  </si>
  <si>
    <t>22056#</t>
  </si>
  <si>
    <t>SY251843</t>
  </si>
  <si>
    <t>22057#</t>
  </si>
  <si>
    <t>SY251844</t>
  </si>
  <si>
    <t>D615%</t>
  </si>
  <si>
    <t>SY251845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</si>
  <si>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聚酯纤维</t>
    </r>
  </si>
  <si>
    <t>D616#</t>
  </si>
  <si>
    <t>SY251846</t>
  </si>
  <si>
    <t>22058#</t>
  </si>
  <si>
    <t>SY251847</t>
  </si>
  <si>
    <t>22059#</t>
  </si>
  <si>
    <t>SY251848</t>
  </si>
  <si>
    <t>梭织条纹</t>
  </si>
  <si>
    <t>时尚条 G17-83#</t>
  </si>
  <si>
    <t>SY251849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</si>
  <si>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</t>
    </r>
  </si>
  <si>
    <t>格莱美纺织</t>
  </si>
  <si>
    <t>时尚条 G12-19#</t>
  </si>
  <si>
    <t>SY251850</t>
  </si>
  <si>
    <t>80%涤纶20%棉</t>
  </si>
  <si>
    <t>时尚格 113-23</t>
  </si>
  <si>
    <t>SY251851</t>
  </si>
  <si>
    <t>时尚条 G51-24#</t>
  </si>
  <si>
    <t>SY251852</t>
  </si>
  <si>
    <t>时尚条 G51-33#</t>
  </si>
  <si>
    <t>SY251853</t>
  </si>
  <si>
    <t>锦棉弹力条9833</t>
  </si>
  <si>
    <t>SY251854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</si>
  <si>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棉25%锦纶3%氨纶</t>
    </r>
  </si>
  <si>
    <t>72%BCI C25%N3%SP</t>
  </si>
  <si>
    <t>锦棉弹力条9873</t>
  </si>
  <si>
    <t>SY251855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</si>
  <si>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棉40%锦纶3%氨纶</t>
    </r>
  </si>
  <si>
    <t>57%BCI C40%N3%SP</t>
  </si>
  <si>
    <t>锦棉弹力条9875</t>
  </si>
  <si>
    <t>SY251856</t>
  </si>
  <si>
    <t>锦棉弹力条9814</t>
  </si>
  <si>
    <t>SY251857</t>
  </si>
  <si>
    <t>锦棉弹力条8033</t>
  </si>
  <si>
    <t>SY251858</t>
  </si>
  <si>
    <r>
      <rPr>
        <sz val="10"/>
        <color theme="1"/>
        <rFont val="Calibri Light"/>
        <charset val="134"/>
      </rPr>
      <t>69%</t>
    </r>
    <r>
      <rPr>
        <sz val="10"/>
        <color theme="1"/>
        <rFont val="宋体"/>
        <charset val="134"/>
      </rPr>
      <t>棉28%锦纶3%氨纶</t>
    </r>
  </si>
  <si>
    <t>69%BCI C28%N3%SP</t>
  </si>
  <si>
    <t>锦棉弹力提花条9832</t>
  </si>
  <si>
    <t>SY251859</t>
  </si>
  <si>
    <t>时尚条 G51-32#</t>
  </si>
  <si>
    <t>SY251860</t>
  </si>
  <si>
    <t>C269#</t>
  </si>
  <si>
    <t>SY251861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</si>
  <si>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涤纶3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棉</t>
    </r>
  </si>
  <si>
    <t>65%POLY35%BCI COTTON</t>
  </si>
  <si>
    <t>C274#</t>
  </si>
  <si>
    <t>SY251862</t>
  </si>
  <si>
    <t>C272#</t>
  </si>
  <si>
    <t>SY251863</t>
  </si>
  <si>
    <t>C278#</t>
  </si>
  <si>
    <t>SY251864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</si>
  <si>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C293#</t>
    </r>
  </si>
  <si>
    <t>SY251865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</si>
  <si>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C294#</t>
    </r>
  </si>
  <si>
    <t>SY251866</t>
  </si>
  <si>
    <t>C296#</t>
  </si>
  <si>
    <t>SY251867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</si>
  <si>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A45#  A881</t>
    </r>
  </si>
  <si>
    <t>SY251868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</si>
  <si>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G20#  </t>
    </r>
    <r>
      <rPr>
        <sz val="10"/>
        <color theme="1"/>
        <rFont val="宋体"/>
        <charset val="134"/>
      </rPr>
      <t>全涤泡泡条</t>
    </r>
    <r>
      <rPr>
        <sz val="10"/>
        <color theme="1"/>
        <rFont val="Calibri Light"/>
        <charset val="134"/>
      </rPr>
      <t>06</t>
    </r>
  </si>
  <si>
    <t>SY251869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</si>
  <si>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A49#  A618</t>
    </r>
  </si>
  <si>
    <t>SY251870</t>
  </si>
  <si>
    <r>
      <rPr>
        <sz val="10"/>
        <color theme="1"/>
        <rFont val="宋体"/>
        <charset val="134"/>
      </rPr>
      <t xml:space="preserve">格49# </t>
    </r>
    <r>
      <rPr>
        <sz val="10"/>
        <color theme="1"/>
        <rFont val="Calibri Light"/>
        <charset val="134"/>
      </rPr>
      <t>A884-0.6</t>
    </r>
  </si>
  <si>
    <t>SY251871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</si>
  <si>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A10# A884-1</t>
    </r>
    <r>
      <rPr>
        <sz val="10"/>
        <color theme="1"/>
        <rFont val="宋体"/>
        <charset val="134"/>
      </rPr>
      <t>公分</t>
    </r>
  </si>
  <si>
    <t>SY251872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</si>
  <si>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A13#  A223</t>
    </r>
  </si>
  <si>
    <t>SY251873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</si>
  <si>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A18#  A613-0.2</t>
    </r>
  </si>
  <si>
    <t>SY251874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</si>
  <si>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A19#  A613-0.3</t>
    </r>
  </si>
  <si>
    <t>SY251875</t>
  </si>
  <si>
    <t>A613-0.1</t>
  </si>
  <si>
    <t>SY251876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</si>
  <si>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C248#</t>
    </r>
  </si>
  <si>
    <t>SY251877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</si>
  <si>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人棉50%涤纶</t>
    </r>
  </si>
  <si>
    <t>50%Rayon50%POLY</t>
  </si>
  <si>
    <t>A55#</t>
  </si>
  <si>
    <t>SY251878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</si>
  <si>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A27#  A7788-0.5</t>
    </r>
  </si>
  <si>
    <t>SY251879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</si>
  <si>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A28#  A7788-0.8</t>
    </r>
  </si>
  <si>
    <t>SY251880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</si>
  <si>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A41#  A870</t>
    </r>
  </si>
  <si>
    <t>SY251881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</si>
  <si>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A42#  A871</t>
    </r>
  </si>
  <si>
    <t>SY251882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</si>
  <si>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A44#  A875</t>
    </r>
  </si>
  <si>
    <t>SY251883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</si>
  <si>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C37# A809</t>
    </r>
  </si>
  <si>
    <t>SY251884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</si>
  <si>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C222#</t>
    </r>
  </si>
  <si>
    <t>SY251885</t>
  </si>
  <si>
    <t>A57#</t>
  </si>
  <si>
    <t>SY251886</t>
  </si>
  <si>
    <t>A58#</t>
  </si>
  <si>
    <t>SY251887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</si>
  <si>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A22#  A813</t>
    </r>
  </si>
  <si>
    <t>SY251888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</si>
  <si>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C53# A203</t>
    </r>
  </si>
  <si>
    <t>SY251889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</si>
  <si>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C5# </t>
    </r>
    <r>
      <rPr>
        <sz val="10"/>
        <color theme="1"/>
        <rFont val="宋体"/>
        <charset val="134"/>
      </rPr>
      <t>弹力条1公分</t>
    </r>
  </si>
  <si>
    <t>SY251890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</si>
  <si>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涤纶3</t>
    </r>
    <r>
      <rPr>
        <sz val="10"/>
        <color theme="1"/>
        <rFont val="Calibri Light"/>
        <charset val="134"/>
      </rPr>
      <t>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</si>
  <si>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C64# </t>
    </r>
    <r>
      <rPr>
        <sz val="10"/>
        <color theme="1"/>
        <rFont val="宋体"/>
        <charset val="134"/>
      </rPr>
      <t>高棉牛津条04</t>
    </r>
  </si>
  <si>
    <t>SY251891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</si>
  <si>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涤纶55%棉</t>
    </r>
  </si>
  <si>
    <t>45%POLY55%BCI COTTON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</si>
  <si>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C56# A206</t>
    </r>
  </si>
  <si>
    <t>SY251892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</si>
  <si>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C31# A801</t>
    </r>
  </si>
  <si>
    <t>SY251893</t>
  </si>
  <si>
    <t>斜纹格03</t>
  </si>
  <si>
    <t>SY251894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</si>
  <si>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B31# A853</t>
    </r>
  </si>
  <si>
    <t>SY251895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</si>
  <si>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B66# A106</t>
    </r>
  </si>
  <si>
    <t>SY251896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</si>
  <si>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涤纶2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棉</t>
    </r>
  </si>
  <si>
    <t>75%POLY25%COTTON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</si>
  <si>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B112#  PW002</t>
    </r>
  </si>
  <si>
    <t>SY251897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</si>
  <si>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B164# </t>
    </r>
  </si>
  <si>
    <t>SY251898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</si>
  <si>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涤纶60</t>
    </r>
    <r>
      <rPr>
        <sz val="10"/>
        <color theme="1"/>
        <rFont val="Calibri Light"/>
        <charset val="134"/>
      </rPr>
      <t>%</t>
    </r>
    <r>
      <rPr>
        <sz val="10"/>
        <color theme="1"/>
        <rFont val="宋体"/>
        <charset val="134"/>
      </rPr>
      <t>棉</t>
    </r>
  </si>
  <si>
    <t>40%POLY60%BCI COTTON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</si>
  <si>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B149# </t>
    </r>
    <r>
      <rPr>
        <sz val="10"/>
        <color theme="1"/>
        <rFont val="Calibri Light"/>
        <charset val="134"/>
      </rPr>
      <t xml:space="preserve"> ZJ003</t>
    </r>
  </si>
  <si>
    <t>SY251899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</si>
  <si>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B126#  PW018</t>
    </r>
  </si>
  <si>
    <t>SY251900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</si>
  <si>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B121#  PW012</t>
    </r>
  </si>
  <si>
    <t>SY251901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</si>
  <si>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B114#  PW004</t>
    </r>
  </si>
  <si>
    <t>SY251902</t>
  </si>
  <si>
    <t>A149</t>
  </si>
  <si>
    <t>SY251903</t>
  </si>
  <si>
    <r>
      <rPr>
        <sz val="10"/>
        <color theme="1"/>
        <rFont val="Calibri Light"/>
        <charset val="134"/>
      </rPr>
      <t>A613-2</t>
    </r>
    <r>
      <rPr>
        <sz val="10"/>
        <color theme="1"/>
        <rFont val="宋体"/>
        <charset val="134"/>
      </rPr>
      <t>公分</t>
    </r>
  </si>
  <si>
    <t>SY251904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</si>
  <si>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B37# A847</t>
    </r>
  </si>
  <si>
    <t>SY251905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</si>
  <si>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B5#  A624-0.8</t>
    </r>
  </si>
  <si>
    <t>SY251906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</si>
  <si>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>B19# A863</t>
    </r>
  </si>
  <si>
    <t>SY251907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</si>
  <si>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A166# </t>
    </r>
  </si>
  <si>
    <t>SY251908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</si>
  <si>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A170# </t>
    </r>
  </si>
  <si>
    <t>SY251909</t>
  </si>
  <si>
    <t>A256</t>
  </si>
  <si>
    <t>SY251910</t>
  </si>
  <si>
    <t>A259</t>
  </si>
  <si>
    <t>SY251911</t>
  </si>
  <si>
    <t>A143#</t>
  </si>
  <si>
    <t>SY251912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</si>
  <si>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A163# </t>
    </r>
  </si>
  <si>
    <t>SY251913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</si>
  <si>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A40# </t>
    </r>
    <r>
      <rPr>
        <sz val="10"/>
        <color theme="1"/>
        <rFont val="Calibri Light"/>
        <charset val="134"/>
      </rPr>
      <t xml:space="preserve"> A220</t>
    </r>
  </si>
  <si>
    <t>SY251914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</si>
  <si>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A112# A878</t>
    </r>
  </si>
  <si>
    <t>SY251915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</si>
  <si>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A70# </t>
    </r>
    <r>
      <rPr>
        <sz val="10"/>
        <color theme="1"/>
        <rFont val="Calibri Light"/>
        <charset val="134"/>
      </rPr>
      <t xml:space="preserve"> A1027</t>
    </r>
  </si>
  <si>
    <t>SY251916</t>
  </si>
  <si>
    <t>A613-0.6</t>
  </si>
  <si>
    <t>SY251917</t>
  </si>
  <si>
    <t>A221</t>
  </si>
  <si>
    <t>SY251918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</si>
  <si>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涤纶20</t>
    </r>
    <r>
      <rPr>
        <sz val="10"/>
        <color theme="1"/>
        <rFont val="Calibri Light"/>
        <charset val="134"/>
      </rPr>
      <t>%</t>
    </r>
    <r>
      <rPr>
        <sz val="10"/>
        <color theme="1"/>
        <rFont val="宋体"/>
        <charset val="134"/>
      </rPr>
      <t>棉</t>
    </r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</si>
  <si>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A222# </t>
    </r>
  </si>
  <si>
    <t>SY251919</t>
  </si>
  <si>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A79# 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乱麻条02</t>
    </r>
  </si>
  <si>
    <t>SY251920</t>
  </si>
  <si>
    <t>SY251921</t>
  </si>
  <si>
    <t>SY251922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</si>
  <si>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</t>
    </r>
  </si>
  <si>
    <t>SY251923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</si>
  <si>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</si>
  <si>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SY251924</t>
  </si>
  <si>
    <t>SY251925</t>
  </si>
  <si>
    <t>SY251926</t>
  </si>
  <si>
    <t>SY251927</t>
  </si>
  <si>
    <t>SY251928</t>
  </si>
  <si>
    <t>SY251929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</si>
  <si>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人棉</t>
    </r>
  </si>
  <si>
    <t>SY251930</t>
  </si>
  <si>
    <t>SY251931</t>
  </si>
  <si>
    <t>79%涤纶 18%人棉 3%氨纶</t>
  </si>
  <si>
    <t>SY251932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</si>
  <si>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</t>
    </r>
  </si>
  <si>
    <t>SY251933</t>
  </si>
  <si>
    <t>93%涤纶4%人棉3%氨纶</t>
  </si>
  <si>
    <t>SY251934</t>
  </si>
  <si>
    <t>SY251935</t>
  </si>
  <si>
    <t>SY251936</t>
  </si>
  <si>
    <t>90涤纶7%人棉3%氨纶</t>
  </si>
  <si>
    <t>SY251937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</si>
  <si>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</si>
  <si>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SY251938</t>
  </si>
  <si>
    <t>97涤纶3%人棉</t>
  </si>
  <si>
    <t>SY251939</t>
  </si>
  <si>
    <t>SY251940</t>
  </si>
  <si>
    <t>SY251941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</si>
  <si>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人棉</t>
    </r>
  </si>
  <si>
    <t>SY251942</t>
  </si>
  <si>
    <t>SY251943</t>
  </si>
  <si>
    <t>SY251944</t>
  </si>
  <si>
    <t>SY251945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</si>
  <si>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人棉</t>
    </r>
  </si>
  <si>
    <t>SY251946</t>
  </si>
  <si>
    <t>SY251947</t>
  </si>
  <si>
    <t>SY251948</t>
  </si>
  <si>
    <t>SY251949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</si>
  <si>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</si>
  <si>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SY251950</t>
  </si>
  <si>
    <t>SY251951</t>
  </si>
  <si>
    <t>SY251952</t>
  </si>
  <si>
    <t>SY251953</t>
  </si>
  <si>
    <t xml:space="preserve">65%涤纶 30%人棉 5%氨纶 </t>
  </si>
  <si>
    <t>SY251954</t>
  </si>
  <si>
    <t>89%涤纶 8%人棉3%氨轮</t>
  </si>
  <si>
    <t>SY251955</t>
  </si>
  <si>
    <t>SY251956</t>
  </si>
  <si>
    <t>SY251957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</si>
  <si>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人棉</t>
    </r>
  </si>
  <si>
    <t>SY251958</t>
  </si>
  <si>
    <t>SY251959</t>
  </si>
  <si>
    <t>SY251960</t>
  </si>
  <si>
    <t>SY251961</t>
  </si>
  <si>
    <t>SY251962</t>
  </si>
  <si>
    <t>SY251963</t>
  </si>
  <si>
    <t>SY251964</t>
  </si>
  <si>
    <t>SY251965</t>
  </si>
  <si>
    <t>92%涤纶5%人棉3%氨纶</t>
  </si>
  <si>
    <t>SY251966</t>
  </si>
  <si>
    <t>SY251967</t>
  </si>
  <si>
    <t>85%涤纶 15%棉</t>
  </si>
  <si>
    <t>SY251968</t>
  </si>
  <si>
    <t>SY251969</t>
  </si>
  <si>
    <t>SY251970</t>
  </si>
  <si>
    <t>SY251971</t>
  </si>
  <si>
    <t>SY251972</t>
  </si>
  <si>
    <r>
      <rPr>
        <sz val="10"/>
        <color theme="1"/>
        <rFont val="Calibri Light"/>
        <charset val="134"/>
      </rPr>
      <t>90</t>
    </r>
    <r>
      <rPr>
        <sz val="10"/>
        <color theme="1"/>
        <rFont val="宋体"/>
        <charset val="134"/>
      </rPr>
      <t>涤纶7%人棉3%氨纶</t>
    </r>
  </si>
  <si>
    <t>90%POLY7%Rayon3%SP</t>
  </si>
  <si>
    <t>SY251973</t>
  </si>
  <si>
    <t>87涤纶10%人棉3%氨纶</t>
  </si>
  <si>
    <t>87%POLY10%Rayon3%SP</t>
  </si>
  <si>
    <t>SY251974</t>
  </si>
  <si>
    <t>91涤纶6%人棉3%氨纶</t>
  </si>
  <si>
    <t>91%POLY6%Rayon3%SP</t>
  </si>
  <si>
    <t>SY251975</t>
  </si>
  <si>
    <t>SY251976</t>
  </si>
  <si>
    <t>82涤纶15%人棉3%氨纶</t>
  </si>
  <si>
    <t>82%POLY15%Rayon3%SP</t>
  </si>
  <si>
    <t>527#</t>
  </si>
  <si>
    <t>SY251977</t>
  </si>
  <si>
    <t>92涤纶5%人棉3%氨纶</t>
  </si>
  <si>
    <t>92%POLY5%Rayon3%SP</t>
  </si>
  <si>
    <t>543#</t>
  </si>
  <si>
    <t>SY251978</t>
  </si>
  <si>
    <t>860#</t>
  </si>
  <si>
    <t>SY251979</t>
  </si>
  <si>
    <t>95涤纶2%人棉3%氨纶</t>
  </si>
  <si>
    <t>95%POLY2%Rayon3%SP</t>
  </si>
  <si>
    <t>836#</t>
  </si>
  <si>
    <t>SY251980</t>
  </si>
  <si>
    <t>SY251981</t>
  </si>
  <si>
    <t>97%POLY3%Rayon</t>
  </si>
  <si>
    <t>881#</t>
  </si>
  <si>
    <t>SY251982</t>
  </si>
  <si>
    <t>97涤纶3%氨纶</t>
  </si>
  <si>
    <r>
      <rPr>
        <sz val="10"/>
        <color theme="1"/>
        <rFont val="Calibri Light"/>
        <charset val="134"/>
      </rPr>
      <t xml:space="preserve">LJ-1010 </t>
    </r>
    <r>
      <rPr>
        <sz val="10"/>
        <color theme="1"/>
        <rFont val="宋体"/>
        <charset val="134"/>
      </rPr>
      <t>舒爽平纹拉架</t>
    </r>
  </si>
  <si>
    <t>SY251983</t>
  </si>
  <si>
    <t>楷生布业</t>
  </si>
  <si>
    <r>
      <rPr>
        <sz val="10"/>
        <color theme="1"/>
        <rFont val="Calibri Light"/>
        <charset val="134"/>
      </rPr>
      <t>KS8013C 32S</t>
    </r>
    <r>
      <rPr>
        <sz val="10"/>
        <color theme="1"/>
        <rFont val="宋体"/>
        <charset val="134"/>
      </rPr>
      <t>精棉拉架</t>
    </r>
  </si>
  <si>
    <t>SY251984</t>
  </si>
  <si>
    <r>
      <rPr>
        <sz val="10"/>
        <color theme="1"/>
        <rFont val="Calibri Light"/>
        <charset val="134"/>
      </rPr>
      <t>3C1010 32</t>
    </r>
    <r>
      <rPr>
        <sz val="10"/>
        <color theme="1"/>
        <rFont val="宋体"/>
        <charset val="134"/>
      </rPr>
      <t>支纯棉平纹拉架</t>
    </r>
  </si>
  <si>
    <t>SY251985</t>
  </si>
  <si>
    <t>星海</t>
  </si>
  <si>
    <r>
      <rPr>
        <sz val="10"/>
        <color theme="1"/>
        <rFont val="Calibri Light"/>
        <charset val="134"/>
      </rPr>
      <t>18001# 32S</t>
    </r>
    <r>
      <rPr>
        <sz val="10"/>
        <color theme="1"/>
        <rFont val="宋体"/>
        <charset val="134"/>
      </rPr>
      <t>精棉拉架</t>
    </r>
  </si>
  <si>
    <t>SY251986</t>
  </si>
  <si>
    <t>七彩凰</t>
  </si>
  <si>
    <r>
      <rPr>
        <sz val="10"/>
        <color theme="1"/>
        <rFont val="Calibri Light"/>
        <charset val="134"/>
      </rPr>
      <t>MP4108#</t>
    </r>
    <r>
      <rPr>
        <sz val="10"/>
        <color theme="1"/>
        <rFont val="宋体"/>
        <charset val="134"/>
      </rPr>
      <t>奢彩棉</t>
    </r>
  </si>
  <si>
    <t>SY251987</t>
  </si>
  <si>
    <r>
      <rPr>
        <sz val="10"/>
        <color theme="1"/>
        <rFont val="Calibri Light"/>
        <charset val="134"/>
      </rPr>
      <t>2619#</t>
    </r>
    <r>
      <rPr>
        <sz val="10"/>
        <color theme="1"/>
        <rFont val="宋体"/>
        <charset val="134"/>
      </rPr>
      <t>纯棉拉架</t>
    </r>
  </si>
  <si>
    <t>SY251988</t>
  </si>
  <si>
    <t>鸿伟布行</t>
  </si>
  <si>
    <r>
      <rPr>
        <sz val="10"/>
        <color theme="1"/>
        <rFont val="Calibri Light"/>
        <charset val="134"/>
      </rPr>
      <t>10032#</t>
    </r>
    <r>
      <rPr>
        <sz val="10"/>
        <color theme="1"/>
        <rFont val="宋体"/>
        <charset val="134"/>
      </rPr>
      <t>精品双纱</t>
    </r>
  </si>
  <si>
    <t>SY251989</t>
  </si>
  <si>
    <r>
      <rPr>
        <sz val="10"/>
        <color theme="1"/>
        <rFont val="Calibri Light"/>
        <charset val="134"/>
      </rPr>
      <t>RSM2505#</t>
    </r>
    <r>
      <rPr>
        <sz val="10"/>
        <color theme="1"/>
        <rFont val="宋体"/>
        <charset val="134"/>
      </rPr>
      <t>精棉双纱</t>
    </r>
  </si>
  <si>
    <t>SY251990</t>
  </si>
  <si>
    <r>
      <rPr>
        <sz val="10"/>
        <color theme="1"/>
        <rFont val="Calibri Light"/>
        <charset val="134"/>
      </rPr>
      <t>2674#</t>
    </r>
    <r>
      <rPr>
        <sz val="10"/>
        <color theme="1"/>
        <rFont val="宋体"/>
        <charset val="134"/>
      </rPr>
      <t>纯棉拉架</t>
    </r>
  </si>
  <si>
    <t>SY251991</t>
  </si>
  <si>
    <r>
      <rPr>
        <sz val="10"/>
        <color theme="1"/>
        <rFont val="Calibri Light"/>
        <charset val="134"/>
      </rPr>
      <t>26515#</t>
    </r>
    <r>
      <rPr>
        <sz val="10"/>
        <color theme="1"/>
        <rFont val="宋体"/>
        <charset val="134"/>
      </rPr>
      <t>精棉拉架</t>
    </r>
  </si>
  <si>
    <t>SY251992</t>
  </si>
  <si>
    <r>
      <rPr>
        <sz val="10"/>
        <color theme="1"/>
        <rFont val="Calibri Light"/>
        <charset val="134"/>
      </rPr>
      <t>6005#</t>
    </r>
    <r>
      <rPr>
        <sz val="10"/>
        <color theme="1"/>
        <rFont val="宋体"/>
        <charset val="134"/>
      </rPr>
      <t>漫天雪花</t>
    </r>
  </si>
  <si>
    <t>SY251993</t>
  </si>
  <si>
    <r>
      <rPr>
        <sz val="10"/>
        <color theme="1"/>
        <rFont val="Calibri Light"/>
        <charset val="134"/>
      </rPr>
      <t>921# 32</t>
    </r>
    <r>
      <rPr>
        <sz val="10"/>
        <color theme="1"/>
        <rFont val="宋体"/>
        <charset val="134"/>
      </rPr>
      <t>支棉拉架</t>
    </r>
  </si>
  <si>
    <t>SY251994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</si>
  <si>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</si>
  <si>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75%BCI COTTON 20%ROYAN 5%SP</t>
  </si>
  <si>
    <t>琰丰纺织</t>
  </si>
  <si>
    <r>
      <rPr>
        <sz val="10"/>
        <color theme="1"/>
        <rFont val="Calibri Light"/>
        <charset val="134"/>
      </rPr>
      <t xml:space="preserve">9121# </t>
    </r>
    <r>
      <rPr>
        <sz val="10"/>
        <color theme="1"/>
        <rFont val="宋体"/>
        <charset val="134"/>
      </rPr>
      <t>仿棉拉架</t>
    </r>
  </si>
  <si>
    <t>SY251995</t>
  </si>
  <si>
    <t>SY251996</t>
  </si>
  <si>
    <t>26509#</t>
  </si>
  <si>
    <t>SY251997</t>
  </si>
  <si>
    <t>666#-1</t>
  </si>
  <si>
    <t>SY251998</t>
  </si>
  <si>
    <t>SY252000</t>
  </si>
  <si>
    <t>95%涤纶3%氨纶</t>
  </si>
  <si>
    <t>95%Recycle POLY3%SP</t>
  </si>
  <si>
    <t>馨美纺织</t>
  </si>
  <si>
    <t>6841#</t>
  </si>
  <si>
    <t>SY252001</t>
  </si>
  <si>
    <t>杰发织绣</t>
  </si>
  <si>
    <t>PX3166</t>
  </si>
  <si>
    <t>SY252002</t>
  </si>
  <si>
    <t>宏华纺织</t>
  </si>
  <si>
    <t>J079</t>
  </si>
  <si>
    <t>SY252003</t>
  </si>
  <si>
    <t>朵朵花</t>
  </si>
  <si>
    <t>SY252004</t>
  </si>
  <si>
    <t>新发布行</t>
  </si>
  <si>
    <t>全工艺花</t>
  </si>
  <si>
    <t>SY252005</t>
  </si>
  <si>
    <t>F219</t>
  </si>
  <si>
    <t>SY252006</t>
  </si>
  <si>
    <t>F610#</t>
  </si>
  <si>
    <t>SY252007</t>
  </si>
  <si>
    <t>元宝</t>
  </si>
  <si>
    <t>SY252008</t>
  </si>
  <si>
    <t>直条大眼</t>
  </si>
  <si>
    <t>SY252009</t>
  </si>
  <si>
    <t>H-18</t>
  </si>
  <si>
    <t>SY252010</t>
  </si>
  <si>
    <t>十孔花</t>
  </si>
  <si>
    <t>SY252011</t>
  </si>
  <si>
    <t>561A</t>
  </si>
  <si>
    <t>SY252012</t>
  </si>
  <si>
    <t>SY252013</t>
  </si>
  <si>
    <t>润发</t>
  </si>
  <si>
    <t>SY252014</t>
  </si>
  <si>
    <t>F1031</t>
  </si>
  <si>
    <t>SY252015</t>
  </si>
  <si>
    <r>
      <rPr>
        <sz val="10"/>
        <color theme="1"/>
        <rFont val="Calibri Light"/>
        <charset val="134"/>
      </rPr>
      <t>F1648</t>
    </r>
    <r>
      <rPr>
        <sz val="10"/>
        <color theme="1"/>
        <rFont val="宋体"/>
        <charset val="134"/>
      </rPr>
      <t>绳绣</t>
    </r>
  </si>
  <si>
    <t>SY252016</t>
  </si>
  <si>
    <t>SY252017</t>
  </si>
  <si>
    <t>F750</t>
  </si>
  <si>
    <t>SY252018</t>
  </si>
  <si>
    <t>SY252019</t>
  </si>
  <si>
    <r>
      <rPr>
        <sz val="10"/>
        <color theme="1"/>
        <rFont val="Calibri Light"/>
        <charset val="134"/>
      </rPr>
      <t>8935</t>
    </r>
    <r>
      <rPr>
        <sz val="10"/>
        <color theme="1"/>
        <rFont val="宋体"/>
        <charset val="134"/>
      </rPr>
      <t>横边</t>
    </r>
  </si>
  <si>
    <t>SY252020</t>
  </si>
  <si>
    <r>
      <rPr>
        <sz val="10"/>
        <color theme="1"/>
        <rFont val="Calibri Light"/>
        <charset val="134"/>
      </rPr>
      <t>9180</t>
    </r>
    <r>
      <rPr>
        <sz val="10"/>
        <color theme="1"/>
        <rFont val="宋体"/>
        <charset val="134"/>
      </rPr>
      <t>边</t>
    </r>
  </si>
  <si>
    <t>SY252021</t>
  </si>
  <si>
    <r>
      <rPr>
        <sz val="10"/>
        <color theme="1"/>
        <rFont val="Calibri Light"/>
        <charset val="134"/>
      </rPr>
      <t>9169</t>
    </r>
    <r>
      <rPr>
        <sz val="10"/>
        <color theme="1"/>
        <rFont val="宋体"/>
        <charset val="134"/>
      </rPr>
      <t>空</t>
    </r>
    <r>
      <rPr>
        <sz val="10"/>
        <color theme="1"/>
        <rFont val="Calibri Light"/>
        <charset val="134"/>
      </rPr>
      <t>-2</t>
    </r>
  </si>
  <si>
    <t>SY252022</t>
  </si>
  <si>
    <t>SY252023</t>
  </si>
  <si>
    <t>SY252024</t>
  </si>
  <si>
    <t>SY252025</t>
  </si>
  <si>
    <t>亨盛</t>
  </si>
  <si>
    <t>蕾丝</t>
  </si>
  <si>
    <t>SY252026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</si>
  <si>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</si>
  <si>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95%NYLON5%SP</t>
  </si>
  <si>
    <t>SY252027</t>
  </si>
  <si>
    <t>SY252028</t>
  </si>
  <si>
    <t>SY252029</t>
  </si>
  <si>
    <t>SY252030</t>
  </si>
  <si>
    <t>SY252031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</si>
  <si>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</si>
  <si>
    <t>60%NYLON40%COTTON</t>
  </si>
  <si>
    <t>SY252032</t>
  </si>
  <si>
    <t>SY252033</t>
  </si>
  <si>
    <t>SY252034</t>
  </si>
  <si>
    <t>SY252035</t>
  </si>
  <si>
    <t>SY252036</t>
  </si>
  <si>
    <t>SY252037</t>
  </si>
  <si>
    <t>PC13</t>
  </si>
  <si>
    <t>SY252038</t>
  </si>
  <si>
    <t>SY252039</t>
  </si>
  <si>
    <t>SY252040</t>
  </si>
  <si>
    <t>SY252041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</si>
  <si>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128</t>
    </r>
  </si>
  <si>
    <t>SY252042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</si>
  <si>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158</t>
    </r>
  </si>
  <si>
    <t>SY252043</t>
  </si>
  <si>
    <t>JX251</t>
  </si>
  <si>
    <t>SY252044</t>
  </si>
  <si>
    <r>
      <rPr>
        <sz val="10"/>
        <color theme="1"/>
        <rFont val="宋体"/>
        <charset val="134"/>
      </rPr>
      <t>泡泡</t>
    </r>
    <r>
      <rPr>
        <sz val="10"/>
        <color theme="1"/>
        <rFont val="Calibri Light"/>
        <charset val="134"/>
      </rPr>
      <t>203</t>
    </r>
  </si>
  <si>
    <t>SY252045</t>
  </si>
  <si>
    <t>SY252046</t>
  </si>
  <si>
    <t>SY252047</t>
  </si>
  <si>
    <t>SY252048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</si>
  <si>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224</t>
    </r>
  </si>
  <si>
    <t>SY252049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</si>
  <si>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125</t>
    </r>
  </si>
  <si>
    <t>SY252050</t>
  </si>
  <si>
    <t>SY252051</t>
  </si>
  <si>
    <t>SY252052</t>
  </si>
  <si>
    <r>
      <rPr>
        <sz val="10"/>
        <color theme="1"/>
        <rFont val="Calibri Light"/>
        <charset val="134"/>
      </rPr>
      <t>7529</t>
    </r>
    <r>
      <rPr>
        <sz val="10"/>
        <color theme="1"/>
        <rFont val="宋体"/>
        <charset val="134"/>
      </rPr>
      <t>（JX237）</t>
    </r>
  </si>
  <si>
    <t>SY252053</t>
  </si>
  <si>
    <r>
      <rPr>
        <sz val="10"/>
        <color theme="1"/>
        <rFont val="宋体"/>
        <charset val="134"/>
      </rPr>
      <t>泡</t>
    </r>
    <r>
      <rPr>
        <sz val="10"/>
        <color theme="1"/>
        <rFont val="Calibri Light"/>
        <charset val="134"/>
      </rPr>
      <t>225</t>
    </r>
  </si>
  <si>
    <t>SY252054</t>
  </si>
  <si>
    <t>SY252055</t>
  </si>
  <si>
    <t>薄纱</t>
  </si>
  <si>
    <r>
      <rPr>
        <sz val="10"/>
        <color theme="1"/>
        <rFont val="宋体"/>
        <charset val="134"/>
      </rPr>
      <t>亚麻粘炒色</t>
    </r>
    <r>
      <rPr>
        <sz val="10"/>
        <color theme="1"/>
        <rFont val="Calibri Light"/>
        <charset val="134"/>
      </rPr>
      <t xml:space="preserve"> 8833</t>
    </r>
  </si>
  <si>
    <t>SY252056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</si>
  <si>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粘胶</t>
    </r>
  </si>
  <si>
    <t>70%V30%LINEN</t>
  </si>
  <si>
    <t>纯亚麻 88126</t>
  </si>
  <si>
    <t>SY252057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</si>
  <si>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亚麻</t>
    </r>
  </si>
  <si>
    <t>纯亚麻 88454</t>
  </si>
  <si>
    <t>SY252058</t>
  </si>
  <si>
    <r>
      <rPr>
        <sz val="10"/>
        <color theme="1"/>
        <rFont val="宋体"/>
        <charset val="134"/>
      </rPr>
      <t>纯亚麻</t>
    </r>
    <r>
      <rPr>
        <sz val="10"/>
        <color theme="1"/>
        <rFont val="Calibri Light"/>
        <charset val="134"/>
      </rPr>
      <t xml:space="preserve"> 101A</t>
    </r>
    <r>
      <rPr>
        <sz val="10"/>
        <color theme="1"/>
        <rFont val="宋体"/>
        <charset val="134"/>
      </rPr>
      <t>版</t>
    </r>
  </si>
  <si>
    <t>SY252059</t>
  </si>
  <si>
    <t>成新尚麻</t>
  </si>
  <si>
    <r>
      <rPr>
        <sz val="10"/>
        <color theme="1"/>
        <rFont val="宋体"/>
        <charset val="134"/>
      </rPr>
      <t>纯亚麻</t>
    </r>
    <r>
      <rPr>
        <sz val="10"/>
        <color theme="1"/>
        <rFont val="Calibri Light"/>
        <charset val="134"/>
      </rPr>
      <t xml:space="preserve"> 2836#</t>
    </r>
  </si>
  <si>
    <t>SY252060</t>
  </si>
  <si>
    <t>纯亚麻砂洗 23136</t>
  </si>
  <si>
    <t>SY252061</t>
  </si>
  <si>
    <t>纯亚麻 101</t>
  </si>
  <si>
    <t>SY252062</t>
  </si>
  <si>
    <t>佳泰麻业</t>
  </si>
  <si>
    <t>90x88 60s</t>
  </si>
  <si>
    <t>SY252063</t>
  </si>
  <si>
    <t>海东</t>
  </si>
  <si>
    <r>
      <rPr>
        <sz val="10"/>
        <color theme="1"/>
        <rFont val="Calibri Light"/>
        <charset val="134"/>
      </rPr>
      <t xml:space="preserve">90x88 </t>
    </r>
    <r>
      <rPr>
        <sz val="10"/>
        <color theme="1"/>
        <rFont val="宋体"/>
        <charset val="134"/>
      </rPr>
      <t>全工艺</t>
    </r>
  </si>
  <si>
    <t>SY252064</t>
  </si>
  <si>
    <t>SY252065</t>
  </si>
  <si>
    <t>亿欧</t>
  </si>
  <si>
    <t>SY252066</t>
  </si>
  <si>
    <t>JJF5224</t>
  </si>
  <si>
    <t>SY252067</t>
  </si>
  <si>
    <r>
      <rPr>
        <sz val="10"/>
        <color theme="1"/>
        <rFont val="Calibri Light"/>
        <charset val="134"/>
      </rPr>
      <t>87.5%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12.5%</t>
    </r>
    <r>
      <rPr>
        <sz val="10"/>
        <color theme="1"/>
        <rFont val="宋体"/>
        <charset val="134"/>
      </rPr>
      <t>亚麻</t>
    </r>
  </si>
  <si>
    <t>87.5%R12.5%LINEN</t>
  </si>
  <si>
    <t>季季发纺织</t>
  </si>
  <si>
    <t>JJF5913</t>
  </si>
  <si>
    <t>SY252068</t>
  </si>
  <si>
    <t>55%亚麻 45%棉</t>
  </si>
  <si>
    <t>JJF5917</t>
  </si>
  <si>
    <t>SY252069</t>
  </si>
  <si>
    <t>80%天丝 20%亚麻</t>
  </si>
  <si>
    <t>JJF5921</t>
  </si>
  <si>
    <t>SY252070</t>
  </si>
  <si>
    <t>JJF5905</t>
  </si>
  <si>
    <t>SY252071</t>
  </si>
  <si>
    <t>JJF5835</t>
  </si>
  <si>
    <t>SY252072</t>
  </si>
  <si>
    <t>SY252073</t>
  </si>
  <si>
    <t>冰纱棉</t>
  </si>
  <si>
    <t>SY252074</t>
  </si>
  <si>
    <r>
      <rPr>
        <sz val="10"/>
        <color theme="1"/>
        <rFont val="Calibri Light"/>
        <charset val="134"/>
      </rPr>
      <t>50</t>
    </r>
    <r>
      <rPr>
        <sz val="10"/>
        <color theme="1"/>
        <rFont val="宋体"/>
        <charset val="134"/>
      </rPr>
      <t>支全棉皱</t>
    </r>
  </si>
  <si>
    <t>SY252075</t>
  </si>
  <si>
    <t>高密珍珠雪纺</t>
  </si>
  <si>
    <t>SY252076</t>
  </si>
  <si>
    <t>烧花</t>
  </si>
  <si>
    <t>CY-18</t>
  </si>
  <si>
    <t>SY252077</t>
  </si>
  <si>
    <t>50%涤纶 50%棉</t>
  </si>
  <si>
    <t>创盈</t>
  </si>
  <si>
    <t>CY-15#</t>
  </si>
  <si>
    <t>SY252078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</si>
  <si>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</si>
  <si>
    <t>CY-14#</t>
  </si>
  <si>
    <t>SY252079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</si>
  <si>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天丝棉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人棉</t>
    </r>
  </si>
  <si>
    <t>CY-8#</t>
  </si>
  <si>
    <t>SY252080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</si>
  <si>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天丝棉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</si>
  <si>
    <t>CY-11#</t>
  </si>
  <si>
    <t>SY252081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</si>
  <si>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</si>
  <si>
    <t>CY-12#</t>
  </si>
  <si>
    <t>SY252082</t>
  </si>
  <si>
    <t>45%涤纶30%天丝棉25%人棉</t>
  </si>
  <si>
    <t>CY-13#</t>
  </si>
  <si>
    <t>SY252083</t>
  </si>
  <si>
    <t>CY-7#</t>
  </si>
  <si>
    <t>SY252084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</si>
  <si>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人丝</t>
    </r>
  </si>
  <si>
    <t>CY-4#</t>
  </si>
  <si>
    <t>SY252085</t>
  </si>
  <si>
    <t>60%天丝棉40%棉</t>
  </si>
  <si>
    <t>CY-3#</t>
  </si>
  <si>
    <t>SY252086</t>
  </si>
  <si>
    <t>CY-2#</t>
  </si>
  <si>
    <t>SY252087</t>
  </si>
  <si>
    <t>CY-1#</t>
  </si>
  <si>
    <t>SY252088</t>
  </si>
  <si>
    <t>CY-19#</t>
  </si>
  <si>
    <t>SY252089</t>
  </si>
  <si>
    <t>941#</t>
  </si>
  <si>
    <t>SY252090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</si>
  <si>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麻</t>
    </r>
  </si>
  <si>
    <t>美纳布业</t>
  </si>
  <si>
    <t>951#</t>
  </si>
  <si>
    <t>SY252091</t>
  </si>
  <si>
    <r>
      <rPr>
        <sz val="10"/>
        <color theme="1"/>
        <rFont val="Calibri Light"/>
        <charset val="134"/>
      </rPr>
      <t xml:space="preserve">70% 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</si>
  <si>
    <t>SY252092</t>
  </si>
  <si>
    <t>908#</t>
  </si>
  <si>
    <t>SY252093</t>
  </si>
  <si>
    <t>912#</t>
  </si>
  <si>
    <t>SY252094</t>
  </si>
  <si>
    <t>60%棉40%涤纶</t>
  </si>
  <si>
    <t>913#</t>
  </si>
  <si>
    <t>SY252095</t>
  </si>
  <si>
    <t>918#</t>
  </si>
  <si>
    <t>SY252096</t>
  </si>
  <si>
    <t>SY252097</t>
  </si>
  <si>
    <t>934#</t>
  </si>
  <si>
    <t>SY252098</t>
  </si>
  <si>
    <t>945#</t>
  </si>
  <si>
    <t>SY252099</t>
  </si>
  <si>
    <t>946#</t>
  </si>
  <si>
    <t>SY252100</t>
  </si>
  <si>
    <t>SY252101</t>
  </si>
  <si>
    <t>宇鑫炒色</t>
  </si>
  <si>
    <t>SY252102</t>
  </si>
  <si>
    <t>SY252103</t>
  </si>
  <si>
    <t>—2517</t>
  </si>
  <si>
    <t>SY252104</t>
  </si>
  <si>
    <t>SY252105</t>
  </si>
  <si>
    <t>SY252106</t>
  </si>
  <si>
    <t>SY252107</t>
  </si>
  <si>
    <t>SY252108</t>
  </si>
  <si>
    <t>SY252109</t>
  </si>
  <si>
    <t>SY252110</t>
  </si>
  <si>
    <t>SY252111</t>
  </si>
  <si>
    <t>SY252112</t>
  </si>
  <si>
    <t>SY252113</t>
  </si>
  <si>
    <t>SY252114</t>
  </si>
  <si>
    <t>SY252115</t>
  </si>
  <si>
    <t>SY252116</t>
  </si>
  <si>
    <t>SY252117</t>
  </si>
  <si>
    <t>SY252118</t>
  </si>
  <si>
    <t>SY252119</t>
  </si>
  <si>
    <t>SY252120</t>
  </si>
  <si>
    <t>SY252121</t>
  </si>
  <si>
    <t>SY252122</t>
  </si>
  <si>
    <t>SY252123</t>
  </si>
  <si>
    <t>SY252124</t>
  </si>
  <si>
    <t>SY252125</t>
  </si>
  <si>
    <t>SY252126</t>
  </si>
  <si>
    <t>SY252127</t>
  </si>
  <si>
    <t>SY252128</t>
  </si>
  <si>
    <t>SY252129</t>
  </si>
  <si>
    <t>SY252130</t>
  </si>
  <si>
    <t>SY252131</t>
  </si>
  <si>
    <t>SY252132</t>
  </si>
  <si>
    <t>SY252133</t>
  </si>
  <si>
    <t>7451#</t>
  </si>
  <si>
    <t>SY252134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</si>
  <si>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</si>
  <si>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50%R 30%T 15%N 5%SP</t>
  </si>
  <si>
    <t>金盛布业</t>
  </si>
  <si>
    <t>SY252135</t>
  </si>
  <si>
    <r>
      <rPr>
        <sz val="10"/>
        <color theme="1"/>
        <rFont val="Calibri Light"/>
        <charset val="134"/>
      </rPr>
      <t>89%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氨轮</t>
    </r>
  </si>
  <si>
    <t>89%T 8%R 3%SP</t>
  </si>
  <si>
    <t>庄子纺织</t>
  </si>
  <si>
    <t>8883#</t>
  </si>
  <si>
    <t>SY252136</t>
  </si>
  <si>
    <t>广平纺织</t>
  </si>
  <si>
    <t>8603#</t>
  </si>
  <si>
    <t>SY252137</t>
  </si>
  <si>
    <t>C412#</t>
  </si>
  <si>
    <t>SY252138</t>
  </si>
  <si>
    <t>柏易纺织</t>
  </si>
  <si>
    <t>C143#</t>
  </si>
  <si>
    <t>SY252139</t>
  </si>
  <si>
    <t>W344#</t>
  </si>
  <si>
    <t>SY252140</t>
  </si>
  <si>
    <t>C168#</t>
  </si>
  <si>
    <t>SY252141</t>
  </si>
  <si>
    <t>C138#</t>
  </si>
  <si>
    <t>SY252142</t>
  </si>
  <si>
    <t>C195#</t>
  </si>
  <si>
    <t>SY252143</t>
  </si>
  <si>
    <t>C22#</t>
  </si>
  <si>
    <t>SY252144</t>
  </si>
  <si>
    <t>SY252145</t>
  </si>
  <si>
    <t>豪达</t>
  </si>
  <si>
    <t>SY252146</t>
  </si>
  <si>
    <t>SY252147</t>
  </si>
  <si>
    <t>1089-1</t>
  </si>
  <si>
    <t>SY252148</t>
  </si>
  <si>
    <t>翩翩皱</t>
  </si>
  <si>
    <t>SY252149</t>
  </si>
  <si>
    <t>96%Recycel POLY 4%SP</t>
  </si>
  <si>
    <t>联红</t>
  </si>
  <si>
    <t>三叶条</t>
  </si>
  <si>
    <t>SY252150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</si>
  <si>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尼龙</t>
    </r>
  </si>
  <si>
    <t>鱼鳞皱</t>
  </si>
  <si>
    <t>SY252151</t>
  </si>
  <si>
    <t>天丝冰丽格</t>
  </si>
  <si>
    <t>SY252152</t>
  </si>
  <si>
    <r>
      <rPr>
        <sz val="10"/>
        <color theme="1"/>
        <rFont val="Calibri Light"/>
        <charset val="134"/>
      </rPr>
      <t>69%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31%</t>
    </r>
    <r>
      <rPr>
        <sz val="10"/>
        <color theme="1"/>
        <rFont val="宋体"/>
        <charset val="134"/>
      </rPr>
      <t>锦纶</t>
    </r>
  </si>
  <si>
    <t>69%R 31%N</t>
  </si>
  <si>
    <t>千屿皱</t>
  </si>
  <si>
    <t>SY252153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</si>
  <si>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19%</t>
    </r>
    <r>
      <rPr>
        <sz val="10"/>
        <color theme="1"/>
        <rFont val="宋体"/>
        <charset val="134"/>
      </rPr>
      <t>尼龙</t>
    </r>
  </si>
  <si>
    <t>81%TEN 19%N</t>
  </si>
  <si>
    <t>罗纱条</t>
  </si>
  <si>
    <t>SY252154</t>
  </si>
  <si>
    <t>四喜条</t>
  </si>
  <si>
    <t>SY252155</t>
  </si>
  <si>
    <t>77%人棉 23%尼龙</t>
  </si>
  <si>
    <t>咪咕皱</t>
  </si>
  <si>
    <t>薄纱布</t>
  </si>
  <si>
    <t>SY252156</t>
  </si>
  <si>
    <t>71%TEN 29%N</t>
  </si>
  <si>
    <t>SY252157</t>
  </si>
  <si>
    <r>
      <rPr>
        <sz val="10"/>
        <color theme="1"/>
        <rFont val="Calibri Light"/>
        <charset val="134"/>
      </rPr>
      <t>H068</t>
    </r>
    <r>
      <rPr>
        <sz val="10"/>
        <color theme="1"/>
        <rFont val="宋体"/>
        <charset val="134"/>
      </rPr>
      <t>和天下</t>
    </r>
  </si>
  <si>
    <t>SY252158</t>
  </si>
  <si>
    <t>50%棉50%PU</t>
  </si>
  <si>
    <t>海岛真皮</t>
  </si>
  <si>
    <t>SY252159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</si>
  <si>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PU</t>
    </r>
  </si>
  <si>
    <t>丑小鹅</t>
  </si>
  <si>
    <t>SY252160</t>
  </si>
  <si>
    <t>SY252161</t>
  </si>
  <si>
    <r>
      <rPr>
        <sz val="10"/>
        <color theme="1"/>
        <rFont val="Calibri Light"/>
        <charset val="134"/>
      </rPr>
      <t>50%PU25%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涤纶</t>
    </r>
  </si>
  <si>
    <t>50%PU25%POLY25%COTTON</t>
  </si>
  <si>
    <t>擦色时代</t>
  </si>
  <si>
    <t>SY252162</t>
  </si>
  <si>
    <t>50%PU50%涤纶</t>
  </si>
  <si>
    <t>50%POLY50%PU</t>
  </si>
  <si>
    <t>莫斯科擦色</t>
  </si>
  <si>
    <t>SY252163</t>
  </si>
  <si>
    <t>50%BCI COTTON50%PU</t>
  </si>
  <si>
    <t>水洗大荔枝</t>
  </si>
  <si>
    <t>SY252164</t>
  </si>
  <si>
    <t>H065</t>
  </si>
  <si>
    <t>SY252165</t>
  </si>
  <si>
    <t>水云间</t>
  </si>
  <si>
    <t>SY252166</t>
  </si>
  <si>
    <t>白天鹅H071</t>
  </si>
  <si>
    <t>SY252167</t>
  </si>
  <si>
    <t>维也纳 蛋白质 空气层</t>
  </si>
  <si>
    <t>SY252168</t>
  </si>
  <si>
    <r>
      <rPr>
        <sz val="10"/>
        <color theme="1"/>
        <rFont val="Calibri Light"/>
        <charset val="134"/>
      </rPr>
      <t>50%PU45%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金属丝</t>
    </r>
  </si>
  <si>
    <t xml:space="preserve">50%PU45%BCI COTTON5%LINEN </t>
  </si>
  <si>
    <r>
      <rPr>
        <sz val="10"/>
        <color theme="1"/>
        <rFont val="Calibri Light"/>
        <charset val="134"/>
      </rPr>
      <t>A90</t>
    </r>
    <r>
      <rPr>
        <sz val="10"/>
        <color theme="1"/>
        <rFont val="宋体"/>
        <charset val="134"/>
      </rPr>
      <t>罗密欧</t>
    </r>
  </si>
  <si>
    <t>SY252169</t>
  </si>
  <si>
    <r>
      <rPr>
        <sz val="10"/>
        <color theme="1"/>
        <rFont val="Calibri Light"/>
        <charset val="134"/>
      </rPr>
      <t>70%PU30%</t>
    </r>
    <r>
      <rPr>
        <sz val="10"/>
        <color theme="1"/>
        <rFont val="宋体"/>
        <charset val="134"/>
      </rPr>
      <t>粘胶</t>
    </r>
  </si>
  <si>
    <t>70%PU30%V</t>
  </si>
  <si>
    <t>经典羊纹</t>
  </si>
  <si>
    <t>SY252170</t>
  </si>
  <si>
    <t>H075</t>
  </si>
  <si>
    <t>SY252171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</si>
  <si>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25%PU5%</t>
    </r>
    <r>
      <rPr>
        <sz val="10"/>
        <color theme="1"/>
        <rFont val="宋体"/>
        <charset val="134"/>
      </rPr>
      <t>氨纶</t>
    </r>
  </si>
  <si>
    <t>70%POLY25%PU5%SP</t>
  </si>
  <si>
    <r>
      <rPr>
        <sz val="10"/>
        <color theme="1"/>
        <rFont val="Calibri Light"/>
        <charset val="134"/>
      </rPr>
      <t>758</t>
    </r>
    <r>
      <rPr>
        <sz val="10"/>
        <color theme="1"/>
        <rFont val="宋体"/>
        <charset val="134"/>
      </rPr>
      <t>针织</t>
    </r>
  </si>
  <si>
    <t>SY252172</t>
  </si>
  <si>
    <t>大赢家</t>
  </si>
  <si>
    <t>SY252173</t>
  </si>
  <si>
    <t>安可拉</t>
  </si>
  <si>
    <t>SY252174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</si>
  <si>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25%PU</t>
    </r>
  </si>
  <si>
    <t>北海道</t>
  </si>
  <si>
    <t>SY252175</t>
  </si>
  <si>
    <t>50%PU45%BCI COTTON5%WIRE</t>
  </si>
  <si>
    <t>元梦之星</t>
  </si>
  <si>
    <t>SY252176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</si>
  <si>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40%PU</t>
    </r>
  </si>
  <si>
    <t>60%POLY40%PU</t>
  </si>
  <si>
    <r>
      <rPr>
        <sz val="10"/>
        <color theme="1"/>
        <rFont val="宋体"/>
        <charset val="134"/>
      </rPr>
      <t>香飘飘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免洗</t>
    </r>
  </si>
  <si>
    <t>SY252177</t>
  </si>
  <si>
    <t>揉纹镜面</t>
  </si>
  <si>
    <t>SY252178</t>
  </si>
  <si>
    <t>狂飙</t>
  </si>
  <si>
    <t>SY252179</t>
  </si>
  <si>
    <r>
      <rPr>
        <sz val="10"/>
        <color theme="1"/>
        <rFont val="Calibri Light"/>
        <charset val="134"/>
      </rPr>
      <t>A77</t>
    </r>
    <r>
      <rPr>
        <sz val="10"/>
        <color theme="1"/>
        <rFont val="宋体"/>
        <charset val="134"/>
      </rPr>
      <t>黑玫瑰</t>
    </r>
  </si>
  <si>
    <t>SY252180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</si>
  <si>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45%PU</t>
    </r>
  </si>
  <si>
    <r>
      <rPr>
        <sz val="10"/>
        <color theme="1"/>
        <rFont val="Calibri Light"/>
        <charset val="134"/>
      </rPr>
      <t>921</t>
    </r>
    <r>
      <rPr>
        <sz val="10"/>
        <color theme="1"/>
        <rFont val="宋体"/>
        <charset val="134"/>
      </rPr>
      <t>免洗</t>
    </r>
  </si>
  <si>
    <t>SY252181</t>
  </si>
  <si>
    <t>罗西尼</t>
  </si>
  <si>
    <t>SY252182</t>
  </si>
  <si>
    <t>50%PU25%棉25%涤纶</t>
  </si>
  <si>
    <t>女主角</t>
  </si>
  <si>
    <t>SY252183</t>
  </si>
  <si>
    <r>
      <rPr>
        <sz val="10"/>
        <color theme="1"/>
        <rFont val="宋体"/>
        <charset val="134"/>
      </rPr>
      <t>巴博斯（</t>
    </r>
    <r>
      <rPr>
        <sz val="10"/>
        <color theme="1"/>
        <rFont val="Calibri Light"/>
        <charset val="134"/>
      </rPr>
      <t>617</t>
    </r>
    <r>
      <rPr>
        <sz val="10"/>
        <color theme="1"/>
        <rFont val="宋体"/>
        <charset val="134"/>
      </rPr>
      <t>）</t>
    </r>
  </si>
  <si>
    <t>SY252184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</si>
  <si>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50%PU</t>
    </r>
  </si>
  <si>
    <t>凯旋门</t>
  </si>
  <si>
    <t>SY252185</t>
  </si>
  <si>
    <r>
      <rPr>
        <sz val="10"/>
        <color theme="1"/>
        <rFont val="Calibri Light"/>
        <charset val="134"/>
      </rPr>
      <t>598TC</t>
    </r>
    <r>
      <rPr>
        <sz val="10"/>
        <color theme="1"/>
        <rFont val="宋体"/>
        <charset val="134"/>
      </rPr>
      <t>泡革</t>
    </r>
  </si>
  <si>
    <t>SY252186</t>
  </si>
  <si>
    <t>50%涤纶50%PU</t>
  </si>
  <si>
    <t>法拉利</t>
  </si>
  <si>
    <t>SY252187</t>
  </si>
  <si>
    <t>樱花（超软蛋白）</t>
  </si>
  <si>
    <t>SY252188</t>
  </si>
  <si>
    <t>牛皮绒（复古）</t>
  </si>
  <si>
    <t>SY252189</t>
  </si>
  <si>
    <t>75%涤25%PU</t>
  </si>
  <si>
    <t>软绵绵</t>
  </si>
  <si>
    <t>SY252190</t>
  </si>
  <si>
    <t>50%PU45%棉5%金属丝</t>
  </si>
  <si>
    <t>曼陀罗</t>
  </si>
  <si>
    <t>SY252191</t>
  </si>
  <si>
    <r>
      <rPr>
        <sz val="10"/>
        <color theme="1"/>
        <rFont val="宋体"/>
        <charset val="134"/>
      </rPr>
      <t>金属丝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圣罗兰</t>
    </r>
  </si>
  <si>
    <t>SY252192</t>
  </si>
  <si>
    <t>多巴胺</t>
  </si>
  <si>
    <t>SY252193</t>
  </si>
  <si>
    <t>油皮荔枝（蛋白）</t>
  </si>
  <si>
    <t>SY252194</t>
  </si>
  <si>
    <r>
      <rPr>
        <sz val="10"/>
        <color theme="1"/>
        <rFont val="Calibri Light"/>
        <charset val="134"/>
      </rPr>
      <t>8004</t>
    </r>
    <r>
      <rPr>
        <sz val="10"/>
        <color theme="1"/>
        <rFont val="宋体"/>
        <charset val="134"/>
      </rPr>
      <t>（复合皮）</t>
    </r>
  </si>
  <si>
    <t>SY252195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</si>
  <si>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PU</t>
    </r>
  </si>
  <si>
    <t>70%POLY30%PU</t>
  </si>
  <si>
    <r>
      <rPr>
        <sz val="10"/>
        <color theme="1"/>
        <rFont val="Calibri Light"/>
        <charset val="134"/>
      </rPr>
      <t>8007</t>
    </r>
    <r>
      <rPr>
        <sz val="10"/>
        <color theme="1"/>
        <rFont val="宋体"/>
        <charset val="134"/>
      </rPr>
      <t>（复合皮）</t>
    </r>
  </si>
  <si>
    <t>SY252196</t>
  </si>
  <si>
    <t>岚魅</t>
  </si>
  <si>
    <t>SY252197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</si>
  <si>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涤棉</t>
    </r>
    <r>
      <rPr>
        <sz val="10"/>
        <color theme="1"/>
        <rFont val="Calibri Light"/>
        <charset val="134"/>
      </rPr>
      <t>50%PU</t>
    </r>
  </si>
  <si>
    <t>50%POLY&amp;COTTON50%PU</t>
  </si>
  <si>
    <t>0019</t>
  </si>
  <si>
    <t>SY252198</t>
  </si>
  <si>
    <t>0018</t>
  </si>
  <si>
    <t>SY252199</t>
  </si>
  <si>
    <t>侯爵</t>
  </si>
  <si>
    <t>SY252200</t>
  </si>
  <si>
    <t>SY252201</t>
  </si>
  <si>
    <t>黑桃A</t>
  </si>
  <si>
    <t>SY252202</t>
  </si>
  <si>
    <t>娇兰蛋白皮</t>
  </si>
  <si>
    <t>SY252203</t>
  </si>
  <si>
    <t>仿植绒</t>
  </si>
  <si>
    <t>SY252204</t>
  </si>
  <si>
    <t>墨尔本</t>
  </si>
  <si>
    <t>SY252205</t>
  </si>
  <si>
    <t>H2296</t>
  </si>
  <si>
    <t>SY252206</t>
  </si>
  <si>
    <t>范迪克高蛋白</t>
  </si>
  <si>
    <t>SY252207</t>
  </si>
  <si>
    <t>H062</t>
  </si>
  <si>
    <t>SY252208</t>
  </si>
  <si>
    <t>梭织棉布</t>
  </si>
  <si>
    <t>超柔纱卡砂洗磨毛 H2455</t>
  </si>
  <si>
    <t>SY252209</t>
  </si>
  <si>
    <r>
      <rPr>
        <sz val="10"/>
        <color theme="1"/>
        <rFont val="宋体"/>
        <charset val="134"/>
      </rPr>
      <t>精梳</t>
    </r>
    <r>
      <rPr>
        <sz val="10"/>
        <color theme="1"/>
        <rFont val="Calibri Light"/>
        <charset val="134"/>
      </rPr>
      <t>10X10</t>
    </r>
    <r>
      <rPr>
        <sz val="10"/>
        <color theme="1"/>
        <rFont val="宋体"/>
        <charset val="134"/>
      </rPr>
      <t>洗水 H2492</t>
    </r>
  </si>
  <si>
    <t>SY252210</t>
  </si>
  <si>
    <r>
      <rPr>
        <sz val="10"/>
        <color theme="1"/>
        <rFont val="宋体"/>
        <charset val="134"/>
      </rPr>
      <t>荣盛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金品</t>
    </r>
  </si>
  <si>
    <r>
      <rPr>
        <sz val="10"/>
        <color theme="1"/>
        <rFont val="Calibri Light"/>
        <charset val="134"/>
      </rPr>
      <t>1/3</t>
    </r>
    <r>
      <rPr>
        <sz val="10"/>
        <color theme="1"/>
        <rFont val="宋体"/>
        <charset val="134"/>
      </rPr>
      <t>细斜砂洗</t>
    </r>
    <r>
      <rPr>
        <sz val="10"/>
        <color theme="1"/>
        <rFont val="Calibri Light"/>
        <charset val="134"/>
      </rPr>
      <t xml:space="preserve"> H2024</t>
    </r>
  </si>
  <si>
    <t>SY252211</t>
  </si>
  <si>
    <r>
      <rPr>
        <sz val="10"/>
        <color theme="1"/>
        <rFont val="宋体"/>
        <charset val="134"/>
      </rPr>
      <t>高密斜超柔洗褪</t>
    </r>
    <r>
      <rPr>
        <sz val="10"/>
        <color theme="1"/>
        <rFont val="Calibri Light"/>
        <charset val="134"/>
      </rPr>
      <t xml:space="preserve"> H2394</t>
    </r>
  </si>
  <si>
    <t>SY252212</t>
  </si>
  <si>
    <r>
      <rPr>
        <sz val="10"/>
        <color theme="1"/>
        <rFont val="Calibri Light"/>
        <charset val="134"/>
      </rPr>
      <t>108X56</t>
    </r>
    <r>
      <rPr>
        <sz val="10"/>
        <color theme="1"/>
        <rFont val="宋体"/>
        <charset val="134"/>
      </rPr>
      <t>砂洗</t>
    </r>
    <r>
      <rPr>
        <sz val="10"/>
        <color theme="1"/>
        <rFont val="Calibri Light"/>
        <charset val="134"/>
      </rPr>
      <t xml:space="preserve"> H1096</t>
    </r>
  </si>
  <si>
    <t>SY252213</t>
  </si>
  <si>
    <r>
      <rPr>
        <sz val="10"/>
        <color theme="1"/>
        <rFont val="宋体"/>
        <charset val="134"/>
      </rPr>
      <t>碳磨超柔洗水</t>
    </r>
    <r>
      <rPr>
        <sz val="10"/>
        <color theme="1"/>
        <rFont val="Calibri Light"/>
        <charset val="134"/>
      </rPr>
      <t xml:space="preserve"> 980#</t>
    </r>
  </si>
  <si>
    <t>SY252214</t>
  </si>
  <si>
    <r>
      <rPr>
        <sz val="10"/>
        <color theme="1"/>
        <rFont val="Calibri Light"/>
        <charset val="134"/>
      </rPr>
      <t>40X21</t>
    </r>
    <r>
      <rPr>
        <sz val="10"/>
        <color theme="1"/>
        <rFont val="宋体"/>
        <charset val="134"/>
      </rPr>
      <t>高密斜洗水</t>
    </r>
    <r>
      <rPr>
        <sz val="10"/>
        <color theme="1"/>
        <rFont val="Calibri Light"/>
        <charset val="134"/>
      </rPr>
      <t xml:space="preserve"> 856</t>
    </r>
  </si>
  <si>
    <t>SY252215</t>
  </si>
  <si>
    <r>
      <rPr>
        <sz val="10"/>
        <color theme="1"/>
        <rFont val="宋体"/>
        <charset val="134"/>
      </rPr>
      <t>高山棉</t>
    </r>
    <r>
      <rPr>
        <sz val="10"/>
        <color theme="1"/>
        <rFont val="Calibri Light"/>
        <charset val="134"/>
      </rPr>
      <t xml:space="preserve"> 480</t>
    </r>
  </si>
  <si>
    <t>SY252216</t>
  </si>
  <si>
    <t>中厚骑兵斜洗水 912#</t>
  </si>
  <si>
    <t>SY252217</t>
  </si>
  <si>
    <t xml:space="preserve"> </t>
  </si>
  <si>
    <t>6209#</t>
  </si>
  <si>
    <t>SY252218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</si>
  <si>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莫代尔</t>
    </r>
  </si>
  <si>
    <t>50%BCI COTTON 50%MD</t>
  </si>
  <si>
    <t>昌盛纺织</t>
  </si>
  <si>
    <r>
      <rPr>
        <sz val="10"/>
        <color theme="1"/>
        <rFont val="Calibri Light"/>
        <charset val="134"/>
      </rPr>
      <t xml:space="preserve">9801 </t>
    </r>
    <r>
      <rPr>
        <sz val="10"/>
        <color theme="1"/>
        <rFont val="宋体"/>
        <charset val="134"/>
      </rPr>
      <t>新羽棉</t>
    </r>
  </si>
  <si>
    <t>SY252219</t>
  </si>
  <si>
    <t>华荣</t>
  </si>
  <si>
    <t>SY252220</t>
  </si>
  <si>
    <t>恒鑫纺织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</si>
  <si>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支高密夫砂洗皱</t>
    </r>
    <r>
      <rPr>
        <sz val="10"/>
        <color theme="1"/>
        <rFont val="Calibri Light"/>
        <charset val="134"/>
      </rPr>
      <t xml:space="preserve"> 668</t>
    </r>
  </si>
  <si>
    <t>SY252221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</si>
  <si>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支高密夫洗水棉</t>
    </r>
    <r>
      <rPr>
        <sz val="10"/>
        <color theme="1"/>
        <rFont val="Calibri Light"/>
        <charset val="134"/>
      </rPr>
      <t xml:space="preserve"> 851</t>
    </r>
  </si>
  <si>
    <t>SY252222</t>
  </si>
  <si>
    <t>丰盛纺织</t>
  </si>
  <si>
    <t>梭织化纤布</t>
  </si>
  <si>
    <r>
      <rPr>
        <sz val="10"/>
        <color theme="1"/>
        <rFont val="Calibri Light"/>
        <charset val="134"/>
      </rPr>
      <t>1410</t>
    </r>
    <r>
      <rPr>
        <sz val="10"/>
        <color theme="1"/>
        <rFont val="宋体"/>
        <charset val="134"/>
      </rPr>
      <t>加密</t>
    </r>
  </si>
  <si>
    <t>SY252223</t>
  </si>
  <si>
    <r>
      <rPr>
        <sz val="10"/>
        <color theme="1"/>
        <rFont val="Calibri Light"/>
        <charset val="134"/>
      </rPr>
      <t xml:space="preserve">43077# </t>
    </r>
    <r>
      <rPr>
        <sz val="10"/>
        <color theme="1"/>
        <rFont val="宋体"/>
        <charset val="134"/>
      </rPr>
      <t>斜纹水蜜桃</t>
    </r>
  </si>
  <si>
    <t>SY252224</t>
  </si>
  <si>
    <t>HYL</t>
  </si>
  <si>
    <r>
      <rPr>
        <sz val="10"/>
        <color theme="1"/>
        <rFont val="宋体"/>
        <charset val="134"/>
      </rPr>
      <t>银光斜</t>
    </r>
    <r>
      <rPr>
        <sz val="10"/>
        <color theme="1"/>
        <rFont val="Calibri Light"/>
        <charset val="134"/>
      </rPr>
      <t xml:space="preserve"> A3597#</t>
    </r>
  </si>
  <si>
    <t>SY252225</t>
  </si>
  <si>
    <t>永信</t>
  </si>
  <si>
    <r>
      <rPr>
        <sz val="10"/>
        <color theme="1"/>
        <rFont val="Calibri Light"/>
        <charset val="134"/>
      </rPr>
      <t>Y31#T8</t>
    </r>
    <r>
      <rPr>
        <sz val="10"/>
        <color theme="1"/>
        <rFont val="宋体"/>
        <charset val="134"/>
      </rPr>
      <t>砂洗</t>
    </r>
    <r>
      <rPr>
        <sz val="10"/>
        <color theme="1"/>
        <rFont val="Calibri Light"/>
        <charset val="134"/>
      </rPr>
      <t>2/2</t>
    </r>
    <r>
      <rPr>
        <sz val="10"/>
        <color theme="1"/>
        <rFont val="宋体"/>
        <charset val="134"/>
      </rPr>
      <t>斜</t>
    </r>
  </si>
  <si>
    <t>SY252226</t>
  </si>
  <si>
    <t>发仔布行</t>
  </si>
  <si>
    <t>A8941</t>
  </si>
  <si>
    <t>SY252227</t>
  </si>
  <si>
    <t>A1348-1</t>
  </si>
  <si>
    <t>SY252228</t>
  </si>
  <si>
    <t>95%尼龙 5%氨纶</t>
  </si>
  <si>
    <t>林盛</t>
  </si>
  <si>
    <t>V6024</t>
  </si>
  <si>
    <t>SY252229</t>
  </si>
  <si>
    <t>创鑫纺织</t>
  </si>
  <si>
    <t>HX1285</t>
  </si>
  <si>
    <t>SY252230</t>
  </si>
  <si>
    <t>辉兴纺织</t>
  </si>
  <si>
    <t>YYH669</t>
  </si>
  <si>
    <t>SY252231</t>
  </si>
  <si>
    <t>丽源纺织</t>
  </si>
  <si>
    <r>
      <rPr>
        <sz val="10"/>
        <color theme="1"/>
        <rFont val="Calibri Light"/>
        <charset val="134"/>
      </rPr>
      <t xml:space="preserve">6864# </t>
    </r>
    <r>
      <rPr>
        <sz val="10"/>
        <color theme="1"/>
        <rFont val="宋体"/>
        <charset val="134"/>
      </rPr>
      <t>精品东乐棉</t>
    </r>
  </si>
  <si>
    <t>SY252232</t>
  </si>
  <si>
    <t>裕源织造</t>
  </si>
  <si>
    <t>N00716#</t>
  </si>
  <si>
    <t>SY252233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</si>
  <si>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阳离子</t>
    </r>
    <r>
      <rPr>
        <sz val="10"/>
        <color theme="1"/>
        <rFont val="Calibri Light"/>
        <charset val="134"/>
      </rPr>
      <t xml:space="preserve"> 31%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粘胶</t>
    </r>
  </si>
  <si>
    <t>94%POLY 6%V</t>
  </si>
  <si>
    <t>达昇</t>
  </si>
  <si>
    <t>N00549#</t>
  </si>
  <si>
    <t>SY252234</t>
  </si>
  <si>
    <t>70%人棉 30%涤</t>
  </si>
  <si>
    <t>SY252235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</si>
  <si>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砂洗</t>
    </r>
  </si>
  <si>
    <t>SY252236</t>
  </si>
  <si>
    <t>038</t>
  </si>
  <si>
    <t>SY252237</t>
  </si>
  <si>
    <t>035</t>
  </si>
  <si>
    <t>SY252238</t>
  </si>
  <si>
    <t>65%R 30%T 5%SP</t>
  </si>
  <si>
    <r>
      <rPr>
        <sz val="10"/>
        <color theme="1"/>
        <rFont val="Calibri Light"/>
        <charset val="134"/>
      </rPr>
      <t>34/38/71/73/84/</t>
    </r>
    <r>
      <rPr>
        <sz val="10"/>
        <color theme="1"/>
        <rFont val="宋体"/>
        <charset val="134"/>
      </rPr>
      <t>活性黑</t>
    </r>
    <r>
      <rPr>
        <sz val="10"/>
        <color theme="1"/>
        <rFont val="Calibri Light"/>
        <charset val="134"/>
      </rPr>
      <t xml:space="preserve"> +0.5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</si>
  <si>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202#</t>
  </si>
  <si>
    <t>SY252241</t>
  </si>
  <si>
    <r>
      <rPr>
        <sz val="10"/>
        <color theme="1"/>
        <rFont val="Calibri Light"/>
        <charset val="134"/>
      </rPr>
      <t>64 +0.7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  <r>
      <rPr>
        <sz val="10"/>
        <color theme="1"/>
        <rFont val="Calibri Light"/>
        <charset val="134"/>
      </rPr>
      <t xml:space="preserve"> 42/53+0.5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</si>
  <si>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1024#</t>
  </si>
  <si>
    <t>SY252242</t>
  </si>
  <si>
    <r>
      <rPr>
        <sz val="10"/>
        <color theme="1"/>
        <rFont val="Calibri Light"/>
        <charset val="134"/>
      </rPr>
      <t>77%</t>
    </r>
    <r>
      <rPr>
        <sz val="10"/>
        <color theme="1"/>
        <rFont val="宋体"/>
        <charset val="134"/>
      </rPr>
      <t>人涤纶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莫代尔</t>
    </r>
  </si>
  <si>
    <t>77%T 20%M 3%SP</t>
  </si>
  <si>
    <t>1023#</t>
  </si>
  <si>
    <t>SY252243</t>
  </si>
  <si>
    <r>
      <rPr>
        <sz val="10"/>
        <color theme="1"/>
        <rFont val="Calibri Light"/>
        <charset val="134"/>
      </rPr>
      <t>65/66 +0.5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</si>
  <si>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t>293#</t>
  </si>
  <si>
    <t>SY252244</t>
  </si>
  <si>
    <r>
      <rPr>
        <sz val="10"/>
        <color theme="1"/>
        <rFont val="Calibri Light"/>
        <charset val="134"/>
      </rPr>
      <t>100D</t>
    </r>
    <r>
      <rPr>
        <sz val="10"/>
        <color theme="1"/>
        <rFont val="宋体"/>
        <charset val="134"/>
      </rPr>
      <t>细斜四面弹</t>
    </r>
  </si>
  <si>
    <t>SY252245</t>
  </si>
  <si>
    <r>
      <rPr>
        <sz val="10"/>
        <color theme="1"/>
        <rFont val="Calibri Light"/>
        <charset val="134"/>
      </rPr>
      <t>F</t>
    </r>
    <r>
      <rPr>
        <sz val="10"/>
        <color theme="1"/>
        <rFont val="宋体"/>
        <charset val="134"/>
      </rPr>
      <t>加密防真丝</t>
    </r>
  </si>
  <si>
    <t>SY252239</t>
  </si>
  <si>
    <t>鑫丽达纺织</t>
  </si>
  <si>
    <t>钻石麻</t>
  </si>
  <si>
    <t>SY252240</t>
  </si>
  <si>
    <t>70%人棉 20%涤 10%锦</t>
  </si>
  <si>
    <t>印花</t>
  </si>
  <si>
    <t>ZL873</t>
  </si>
  <si>
    <t>SY252248</t>
  </si>
  <si>
    <t>CW17</t>
  </si>
  <si>
    <t>SY252249</t>
  </si>
  <si>
    <t>传成</t>
  </si>
  <si>
    <t>CW21</t>
  </si>
  <si>
    <t>SY252250</t>
  </si>
  <si>
    <t>90%POLY10%SP</t>
  </si>
  <si>
    <t>CW01</t>
  </si>
  <si>
    <t>SY252251</t>
  </si>
  <si>
    <t>CW10</t>
  </si>
  <si>
    <t>SY252252</t>
  </si>
  <si>
    <t>单丝竹节麻J537</t>
  </si>
  <si>
    <t>SY252253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</si>
  <si>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锦纶</t>
    </r>
  </si>
  <si>
    <t>85%R15%NYLON</t>
  </si>
  <si>
    <t>金和纺织</t>
  </si>
  <si>
    <r>
      <rPr>
        <sz val="10"/>
        <color theme="1"/>
        <rFont val="宋体"/>
        <charset val="134"/>
      </rPr>
      <t>单丝竹节麻</t>
    </r>
    <r>
      <rPr>
        <sz val="10"/>
        <color theme="1"/>
        <rFont val="Calibri Light"/>
        <charset val="134"/>
      </rPr>
      <t>J595</t>
    </r>
  </si>
  <si>
    <t>SY252254</t>
  </si>
  <si>
    <r>
      <rPr>
        <sz val="10"/>
        <color theme="1"/>
        <rFont val="宋体"/>
        <charset val="134"/>
      </rPr>
      <t>单丝竹节麻</t>
    </r>
    <r>
      <rPr>
        <sz val="10"/>
        <color theme="1"/>
        <rFont val="Calibri Light"/>
        <charset val="134"/>
      </rPr>
      <t>J594</t>
    </r>
  </si>
  <si>
    <t>SY252255</t>
  </si>
  <si>
    <t>单丝竹节麻J77</t>
  </si>
  <si>
    <t>SY252256</t>
  </si>
  <si>
    <t>单丝竹节麻J56</t>
  </si>
  <si>
    <t>SY252257</t>
  </si>
  <si>
    <t>单丝竹节麻J319</t>
  </si>
  <si>
    <t>SY252258</t>
  </si>
  <si>
    <t>单丝竹节麻J270</t>
  </si>
  <si>
    <t>SY252259</t>
  </si>
  <si>
    <t>单丝竹节麻J675</t>
  </si>
  <si>
    <t>SY252260</t>
  </si>
  <si>
    <r>
      <rPr>
        <sz val="10"/>
        <color theme="1"/>
        <rFont val="宋体"/>
        <charset val="134"/>
      </rPr>
      <t>单丝竹节麻</t>
    </r>
    <r>
      <rPr>
        <sz val="10"/>
        <color theme="1"/>
        <rFont val="Calibri Light"/>
        <charset val="134"/>
      </rPr>
      <t>J711</t>
    </r>
  </si>
  <si>
    <t>SY252261</t>
  </si>
  <si>
    <t>单丝竹节麻J478</t>
  </si>
  <si>
    <t>SY252262</t>
  </si>
  <si>
    <r>
      <rPr>
        <sz val="10"/>
        <color theme="1"/>
        <rFont val="宋体"/>
        <charset val="134"/>
      </rPr>
      <t>单丝竹节麻</t>
    </r>
    <r>
      <rPr>
        <sz val="10"/>
        <color theme="1"/>
        <rFont val="Calibri Light"/>
        <charset val="134"/>
      </rPr>
      <t>J610</t>
    </r>
  </si>
  <si>
    <t>SY252263</t>
  </si>
  <si>
    <t>单丝竹节麻J552</t>
  </si>
  <si>
    <t>SY252264</t>
  </si>
  <si>
    <r>
      <rPr>
        <sz val="10"/>
        <color theme="1"/>
        <rFont val="宋体"/>
        <charset val="134"/>
      </rPr>
      <t>单丝竹节麻</t>
    </r>
    <r>
      <rPr>
        <sz val="10"/>
        <color theme="1"/>
        <rFont val="Calibri Light"/>
        <charset val="134"/>
      </rPr>
      <t>J538</t>
    </r>
  </si>
  <si>
    <t>SY252265</t>
  </si>
  <si>
    <r>
      <rPr>
        <sz val="10"/>
        <color theme="1"/>
        <rFont val="Calibri Light"/>
        <charset val="134"/>
      </rPr>
      <t>54</t>
    </r>
    <r>
      <rPr>
        <sz val="10"/>
        <color theme="1"/>
        <rFont val="宋体"/>
        <charset val="134"/>
      </rPr>
      <t>夏季麻活性优W  JJF25 002</t>
    </r>
  </si>
  <si>
    <t>SY252266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</si>
  <si>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麻</t>
    </r>
  </si>
  <si>
    <t>80%R 20%L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</si>
  <si>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支府绸活性优L LZ25C5210</t>
    </r>
  </si>
  <si>
    <t>SY252267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</si>
  <si>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支府绸活性直喷</t>
    </r>
    <r>
      <rPr>
        <sz val="10"/>
        <color theme="1"/>
        <rFont val="Calibri Light"/>
        <charset val="134"/>
      </rPr>
      <t xml:space="preserve">  XJRJJF0326-12</t>
    </r>
  </si>
  <si>
    <t>SY252268</t>
  </si>
  <si>
    <r>
      <rPr>
        <sz val="10"/>
        <color theme="1"/>
        <rFont val="Calibri Light"/>
        <charset val="134"/>
      </rPr>
      <t>30</t>
    </r>
    <r>
      <rPr>
        <sz val="10"/>
        <color theme="1"/>
        <rFont val="宋体"/>
        <charset val="134"/>
      </rPr>
      <t>支人棉活性F  34247</t>
    </r>
  </si>
  <si>
    <t>SY252269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</si>
  <si>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支人棉活性印花</t>
    </r>
    <r>
      <rPr>
        <sz val="10"/>
        <color theme="1"/>
        <rFont val="Calibri Light"/>
        <charset val="134"/>
      </rPr>
      <t xml:space="preserve">  E855</t>
    </r>
  </si>
  <si>
    <t>SY252270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</si>
  <si>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支人棉活性优</t>
    </r>
    <r>
      <rPr>
        <sz val="10"/>
        <color theme="1"/>
        <rFont val="Calibri Light"/>
        <charset val="134"/>
      </rPr>
      <t xml:space="preserve">  M0418L</t>
    </r>
  </si>
  <si>
    <t>SY252271</t>
  </si>
  <si>
    <r>
      <rPr>
        <sz val="10"/>
        <color theme="1"/>
        <rFont val="Calibri Light"/>
        <charset val="134"/>
      </rPr>
      <t>CR</t>
    </r>
    <r>
      <rPr>
        <sz val="10"/>
        <color theme="1"/>
        <rFont val="宋体"/>
        <charset val="134"/>
      </rPr>
      <t>竹节活性优S  JJF250416-9</t>
    </r>
  </si>
  <si>
    <t>SY252272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</si>
  <si>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人棉</t>
    </r>
  </si>
  <si>
    <t>60%BCI COTTON40%R</t>
  </si>
  <si>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支仿天丝活性优H  HDS-H24124614</t>
    </r>
  </si>
  <si>
    <t>SY252273</t>
  </si>
  <si>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支仿天丝活性优</t>
    </r>
    <r>
      <rPr>
        <sz val="10"/>
        <color theme="1"/>
        <rFont val="Calibri Light"/>
        <charset val="134"/>
      </rPr>
      <t>H  HDS-H24124630</t>
    </r>
  </si>
  <si>
    <t>SY252274</t>
  </si>
  <si>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支仿天丝活性优</t>
    </r>
    <r>
      <rPr>
        <sz val="10"/>
        <color theme="1"/>
        <rFont val="Calibri Light"/>
        <charset val="134"/>
      </rPr>
      <t>H  HDS-H24124657</t>
    </r>
  </si>
  <si>
    <t>SY252275</t>
  </si>
  <si>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支仿天丝印花优L LZ23G41106</t>
    </r>
  </si>
  <si>
    <t>SY252276</t>
  </si>
  <si>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支仿天丝活性直喷</t>
    </r>
    <r>
      <rPr>
        <sz val="10"/>
        <color theme="1"/>
        <rFont val="Calibri Light"/>
        <charset val="134"/>
      </rPr>
      <t xml:space="preserve"> S21HB0893-20S</t>
    </r>
  </si>
  <si>
    <t>SY252277</t>
  </si>
  <si>
    <t>单丝麻LM9227</t>
  </si>
  <si>
    <t>SY252278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</si>
  <si>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尼龙</t>
    </r>
  </si>
  <si>
    <t>亿盛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</si>
  <si>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77007</t>
    </r>
  </si>
  <si>
    <t>SY252279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</si>
  <si>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47543</t>
    </r>
  </si>
  <si>
    <t>SY252280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</si>
  <si>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77040</t>
    </r>
  </si>
  <si>
    <t>SY252281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</si>
  <si>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47071</t>
    </r>
  </si>
  <si>
    <t>SY252282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</si>
  <si>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77031</t>
    </r>
  </si>
  <si>
    <t>SY252283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</si>
  <si>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78018</t>
    </r>
  </si>
  <si>
    <t>SY252284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</si>
  <si>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77042</t>
    </r>
  </si>
  <si>
    <t>SY252285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</si>
  <si>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77010</t>
    </r>
  </si>
  <si>
    <t>SY252286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</si>
  <si>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77074</t>
    </r>
  </si>
  <si>
    <t>SY252287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</si>
  <si>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62001</t>
    </r>
  </si>
  <si>
    <t>SY252288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</si>
  <si>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62008</t>
    </r>
  </si>
  <si>
    <t>SY252289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</si>
  <si>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77064</t>
    </r>
  </si>
  <si>
    <t>SY252290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</si>
  <si>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65003</t>
    </r>
  </si>
  <si>
    <t>SY252291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</si>
  <si>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77011</t>
    </r>
  </si>
  <si>
    <t>SY252292</t>
  </si>
  <si>
    <t>仿天丝数码FS-53052</t>
  </si>
  <si>
    <t>SY252293</t>
  </si>
  <si>
    <r>
      <rPr>
        <sz val="10"/>
        <color theme="1"/>
        <rFont val="宋体"/>
        <charset val="134"/>
      </rPr>
      <t>仿天丝数码</t>
    </r>
    <r>
      <rPr>
        <sz val="10"/>
        <color theme="1"/>
        <rFont val="Calibri Light"/>
        <charset val="134"/>
      </rPr>
      <t>FS-53088</t>
    </r>
  </si>
  <si>
    <t>SY252294</t>
  </si>
  <si>
    <r>
      <rPr>
        <sz val="10"/>
        <color theme="1"/>
        <rFont val="宋体"/>
        <charset val="134"/>
      </rPr>
      <t>仿天丝数码</t>
    </r>
    <r>
      <rPr>
        <sz val="10"/>
        <color theme="1"/>
        <rFont val="Calibri Light"/>
        <charset val="134"/>
      </rPr>
      <t>FS-53053</t>
    </r>
  </si>
  <si>
    <t>SY252295</t>
  </si>
  <si>
    <t>仿天丝数码FS-53035</t>
  </si>
  <si>
    <t>SY252296</t>
  </si>
  <si>
    <t>仿天丝数码FS-53090</t>
  </si>
  <si>
    <t>SY252297</t>
  </si>
  <si>
    <t>仿天丝数码FS-53023</t>
  </si>
  <si>
    <t>SY252298</t>
  </si>
  <si>
    <r>
      <rPr>
        <sz val="10"/>
        <color theme="1"/>
        <rFont val="宋体"/>
        <charset val="134"/>
      </rPr>
      <t>仿天丝数码</t>
    </r>
    <r>
      <rPr>
        <sz val="10"/>
        <color theme="1"/>
        <rFont val="Calibri Light"/>
        <charset val="134"/>
      </rPr>
      <t>FS-53021</t>
    </r>
  </si>
  <si>
    <t>SY252299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</si>
  <si>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62015</t>
    </r>
  </si>
  <si>
    <t>SY252300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</si>
  <si>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62014</t>
    </r>
  </si>
  <si>
    <t>SY252301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</si>
  <si>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77020</t>
    </r>
  </si>
  <si>
    <t>SY252302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</si>
  <si>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77019</t>
    </r>
  </si>
  <si>
    <t>SY252303</t>
  </si>
  <si>
    <t>SY252304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</si>
  <si>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支人棉</t>
    </r>
    <r>
      <rPr>
        <sz val="10"/>
        <color theme="1"/>
        <rFont val="Calibri Light"/>
        <charset val="134"/>
      </rPr>
      <t>62018</t>
    </r>
  </si>
  <si>
    <t>SY252305</t>
  </si>
  <si>
    <r>
      <rPr>
        <sz val="10"/>
        <color theme="1"/>
        <rFont val="宋体"/>
        <charset val="134"/>
      </rPr>
      <t>仿天丝数码</t>
    </r>
    <r>
      <rPr>
        <sz val="10"/>
        <color theme="1"/>
        <rFont val="Calibri Light"/>
        <charset val="134"/>
      </rPr>
      <t>FS-53098</t>
    </r>
  </si>
  <si>
    <t>SY252306</t>
  </si>
  <si>
    <t>B1567</t>
  </si>
  <si>
    <t>SY252307</t>
  </si>
  <si>
    <t>B1565</t>
  </si>
  <si>
    <t>SY252308</t>
  </si>
  <si>
    <t>B1178</t>
  </si>
  <si>
    <t>SY252309</t>
  </si>
  <si>
    <t>B1470</t>
  </si>
  <si>
    <t>SY252310</t>
  </si>
  <si>
    <t>B1410</t>
  </si>
  <si>
    <t>SY252311</t>
  </si>
  <si>
    <t>B1167</t>
  </si>
  <si>
    <t>SY252312</t>
  </si>
  <si>
    <t>B1361</t>
  </si>
  <si>
    <t>SY252313</t>
  </si>
  <si>
    <t>B1420</t>
  </si>
  <si>
    <t>SY252314</t>
  </si>
  <si>
    <t>B1660</t>
  </si>
  <si>
    <t>SY252315</t>
  </si>
  <si>
    <t>B1599</t>
  </si>
  <si>
    <t>SY252316</t>
  </si>
  <si>
    <t>B1663</t>
  </si>
  <si>
    <t>SY252317</t>
  </si>
  <si>
    <t>B1662</t>
  </si>
  <si>
    <t>SY252318</t>
  </si>
  <si>
    <t>B1563</t>
  </si>
  <si>
    <t>SY252319</t>
  </si>
  <si>
    <t>SY252320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</si>
  <si>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锦纶</t>
    </r>
  </si>
  <si>
    <t>80%R20%NYLON</t>
  </si>
  <si>
    <t>SY252321</t>
  </si>
  <si>
    <t>SY252322</t>
  </si>
  <si>
    <t>SY252323</t>
  </si>
  <si>
    <t>SY252324</t>
  </si>
  <si>
    <t>SY252325</t>
  </si>
  <si>
    <t>SY252326</t>
  </si>
  <si>
    <t>SY252327</t>
  </si>
  <si>
    <t>SY252328</t>
  </si>
  <si>
    <t>77%R23%NYLON</t>
  </si>
  <si>
    <t>SY252329</t>
  </si>
  <si>
    <t>SY252330</t>
  </si>
  <si>
    <t>SY252331</t>
  </si>
  <si>
    <t>乱麻L032</t>
  </si>
  <si>
    <t>SY252332</t>
  </si>
  <si>
    <t>85%人棉15%尼龙</t>
  </si>
  <si>
    <t>乱麻L033</t>
  </si>
  <si>
    <t>SY252333</t>
  </si>
  <si>
    <t>乱麻L045</t>
  </si>
  <si>
    <t>SY252334</t>
  </si>
  <si>
    <t>A2-1922</t>
  </si>
  <si>
    <t>SY252335</t>
  </si>
  <si>
    <t>双喜纺织</t>
  </si>
  <si>
    <t>A2-1816</t>
  </si>
  <si>
    <t>SY252336</t>
  </si>
  <si>
    <t>24-563</t>
  </si>
  <si>
    <t>SY252337</t>
  </si>
  <si>
    <t>25-98</t>
  </si>
  <si>
    <t>SY252338</t>
  </si>
  <si>
    <t>80-110</t>
  </si>
  <si>
    <t>SY252339</t>
  </si>
  <si>
    <t>8-4342</t>
  </si>
  <si>
    <t>SY252340</t>
  </si>
  <si>
    <t>8-3812</t>
  </si>
  <si>
    <t>SY252341</t>
  </si>
  <si>
    <t>8-4394</t>
  </si>
  <si>
    <t>SY252342</t>
  </si>
  <si>
    <t>8-3457</t>
  </si>
  <si>
    <t>SY252343</t>
  </si>
  <si>
    <t>8-4571</t>
  </si>
  <si>
    <t>SY252344</t>
  </si>
  <si>
    <t>4-1851</t>
  </si>
  <si>
    <t>SY252345</t>
  </si>
  <si>
    <t>79-310</t>
  </si>
  <si>
    <t>SY252346</t>
  </si>
  <si>
    <t>8#</t>
  </si>
  <si>
    <t>SY252347</t>
  </si>
  <si>
    <t>79-303</t>
  </si>
  <si>
    <t>SY252348</t>
  </si>
  <si>
    <t>2-2310</t>
  </si>
  <si>
    <t>SY252349</t>
  </si>
  <si>
    <t>2-1509</t>
  </si>
  <si>
    <t>SY252350</t>
  </si>
  <si>
    <t>2-2306</t>
  </si>
  <si>
    <t>SY252351</t>
  </si>
  <si>
    <t>2-1694</t>
  </si>
  <si>
    <t>SY252352</t>
  </si>
  <si>
    <t>A2-2237</t>
  </si>
  <si>
    <t>SY252353</t>
  </si>
  <si>
    <t>A2-1954</t>
  </si>
  <si>
    <t>SY252354</t>
  </si>
  <si>
    <t>8-3713</t>
  </si>
  <si>
    <t>SY252355</t>
  </si>
  <si>
    <t>8-4058</t>
  </si>
  <si>
    <t>SY252356</t>
  </si>
  <si>
    <t>8-4657</t>
  </si>
  <si>
    <t>SY252357</t>
  </si>
  <si>
    <t>8-4633</t>
  </si>
  <si>
    <t>SY252358</t>
  </si>
  <si>
    <t>8-2818</t>
  </si>
  <si>
    <t>SY252359</t>
  </si>
  <si>
    <t>8-3607</t>
  </si>
  <si>
    <t>SY252360</t>
  </si>
  <si>
    <t>8-4154</t>
  </si>
  <si>
    <t>SY252361</t>
  </si>
  <si>
    <t>8-3409</t>
  </si>
  <si>
    <t>SY252362</t>
  </si>
  <si>
    <t>8-3622</t>
  </si>
  <si>
    <t>SY252363</t>
  </si>
  <si>
    <t>8-4236</t>
  </si>
  <si>
    <t>SY252364</t>
  </si>
  <si>
    <t>8-3984</t>
  </si>
  <si>
    <t>SY252365</t>
  </si>
  <si>
    <t>8-3493-5</t>
  </si>
  <si>
    <t>SY252366</t>
  </si>
  <si>
    <t>8-1591</t>
  </si>
  <si>
    <t>SY252367</t>
  </si>
  <si>
    <t>8-4446</t>
  </si>
  <si>
    <t>SY252368</t>
  </si>
  <si>
    <t>8-4593</t>
  </si>
  <si>
    <t>SY252369</t>
  </si>
  <si>
    <t>8-4666</t>
  </si>
  <si>
    <t>SY252370</t>
  </si>
  <si>
    <t>8-4658</t>
  </si>
  <si>
    <t>SY252371</t>
  </si>
  <si>
    <t>3-3087</t>
  </si>
  <si>
    <t>SY252372</t>
  </si>
  <si>
    <t>3-3012</t>
  </si>
  <si>
    <t>SY252373</t>
  </si>
  <si>
    <t>3-3030</t>
  </si>
  <si>
    <t>SY252374</t>
  </si>
  <si>
    <t>3-3206</t>
  </si>
  <si>
    <t>SY252375</t>
  </si>
  <si>
    <t>6-855</t>
  </si>
  <si>
    <t>SY252376</t>
  </si>
  <si>
    <t>92-10  4-1543</t>
  </si>
  <si>
    <t>SY252377</t>
  </si>
  <si>
    <t>100-14</t>
  </si>
  <si>
    <t>SY252378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</si>
  <si>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锦纶</t>
    </r>
  </si>
  <si>
    <t>90%R10%NYLON</t>
  </si>
  <si>
    <t>鎏金丝</t>
  </si>
  <si>
    <t>SY252380</t>
  </si>
  <si>
    <t>55%天丝 30%锦纶 15%涤纶</t>
  </si>
  <si>
    <t>55%TEN 30%N 15%T</t>
  </si>
  <si>
    <t>男士针织面料</t>
  </si>
  <si>
    <r>
      <rPr>
        <sz val="10"/>
        <color theme="1"/>
        <rFont val="Calibri Light"/>
        <charset val="134"/>
      </rPr>
      <t xml:space="preserve">B7763 </t>
    </r>
    <r>
      <rPr>
        <sz val="10"/>
        <color theme="1"/>
        <rFont val="宋体"/>
        <charset val="134"/>
      </rPr>
      <t>慕斯羊绒</t>
    </r>
  </si>
  <si>
    <t>SY252381</t>
  </si>
  <si>
    <t>60%人棉35%涤纶5%氨纶</t>
  </si>
  <si>
    <t>斌盛布业</t>
  </si>
  <si>
    <r>
      <rPr>
        <sz val="10"/>
        <color theme="1"/>
        <rFont val="Calibri Light"/>
        <charset val="134"/>
      </rPr>
      <t>B7762#V</t>
    </r>
    <r>
      <rPr>
        <sz val="10"/>
        <color theme="1"/>
        <rFont val="宋体"/>
        <charset val="134"/>
      </rPr>
      <t>慕斯双面</t>
    </r>
  </si>
  <si>
    <t>SY252382</t>
  </si>
  <si>
    <r>
      <rPr>
        <sz val="10"/>
        <color theme="1"/>
        <rFont val="Calibri Light"/>
        <charset val="134"/>
      </rPr>
      <t>B6688 1*1</t>
    </r>
    <r>
      <rPr>
        <sz val="10"/>
        <color theme="1"/>
        <rFont val="宋体"/>
        <charset val="134"/>
      </rPr>
      <t>罗纹德绒</t>
    </r>
  </si>
  <si>
    <t>SY252383</t>
  </si>
  <si>
    <r>
      <rPr>
        <sz val="10"/>
        <color theme="1"/>
        <rFont val="Calibri Light"/>
        <charset val="134"/>
      </rPr>
      <t xml:space="preserve">B79021# </t>
    </r>
    <r>
      <rPr>
        <sz val="10"/>
        <color theme="1"/>
        <rFont val="宋体"/>
        <charset val="134"/>
      </rPr>
      <t>云朵绒抓毛</t>
    </r>
  </si>
  <si>
    <t>SY252384</t>
  </si>
  <si>
    <t>59%棉39%涤纶2%氨纶</t>
  </si>
  <si>
    <t>59%BCI COTTON39%POLY2%SP</t>
  </si>
  <si>
    <r>
      <rPr>
        <sz val="10"/>
        <color theme="1"/>
        <rFont val="Calibri Light"/>
        <charset val="134"/>
      </rPr>
      <t xml:space="preserve">B7901 1 </t>
    </r>
    <r>
      <rPr>
        <sz val="10"/>
        <color theme="1"/>
        <rFont val="宋体"/>
        <charset val="134"/>
      </rPr>
      <t>精品羊绒抓毛</t>
    </r>
  </si>
  <si>
    <t>SY252385</t>
  </si>
  <si>
    <t>60%人棉25%涤纶15%羊毛</t>
  </si>
  <si>
    <r>
      <rPr>
        <sz val="10"/>
        <color theme="1"/>
        <rFont val="Calibri Light"/>
        <charset val="134"/>
      </rPr>
      <t xml:space="preserve">B6698# </t>
    </r>
    <r>
      <rPr>
        <sz val="10"/>
        <color theme="1"/>
        <rFont val="宋体"/>
        <charset val="134"/>
      </rPr>
      <t>奥绒双面</t>
    </r>
  </si>
  <si>
    <t>SY252386</t>
  </si>
  <si>
    <t>60%R35%POLY5%SP</t>
  </si>
  <si>
    <r>
      <rPr>
        <sz val="10"/>
        <color theme="1"/>
        <rFont val="Calibri Light"/>
        <charset val="134"/>
      </rPr>
      <t xml:space="preserve">B6697 </t>
    </r>
    <r>
      <rPr>
        <sz val="10"/>
        <color theme="1"/>
        <rFont val="宋体"/>
        <charset val="134"/>
      </rPr>
      <t>莫代尔1*1随心裁抓毛</t>
    </r>
  </si>
  <si>
    <t>SY252387</t>
  </si>
  <si>
    <r>
      <rPr>
        <sz val="10"/>
        <color theme="1"/>
        <rFont val="Calibri Light"/>
        <charset val="134"/>
      </rPr>
      <t xml:space="preserve">B1188 </t>
    </r>
    <r>
      <rPr>
        <sz val="10"/>
        <color theme="1"/>
        <rFont val="宋体"/>
        <charset val="134"/>
      </rPr>
      <t>曼巴棉</t>
    </r>
  </si>
  <si>
    <t>SY252388</t>
  </si>
  <si>
    <t>面100%棉 底100%涤纶</t>
  </si>
  <si>
    <r>
      <rPr>
        <sz val="10"/>
        <color theme="1"/>
        <rFont val="Calibri Light"/>
        <charset val="134"/>
      </rPr>
      <t>B1988 300G</t>
    </r>
    <r>
      <rPr>
        <sz val="10"/>
        <color theme="1"/>
        <rFont val="宋体"/>
        <charset val="134"/>
      </rPr>
      <t>潮牌双面</t>
    </r>
  </si>
  <si>
    <t>SY252389</t>
  </si>
  <si>
    <t>50%棉50%涤纶</t>
  </si>
  <si>
    <r>
      <rPr>
        <sz val="10"/>
        <color theme="1"/>
        <rFont val="Calibri Light"/>
        <charset val="134"/>
      </rPr>
      <t xml:space="preserve">B7767 </t>
    </r>
    <r>
      <rPr>
        <sz val="10"/>
        <color theme="1"/>
        <rFont val="宋体"/>
        <charset val="134"/>
      </rPr>
      <t>极品水柔棉双面</t>
    </r>
  </si>
  <si>
    <t>SY252390</t>
  </si>
  <si>
    <r>
      <rPr>
        <sz val="10"/>
        <color theme="1"/>
        <rFont val="Calibri Light"/>
        <charset val="134"/>
      </rPr>
      <t xml:space="preserve">B922 </t>
    </r>
    <r>
      <rPr>
        <sz val="10"/>
        <color theme="1"/>
        <rFont val="宋体"/>
        <charset val="134"/>
      </rPr>
      <t>李宁二号（迈巴赫）</t>
    </r>
  </si>
  <si>
    <t>SY252391</t>
  </si>
  <si>
    <t>面100%棉 底80%棉 20%高弹丝</t>
  </si>
  <si>
    <r>
      <rPr>
        <sz val="10"/>
        <color theme="1"/>
        <rFont val="Calibri Light"/>
        <charset val="134"/>
      </rPr>
      <t>B9909# 40S</t>
    </r>
    <r>
      <rPr>
        <sz val="10"/>
        <color theme="1"/>
        <rFont val="宋体"/>
        <charset val="134"/>
      </rPr>
      <t>精棉1*1罗纹奥代尔</t>
    </r>
  </si>
  <si>
    <t>SY252392</t>
  </si>
  <si>
    <t>92%棉8%氨纶</t>
  </si>
  <si>
    <t>92%BCI COTTON8%SP</t>
  </si>
  <si>
    <r>
      <rPr>
        <sz val="10"/>
        <color theme="1"/>
        <rFont val="Calibri Light"/>
        <charset val="134"/>
      </rPr>
      <t xml:space="preserve">B9906 </t>
    </r>
    <r>
      <rPr>
        <sz val="10"/>
        <color theme="1"/>
        <rFont val="宋体"/>
        <charset val="134"/>
      </rPr>
      <t>加厚精棉 1*1罗纹奥拉架</t>
    </r>
  </si>
  <si>
    <t>SY252393</t>
  </si>
  <si>
    <r>
      <rPr>
        <sz val="10"/>
        <color theme="1"/>
        <rFont val="Calibri Light"/>
        <charset val="134"/>
      </rPr>
      <t xml:space="preserve">B2003 </t>
    </r>
    <r>
      <rPr>
        <sz val="10"/>
        <color theme="1"/>
        <rFont val="宋体"/>
        <charset val="134"/>
      </rPr>
      <t>精品赛锣棉</t>
    </r>
  </si>
  <si>
    <t>SY252394</t>
  </si>
  <si>
    <t>90%棉10%氨纶</t>
  </si>
  <si>
    <t>90%BCI COTTON 10%SP</t>
  </si>
  <si>
    <r>
      <rPr>
        <sz val="10"/>
        <color theme="1"/>
        <rFont val="Calibri Light"/>
        <charset val="134"/>
      </rPr>
      <t xml:space="preserve">B778# </t>
    </r>
    <r>
      <rPr>
        <sz val="10"/>
        <color theme="1"/>
        <rFont val="宋体"/>
        <charset val="134"/>
      </rPr>
      <t>华棉卫衣食毛</t>
    </r>
  </si>
  <si>
    <t>SY252395</t>
  </si>
  <si>
    <t>面100%棉 底52%棉 48%涤纶</t>
  </si>
  <si>
    <r>
      <rPr>
        <sz val="10"/>
        <color theme="1"/>
        <rFont val="Calibri Light"/>
        <charset val="134"/>
      </rPr>
      <t>face</t>
    </r>
    <r>
      <rPr>
        <sz val="10"/>
        <color theme="1"/>
        <rFont val="宋体"/>
        <charset val="134"/>
      </rPr>
      <t>：</t>
    </r>
    <r>
      <rPr>
        <sz val="10"/>
        <color theme="1"/>
        <rFont val="Calibri Light"/>
        <charset val="134"/>
      </rPr>
      <t>100%cotton</t>
    </r>
    <r>
      <rPr>
        <sz val="10"/>
        <color theme="1"/>
        <rFont val="宋体"/>
        <charset val="134"/>
      </rPr>
      <t xml:space="preserve"> </t>
    </r>
    <r>
      <rPr>
        <sz val="10"/>
        <color theme="1"/>
        <rFont val="Calibri Light"/>
        <charset val="134"/>
      </rPr>
      <t>base</t>
    </r>
    <r>
      <rPr>
        <sz val="10"/>
        <color theme="1"/>
        <rFont val="宋体"/>
        <charset val="134"/>
      </rPr>
      <t>：52%cotton48%POLY</t>
    </r>
  </si>
  <si>
    <r>
      <rPr>
        <sz val="10"/>
        <color theme="1"/>
        <rFont val="Calibri Light"/>
        <charset val="134"/>
      </rPr>
      <t xml:space="preserve">B7769# </t>
    </r>
    <r>
      <rPr>
        <sz val="10"/>
        <color theme="1"/>
        <rFont val="宋体"/>
        <charset val="134"/>
      </rPr>
      <t>德芙棉</t>
    </r>
  </si>
  <si>
    <t>SY252396</t>
  </si>
  <si>
    <t>46%人棉46%棉8%氨纶</t>
  </si>
  <si>
    <t>46%BCI COTTON46%R8%SP</t>
  </si>
  <si>
    <r>
      <rPr>
        <sz val="10"/>
        <color theme="1"/>
        <rFont val="Calibri Light"/>
        <charset val="134"/>
      </rPr>
      <t>B326 26</t>
    </r>
    <r>
      <rPr>
        <sz val="10"/>
        <color theme="1"/>
        <rFont val="宋体"/>
        <charset val="134"/>
      </rPr>
      <t>支爽滑棉单面</t>
    </r>
  </si>
  <si>
    <t>SY252397</t>
  </si>
  <si>
    <r>
      <rPr>
        <sz val="10"/>
        <color theme="1"/>
        <rFont val="Calibri Light"/>
        <charset val="134"/>
      </rPr>
      <t>B555 21</t>
    </r>
    <r>
      <rPr>
        <sz val="10"/>
        <color theme="1"/>
        <rFont val="宋体"/>
        <charset val="134"/>
      </rPr>
      <t>支精棉单面食毛</t>
    </r>
  </si>
  <si>
    <t>SY252398</t>
  </si>
  <si>
    <r>
      <rPr>
        <sz val="10"/>
        <color theme="1"/>
        <rFont val="Calibri Light"/>
        <charset val="134"/>
      </rPr>
      <t>B551# 26</t>
    </r>
    <r>
      <rPr>
        <sz val="10"/>
        <color theme="1"/>
        <rFont val="宋体"/>
        <charset val="134"/>
      </rPr>
      <t>支精棉单面</t>
    </r>
  </si>
  <si>
    <t>SY252399</t>
  </si>
  <si>
    <t>巴黎条</t>
  </si>
  <si>
    <t>SY252400</t>
  </si>
  <si>
    <t>不忘初心</t>
  </si>
  <si>
    <r>
      <rPr>
        <sz val="10"/>
        <color theme="1"/>
        <rFont val="Calibri Light"/>
        <charset val="134"/>
      </rPr>
      <t>817# 899</t>
    </r>
    <r>
      <rPr>
        <sz val="10"/>
        <color theme="1"/>
        <rFont val="宋体"/>
        <charset val="134"/>
      </rPr>
      <t>超薄坑条</t>
    </r>
  </si>
  <si>
    <t>SY252401</t>
  </si>
  <si>
    <t>110-120</t>
  </si>
  <si>
    <r>
      <rPr>
        <sz val="10"/>
        <color theme="1"/>
        <rFont val="Calibri Light"/>
        <charset val="134"/>
      </rPr>
      <t>866#</t>
    </r>
    <r>
      <rPr>
        <sz val="10"/>
        <color theme="1"/>
        <rFont val="宋体"/>
        <charset val="134"/>
      </rPr>
      <t>百皱条</t>
    </r>
  </si>
  <si>
    <t>SY252402</t>
  </si>
  <si>
    <r>
      <rPr>
        <sz val="10"/>
        <color theme="1"/>
        <rFont val="Calibri Light"/>
        <charset val="134"/>
      </rPr>
      <t xml:space="preserve">877# </t>
    </r>
    <r>
      <rPr>
        <sz val="10"/>
        <color theme="1"/>
        <rFont val="宋体"/>
        <charset val="134"/>
      </rPr>
      <t>新氧棉</t>
    </r>
  </si>
  <si>
    <t>SY252403</t>
  </si>
  <si>
    <r>
      <rPr>
        <sz val="10"/>
        <color theme="1"/>
        <rFont val="Calibri Light"/>
        <charset val="134"/>
      </rPr>
      <t xml:space="preserve">856# </t>
    </r>
    <r>
      <rPr>
        <sz val="10"/>
        <color theme="1"/>
        <rFont val="宋体"/>
        <charset val="134"/>
      </rPr>
      <t>扭扭条</t>
    </r>
  </si>
  <si>
    <t>SY252404</t>
  </si>
  <si>
    <r>
      <rPr>
        <sz val="10"/>
        <color theme="1"/>
        <rFont val="Calibri Light"/>
        <charset val="134"/>
      </rPr>
      <t>836#</t>
    </r>
    <r>
      <rPr>
        <sz val="10"/>
        <color theme="1"/>
        <rFont val="宋体"/>
        <charset val="134"/>
      </rPr>
      <t>蛇形布</t>
    </r>
  </si>
  <si>
    <t>SY252405</t>
  </si>
  <si>
    <r>
      <rPr>
        <sz val="10"/>
        <color theme="1"/>
        <rFont val="Calibri Light"/>
        <charset val="134"/>
      </rPr>
      <t>870#</t>
    </r>
    <r>
      <rPr>
        <sz val="10"/>
        <color theme="1"/>
        <rFont val="宋体"/>
        <charset val="134"/>
      </rPr>
      <t>楼梯布</t>
    </r>
  </si>
  <si>
    <t>SY252406</t>
  </si>
  <si>
    <r>
      <rPr>
        <sz val="10"/>
        <color theme="1"/>
        <rFont val="Calibri Light"/>
        <charset val="134"/>
      </rPr>
      <t>888#</t>
    </r>
    <r>
      <rPr>
        <sz val="10"/>
        <color theme="1"/>
        <rFont val="宋体"/>
        <charset val="134"/>
      </rPr>
      <t>小蛇形布</t>
    </r>
  </si>
  <si>
    <t>SY252407</t>
  </si>
  <si>
    <r>
      <rPr>
        <sz val="10"/>
        <color theme="1"/>
        <rFont val="Calibri Light"/>
        <charset val="134"/>
      </rPr>
      <t>838#</t>
    </r>
    <r>
      <rPr>
        <sz val="10"/>
        <color theme="1"/>
        <rFont val="宋体"/>
        <charset val="134"/>
      </rPr>
      <t>星光麻</t>
    </r>
  </si>
  <si>
    <t>SY252408</t>
  </si>
  <si>
    <r>
      <rPr>
        <sz val="10"/>
        <color theme="1"/>
        <rFont val="Calibri Light"/>
        <charset val="134"/>
      </rPr>
      <t>894#</t>
    </r>
    <r>
      <rPr>
        <sz val="10"/>
        <color theme="1"/>
        <rFont val="宋体"/>
        <charset val="134"/>
      </rPr>
      <t>潮牌斜方格</t>
    </r>
  </si>
  <si>
    <t>SY252409</t>
  </si>
  <si>
    <t>270-280</t>
  </si>
  <si>
    <r>
      <rPr>
        <sz val="10"/>
        <color theme="1"/>
        <rFont val="Calibri Light"/>
        <charset val="134"/>
      </rPr>
      <t>895#</t>
    </r>
    <r>
      <rPr>
        <sz val="10"/>
        <color theme="1"/>
        <rFont val="宋体"/>
        <charset val="134"/>
      </rPr>
      <t>仿棉空气层拉毛</t>
    </r>
  </si>
  <si>
    <t>SY252410</t>
  </si>
  <si>
    <t>95%酷丝棉5%氨纶</t>
  </si>
  <si>
    <t>格林格</t>
  </si>
  <si>
    <t>SY252411</t>
  </si>
  <si>
    <t>210-220</t>
  </si>
  <si>
    <t>提花条</t>
  </si>
  <si>
    <t>SY252412</t>
  </si>
  <si>
    <r>
      <rPr>
        <sz val="10"/>
        <color theme="1"/>
        <rFont val="Calibri Light"/>
        <charset val="134"/>
      </rPr>
      <t>892#</t>
    </r>
    <r>
      <rPr>
        <sz val="10"/>
        <color theme="1"/>
        <rFont val="宋体"/>
        <charset val="134"/>
      </rPr>
      <t>富贵条</t>
    </r>
  </si>
  <si>
    <t>SY252413</t>
  </si>
  <si>
    <t>小山峰</t>
  </si>
  <si>
    <t>SY252414</t>
  </si>
  <si>
    <t>螺纹2号</t>
  </si>
  <si>
    <t>SY252415</t>
  </si>
  <si>
    <t>螺纹一号</t>
  </si>
  <si>
    <t>SY252416</t>
  </si>
  <si>
    <r>
      <rPr>
        <sz val="10"/>
        <color theme="1"/>
        <rFont val="Calibri Light"/>
        <charset val="134"/>
      </rPr>
      <t>890#</t>
    </r>
    <r>
      <rPr>
        <sz val="10"/>
        <color theme="1"/>
        <rFont val="宋体"/>
        <charset val="134"/>
      </rPr>
      <t>足球格</t>
    </r>
  </si>
  <si>
    <t>SY252417</t>
  </si>
  <si>
    <r>
      <rPr>
        <sz val="10"/>
        <color theme="1"/>
        <rFont val="Calibri Light"/>
        <charset val="134"/>
      </rPr>
      <t>869#</t>
    </r>
    <r>
      <rPr>
        <sz val="10"/>
        <color theme="1"/>
        <rFont val="宋体"/>
        <charset val="134"/>
      </rPr>
      <t>百丽格</t>
    </r>
  </si>
  <si>
    <t>SY252418</t>
  </si>
  <si>
    <r>
      <rPr>
        <sz val="10"/>
        <color theme="1"/>
        <rFont val="Calibri Light"/>
        <charset val="134"/>
      </rPr>
      <t>848#</t>
    </r>
    <r>
      <rPr>
        <sz val="10"/>
        <color theme="1"/>
        <rFont val="宋体"/>
        <charset val="134"/>
      </rPr>
      <t>纤纤条</t>
    </r>
  </si>
  <si>
    <t>SY252419</t>
  </si>
  <si>
    <t>250-260</t>
  </si>
  <si>
    <r>
      <rPr>
        <sz val="10"/>
        <color theme="1"/>
        <rFont val="Calibri Light"/>
        <charset val="134"/>
      </rPr>
      <t>826# 8x5</t>
    </r>
    <r>
      <rPr>
        <sz val="10"/>
        <color theme="1"/>
        <rFont val="宋体"/>
        <charset val="134"/>
      </rPr>
      <t>坑条</t>
    </r>
  </si>
  <si>
    <t>SY252420</t>
  </si>
  <si>
    <r>
      <rPr>
        <sz val="10"/>
        <color theme="1"/>
        <rFont val="Calibri Light"/>
        <charset val="134"/>
      </rPr>
      <t>872#</t>
    </r>
    <r>
      <rPr>
        <sz val="10"/>
        <color theme="1"/>
        <rFont val="宋体"/>
        <charset val="134"/>
      </rPr>
      <t>天丝雪纺</t>
    </r>
  </si>
  <si>
    <t>SY252421</t>
  </si>
  <si>
    <t xml:space="preserve">100%Recycle POLY </t>
  </si>
  <si>
    <t>805# 捻丝乱麻</t>
  </si>
  <si>
    <t>SY252422</t>
  </si>
  <si>
    <r>
      <rPr>
        <sz val="10"/>
        <color theme="1"/>
        <rFont val="Calibri Light"/>
        <charset val="134"/>
      </rPr>
      <t>935#</t>
    </r>
    <r>
      <rPr>
        <sz val="10"/>
        <color theme="1"/>
        <rFont val="宋体"/>
        <charset val="134"/>
      </rPr>
      <t>加捻罗马</t>
    </r>
  </si>
  <si>
    <t>SY252423</t>
  </si>
  <si>
    <r>
      <rPr>
        <sz val="10"/>
        <color theme="1"/>
        <rFont val="Calibri Light"/>
        <charset val="134"/>
      </rPr>
      <t>815#</t>
    </r>
    <r>
      <rPr>
        <sz val="10"/>
        <color theme="1"/>
        <rFont val="宋体"/>
        <charset val="134"/>
      </rPr>
      <t>华夫格</t>
    </r>
  </si>
  <si>
    <t>SY252424</t>
  </si>
  <si>
    <r>
      <rPr>
        <sz val="10"/>
        <color theme="1"/>
        <rFont val="Calibri Light"/>
        <charset val="134"/>
      </rPr>
      <t>970#</t>
    </r>
    <r>
      <rPr>
        <sz val="10"/>
        <color theme="1"/>
        <rFont val="宋体"/>
        <charset val="134"/>
      </rPr>
      <t>罗马</t>
    </r>
  </si>
  <si>
    <t>SY252425</t>
  </si>
  <si>
    <t>350-380</t>
  </si>
  <si>
    <r>
      <rPr>
        <sz val="10"/>
        <color theme="1"/>
        <rFont val="Calibri Light"/>
        <charset val="134"/>
      </rPr>
      <t>969#</t>
    </r>
    <r>
      <rPr>
        <sz val="10"/>
        <color theme="1"/>
        <rFont val="宋体"/>
        <charset val="134"/>
      </rPr>
      <t>加捻罗马</t>
    </r>
  </si>
  <si>
    <t>SY252426</t>
  </si>
  <si>
    <t>300-320</t>
  </si>
  <si>
    <t>809# 小鱼纹</t>
  </si>
  <si>
    <t>SY252427</t>
  </si>
  <si>
    <r>
      <rPr>
        <sz val="10"/>
        <color theme="1"/>
        <rFont val="Calibri Light"/>
        <charset val="134"/>
      </rPr>
      <t>833#</t>
    </r>
    <r>
      <rPr>
        <sz val="10"/>
        <color theme="1"/>
        <rFont val="宋体"/>
        <charset val="134"/>
      </rPr>
      <t>创新格</t>
    </r>
  </si>
  <si>
    <t>SY252428</t>
  </si>
  <si>
    <t>细华夫格</t>
  </si>
  <si>
    <t>SY252429</t>
  </si>
  <si>
    <r>
      <rPr>
        <sz val="10"/>
        <color theme="1"/>
        <rFont val="Calibri Light"/>
        <charset val="134"/>
      </rPr>
      <t xml:space="preserve">886# </t>
    </r>
    <r>
      <rPr>
        <sz val="10"/>
        <color theme="1"/>
        <rFont val="宋体"/>
        <charset val="134"/>
      </rPr>
      <t>莱雅2*2罗纹</t>
    </r>
  </si>
  <si>
    <t>SY252430</t>
  </si>
  <si>
    <r>
      <rPr>
        <sz val="10"/>
        <color theme="1"/>
        <rFont val="Calibri Light"/>
        <charset val="134"/>
      </rPr>
      <t>850#</t>
    </r>
    <r>
      <rPr>
        <sz val="10"/>
        <color theme="1"/>
        <rFont val="宋体"/>
        <charset val="134"/>
      </rPr>
      <t>米线条</t>
    </r>
  </si>
  <si>
    <t>SY252431</t>
  </si>
  <si>
    <r>
      <rPr>
        <sz val="10"/>
        <color theme="1"/>
        <rFont val="Calibri Light"/>
        <charset val="134"/>
      </rPr>
      <t xml:space="preserve">891# </t>
    </r>
    <r>
      <rPr>
        <sz val="10"/>
        <color theme="1"/>
        <rFont val="宋体"/>
        <charset val="134"/>
      </rPr>
      <t>臻品双面麻</t>
    </r>
  </si>
  <si>
    <t>SY252432</t>
  </si>
  <si>
    <t>加捻乱麻</t>
  </si>
  <si>
    <t>SY252433</t>
  </si>
  <si>
    <t>804# 捻丝乱麻</t>
  </si>
  <si>
    <t>SY252434</t>
  </si>
  <si>
    <t>200-230</t>
  </si>
  <si>
    <t>无氨乱麻</t>
  </si>
  <si>
    <t>SY252435</t>
  </si>
  <si>
    <r>
      <rPr>
        <sz val="10"/>
        <color theme="1"/>
        <rFont val="Calibri Light"/>
        <charset val="134"/>
      </rPr>
      <t>2*2</t>
    </r>
    <r>
      <rPr>
        <sz val="10"/>
        <color theme="1"/>
        <rFont val="宋体"/>
        <charset val="134"/>
      </rPr>
      <t>小坑条</t>
    </r>
  </si>
  <si>
    <t>SY252436</t>
  </si>
  <si>
    <r>
      <rPr>
        <sz val="10"/>
        <color theme="1"/>
        <rFont val="Calibri Light"/>
        <charset val="134"/>
      </rPr>
      <t>2*2</t>
    </r>
    <r>
      <rPr>
        <sz val="10"/>
        <color theme="1"/>
        <rFont val="宋体"/>
        <charset val="134"/>
      </rPr>
      <t>坑条</t>
    </r>
  </si>
  <si>
    <t>SY252437</t>
  </si>
  <si>
    <r>
      <rPr>
        <sz val="10"/>
        <color theme="1"/>
        <rFont val="Calibri Light"/>
        <charset val="134"/>
      </rPr>
      <t>861#1*1</t>
    </r>
    <r>
      <rPr>
        <sz val="10"/>
        <color theme="1"/>
        <rFont val="宋体"/>
        <charset val="134"/>
      </rPr>
      <t>高弹</t>
    </r>
  </si>
  <si>
    <t>SY252438</t>
  </si>
  <si>
    <r>
      <rPr>
        <sz val="10"/>
        <color theme="1"/>
        <rFont val="Calibri Light"/>
        <charset val="134"/>
      </rPr>
      <t>807#</t>
    </r>
    <r>
      <rPr>
        <sz val="10"/>
        <color theme="1"/>
        <rFont val="宋体"/>
        <charset val="134"/>
      </rPr>
      <t>直贡昵</t>
    </r>
  </si>
  <si>
    <t>SY252439</t>
  </si>
  <si>
    <r>
      <rPr>
        <sz val="10"/>
        <color theme="1"/>
        <rFont val="Calibri Light"/>
        <charset val="134"/>
      </rPr>
      <t>865#</t>
    </r>
    <r>
      <rPr>
        <sz val="10"/>
        <color theme="1"/>
        <rFont val="宋体"/>
        <charset val="134"/>
      </rPr>
      <t>利美条</t>
    </r>
  </si>
  <si>
    <t>SY252440</t>
  </si>
  <si>
    <t>918#梅花螺纹</t>
  </si>
  <si>
    <t>SY252441</t>
  </si>
  <si>
    <r>
      <rPr>
        <sz val="10"/>
        <color theme="1"/>
        <rFont val="Calibri Light"/>
        <charset val="134"/>
      </rPr>
      <t>841#</t>
    </r>
    <r>
      <rPr>
        <sz val="10"/>
        <color theme="1"/>
        <rFont val="宋体"/>
        <charset val="134"/>
      </rPr>
      <t>冰丝百邹条</t>
    </r>
  </si>
  <si>
    <t>SY252442</t>
  </si>
  <si>
    <r>
      <rPr>
        <sz val="10"/>
        <color theme="1"/>
        <rFont val="Calibri Light"/>
        <charset val="134"/>
      </rPr>
      <t>988#</t>
    </r>
    <r>
      <rPr>
        <sz val="10"/>
        <color theme="1"/>
        <rFont val="宋体"/>
        <charset val="134"/>
      </rPr>
      <t>宝马棉</t>
    </r>
  </si>
  <si>
    <t>SY252443</t>
  </si>
  <si>
    <r>
      <rPr>
        <sz val="10"/>
        <color theme="1"/>
        <rFont val="Calibri Light"/>
        <charset val="134"/>
      </rPr>
      <t>837#</t>
    </r>
    <r>
      <rPr>
        <sz val="10"/>
        <color theme="1"/>
        <rFont val="宋体"/>
        <charset val="134"/>
      </rPr>
      <t>沙琪玛</t>
    </r>
  </si>
  <si>
    <t>SY252444</t>
  </si>
  <si>
    <r>
      <rPr>
        <sz val="10"/>
        <color theme="1"/>
        <rFont val="Calibri Light"/>
        <charset val="134"/>
      </rPr>
      <t>825# 8*4</t>
    </r>
    <r>
      <rPr>
        <sz val="10"/>
        <color theme="1"/>
        <rFont val="宋体"/>
        <charset val="134"/>
      </rPr>
      <t>坑条</t>
    </r>
  </si>
  <si>
    <t>SY252445</t>
  </si>
  <si>
    <r>
      <rPr>
        <sz val="10"/>
        <color theme="1"/>
        <rFont val="Calibri Light"/>
        <charset val="134"/>
      </rPr>
      <t>868#</t>
    </r>
    <r>
      <rPr>
        <sz val="10"/>
        <color theme="1"/>
        <rFont val="宋体"/>
        <charset val="134"/>
      </rPr>
      <t>星空螺纹</t>
    </r>
  </si>
  <si>
    <t>SY252446</t>
  </si>
  <si>
    <t>824# 5*2</t>
  </si>
  <si>
    <t>SY252447</t>
  </si>
  <si>
    <r>
      <rPr>
        <sz val="10"/>
        <color theme="1"/>
        <rFont val="Calibri Light"/>
        <charset val="134"/>
      </rPr>
      <t>820#</t>
    </r>
    <r>
      <rPr>
        <sz val="10"/>
        <color theme="1"/>
        <rFont val="宋体"/>
        <charset val="134"/>
      </rPr>
      <t>坑条</t>
    </r>
  </si>
  <si>
    <t>SY252448</t>
  </si>
  <si>
    <r>
      <rPr>
        <sz val="10"/>
        <color theme="1"/>
        <rFont val="Calibri Light"/>
        <charset val="134"/>
      </rPr>
      <t>822# 3*3</t>
    </r>
    <r>
      <rPr>
        <sz val="10"/>
        <color theme="1"/>
        <rFont val="宋体"/>
        <charset val="134"/>
      </rPr>
      <t>坑条</t>
    </r>
  </si>
  <si>
    <t>SY252449</t>
  </si>
  <si>
    <r>
      <rPr>
        <sz val="10"/>
        <color theme="1"/>
        <rFont val="Calibri Light"/>
        <charset val="134"/>
      </rPr>
      <t>816#</t>
    </r>
    <r>
      <rPr>
        <sz val="10"/>
        <color theme="1"/>
        <rFont val="宋体"/>
        <charset val="134"/>
      </rPr>
      <t>仿棉华夫格</t>
    </r>
  </si>
  <si>
    <t>SY252450</t>
  </si>
  <si>
    <r>
      <rPr>
        <sz val="10"/>
        <color theme="1"/>
        <rFont val="Calibri Light"/>
        <charset val="134"/>
      </rPr>
      <t>875#</t>
    </r>
    <r>
      <rPr>
        <sz val="10"/>
        <color theme="1"/>
        <rFont val="宋体"/>
        <charset val="134"/>
      </rPr>
      <t>珠地</t>
    </r>
  </si>
  <si>
    <t>SY252451</t>
  </si>
  <si>
    <r>
      <rPr>
        <sz val="10"/>
        <color theme="1"/>
        <rFont val="Calibri Light"/>
        <charset val="134"/>
      </rPr>
      <t>845#</t>
    </r>
    <r>
      <rPr>
        <sz val="10"/>
        <color theme="1"/>
        <rFont val="宋体"/>
        <charset val="134"/>
      </rPr>
      <t>潮牌米粒</t>
    </r>
  </si>
  <si>
    <t>SY252452</t>
  </si>
  <si>
    <r>
      <rPr>
        <sz val="10"/>
        <color theme="1"/>
        <rFont val="Calibri Light"/>
        <charset val="134"/>
      </rPr>
      <t>864#</t>
    </r>
    <r>
      <rPr>
        <sz val="10"/>
        <color theme="1"/>
        <rFont val="宋体"/>
        <charset val="134"/>
      </rPr>
      <t>美丽斜</t>
    </r>
  </si>
  <si>
    <t>SY252453</t>
  </si>
  <si>
    <r>
      <rPr>
        <sz val="10"/>
        <color theme="1"/>
        <rFont val="Calibri Light"/>
        <charset val="134"/>
      </rPr>
      <t>852#</t>
    </r>
    <r>
      <rPr>
        <sz val="10"/>
        <color theme="1"/>
        <rFont val="宋体"/>
        <charset val="134"/>
      </rPr>
      <t>泡泡龙</t>
    </r>
  </si>
  <si>
    <t>SY252454</t>
  </si>
  <si>
    <t>280-290</t>
  </si>
  <si>
    <r>
      <rPr>
        <sz val="10"/>
        <color theme="1"/>
        <rFont val="Calibri Light"/>
        <charset val="134"/>
      </rPr>
      <t>843#</t>
    </r>
    <r>
      <rPr>
        <sz val="10"/>
        <color theme="1"/>
        <rFont val="宋体"/>
        <charset val="134"/>
      </rPr>
      <t>冰糖格</t>
    </r>
  </si>
  <si>
    <t>SY252455</t>
  </si>
  <si>
    <r>
      <rPr>
        <sz val="10"/>
        <color theme="1"/>
        <rFont val="Calibri Light"/>
        <charset val="134"/>
      </rPr>
      <t>860#</t>
    </r>
    <r>
      <rPr>
        <sz val="10"/>
        <color theme="1"/>
        <rFont val="宋体"/>
        <charset val="134"/>
      </rPr>
      <t>流星条</t>
    </r>
  </si>
  <si>
    <t>SY252456</t>
  </si>
  <si>
    <r>
      <rPr>
        <sz val="10"/>
        <color theme="1"/>
        <rFont val="Calibri Light"/>
        <charset val="134"/>
      </rPr>
      <t>834#</t>
    </r>
    <r>
      <rPr>
        <sz val="10"/>
        <color theme="1"/>
        <rFont val="宋体"/>
        <charset val="134"/>
      </rPr>
      <t>艾克斯</t>
    </r>
  </si>
  <si>
    <t>SY252457</t>
  </si>
  <si>
    <r>
      <rPr>
        <sz val="10"/>
        <color theme="1"/>
        <rFont val="Calibri Light"/>
        <charset val="134"/>
      </rPr>
      <t>813#</t>
    </r>
    <r>
      <rPr>
        <sz val="10"/>
        <color theme="1"/>
        <rFont val="宋体"/>
        <charset val="134"/>
      </rPr>
      <t>克罗心</t>
    </r>
  </si>
  <si>
    <t>SY252458</t>
  </si>
  <si>
    <t>格子</t>
  </si>
  <si>
    <t>时尚格 G20-14#</t>
  </si>
  <si>
    <t>SY252460</t>
  </si>
  <si>
    <t>时尚格 G110-21#</t>
  </si>
  <si>
    <t>SY252461</t>
  </si>
  <si>
    <t>时尚格 G17-28#</t>
  </si>
  <si>
    <t>SY252462</t>
  </si>
  <si>
    <t>时尚格 G47-26#</t>
  </si>
  <si>
    <t>SY252463</t>
  </si>
  <si>
    <t>时尚格 G44-14#</t>
  </si>
  <si>
    <t>SY252464</t>
  </si>
  <si>
    <t>时尚格 G10-25#</t>
  </si>
  <si>
    <t>SY252465</t>
  </si>
  <si>
    <t>时尚格 G10-26#</t>
  </si>
  <si>
    <t>SY252466</t>
  </si>
  <si>
    <t>时尚格 G17-82#</t>
  </si>
  <si>
    <t>SY252467</t>
  </si>
  <si>
    <t>50%POLY50%Rayon</t>
  </si>
  <si>
    <t>时尚格 G17-13</t>
  </si>
  <si>
    <t>SY252468</t>
  </si>
  <si>
    <t>全棉格 G20-12</t>
  </si>
  <si>
    <t>SY252469</t>
  </si>
  <si>
    <t>时尚格 G17-56#</t>
  </si>
  <si>
    <t>SY252470</t>
  </si>
  <si>
    <t>磨毛格 G61-18#</t>
  </si>
  <si>
    <t>SY252471</t>
  </si>
  <si>
    <t>80%涤 20%棉</t>
  </si>
  <si>
    <t>192-40#</t>
  </si>
  <si>
    <t>SY252472</t>
  </si>
  <si>
    <t>磨毛格 G15-17#</t>
  </si>
  <si>
    <t>SY252473</t>
  </si>
  <si>
    <t>80棉20粘胶</t>
  </si>
  <si>
    <t>80%BCI COTTON 20%Rayon</t>
  </si>
  <si>
    <t>磨毛格 G53-19#</t>
  </si>
  <si>
    <t>SY252474</t>
  </si>
  <si>
    <t>80%BCI COTTON 20%T</t>
  </si>
  <si>
    <t>磨毛格 G17-38</t>
  </si>
  <si>
    <t>SY252475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</si>
  <si>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微软雅黑"/>
        <charset val="134"/>
      </rPr>
      <t>棉</t>
    </r>
  </si>
  <si>
    <t>磨毛格 G16-15</t>
  </si>
  <si>
    <t>SY252476</t>
  </si>
  <si>
    <t>磨毛格 G16-16</t>
  </si>
  <si>
    <t>SY252477</t>
  </si>
  <si>
    <t>磨毛格 G43-23</t>
  </si>
  <si>
    <t>SY252478</t>
  </si>
  <si>
    <t>时尚格 G17-31#</t>
  </si>
  <si>
    <t>SY252479</t>
  </si>
  <si>
    <t>磨毛格 G43-13</t>
  </si>
  <si>
    <t>SY252480</t>
  </si>
  <si>
    <t>磨毛格 G43-14</t>
  </si>
  <si>
    <t>SY252481</t>
  </si>
  <si>
    <t>192-41#</t>
  </si>
  <si>
    <t>SY252482</t>
  </si>
  <si>
    <t>新公主格</t>
  </si>
  <si>
    <t>SY252483</t>
  </si>
  <si>
    <t>43%人棉 47涤纶 10%尼龙</t>
  </si>
  <si>
    <t>43%R 47%T 10%N</t>
  </si>
  <si>
    <t>783#</t>
  </si>
  <si>
    <t>SY252484</t>
  </si>
  <si>
    <r>
      <rPr>
        <sz val="10"/>
        <color theme="1"/>
        <rFont val="Calibri Light"/>
        <charset val="134"/>
      </rPr>
      <t>603#</t>
    </r>
    <r>
      <rPr>
        <sz val="10"/>
        <color theme="1"/>
        <rFont val="宋体"/>
        <charset val="134"/>
      </rPr>
      <t>斜纹小方格</t>
    </r>
  </si>
  <si>
    <t>SY252485</t>
  </si>
  <si>
    <r>
      <rPr>
        <sz val="10"/>
        <color theme="1"/>
        <rFont val="Calibri Light"/>
        <charset val="134"/>
      </rPr>
      <t>883#</t>
    </r>
    <r>
      <rPr>
        <sz val="10"/>
        <color theme="1"/>
        <rFont val="宋体"/>
        <charset val="134"/>
      </rPr>
      <t>四方格</t>
    </r>
  </si>
  <si>
    <t>SY252486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</si>
  <si>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B174#</t>
    </r>
  </si>
  <si>
    <t>SY252487</t>
  </si>
  <si>
    <t>75%涤纶25%棉</t>
  </si>
  <si>
    <t>75%POLY 25%C</t>
  </si>
  <si>
    <t>TR018</t>
  </si>
  <si>
    <t>SY252488</t>
  </si>
  <si>
    <t>TR017</t>
  </si>
  <si>
    <t>SY252490</t>
  </si>
  <si>
    <t>A110</t>
  </si>
  <si>
    <t>SY252491</t>
  </si>
  <si>
    <t>A1022</t>
  </si>
  <si>
    <t>SY252492</t>
  </si>
  <si>
    <t>A1021</t>
  </si>
  <si>
    <t>SY252493</t>
  </si>
  <si>
    <t>A1023</t>
  </si>
  <si>
    <t>SY252494</t>
  </si>
  <si>
    <t>TR657</t>
  </si>
  <si>
    <t>SY252495</t>
  </si>
  <si>
    <t>A408</t>
  </si>
  <si>
    <t>SY252496</t>
  </si>
  <si>
    <t>45%涤纶55%棉</t>
  </si>
  <si>
    <t>55%BCI COTTON 45%POLY</t>
  </si>
  <si>
    <t>A406</t>
  </si>
  <si>
    <t>SY252497</t>
  </si>
  <si>
    <t>45%POLY 55%BCI COTTON</t>
  </si>
  <si>
    <t>A404</t>
  </si>
  <si>
    <t>SY252498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</si>
  <si>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A174#</t>
    </r>
  </si>
  <si>
    <t>SY252499</t>
  </si>
  <si>
    <t>80%POLY 20%C</t>
  </si>
  <si>
    <t>C146#</t>
  </si>
  <si>
    <t>SY252500</t>
  </si>
  <si>
    <t>75%涤纶 25%人棉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</si>
  <si>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 xml:space="preserve">C130# </t>
    </r>
    <r>
      <rPr>
        <sz val="10"/>
        <color theme="1"/>
        <rFont val="宋体"/>
        <charset val="134"/>
      </rPr>
      <t>印花</t>
    </r>
  </si>
  <si>
    <t>SY252501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</si>
  <si>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C223#</t>
    </r>
  </si>
  <si>
    <t>SY252502</t>
  </si>
  <si>
    <t>TR672</t>
  </si>
  <si>
    <t>SY252503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</si>
  <si>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C258#</t>
    </r>
  </si>
  <si>
    <t>SY252504</t>
  </si>
  <si>
    <t>T9133</t>
  </si>
  <si>
    <t>SY252505</t>
  </si>
  <si>
    <t>T9131</t>
  </si>
  <si>
    <t>SY252506</t>
  </si>
  <si>
    <r>
      <rPr>
        <sz val="10"/>
        <color theme="1"/>
        <rFont val="宋体"/>
        <charset val="134"/>
      </rPr>
      <t>泡泡格</t>
    </r>
    <r>
      <rPr>
        <sz val="10"/>
        <color theme="1"/>
        <rFont val="Calibri Light"/>
        <charset val="134"/>
      </rPr>
      <t>01</t>
    </r>
  </si>
  <si>
    <t>SY252507</t>
  </si>
  <si>
    <t>65%POLY 35%BCI COTTON</t>
  </si>
  <si>
    <t>A1034</t>
  </si>
  <si>
    <t>SY252508</t>
  </si>
  <si>
    <t>A1044</t>
  </si>
  <si>
    <t>SY252509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</si>
  <si>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F127#</t>
    </r>
  </si>
  <si>
    <t>SY252510</t>
  </si>
  <si>
    <t>60%涤纶40%棉</t>
  </si>
  <si>
    <t>60%POLY 40%BCI COTTON</t>
  </si>
  <si>
    <t>TR701</t>
  </si>
  <si>
    <t>SY252511</t>
  </si>
  <si>
    <t>65%涤纶 35%人棉</t>
  </si>
  <si>
    <t>65%POLY 35%R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</si>
  <si>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C212</t>
    </r>
  </si>
  <si>
    <t>SY252512</t>
  </si>
  <si>
    <t>TR655</t>
  </si>
  <si>
    <t>SY252513</t>
  </si>
  <si>
    <t>TR015</t>
  </si>
  <si>
    <t>SY252514</t>
  </si>
  <si>
    <t>TR711</t>
  </si>
  <si>
    <t>SY252515</t>
  </si>
  <si>
    <t>A693</t>
  </si>
  <si>
    <t>SY252516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</si>
  <si>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B93#</t>
    </r>
  </si>
  <si>
    <t>SY252517</t>
  </si>
  <si>
    <t>A685</t>
  </si>
  <si>
    <t>SY252518</t>
  </si>
  <si>
    <t>A689</t>
  </si>
  <si>
    <t>SY252519</t>
  </si>
  <si>
    <t>TR651</t>
  </si>
  <si>
    <t>SY252520</t>
  </si>
  <si>
    <t>磨毛0115</t>
  </si>
  <si>
    <t>SY252521</t>
  </si>
  <si>
    <t>磨毛096</t>
  </si>
  <si>
    <t>SY252522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</si>
  <si>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棉</t>
    </r>
  </si>
  <si>
    <t>磨毛0123</t>
  </si>
  <si>
    <t>SY252523</t>
  </si>
  <si>
    <t>磨毛086</t>
  </si>
  <si>
    <t>SY252524</t>
  </si>
  <si>
    <t>B188</t>
  </si>
  <si>
    <t>SY252525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</si>
  <si>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棉</t>
    </r>
  </si>
  <si>
    <t>A070</t>
  </si>
  <si>
    <t>SY252526</t>
  </si>
  <si>
    <t>D0109</t>
  </si>
  <si>
    <t>SY252527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</si>
  <si>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F128#</t>
    </r>
  </si>
  <si>
    <t>SY252528</t>
  </si>
  <si>
    <t>A1081</t>
  </si>
  <si>
    <t>SY252529</t>
  </si>
  <si>
    <t>TR654</t>
  </si>
  <si>
    <t>SY252530</t>
  </si>
  <si>
    <t>A1031</t>
  </si>
  <si>
    <t>SY252531</t>
  </si>
  <si>
    <t>A687</t>
  </si>
  <si>
    <t>SY252532</t>
  </si>
  <si>
    <t>磨毛09</t>
  </si>
  <si>
    <t>SY252533</t>
  </si>
  <si>
    <t>磨毛014</t>
  </si>
  <si>
    <t>SY252534</t>
  </si>
  <si>
    <t>磨毛012</t>
  </si>
  <si>
    <t>SY252535</t>
  </si>
  <si>
    <t>磨毛740</t>
  </si>
  <si>
    <t>SY252536</t>
  </si>
  <si>
    <t>磨毛542</t>
  </si>
  <si>
    <t>SY252537</t>
  </si>
  <si>
    <t>磨毛524</t>
  </si>
  <si>
    <t>SY252538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</si>
  <si>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</si>
  <si>
    <t>55%POLY 45%BCI COTTON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</si>
  <si>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N12#</t>
    </r>
  </si>
  <si>
    <t>SY252539</t>
  </si>
  <si>
    <r>
      <rPr>
        <sz val="10"/>
        <color theme="1"/>
        <rFont val="宋体"/>
        <charset val="134"/>
      </rPr>
      <t>呢格</t>
    </r>
    <r>
      <rPr>
        <sz val="10"/>
        <color theme="1"/>
        <rFont val="Calibri Light"/>
        <charset val="134"/>
      </rPr>
      <t>001</t>
    </r>
  </si>
  <si>
    <t>SY252540</t>
  </si>
  <si>
    <t>磨毛699</t>
  </si>
  <si>
    <t>SY252541</t>
  </si>
  <si>
    <t>磨毛001</t>
  </si>
  <si>
    <t>SY252542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</si>
  <si>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N22#</t>
    </r>
  </si>
  <si>
    <t>SY252543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</si>
  <si>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N7#</t>
    </r>
  </si>
  <si>
    <t>SY252544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</si>
  <si>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N4#</t>
    </r>
  </si>
  <si>
    <t>SY252545</t>
  </si>
  <si>
    <t>磨毛022</t>
  </si>
  <si>
    <t>SY252546</t>
  </si>
  <si>
    <t>磨毛027</t>
  </si>
  <si>
    <t>SY252547</t>
  </si>
  <si>
    <t>磨毛017</t>
  </si>
  <si>
    <t>SY252548</t>
  </si>
  <si>
    <t>磨毛015</t>
  </si>
  <si>
    <t>SY252549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</si>
  <si>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F141#</t>
    </r>
  </si>
  <si>
    <t>SY252550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</si>
  <si>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N36</t>
    </r>
  </si>
  <si>
    <t>SY252551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</si>
  <si>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D305#</t>
    </r>
  </si>
  <si>
    <t>SY252552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</si>
  <si>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N15#</t>
    </r>
  </si>
  <si>
    <t>SY252553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</si>
  <si>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N16#</t>
    </r>
  </si>
  <si>
    <t>SY252554</t>
  </si>
  <si>
    <t>磨毛084</t>
  </si>
  <si>
    <t>SY252555</t>
  </si>
  <si>
    <t>磨毛570</t>
  </si>
  <si>
    <t>SY252556</t>
  </si>
  <si>
    <t>磨毛0134</t>
  </si>
  <si>
    <t>SY252557</t>
  </si>
  <si>
    <t>磨毛0136</t>
  </si>
  <si>
    <t>SY252558</t>
  </si>
  <si>
    <t>磨毛0157</t>
  </si>
  <si>
    <t>SY252559</t>
  </si>
  <si>
    <t>磨毛0166</t>
  </si>
  <si>
    <t>SY252560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</si>
  <si>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D360#</t>
    </r>
  </si>
  <si>
    <t>SY252561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</si>
  <si>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D355#</t>
    </r>
  </si>
  <si>
    <t>SY252562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</si>
  <si>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D352#</t>
    </r>
  </si>
  <si>
    <t>SY252563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</si>
  <si>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D351#</t>
    </r>
  </si>
  <si>
    <t>SY252564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</si>
  <si>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D307#</t>
    </r>
  </si>
  <si>
    <t>SY252565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</si>
  <si>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D322#</t>
    </r>
  </si>
  <si>
    <t>SY252566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</si>
  <si>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033</t>
    </r>
  </si>
  <si>
    <t>SY252567</t>
  </si>
  <si>
    <t>磨毛051</t>
  </si>
  <si>
    <t>SY252568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</si>
  <si>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061</t>
    </r>
  </si>
  <si>
    <t>SY252569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</si>
  <si>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0103</t>
    </r>
  </si>
  <si>
    <t>SY252570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</si>
  <si>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0112</t>
    </r>
  </si>
  <si>
    <t>SY252571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</si>
  <si>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0116</t>
    </r>
  </si>
  <si>
    <t>SY252572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</si>
  <si>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F163#</t>
    </r>
  </si>
  <si>
    <t>SY252573</t>
  </si>
  <si>
    <t>D417</t>
  </si>
  <si>
    <t>SY252574</t>
  </si>
  <si>
    <t>D414#</t>
  </si>
  <si>
    <t>SY252575</t>
  </si>
  <si>
    <t>D420#</t>
  </si>
  <si>
    <t>SY252576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</si>
  <si>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D401#</t>
    </r>
  </si>
  <si>
    <t>SY252577</t>
  </si>
  <si>
    <t>D418</t>
  </si>
  <si>
    <t>SY252578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</si>
  <si>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041</t>
    </r>
  </si>
  <si>
    <t>SY252579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</si>
  <si>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047</t>
    </r>
  </si>
  <si>
    <t>SY252580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</si>
  <si>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059</t>
    </r>
  </si>
  <si>
    <t>SY252581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</si>
  <si>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027</t>
    </r>
  </si>
  <si>
    <t>SY252582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</si>
  <si>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030</t>
    </r>
  </si>
  <si>
    <t>SY252583</t>
  </si>
  <si>
    <r>
      <rPr>
        <sz val="10"/>
        <color theme="1"/>
        <rFont val="宋体"/>
        <charset val="134"/>
      </rPr>
      <t>磨毛</t>
    </r>
    <r>
      <rPr>
        <sz val="10"/>
        <color theme="1"/>
        <rFont val="Calibri Light"/>
        <charset val="134"/>
      </rPr>
      <t>036</t>
    </r>
  </si>
  <si>
    <t>SY252584</t>
  </si>
  <si>
    <t>SY252585</t>
  </si>
  <si>
    <r>
      <rPr>
        <sz val="10"/>
        <color theme="1"/>
        <rFont val="Calibri Light"/>
        <charset val="134"/>
      </rPr>
      <t>69%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29%</t>
    </r>
    <r>
      <rPr>
        <sz val="10"/>
        <color theme="1"/>
        <rFont val="宋体"/>
        <charset val="134"/>
      </rPr>
      <t>黏胶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</si>
  <si>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69%POLY29%V2%SP</t>
  </si>
  <si>
    <t>SY252586</t>
  </si>
  <si>
    <t>87%POLY10%R3%SP</t>
  </si>
  <si>
    <t>SY252587</t>
  </si>
  <si>
    <t>SY252588</t>
  </si>
  <si>
    <t>72%涤纶  28%粘纤</t>
  </si>
  <si>
    <t>72%POLY28%Rayon</t>
  </si>
  <si>
    <t>SY252589</t>
  </si>
  <si>
    <t>SY252590</t>
  </si>
  <si>
    <t>SY252591</t>
  </si>
  <si>
    <t>工厂不做了</t>
  </si>
  <si>
    <t>不做了</t>
  </si>
  <si>
    <t>SY252592</t>
  </si>
  <si>
    <r>
      <rPr>
        <sz val="10"/>
        <color theme="1"/>
        <rFont val="宋体"/>
        <charset val="134"/>
      </rPr>
      <t>格</t>
    </r>
    <r>
      <rPr>
        <sz val="10"/>
        <color theme="1"/>
        <rFont val="Calibri Light"/>
        <charset val="134"/>
      </rPr>
      <t>N23#</t>
    </r>
  </si>
  <si>
    <t>SY252593</t>
  </si>
  <si>
    <t>SY252594</t>
  </si>
  <si>
    <t>SY252595</t>
  </si>
  <si>
    <t>SY252596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</si>
  <si>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人棉</t>
    </r>
  </si>
  <si>
    <t>85%POLY15%R</t>
  </si>
  <si>
    <t>SY252597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</si>
  <si>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</si>
  <si>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93%Recycle POLY4%NYLON3%SP</t>
  </si>
  <si>
    <t>SY252598</t>
  </si>
  <si>
    <t>SY252599</t>
  </si>
  <si>
    <t>SY252600</t>
  </si>
  <si>
    <t>SY252601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</si>
  <si>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6%</t>
    </r>
    <r>
      <rPr>
        <sz val="10"/>
        <color theme="1"/>
        <rFont val="宋体"/>
        <charset val="134"/>
      </rPr>
      <t>氨纶</t>
    </r>
  </si>
  <si>
    <t>94%Recycle POLY6%SP</t>
  </si>
  <si>
    <t>SY252602</t>
  </si>
  <si>
    <t>93%Recycle POLY7%SP</t>
  </si>
  <si>
    <t>SY252603</t>
  </si>
  <si>
    <t>SY252604</t>
  </si>
  <si>
    <t>SY252605</t>
  </si>
  <si>
    <t>SY252606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</si>
  <si>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人棉</t>
    </r>
  </si>
  <si>
    <t>84%POLY16%R</t>
  </si>
  <si>
    <t>SY252607</t>
  </si>
  <si>
    <t>SY252608</t>
  </si>
  <si>
    <t>SY252609</t>
  </si>
  <si>
    <t>SY252610</t>
  </si>
  <si>
    <t>92%Recycle POLY5%R3%SP</t>
  </si>
  <si>
    <t>SY252611</t>
  </si>
  <si>
    <t>SY252612</t>
  </si>
  <si>
    <t>SY252613</t>
  </si>
  <si>
    <t>SY252614</t>
  </si>
  <si>
    <t>SY252615</t>
  </si>
  <si>
    <t>87%10%R3%SP</t>
  </si>
  <si>
    <t>SY252616</t>
  </si>
  <si>
    <t>SY252617</t>
  </si>
  <si>
    <t>SY252618</t>
  </si>
  <si>
    <t>SY252619</t>
  </si>
  <si>
    <t>SY252620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</si>
  <si>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</si>
  <si>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90%Recycle POLY7%R3%SP</t>
  </si>
  <si>
    <t>SY252621</t>
  </si>
  <si>
    <t>SY252622</t>
  </si>
  <si>
    <r>
      <rPr>
        <sz val="10"/>
        <color theme="1"/>
        <rFont val="Calibri Light"/>
        <charset val="134"/>
      </rPr>
      <t>87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人棉</t>
    </r>
  </si>
  <si>
    <t>87%POLY13%R</t>
  </si>
  <si>
    <t>SY252623</t>
  </si>
  <si>
    <t>SY252624</t>
  </si>
  <si>
    <t>SY252625</t>
  </si>
  <si>
    <t>SY252626</t>
  </si>
  <si>
    <t>95%Recycel POLY5%R</t>
  </si>
  <si>
    <t>SY252627</t>
  </si>
  <si>
    <t>SY252628</t>
  </si>
  <si>
    <t>SY252629</t>
  </si>
  <si>
    <r>
      <rPr>
        <sz val="10"/>
        <color theme="1"/>
        <rFont val="Calibri Light"/>
        <charset val="134"/>
      </rPr>
      <t>91%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人棉</t>
    </r>
  </si>
  <si>
    <t>91%Recycel POLY9%R</t>
  </si>
  <si>
    <t>SY252630</t>
  </si>
  <si>
    <t>SY252631</t>
  </si>
  <si>
    <t>84%聚酯纤维 16%人棉</t>
  </si>
  <si>
    <t>SY252632</t>
  </si>
  <si>
    <t>SY252633</t>
  </si>
  <si>
    <t>SY252634</t>
  </si>
  <si>
    <t>631#</t>
  </si>
  <si>
    <t>SY252635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</si>
  <si>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氨轮</t>
    </r>
  </si>
  <si>
    <t>SY252636</t>
  </si>
  <si>
    <t>SY252637</t>
  </si>
  <si>
    <t>SY252638</t>
  </si>
  <si>
    <t>92%Recycle POLY 8%R</t>
  </si>
  <si>
    <t>SY252639</t>
  </si>
  <si>
    <t>SY252640</t>
  </si>
  <si>
    <t>SY252641</t>
  </si>
  <si>
    <t>910#</t>
  </si>
  <si>
    <t>SY252642</t>
  </si>
  <si>
    <t>SY252643</t>
  </si>
  <si>
    <t>SY252644</t>
  </si>
  <si>
    <t>90%涤纶7%人棉3%氨纶</t>
  </si>
  <si>
    <t>SY252645</t>
  </si>
  <si>
    <t>SY252646</t>
  </si>
  <si>
    <t>SY252647</t>
  </si>
  <si>
    <t>SY252648</t>
  </si>
  <si>
    <t>SY252649</t>
  </si>
  <si>
    <t>SY252650</t>
  </si>
  <si>
    <t>SY252651</t>
  </si>
  <si>
    <r>
      <rPr>
        <sz val="10"/>
        <color theme="1"/>
        <rFont val="Calibri Light"/>
        <charset val="134"/>
      </rPr>
      <t>69%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</si>
  <si>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69%Recycle POLY28%R3%SP</t>
  </si>
  <si>
    <t>SY252652</t>
  </si>
  <si>
    <t>针织布</t>
  </si>
  <si>
    <r>
      <rPr>
        <sz val="10"/>
        <color theme="1"/>
        <rFont val="宋体"/>
        <charset val="134"/>
      </rPr>
      <t>精品羊绒</t>
    </r>
    <r>
      <rPr>
        <sz val="10"/>
        <color theme="1"/>
        <rFont val="Calibri Light"/>
        <charset val="134"/>
      </rPr>
      <t>9806#</t>
    </r>
  </si>
  <si>
    <t>SY252653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</si>
  <si>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腈纶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精棉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</si>
  <si>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30%NYLON30%BCI COTTON35%R5%SP</t>
  </si>
  <si>
    <t>永丰</t>
  </si>
  <si>
    <r>
      <rPr>
        <sz val="10"/>
        <color theme="1"/>
        <rFont val="Calibri Light"/>
        <charset val="134"/>
      </rPr>
      <t>32S</t>
    </r>
    <r>
      <rPr>
        <sz val="10"/>
        <color theme="1"/>
        <rFont val="宋体"/>
        <charset val="134"/>
      </rPr>
      <t>摇粒绒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（舒棉绒）</t>
    </r>
    <r>
      <rPr>
        <sz val="10"/>
        <color theme="1"/>
        <rFont val="Calibri Light"/>
        <charset val="134"/>
      </rPr>
      <t>9021#</t>
    </r>
  </si>
  <si>
    <t>SY252654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</si>
  <si>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棉</t>
    </r>
  </si>
  <si>
    <t>70%Recycle POLY 30%BCI COTTON</t>
  </si>
  <si>
    <r>
      <rPr>
        <sz val="10"/>
        <color theme="1"/>
        <rFont val="宋体"/>
        <charset val="134"/>
      </rPr>
      <t>华棉刷毛真卫衣</t>
    </r>
    <r>
      <rPr>
        <sz val="10"/>
        <color theme="1"/>
        <rFont val="Calibri Light"/>
        <charset val="134"/>
      </rPr>
      <t xml:space="preserve"> 9017#</t>
    </r>
  </si>
  <si>
    <t>SY252655</t>
  </si>
  <si>
    <t>35%棉65%涤纶</t>
  </si>
  <si>
    <t>35%BCI COTTON65%Recycle POLY</t>
  </si>
  <si>
    <r>
      <rPr>
        <sz val="10"/>
        <color theme="1"/>
        <rFont val="Calibri Light"/>
        <charset val="134"/>
      </rPr>
      <t>10S</t>
    </r>
    <r>
      <rPr>
        <sz val="10"/>
        <color theme="1"/>
        <rFont val="宋体"/>
        <charset val="134"/>
      </rPr>
      <t>棉真卫衣</t>
    </r>
    <r>
      <rPr>
        <sz val="10"/>
        <color theme="1"/>
        <rFont val="Calibri Light"/>
        <charset val="134"/>
      </rPr>
      <t xml:space="preserve"> 5298</t>
    </r>
  </si>
  <si>
    <t>SY252656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</si>
  <si>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</si>
  <si>
    <t>45%BCI COTTON55%Recycle POLY</t>
  </si>
  <si>
    <r>
      <rPr>
        <sz val="10"/>
        <color theme="1"/>
        <rFont val="宋体"/>
        <charset val="134"/>
      </rPr>
      <t>米呢刷毛绒</t>
    </r>
    <r>
      <rPr>
        <sz val="10"/>
        <color theme="1"/>
        <rFont val="Calibri Light"/>
        <charset val="134"/>
      </rPr>
      <t>350g  8161A</t>
    </r>
  </si>
  <si>
    <t>SY252657</t>
  </si>
  <si>
    <t>1.6m/kg</t>
  </si>
  <si>
    <r>
      <rPr>
        <sz val="10"/>
        <color theme="1"/>
        <rFont val="Calibri Light"/>
        <charset val="134"/>
      </rPr>
      <t>32S</t>
    </r>
    <r>
      <rPr>
        <sz val="10"/>
        <color theme="1"/>
        <rFont val="宋体"/>
        <charset val="134"/>
      </rPr>
      <t>双股大卫衣</t>
    </r>
    <r>
      <rPr>
        <sz val="10"/>
        <color theme="1"/>
        <rFont val="Calibri Light"/>
        <charset val="134"/>
      </rPr>
      <t xml:space="preserve">  920#</t>
    </r>
  </si>
  <si>
    <t>SY252658</t>
  </si>
  <si>
    <t>80%BCI COTTON 20%Recycle POLY</t>
  </si>
  <si>
    <r>
      <rPr>
        <sz val="10"/>
        <color theme="1"/>
        <rFont val="Calibri Light"/>
        <charset val="134"/>
      </rPr>
      <t>9152#21S</t>
    </r>
    <r>
      <rPr>
        <sz val="10"/>
        <color theme="1"/>
        <rFont val="宋体"/>
        <charset val="134"/>
      </rPr>
      <t>双股大卫衣</t>
    </r>
  </si>
  <si>
    <t>SY252659</t>
  </si>
  <si>
    <r>
      <rPr>
        <sz val="10"/>
        <color theme="1"/>
        <rFont val="宋体"/>
        <charset val="134"/>
      </rPr>
      <t>世博绒</t>
    </r>
    <r>
      <rPr>
        <sz val="10"/>
        <color theme="1"/>
        <rFont val="Calibri Light"/>
        <charset val="134"/>
      </rPr>
      <t xml:space="preserve">  9528#</t>
    </r>
  </si>
  <si>
    <t>SY252660</t>
  </si>
  <si>
    <t>50%Recycle POLY 50%BCI COTTON</t>
  </si>
  <si>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随心裁</t>
    </r>
    <r>
      <rPr>
        <sz val="10"/>
        <color theme="1"/>
        <rFont val="Calibri Light"/>
        <charset val="134"/>
      </rPr>
      <t>260g</t>
    </r>
    <r>
      <rPr>
        <sz val="10"/>
        <color theme="1"/>
        <rFont val="宋体"/>
        <charset val="134"/>
      </rPr>
      <t>抓毛</t>
    </r>
    <r>
      <rPr>
        <sz val="10"/>
        <color theme="1"/>
        <rFont val="Calibri Light"/>
        <charset val="134"/>
      </rPr>
      <t xml:space="preserve">   9219#</t>
    </r>
  </si>
  <si>
    <t>SY252661</t>
  </si>
  <si>
    <r>
      <rPr>
        <sz val="10"/>
        <color theme="1"/>
        <rFont val="宋体"/>
        <charset val="134"/>
      </rPr>
      <t>金品羊绒</t>
    </r>
    <r>
      <rPr>
        <sz val="10"/>
        <color theme="1"/>
        <rFont val="Calibri Light"/>
        <charset val="134"/>
      </rPr>
      <t xml:space="preserve">220g   9226# </t>
    </r>
  </si>
  <si>
    <t>SY252662</t>
  </si>
  <si>
    <t>65%R30%Recycle POLY5%SP</t>
  </si>
  <si>
    <r>
      <rPr>
        <sz val="10"/>
        <color theme="1"/>
        <rFont val="宋体"/>
        <charset val="134"/>
      </rPr>
      <t>超薄华夫格</t>
    </r>
    <r>
      <rPr>
        <sz val="10"/>
        <color theme="1"/>
        <rFont val="Calibri Light"/>
        <charset val="134"/>
      </rPr>
      <t>180g    9039#</t>
    </r>
  </si>
  <si>
    <t>SY252663</t>
  </si>
  <si>
    <t>45%棉55%涤纶</t>
  </si>
  <si>
    <r>
      <rPr>
        <sz val="10"/>
        <color theme="1"/>
        <rFont val="宋体"/>
        <charset val="134"/>
      </rPr>
      <t>慕斯羊绒</t>
    </r>
    <r>
      <rPr>
        <sz val="10"/>
        <color theme="1"/>
        <rFont val="Calibri Light"/>
        <charset val="134"/>
      </rPr>
      <t>260G  9229#</t>
    </r>
  </si>
  <si>
    <t>SY252664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</si>
  <si>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</si>
  <si>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60%R35%Recycle POLY5%SP</t>
  </si>
  <si>
    <r>
      <rPr>
        <sz val="10"/>
        <color theme="1"/>
        <rFont val="宋体"/>
        <charset val="134"/>
      </rPr>
      <t>索罗娜平纹刷毛</t>
    </r>
    <r>
      <rPr>
        <sz val="10"/>
        <color theme="1"/>
        <rFont val="Calibri Light"/>
        <charset val="134"/>
      </rPr>
      <t>180g   9071#</t>
    </r>
  </si>
  <si>
    <t>SY252665</t>
  </si>
  <si>
    <r>
      <rPr>
        <sz val="10"/>
        <color theme="1"/>
        <rFont val="宋体"/>
        <charset val="134"/>
      </rPr>
      <t>索罗娜爽滑棉平纹</t>
    </r>
    <r>
      <rPr>
        <sz val="10"/>
        <color theme="1"/>
        <rFont val="Calibri Light"/>
        <charset val="134"/>
      </rPr>
      <t>230g   9066#</t>
    </r>
  </si>
  <si>
    <t>SY252666</t>
  </si>
  <si>
    <r>
      <rPr>
        <sz val="10"/>
        <color theme="1"/>
        <rFont val="Calibri Light"/>
        <charset val="134"/>
      </rPr>
      <t>21S</t>
    </r>
    <r>
      <rPr>
        <sz val="10"/>
        <color theme="1"/>
        <rFont val="宋体"/>
        <charset val="134"/>
      </rPr>
      <t>棉单面刷毛</t>
    </r>
    <r>
      <rPr>
        <sz val="10"/>
        <color theme="1"/>
        <rFont val="Calibri Light"/>
        <charset val="134"/>
      </rPr>
      <t xml:space="preserve">    9169#</t>
    </r>
  </si>
  <si>
    <t>SY252667</t>
  </si>
  <si>
    <r>
      <rPr>
        <sz val="10"/>
        <color theme="1"/>
        <rFont val="宋体"/>
        <charset val="134"/>
      </rPr>
      <t>诺贝尔双纱</t>
    </r>
    <r>
      <rPr>
        <sz val="10"/>
        <color theme="1"/>
        <rFont val="Calibri Light"/>
        <charset val="134"/>
      </rPr>
      <t>190g    9283#</t>
    </r>
  </si>
  <si>
    <t>SY252668</t>
  </si>
  <si>
    <t>50%Recycle POLY50%BCI COTTON</t>
  </si>
  <si>
    <r>
      <rPr>
        <sz val="10"/>
        <color theme="1"/>
        <rFont val="Calibri Light"/>
        <charset val="134"/>
      </rPr>
      <t>32S</t>
    </r>
    <r>
      <rPr>
        <sz val="10"/>
        <color theme="1"/>
        <rFont val="宋体"/>
        <charset val="134"/>
      </rPr>
      <t>双纱滑爽棉</t>
    </r>
    <r>
      <rPr>
        <sz val="10"/>
        <color theme="1"/>
        <rFont val="Calibri Light"/>
        <charset val="134"/>
      </rPr>
      <t xml:space="preserve">   9001</t>
    </r>
  </si>
  <si>
    <t>SY252669</t>
  </si>
  <si>
    <r>
      <rPr>
        <sz val="10"/>
        <color theme="1"/>
        <rFont val="Calibri Light"/>
        <charset val="134"/>
      </rPr>
      <t>18183#</t>
    </r>
    <r>
      <rPr>
        <sz val="10"/>
        <color theme="1"/>
        <rFont val="宋体"/>
        <charset val="134"/>
      </rPr>
      <t>纯棉华棉卫衣刷毛</t>
    </r>
    <r>
      <rPr>
        <sz val="10"/>
        <color theme="1"/>
        <rFont val="Calibri Light"/>
        <charset val="134"/>
      </rPr>
      <t>140g</t>
    </r>
  </si>
  <si>
    <t>SY252670</t>
  </si>
  <si>
    <r>
      <rPr>
        <sz val="10"/>
        <color theme="1"/>
        <rFont val="Calibri Light"/>
        <charset val="134"/>
      </rPr>
      <t>52%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48%</t>
    </r>
    <r>
      <rPr>
        <sz val="10"/>
        <color theme="1"/>
        <rFont val="宋体"/>
        <charset val="134"/>
      </rPr>
      <t>涤纶</t>
    </r>
  </si>
  <si>
    <t>52%BCI COTTON 48%Recycle POLY</t>
  </si>
  <si>
    <t>3.7m/kg</t>
  </si>
  <si>
    <r>
      <rPr>
        <sz val="10"/>
        <color theme="1"/>
        <rFont val="宋体"/>
        <charset val="134"/>
      </rPr>
      <t>雅纱棉</t>
    </r>
    <r>
      <rPr>
        <sz val="10"/>
        <color theme="1"/>
        <rFont val="Calibri Light"/>
        <charset val="134"/>
      </rPr>
      <t>180g  13008#</t>
    </r>
  </si>
  <si>
    <t>SY252671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</si>
  <si>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锦纶</t>
    </r>
  </si>
  <si>
    <t>75%BCI COTTON25%POLY</t>
  </si>
  <si>
    <r>
      <rPr>
        <sz val="10"/>
        <color theme="1"/>
        <rFont val="Calibri Light"/>
        <charset val="134"/>
      </rPr>
      <t>32S</t>
    </r>
    <r>
      <rPr>
        <sz val="10"/>
        <color theme="1"/>
        <rFont val="宋体"/>
        <charset val="134"/>
      </rPr>
      <t>雪花亚麻</t>
    </r>
    <r>
      <rPr>
        <sz val="10"/>
        <color theme="1"/>
        <rFont val="Calibri Light"/>
        <charset val="134"/>
      </rPr>
      <t xml:space="preserve">  9012</t>
    </r>
  </si>
  <si>
    <t>SY252672</t>
  </si>
  <si>
    <t>65%Recycle POLY35%BCI COTTON</t>
  </si>
  <si>
    <r>
      <rPr>
        <sz val="10"/>
        <color theme="1"/>
        <rFont val="宋体"/>
        <charset val="134"/>
      </rPr>
      <t>李宁一号</t>
    </r>
    <r>
      <rPr>
        <sz val="10"/>
        <color theme="1"/>
        <rFont val="Calibri Light"/>
        <charset val="134"/>
      </rPr>
      <t xml:space="preserve">    9098#</t>
    </r>
  </si>
  <si>
    <t>SY252673</t>
  </si>
  <si>
    <t>70%BCI COTTON30%Recycle POLY</t>
  </si>
  <si>
    <r>
      <rPr>
        <sz val="10"/>
        <color theme="1"/>
        <rFont val="Calibri Light"/>
        <charset val="134"/>
      </rPr>
      <t>21S</t>
    </r>
    <r>
      <rPr>
        <sz val="10"/>
        <color theme="1"/>
        <rFont val="宋体"/>
        <charset val="134"/>
      </rPr>
      <t>双纱刷毛</t>
    </r>
    <r>
      <rPr>
        <sz val="10"/>
        <color theme="1"/>
        <rFont val="Calibri Light"/>
        <charset val="134"/>
      </rPr>
      <t xml:space="preserve">    5128</t>
    </r>
  </si>
  <si>
    <t>SY252674</t>
  </si>
  <si>
    <r>
      <rPr>
        <sz val="10"/>
        <color theme="1"/>
        <rFont val="Calibri Light"/>
        <charset val="134"/>
      </rPr>
      <t>21S</t>
    </r>
    <r>
      <rPr>
        <sz val="10"/>
        <color theme="1"/>
        <rFont val="宋体"/>
        <charset val="134"/>
      </rPr>
      <t>爽滑棉平纹</t>
    </r>
    <r>
      <rPr>
        <sz val="10"/>
        <color theme="1"/>
        <rFont val="Calibri Light"/>
        <charset val="134"/>
      </rPr>
      <t xml:space="preserve">   9009#</t>
    </r>
  </si>
  <si>
    <t>SY252675</t>
  </si>
  <si>
    <r>
      <rPr>
        <sz val="10"/>
        <color theme="1"/>
        <rFont val="宋体"/>
        <charset val="134"/>
      </rPr>
      <t>迈巴赫</t>
    </r>
    <r>
      <rPr>
        <sz val="10"/>
        <color theme="1"/>
        <rFont val="Calibri Light"/>
        <charset val="134"/>
      </rPr>
      <t xml:space="preserve">    9288#</t>
    </r>
  </si>
  <si>
    <t>SY252676</t>
  </si>
  <si>
    <r>
      <rPr>
        <sz val="10"/>
        <color theme="1"/>
        <rFont val="宋体"/>
        <charset val="134"/>
      </rPr>
      <t>新潮卫衣食毛（暮冬绒）</t>
    </r>
    <r>
      <rPr>
        <sz val="10"/>
        <color theme="1"/>
        <rFont val="Calibri Light"/>
        <charset val="134"/>
      </rPr>
      <t>9298#</t>
    </r>
  </si>
  <si>
    <t>SY252677</t>
  </si>
  <si>
    <t>60%BCI COTTON40%Recycle POLY</t>
  </si>
  <si>
    <r>
      <rPr>
        <sz val="10"/>
        <color theme="1"/>
        <rFont val="宋体"/>
        <charset val="134"/>
      </rPr>
      <t>新潮卫衣刷毛（暮冬绒）</t>
    </r>
    <r>
      <rPr>
        <sz val="10"/>
        <color theme="1"/>
        <rFont val="Calibri Light"/>
        <charset val="134"/>
      </rPr>
      <t>9299#</t>
    </r>
  </si>
  <si>
    <t>SY252678</t>
  </si>
  <si>
    <r>
      <rPr>
        <sz val="10"/>
        <color theme="1"/>
        <rFont val="宋体"/>
        <charset val="134"/>
      </rPr>
      <t>精棉双面拉架刷毛</t>
    </r>
    <r>
      <rPr>
        <sz val="10"/>
        <color theme="1"/>
        <rFont val="Calibri Light"/>
        <charset val="134"/>
      </rPr>
      <t>250g   9293#</t>
    </r>
  </si>
  <si>
    <t>SY252679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</si>
  <si>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</si>
  <si>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55%Recycle POLY40%BCI COTTON5%SP</t>
  </si>
  <si>
    <r>
      <rPr>
        <sz val="10"/>
        <color theme="1"/>
        <rFont val="宋体"/>
        <charset val="134"/>
      </rPr>
      <t>加厚精棉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罗纹奥代尔</t>
    </r>
    <r>
      <rPr>
        <sz val="10"/>
        <color theme="1"/>
        <rFont val="Calibri Light"/>
        <charset val="134"/>
      </rPr>
      <t>260g   9291#</t>
    </r>
  </si>
  <si>
    <t>SY252680</t>
  </si>
  <si>
    <r>
      <rPr>
        <sz val="10"/>
        <color theme="1"/>
        <rFont val="宋体"/>
        <charset val="134"/>
      </rPr>
      <t>超爽真卫衣食毛</t>
    </r>
    <r>
      <rPr>
        <sz val="10"/>
        <color theme="1"/>
        <rFont val="Calibri Light"/>
        <charset val="134"/>
      </rPr>
      <t xml:space="preserve">   9016</t>
    </r>
  </si>
  <si>
    <t>SY252681</t>
  </si>
  <si>
    <r>
      <rPr>
        <sz val="10"/>
        <color theme="1"/>
        <rFont val="宋体"/>
        <charset val="134"/>
      </rPr>
      <t>超薄米呢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刷毛绒</t>
    </r>
    <r>
      <rPr>
        <sz val="10"/>
        <color theme="1"/>
        <rFont val="Calibri Light"/>
        <charset val="134"/>
      </rPr>
      <t xml:space="preserve">   9026</t>
    </r>
  </si>
  <si>
    <t>SY252682</t>
  </si>
  <si>
    <r>
      <rPr>
        <sz val="10"/>
        <color theme="1"/>
        <rFont val="宋体"/>
        <charset val="134"/>
      </rPr>
      <t>超薄轻潮星空卫衣</t>
    </r>
    <r>
      <rPr>
        <sz val="10"/>
        <color theme="1"/>
        <rFont val="Calibri Light"/>
        <charset val="134"/>
      </rPr>
      <t>170g   9036#</t>
    </r>
  </si>
  <si>
    <t>SY252683</t>
  </si>
  <si>
    <t>40%棉60%涤纶</t>
  </si>
  <si>
    <t>40%BCI COTTON60%Recycle POLY</t>
  </si>
  <si>
    <r>
      <rPr>
        <sz val="10"/>
        <color theme="1"/>
        <rFont val="宋体"/>
        <charset val="134"/>
      </rPr>
      <t>爽棉珠地</t>
    </r>
    <r>
      <rPr>
        <sz val="10"/>
        <color theme="1"/>
        <rFont val="Calibri Light"/>
        <charset val="134"/>
      </rPr>
      <t>210g   13006#</t>
    </r>
  </si>
  <si>
    <t>SY252684</t>
  </si>
  <si>
    <r>
      <rPr>
        <sz val="10"/>
        <color theme="1"/>
        <rFont val="宋体"/>
        <charset val="134"/>
      </rPr>
      <t>果冻空气层</t>
    </r>
    <r>
      <rPr>
        <sz val="10"/>
        <color theme="1"/>
        <rFont val="Calibri Light"/>
        <charset val="134"/>
      </rPr>
      <t>260g</t>
    </r>
    <r>
      <rPr>
        <sz val="10"/>
        <color theme="1"/>
        <rFont val="宋体"/>
        <charset val="134"/>
      </rPr>
      <t>（五明治）</t>
    </r>
    <r>
      <rPr>
        <sz val="10"/>
        <color theme="1"/>
        <rFont val="Calibri Light"/>
        <charset val="134"/>
      </rPr>
      <t xml:space="preserve"> 9221#</t>
    </r>
  </si>
  <si>
    <t>SY252685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</si>
  <si>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</si>
  <si>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75%R 20%Recycle POLY5%SP</t>
  </si>
  <si>
    <r>
      <rPr>
        <sz val="10"/>
        <color theme="1"/>
        <rFont val="宋体"/>
        <charset val="134"/>
      </rPr>
      <t>轻潮精灵</t>
    </r>
    <r>
      <rPr>
        <sz val="10"/>
        <color theme="1"/>
        <rFont val="Calibri Light"/>
        <charset val="134"/>
      </rPr>
      <t>300g   13002#</t>
    </r>
  </si>
  <si>
    <t>SY252686</t>
  </si>
  <si>
    <r>
      <rPr>
        <sz val="10"/>
        <color theme="1"/>
        <rFont val="Calibri Light"/>
        <charset val="134"/>
      </rPr>
      <t>21S</t>
    </r>
    <r>
      <rPr>
        <sz val="10"/>
        <color theme="1"/>
        <rFont val="宋体"/>
        <charset val="134"/>
      </rPr>
      <t>棉平纹</t>
    </r>
    <r>
      <rPr>
        <sz val="10"/>
        <color theme="1"/>
        <rFont val="Calibri Light"/>
        <charset val="134"/>
      </rPr>
      <t xml:space="preserve">  9006#</t>
    </r>
  </si>
  <si>
    <t>SY252687</t>
  </si>
  <si>
    <r>
      <rPr>
        <sz val="10"/>
        <color theme="1"/>
        <rFont val="宋体"/>
        <charset val="134"/>
      </rPr>
      <t>索罗娜爽滑棉平纹</t>
    </r>
    <r>
      <rPr>
        <sz val="10"/>
        <color theme="1"/>
        <rFont val="Calibri Light"/>
        <charset val="134"/>
      </rPr>
      <t>160g  9058#</t>
    </r>
  </si>
  <si>
    <t>SY252688</t>
  </si>
  <si>
    <t>85%棉 15%聚酯纤维</t>
  </si>
  <si>
    <r>
      <rPr>
        <sz val="10"/>
        <color theme="1"/>
        <rFont val="Calibri Light"/>
        <charset val="134"/>
      </rPr>
      <t>85%BCI COTTON 15%</t>
    </r>
    <r>
      <rPr>
        <sz val="10"/>
        <color theme="1"/>
        <rFont val="宋体"/>
        <charset val="134"/>
      </rPr>
      <t>POLY</t>
    </r>
  </si>
  <si>
    <r>
      <rPr>
        <sz val="10"/>
        <color theme="1"/>
        <rFont val="宋体"/>
        <charset val="134"/>
      </rPr>
      <t>丝滑雪花棉</t>
    </r>
    <r>
      <rPr>
        <sz val="10"/>
        <color theme="1"/>
        <rFont val="Calibri Light"/>
        <charset val="134"/>
      </rPr>
      <t xml:space="preserve">  9281#</t>
    </r>
  </si>
  <si>
    <t>SY252689</t>
  </si>
  <si>
    <t>3.9m/kg</t>
  </si>
  <si>
    <r>
      <rPr>
        <sz val="10"/>
        <color theme="1"/>
        <rFont val="Calibri Light"/>
        <charset val="134"/>
      </rPr>
      <t>16s</t>
    </r>
    <r>
      <rPr>
        <sz val="10"/>
        <color theme="1"/>
        <rFont val="宋体"/>
        <charset val="134"/>
      </rPr>
      <t>麻棉刷毛</t>
    </r>
    <r>
      <rPr>
        <sz val="10"/>
        <color theme="1"/>
        <rFont val="Calibri Light"/>
        <charset val="134"/>
      </rPr>
      <t xml:space="preserve"> 826#A</t>
    </r>
  </si>
  <si>
    <t>SY252690</t>
  </si>
  <si>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罗纹拉架</t>
    </r>
    <r>
      <rPr>
        <sz val="10"/>
        <color theme="1"/>
        <rFont val="Calibri Light"/>
        <charset val="134"/>
      </rPr>
      <t xml:space="preserve"> 9202#</t>
    </r>
  </si>
  <si>
    <t>SY252691</t>
  </si>
  <si>
    <t>92%R 8%SP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</si>
  <si>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支精棉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罗纹奥代尔</t>
    </r>
    <r>
      <rPr>
        <sz val="10"/>
        <color theme="1"/>
        <rFont val="Calibri Light"/>
        <charset val="134"/>
      </rPr>
      <t>180g   9209#</t>
    </r>
  </si>
  <si>
    <t>SY252692</t>
  </si>
  <si>
    <r>
      <rPr>
        <sz val="10"/>
        <color theme="1"/>
        <rFont val="Calibri Light"/>
        <charset val="134"/>
      </rPr>
      <t>26S</t>
    </r>
    <r>
      <rPr>
        <sz val="10"/>
        <color theme="1"/>
        <rFont val="宋体"/>
        <charset val="134"/>
      </rPr>
      <t>爽滑棉平纹</t>
    </r>
    <r>
      <rPr>
        <sz val="10"/>
        <color theme="1"/>
        <rFont val="Calibri Light"/>
        <charset val="134"/>
      </rPr>
      <t xml:space="preserve">  9011#</t>
    </r>
  </si>
  <si>
    <t>SY252693</t>
  </si>
  <si>
    <r>
      <rPr>
        <sz val="10"/>
        <color theme="1"/>
        <rFont val="Calibri Light"/>
        <charset val="134"/>
      </rPr>
      <t>18182#</t>
    </r>
    <r>
      <rPr>
        <sz val="10"/>
        <color theme="1"/>
        <rFont val="宋体"/>
        <charset val="134"/>
      </rPr>
      <t>纯棉华棉卫衣食毛</t>
    </r>
    <r>
      <rPr>
        <sz val="10"/>
        <color theme="1"/>
        <rFont val="Calibri Light"/>
        <charset val="134"/>
      </rPr>
      <t>140g</t>
    </r>
  </si>
  <si>
    <t>SY252694</t>
  </si>
  <si>
    <t>65%BCI COTTON35%Recycle POLY</t>
  </si>
  <si>
    <r>
      <rPr>
        <sz val="10"/>
        <color theme="1"/>
        <rFont val="Calibri Light"/>
        <charset val="134"/>
      </rPr>
      <t>2x2</t>
    </r>
    <r>
      <rPr>
        <sz val="10"/>
        <color theme="1"/>
        <rFont val="宋体"/>
        <charset val="134"/>
      </rPr>
      <t>法国细罗纹</t>
    </r>
    <r>
      <rPr>
        <sz val="10"/>
        <color theme="1"/>
        <rFont val="Calibri Light"/>
        <charset val="134"/>
      </rPr>
      <t>260g   9203#</t>
    </r>
  </si>
  <si>
    <t>SY252695</t>
  </si>
  <si>
    <r>
      <rPr>
        <sz val="10"/>
        <color theme="1"/>
        <rFont val="Calibri Light"/>
        <charset val="134"/>
      </rPr>
      <t>9206#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2x2</t>
    </r>
    <r>
      <rPr>
        <sz val="10"/>
        <color theme="1"/>
        <rFont val="宋体"/>
        <charset val="134"/>
      </rPr>
      <t>随心裁</t>
    </r>
    <r>
      <rPr>
        <sz val="10"/>
        <color theme="1"/>
        <rFont val="Calibri Light"/>
        <charset val="134"/>
      </rPr>
      <t>260g</t>
    </r>
  </si>
  <si>
    <t>SY252696</t>
  </si>
  <si>
    <r>
      <rPr>
        <sz val="10"/>
        <color theme="1"/>
        <rFont val="Calibri Light"/>
        <charset val="134"/>
      </rPr>
      <t>92.3%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7.7%</t>
    </r>
    <r>
      <rPr>
        <sz val="10"/>
        <color theme="1"/>
        <rFont val="宋体"/>
        <charset val="134"/>
      </rPr>
      <t>氨纶</t>
    </r>
  </si>
  <si>
    <t>92.3%R7.7%SP</t>
  </si>
  <si>
    <t>莫代尔1x1随心裁260g  9201#</t>
  </si>
  <si>
    <t>SY252697</t>
  </si>
  <si>
    <r>
      <rPr>
        <sz val="10"/>
        <color theme="1"/>
        <rFont val="宋体"/>
        <charset val="134"/>
      </rPr>
      <t>精棉双面拉架</t>
    </r>
    <r>
      <rPr>
        <sz val="10"/>
        <color theme="1"/>
        <rFont val="Calibri Light"/>
        <charset val="134"/>
      </rPr>
      <t>180g   9289#</t>
    </r>
  </si>
  <si>
    <t>SY252698</t>
  </si>
  <si>
    <r>
      <rPr>
        <sz val="10"/>
        <color theme="1"/>
        <rFont val="宋体"/>
        <charset val="134"/>
      </rPr>
      <t>潮牌双面</t>
    </r>
    <r>
      <rPr>
        <sz val="10"/>
        <color theme="1"/>
        <rFont val="Calibri Light"/>
        <charset val="134"/>
      </rPr>
      <t>220g   9086#</t>
    </r>
  </si>
  <si>
    <t>SY252699</t>
  </si>
  <si>
    <r>
      <rPr>
        <sz val="10"/>
        <color theme="1"/>
        <rFont val="宋体"/>
        <charset val="134"/>
      </rPr>
      <t>曼巴棉</t>
    </r>
    <r>
      <rPr>
        <sz val="10"/>
        <color theme="1"/>
        <rFont val="Calibri Light"/>
        <charset val="134"/>
      </rPr>
      <t>180g   9811#</t>
    </r>
  </si>
  <si>
    <t>SY252700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</si>
  <si>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</si>
  <si>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40%BCI COTTON55%Recycle POLY5%SP</t>
  </si>
  <si>
    <r>
      <rPr>
        <sz val="10"/>
        <color theme="1"/>
        <rFont val="Calibri Light"/>
        <charset val="134"/>
      </rPr>
      <t xml:space="preserve">9083#   </t>
    </r>
    <r>
      <rPr>
        <sz val="10"/>
        <color theme="1"/>
        <rFont val="宋体"/>
        <charset val="134"/>
      </rPr>
      <t>特薄华棉卫衣刷毛</t>
    </r>
    <r>
      <rPr>
        <sz val="10"/>
        <color theme="1"/>
        <rFont val="Calibri Light"/>
        <charset val="134"/>
      </rPr>
      <t>140g</t>
    </r>
  </si>
  <si>
    <t>SY252701</t>
  </si>
  <si>
    <t>60%Recycle POLY40%BCI COTTON</t>
  </si>
  <si>
    <r>
      <rPr>
        <sz val="10"/>
        <color theme="1"/>
        <rFont val="Calibri Light"/>
        <charset val="134"/>
      </rPr>
      <t xml:space="preserve">9022#   </t>
    </r>
    <r>
      <rPr>
        <sz val="10"/>
        <color theme="1"/>
        <rFont val="宋体"/>
        <charset val="134"/>
      </rPr>
      <t>超薄华棉卫衣食毛</t>
    </r>
    <r>
      <rPr>
        <sz val="10"/>
        <color theme="1"/>
        <rFont val="Calibri Light"/>
        <charset val="134"/>
      </rPr>
      <t>170g</t>
    </r>
  </si>
  <si>
    <t>SY252702</t>
  </si>
  <si>
    <r>
      <rPr>
        <sz val="10"/>
        <color theme="1"/>
        <rFont val="宋体"/>
        <charset val="134"/>
      </rPr>
      <t>拉菲双面</t>
    </r>
    <r>
      <rPr>
        <sz val="10"/>
        <color theme="1"/>
        <rFont val="Calibri Light"/>
        <charset val="134"/>
      </rPr>
      <t>250g    13001#</t>
    </r>
  </si>
  <si>
    <t>SY252703</t>
  </si>
  <si>
    <r>
      <rPr>
        <sz val="10"/>
        <color theme="1"/>
        <rFont val="宋体"/>
        <charset val="134"/>
      </rPr>
      <t>金品羊绒</t>
    </r>
    <r>
      <rPr>
        <sz val="10"/>
        <color theme="1"/>
        <rFont val="Calibri Light"/>
        <charset val="134"/>
      </rPr>
      <t>260g</t>
    </r>
    <r>
      <rPr>
        <sz val="10"/>
        <color theme="1"/>
        <rFont val="宋体"/>
        <charset val="134"/>
      </rPr>
      <t>（含晴纶）</t>
    </r>
    <r>
      <rPr>
        <sz val="10"/>
        <color theme="1"/>
        <rFont val="Calibri Light"/>
        <charset val="134"/>
      </rPr>
      <t xml:space="preserve">  9223#</t>
    </r>
  </si>
  <si>
    <t>SY252704</t>
  </si>
  <si>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29%</t>
    </r>
    <r>
      <rPr>
        <sz val="10"/>
        <color theme="1"/>
        <rFont val="宋体"/>
        <charset val="134"/>
      </rPr>
      <t>腈纶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</si>
  <si>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38%R28%BCI COTTON29%NYLON5%SP</t>
  </si>
  <si>
    <r>
      <rPr>
        <sz val="10"/>
        <color theme="1"/>
        <rFont val="宋体"/>
        <charset val="134"/>
      </rPr>
      <t>超薄新氧棉食毛</t>
    </r>
    <r>
      <rPr>
        <sz val="10"/>
        <color theme="1"/>
        <rFont val="Calibri Light"/>
        <charset val="134"/>
      </rPr>
      <t>179g   9032</t>
    </r>
  </si>
  <si>
    <t>SY252705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</si>
  <si>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</si>
  <si>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宋体"/>
        <charset val="134"/>
      </rPr>
      <t>加厚珍珠绒</t>
    </r>
    <r>
      <rPr>
        <sz val="10"/>
        <color theme="1"/>
        <rFont val="Calibri Light"/>
        <charset val="134"/>
      </rPr>
      <t xml:space="preserve">  9018#</t>
    </r>
  </si>
  <si>
    <t>SY252706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</si>
  <si>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</si>
  <si>
    <t>1.4m/kg</t>
  </si>
  <si>
    <r>
      <rPr>
        <sz val="10"/>
        <color theme="1"/>
        <rFont val="宋体"/>
        <charset val="134"/>
      </rPr>
      <t>超薄珠地空气层</t>
    </r>
    <r>
      <rPr>
        <sz val="10"/>
        <color theme="1"/>
        <rFont val="Calibri Light"/>
        <charset val="134"/>
      </rPr>
      <t>180g   9038#</t>
    </r>
  </si>
  <si>
    <t>SY252707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</si>
  <si>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</si>
  <si>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50%Recycle POLY45%R5%SP</t>
  </si>
  <si>
    <r>
      <rPr>
        <sz val="10"/>
        <color theme="1"/>
        <rFont val="宋体"/>
        <charset val="134"/>
      </rPr>
      <t>高品质超薄米呢刷毛茸</t>
    </r>
    <r>
      <rPr>
        <sz val="10"/>
        <color theme="1"/>
        <rFont val="Calibri Light"/>
        <charset val="134"/>
      </rPr>
      <t>180g  12009#</t>
    </r>
  </si>
  <si>
    <t>SY252708</t>
  </si>
  <si>
    <t>40%涤纶60%棉</t>
  </si>
  <si>
    <t>40%Recycle POLY60%BCI COTTON</t>
  </si>
  <si>
    <r>
      <rPr>
        <sz val="10"/>
        <color theme="1"/>
        <rFont val="宋体"/>
        <charset val="134"/>
      </rPr>
      <t>乾丰</t>
    </r>
    <r>
      <rPr>
        <sz val="10"/>
        <color theme="1"/>
        <rFont val="Calibri Light"/>
        <charset val="134"/>
      </rPr>
      <t>.</t>
    </r>
    <r>
      <rPr>
        <sz val="10"/>
        <color theme="1"/>
        <rFont val="宋体"/>
        <charset val="134"/>
      </rPr>
      <t>永丰</t>
    </r>
  </si>
  <si>
    <t>米呢刷毛绒 8159A</t>
  </si>
  <si>
    <t>SY252709</t>
  </si>
  <si>
    <t>85%R 15%Recycle POLY</t>
  </si>
  <si>
    <r>
      <rPr>
        <sz val="10"/>
        <color theme="1"/>
        <rFont val="宋体"/>
        <charset val="134"/>
      </rPr>
      <t>永丰</t>
    </r>
    <r>
      <rPr>
        <sz val="10"/>
        <color theme="1"/>
        <rFont val="Calibri Light"/>
        <charset val="134"/>
      </rPr>
      <t>.</t>
    </r>
    <r>
      <rPr>
        <sz val="10"/>
        <color theme="1"/>
        <rFont val="宋体"/>
        <charset val="134"/>
      </rPr>
      <t>乐丰</t>
    </r>
  </si>
  <si>
    <t xml:space="preserve">87011# </t>
  </si>
  <si>
    <t>男士针织布</t>
  </si>
  <si>
    <t>SY252712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</si>
  <si>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兰精天丝7%桑蚕丝30%棉</t>
    </r>
  </si>
  <si>
    <t>63%TEN7%mulberry silk30%cotton</t>
  </si>
  <si>
    <t>锦源</t>
  </si>
  <si>
    <t>87003#</t>
  </si>
  <si>
    <t>SY252713</t>
  </si>
  <si>
    <r>
      <rPr>
        <sz val="10"/>
        <color theme="1"/>
        <rFont val="Calibri Light"/>
        <charset val="134"/>
      </rPr>
      <t>39%</t>
    </r>
    <r>
      <rPr>
        <sz val="10"/>
        <color theme="1"/>
        <rFont val="宋体"/>
        <charset val="134"/>
      </rPr>
      <t>棉34%涤纶12.7%天丝7.5%麻2.6%真丝4.2%氨纶</t>
    </r>
  </si>
  <si>
    <t>39%C34%T12.7%TEN7.5%L2.6%SILK4.2%SP</t>
  </si>
  <si>
    <t>B08046</t>
  </si>
  <si>
    <t>SY252714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</si>
  <si>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棉30%木棉</t>
    </r>
  </si>
  <si>
    <t>70%BCI COTTON 30% Kapok</t>
  </si>
  <si>
    <t>本来</t>
  </si>
  <si>
    <t>B03623</t>
  </si>
  <si>
    <t>SY252715</t>
  </si>
  <si>
    <t>B06012</t>
  </si>
  <si>
    <t>SY252716</t>
  </si>
  <si>
    <t>4.8m/kg</t>
  </si>
  <si>
    <t>B07830</t>
  </si>
  <si>
    <t>SY252717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</si>
  <si>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棉10%绢丝</t>
    </r>
  </si>
  <si>
    <t>90%BCI COTTON 10%Spum silk</t>
  </si>
  <si>
    <t>B07217</t>
  </si>
  <si>
    <t>SY252718</t>
  </si>
  <si>
    <t>B08272</t>
  </si>
  <si>
    <t>SY252719</t>
  </si>
  <si>
    <t>B08273</t>
  </si>
  <si>
    <t>SY252720</t>
  </si>
  <si>
    <r>
      <rPr>
        <sz val="10"/>
        <color theme="1"/>
        <rFont val="Calibri Light"/>
        <charset val="134"/>
      </rPr>
      <t>71%</t>
    </r>
    <r>
      <rPr>
        <sz val="10"/>
        <color theme="1"/>
        <rFont val="宋体"/>
        <charset val="134"/>
      </rPr>
      <t>棉29%涤纶</t>
    </r>
  </si>
  <si>
    <t>71%BCI COTTON 29%POLY</t>
  </si>
  <si>
    <t>B07155</t>
  </si>
  <si>
    <t>SY252721</t>
  </si>
  <si>
    <t>B03019</t>
  </si>
  <si>
    <t>SY252722</t>
  </si>
  <si>
    <t>B07162</t>
  </si>
  <si>
    <t>SY252723</t>
  </si>
  <si>
    <r>
      <rPr>
        <sz val="10"/>
        <color theme="1"/>
        <rFont val="Calibri Light"/>
        <charset val="134"/>
      </rPr>
      <t>91%</t>
    </r>
    <r>
      <rPr>
        <sz val="10"/>
        <color theme="1"/>
        <rFont val="宋体"/>
        <charset val="134"/>
      </rPr>
      <t>棉9%氨纶</t>
    </r>
  </si>
  <si>
    <t>91%BCI COTTON9%SP</t>
  </si>
  <si>
    <t>B08298</t>
  </si>
  <si>
    <t>SY252724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</si>
  <si>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艾草</t>
    </r>
  </si>
  <si>
    <t>70%BCI COTTON30%Artemisia</t>
  </si>
  <si>
    <t>JM2570</t>
  </si>
  <si>
    <t>SY252725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</si>
  <si>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棉46%莫代尔4%桑蚕丝</t>
    </r>
  </si>
  <si>
    <t>50%BCI cotton46%M4%mulberry silk</t>
  </si>
  <si>
    <t>金曼尼</t>
  </si>
  <si>
    <t>JM2440</t>
  </si>
  <si>
    <t>SY252726</t>
  </si>
  <si>
    <t>JM2433</t>
  </si>
  <si>
    <t>SY252727</t>
  </si>
  <si>
    <t>JM2416</t>
  </si>
  <si>
    <t>SY252728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</si>
  <si>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莱赛尔</t>
    </r>
  </si>
  <si>
    <t>50%BCI COTTON50%lyocell</t>
  </si>
  <si>
    <t>290-300</t>
  </si>
  <si>
    <t>JM2013</t>
  </si>
  <si>
    <t>SY252729</t>
  </si>
  <si>
    <t>170-180</t>
  </si>
  <si>
    <r>
      <rPr>
        <sz val="10"/>
        <color theme="1"/>
        <rFont val="Calibri Light"/>
        <charset val="134"/>
      </rPr>
      <t>100D</t>
    </r>
    <r>
      <rPr>
        <sz val="10"/>
        <color theme="1"/>
        <rFont val="宋体"/>
        <charset val="134"/>
      </rPr>
      <t>健康</t>
    </r>
  </si>
  <si>
    <t>SY252730</t>
  </si>
  <si>
    <t>茂源布行</t>
  </si>
  <si>
    <r>
      <rPr>
        <sz val="10"/>
        <color theme="1"/>
        <rFont val="Calibri Light"/>
        <charset val="134"/>
      </rPr>
      <t xml:space="preserve">Y219# </t>
    </r>
    <r>
      <rPr>
        <sz val="10"/>
        <color theme="1"/>
        <rFont val="宋体"/>
        <charset val="134"/>
      </rPr>
      <t>潮牌全面大卫衣</t>
    </r>
  </si>
  <si>
    <t>SY252731</t>
  </si>
  <si>
    <r>
      <rPr>
        <sz val="10"/>
        <color theme="1"/>
        <rFont val="Calibri Light"/>
        <charset val="134"/>
      </rPr>
      <t>1.5m/kg</t>
    </r>
    <r>
      <rPr>
        <sz val="10"/>
        <color theme="1"/>
        <rFont val="宋体"/>
        <charset val="134"/>
      </rPr>
      <t>，特殊色</t>
    </r>
    <r>
      <rPr>
        <sz val="10"/>
        <color theme="1"/>
        <rFont val="Calibri Light"/>
        <charset val="134"/>
      </rPr>
      <t>+3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</si>
  <si>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创盛</t>
    </r>
    <r>
      <rPr>
        <sz val="10"/>
        <color theme="1"/>
        <rFont val="Calibri Light"/>
        <charset val="134"/>
      </rPr>
      <t>A8009#</t>
    </r>
    <r>
      <rPr>
        <sz val="10"/>
        <color theme="1"/>
        <rFont val="宋体"/>
        <charset val="134"/>
      </rPr>
      <t>精棉无尘真卫衣</t>
    </r>
  </si>
  <si>
    <t>SY252732</t>
  </si>
  <si>
    <r>
      <rPr>
        <sz val="10"/>
        <color theme="1"/>
        <rFont val="宋体"/>
        <charset val="134"/>
      </rPr>
      <t>特殊色</t>
    </r>
    <r>
      <rPr>
        <sz val="10"/>
        <color theme="1"/>
        <rFont val="Calibri Light"/>
        <charset val="134"/>
      </rPr>
      <t>+2</t>
    </r>
    <r>
      <rPr>
        <sz val="10"/>
        <color theme="1"/>
        <rFont val="宋体"/>
        <charset val="134"/>
      </rPr>
      <t>元</t>
    </r>
  </si>
  <si>
    <r>
      <rPr>
        <sz val="10"/>
        <color theme="1"/>
        <rFont val="宋体"/>
        <charset val="134"/>
      </rPr>
      <t>创盛</t>
    </r>
    <r>
      <rPr>
        <sz val="10"/>
        <color theme="1"/>
        <rFont val="Calibri Light"/>
        <charset val="134"/>
      </rPr>
      <t>A8009</t>
    </r>
    <r>
      <rPr>
        <sz val="10"/>
        <color theme="1"/>
        <rFont val="Calibri Light"/>
        <charset val="134"/>
      </rPr>
      <t>#</t>
    </r>
    <r>
      <rPr>
        <sz val="10"/>
        <color theme="1"/>
        <rFont val="宋体"/>
        <charset val="134"/>
      </rPr>
      <t>精棉无尘真卫衣</t>
    </r>
  </si>
  <si>
    <t>广州旺佳纺织</t>
  </si>
  <si>
    <t>米米格</t>
  </si>
  <si>
    <t>SY252733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</si>
  <si>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涤纶5%氨纶</t>
    </r>
  </si>
  <si>
    <r>
      <rPr>
        <sz val="10"/>
        <color theme="1"/>
        <rFont val="Calibri Light"/>
        <charset val="134"/>
      </rPr>
      <t>W9917#</t>
    </r>
    <r>
      <rPr>
        <sz val="10"/>
        <color theme="1"/>
        <rFont val="宋体"/>
        <charset val="134"/>
      </rPr>
      <t>猫眼珠地</t>
    </r>
  </si>
  <si>
    <t>SY252734</t>
  </si>
  <si>
    <t>经编树皮纹</t>
  </si>
  <si>
    <t>SY252735</t>
  </si>
  <si>
    <t>经编木棉绒</t>
  </si>
  <si>
    <t>SY252736</t>
  </si>
  <si>
    <t>经编欧棉绒</t>
  </si>
  <si>
    <t>SY252737</t>
  </si>
  <si>
    <t>星空格</t>
  </si>
  <si>
    <t>SY252738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</si>
  <si>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酷丝绵5%氨纶</t>
    </r>
  </si>
  <si>
    <t>花千骨</t>
  </si>
  <si>
    <t>SY252739</t>
  </si>
  <si>
    <t>经编华夫格</t>
  </si>
  <si>
    <t>SY252740</t>
  </si>
  <si>
    <t>美人条</t>
  </si>
  <si>
    <t>SY252741</t>
  </si>
  <si>
    <t>经编水波纹</t>
  </si>
  <si>
    <t>SY252742</t>
  </si>
  <si>
    <t>经编玉米粒</t>
  </si>
  <si>
    <t>SY252743</t>
  </si>
  <si>
    <t>经编11条斜纹</t>
  </si>
  <si>
    <t>SY252744</t>
  </si>
  <si>
    <t>百百皱</t>
  </si>
  <si>
    <t>SY252745</t>
  </si>
  <si>
    <t>熊猫条</t>
  </si>
  <si>
    <t>SY252746</t>
  </si>
  <si>
    <t>经编烂花21条</t>
  </si>
  <si>
    <t>SY252747</t>
  </si>
  <si>
    <t>经编21条</t>
  </si>
  <si>
    <t>SY252748</t>
  </si>
  <si>
    <t>经编小方格</t>
  </si>
  <si>
    <t>SY252749</t>
  </si>
  <si>
    <t>6693# 冰酷丝绵</t>
  </si>
  <si>
    <t>SY252750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</si>
  <si>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棉4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涤纶4%氨纶</t>
    </r>
  </si>
  <si>
    <t>50%BCI COTTON46%POLY4%SP</t>
  </si>
  <si>
    <t>缤纷兴发</t>
  </si>
  <si>
    <r>
      <rPr>
        <sz val="10"/>
        <color theme="1"/>
        <rFont val="Calibri Light"/>
        <charset val="134"/>
      </rPr>
      <t>3647#</t>
    </r>
    <r>
      <rPr>
        <sz val="10"/>
        <color theme="1"/>
        <rFont val="宋体"/>
        <charset val="134"/>
      </rPr>
      <t>丝光六角珠</t>
    </r>
  </si>
  <si>
    <t>SY252751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</si>
  <si>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棉44%涤纶</t>
    </r>
  </si>
  <si>
    <t>56%BCI COTTON44%POLY</t>
  </si>
  <si>
    <r>
      <rPr>
        <sz val="10"/>
        <color theme="1"/>
        <rFont val="Calibri Light"/>
        <charset val="134"/>
      </rPr>
      <t>8122#</t>
    </r>
    <r>
      <rPr>
        <sz val="10"/>
        <color theme="1"/>
        <rFont val="宋体"/>
        <charset val="134"/>
      </rPr>
      <t>亚古力</t>
    </r>
  </si>
  <si>
    <t>SY252752</t>
  </si>
  <si>
    <r>
      <rPr>
        <sz val="10"/>
        <color theme="1"/>
        <rFont val="Calibri Light"/>
        <charset val="134"/>
      </rPr>
      <t>73.5%</t>
    </r>
    <r>
      <rPr>
        <sz val="10"/>
        <color theme="1"/>
        <rFont val="宋体"/>
        <charset val="134"/>
      </rPr>
      <t>棉18.3%涤纶8.2%氨纶</t>
    </r>
  </si>
  <si>
    <t>73.5%BCI COTTON18.3%POLY8.2%SP</t>
  </si>
  <si>
    <r>
      <rPr>
        <sz val="10"/>
        <color theme="1"/>
        <rFont val="Calibri Light"/>
        <charset val="134"/>
      </rPr>
      <t>8007#</t>
    </r>
    <r>
      <rPr>
        <sz val="10"/>
        <color theme="1"/>
        <rFont val="宋体"/>
        <charset val="134"/>
      </rPr>
      <t>莱赛尔桑蚕丝珠地</t>
    </r>
  </si>
  <si>
    <t>SY252753</t>
  </si>
  <si>
    <r>
      <rPr>
        <sz val="10"/>
        <color theme="1"/>
        <rFont val="Calibri Light"/>
        <charset val="134"/>
      </rPr>
      <t>21.7%</t>
    </r>
    <r>
      <rPr>
        <sz val="10"/>
        <color theme="1"/>
        <rFont val="宋体"/>
        <charset val="134"/>
      </rPr>
      <t>棉26.1%莱赛尔49.2%涤纶3%桑蚕丝</t>
    </r>
  </si>
  <si>
    <t>21.7%C26.1%LYOCELL49.2%POLY3%mulberry silk</t>
  </si>
  <si>
    <r>
      <rPr>
        <sz val="10"/>
        <color theme="1"/>
        <rFont val="Calibri Light"/>
        <charset val="134"/>
      </rPr>
      <t>8045#</t>
    </r>
    <r>
      <rPr>
        <sz val="10"/>
        <color theme="1"/>
        <rFont val="宋体"/>
        <charset val="134"/>
      </rPr>
      <t>纯棉珠地拉架</t>
    </r>
  </si>
  <si>
    <t>SY252754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</si>
  <si>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棉4%氨纶</t>
    </r>
  </si>
  <si>
    <t>96%BCI cotton4%SP</t>
  </si>
  <si>
    <r>
      <rPr>
        <sz val="10"/>
        <color theme="1"/>
        <rFont val="Calibri Light"/>
        <charset val="134"/>
      </rPr>
      <t>3489#</t>
    </r>
    <r>
      <rPr>
        <sz val="10"/>
        <color theme="1"/>
        <rFont val="宋体"/>
        <charset val="134"/>
      </rPr>
      <t>丝光冰爽棉珠地</t>
    </r>
  </si>
  <si>
    <t>SY252755</t>
  </si>
  <si>
    <t>7768#</t>
  </si>
  <si>
    <t>SY252756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</si>
  <si>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棉34%涤纶</t>
    </r>
  </si>
  <si>
    <t>66%BCI COTTON34%POLY</t>
  </si>
  <si>
    <t>兴发布业</t>
  </si>
  <si>
    <r>
      <rPr>
        <sz val="10"/>
        <color theme="1"/>
        <rFont val="Calibri Light"/>
        <charset val="134"/>
      </rPr>
      <t>3083#</t>
    </r>
    <r>
      <rPr>
        <sz val="10"/>
        <color theme="1"/>
        <rFont val="宋体"/>
        <charset val="134"/>
      </rPr>
      <t>棉涤仿丝光珠地</t>
    </r>
  </si>
  <si>
    <t>SY252757</t>
  </si>
  <si>
    <t>AA336-8046  4*2</t>
  </si>
  <si>
    <t>SY252758</t>
  </si>
  <si>
    <t>百顺纺织</t>
  </si>
  <si>
    <t>F1842#</t>
  </si>
  <si>
    <t>SY252759</t>
  </si>
  <si>
    <t>金科富</t>
  </si>
  <si>
    <r>
      <rPr>
        <sz val="10"/>
        <color theme="1"/>
        <rFont val="Calibri Light"/>
        <charset val="134"/>
      </rPr>
      <t>9147#32</t>
    </r>
    <r>
      <rPr>
        <sz val="10"/>
        <color theme="1"/>
        <rFont val="宋体"/>
        <charset val="134"/>
      </rPr>
      <t>精品棉盖丝斜纹卫衣</t>
    </r>
  </si>
  <si>
    <t>SY252760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</si>
  <si>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棉25%涤纶5%氨纶</t>
    </r>
  </si>
  <si>
    <t>70%BCI COTTON 25%POLY5%SP</t>
  </si>
  <si>
    <t>群盛布行</t>
  </si>
  <si>
    <t>精棉1*1罗纹拉架</t>
  </si>
  <si>
    <t>SY252761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</si>
  <si>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棉8%氨纶</t>
    </r>
  </si>
  <si>
    <t>92%COTTON8%SP</t>
  </si>
  <si>
    <t>新添吉纺织</t>
  </si>
  <si>
    <t>SY252762</t>
  </si>
  <si>
    <r>
      <rPr>
        <sz val="10"/>
        <color theme="1"/>
        <rFont val="Calibri Light"/>
        <charset val="134"/>
      </rPr>
      <t>82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仿棉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</si>
  <si>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恒源布业</t>
  </si>
  <si>
    <t>6617#</t>
  </si>
  <si>
    <t>SY252763</t>
  </si>
  <si>
    <r>
      <rPr>
        <sz val="10"/>
        <color theme="1"/>
        <rFont val="Calibri Light"/>
        <charset val="134"/>
      </rPr>
      <t>86%</t>
    </r>
    <r>
      <rPr>
        <sz val="10"/>
        <color theme="1"/>
        <rFont val="宋体"/>
        <charset val="134"/>
      </rPr>
      <t>涤14%人棉</t>
    </r>
  </si>
  <si>
    <t>86%POLY14%Rayon</t>
  </si>
  <si>
    <t>万彩纺织</t>
  </si>
  <si>
    <r>
      <rPr>
        <sz val="10"/>
        <color theme="1"/>
        <rFont val="Calibri Light"/>
        <charset val="134"/>
      </rPr>
      <t xml:space="preserve">1631# </t>
    </r>
    <r>
      <rPr>
        <sz val="10"/>
        <color theme="1"/>
        <rFont val="宋体"/>
        <charset val="134"/>
      </rPr>
      <t>羊驼绒</t>
    </r>
  </si>
  <si>
    <t>SY252764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</si>
  <si>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涤纶15%仿羊毛5%氨纶</t>
    </r>
  </si>
  <si>
    <t>80%POLY15%imitation wool</t>
  </si>
  <si>
    <t>金隆兴</t>
  </si>
  <si>
    <r>
      <rPr>
        <sz val="10"/>
        <color theme="1"/>
        <rFont val="Calibri Light"/>
        <charset val="134"/>
      </rPr>
      <t>1996#</t>
    </r>
    <r>
      <rPr>
        <sz val="10"/>
        <color theme="1"/>
        <rFont val="宋体"/>
        <charset val="134"/>
      </rPr>
      <t>仿华棉卫衣</t>
    </r>
  </si>
  <si>
    <t>SY252765</t>
  </si>
  <si>
    <t>宇皓纺织</t>
  </si>
  <si>
    <r>
      <rPr>
        <sz val="10"/>
        <color theme="1"/>
        <rFont val="Calibri Light"/>
        <charset val="134"/>
      </rPr>
      <t xml:space="preserve">S25035# </t>
    </r>
    <r>
      <rPr>
        <sz val="10"/>
        <color theme="1"/>
        <rFont val="宋体"/>
        <charset val="134"/>
      </rPr>
      <t>双面木浆棉</t>
    </r>
  </si>
  <si>
    <t>SY252766</t>
  </si>
  <si>
    <r>
      <rPr>
        <sz val="10"/>
        <color theme="1"/>
        <rFont val="Calibri Light"/>
        <charset val="134"/>
      </rPr>
      <t>44%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44%</t>
    </r>
    <r>
      <rPr>
        <sz val="10"/>
        <color theme="1"/>
        <rFont val="宋体"/>
        <charset val="134"/>
      </rPr>
      <t>木浆纤维12%氨纶</t>
    </r>
  </si>
  <si>
    <t>44%COTTON 44%wood pulp cellulose12%SP</t>
  </si>
  <si>
    <t>尚丰纺织</t>
  </si>
  <si>
    <r>
      <rPr>
        <sz val="10"/>
        <color theme="1"/>
        <rFont val="Calibri Light"/>
        <charset val="134"/>
      </rPr>
      <t>38099#</t>
    </r>
    <r>
      <rPr>
        <sz val="10"/>
        <color theme="1"/>
        <rFont val="宋体"/>
        <charset val="134"/>
      </rPr>
      <t>碧雅羊绒</t>
    </r>
  </si>
  <si>
    <t>SY252767</t>
  </si>
  <si>
    <t>轻禾纺织</t>
  </si>
  <si>
    <t xml:space="preserve">4550/C778138 </t>
  </si>
  <si>
    <t>SY252768</t>
  </si>
  <si>
    <r>
      <rPr>
        <sz val="10"/>
        <color theme="1"/>
        <rFont val="Calibri Light"/>
        <charset val="134"/>
      </rPr>
      <t>37%</t>
    </r>
    <r>
      <rPr>
        <sz val="10"/>
        <color theme="1"/>
        <rFont val="宋体"/>
        <charset val="134"/>
      </rPr>
      <t>再生纤维30%腈纶28%棉5%氨纶</t>
    </r>
  </si>
  <si>
    <t>37%Cellulose fiber30%A28%C5%SP</t>
  </si>
  <si>
    <t>彬利（瑞鑫）纺织</t>
  </si>
  <si>
    <r>
      <rPr>
        <sz val="10"/>
        <color theme="1"/>
        <rFont val="Calibri Light"/>
        <charset val="134"/>
      </rPr>
      <t xml:space="preserve">9935 </t>
    </r>
    <r>
      <rPr>
        <sz val="10"/>
        <color theme="1"/>
        <rFont val="宋体"/>
        <charset val="134"/>
      </rPr>
      <t>云感轻绒</t>
    </r>
  </si>
  <si>
    <t>SY252769</t>
  </si>
  <si>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腈纶36%再生纤维27%棉5%氨纶</t>
    </r>
  </si>
  <si>
    <t>36%Cellulose fiber32%A27%C5%SP</t>
  </si>
  <si>
    <t>合旺纺织</t>
  </si>
  <si>
    <r>
      <rPr>
        <sz val="10"/>
        <color theme="1"/>
        <rFont val="Calibri Light"/>
        <charset val="134"/>
      </rPr>
      <t xml:space="preserve">ZH6711 </t>
    </r>
    <r>
      <rPr>
        <sz val="10"/>
        <color theme="1"/>
        <rFont val="宋体"/>
        <charset val="134"/>
      </rPr>
      <t>加厚天竹纤维</t>
    </r>
  </si>
  <si>
    <t>SY252770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</si>
  <si>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竹纤维8%氨纶</t>
    </r>
  </si>
  <si>
    <t>92%bamboo fiber8%SP</t>
  </si>
  <si>
    <t>中汇针织</t>
  </si>
  <si>
    <r>
      <rPr>
        <sz val="10"/>
        <color theme="1"/>
        <rFont val="Calibri Light"/>
        <charset val="134"/>
      </rPr>
      <t xml:space="preserve">ZH7810 </t>
    </r>
    <r>
      <rPr>
        <sz val="10"/>
        <color theme="1"/>
        <rFont val="宋体"/>
        <charset val="134"/>
      </rPr>
      <t>优可丝</t>
    </r>
  </si>
  <si>
    <t>SY252771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</si>
  <si>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再生纤维素纤维5%氨纶</t>
    </r>
  </si>
  <si>
    <t>95%Cellulose fiber5%SP</t>
  </si>
  <si>
    <r>
      <rPr>
        <sz val="10"/>
        <color theme="1"/>
        <rFont val="Calibri Light"/>
        <charset val="134"/>
      </rPr>
      <t>ZH6702 50S</t>
    </r>
    <r>
      <rPr>
        <sz val="10"/>
        <color theme="1"/>
        <rFont val="宋体"/>
        <charset val="134"/>
      </rPr>
      <t>兰精莫代尔拉架</t>
    </r>
  </si>
  <si>
    <t>SY252772</t>
  </si>
  <si>
    <r>
      <rPr>
        <sz val="10"/>
        <color theme="1"/>
        <rFont val="Calibri Light"/>
        <charset val="134"/>
      </rPr>
      <t>91%</t>
    </r>
    <r>
      <rPr>
        <sz val="10"/>
        <color theme="1"/>
        <rFont val="宋体"/>
        <charset val="134"/>
      </rPr>
      <t>莫代尔9%氨纶</t>
    </r>
  </si>
  <si>
    <t>91%Modal9%SP</t>
  </si>
  <si>
    <r>
      <rPr>
        <sz val="10"/>
        <color theme="1"/>
        <rFont val="Calibri Light"/>
        <charset val="134"/>
      </rPr>
      <t xml:space="preserve">ZH5790 </t>
    </r>
    <r>
      <rPr>
        <sz val="10"/>
        <color theme="1"/>
        <rFont val="宋体"/>
        <charset val="134"/>
      </rPr>
      <t>冰爽天丝棉</t>
    </r>
  </si>
  <si>
    <t>SY252773</t>
  </si>
  <si>
    <r>
      <rPr>
        <sz val="10"/>
        <color theme="1"/>
        <rFont val="Calibri Light"/>
        <charset val="134"/>
      </rPr>
      <t>42.3%</t>
    </r>
    <r>
      <rPr>
        <sz val="10"/>
        <color theme="1"/>
        <rFont val="宋体"/>
        <charset val="134"/>
      </rPr>
      <t>棉50.2%木代尔7.5%氨纶</t>
    </r>
  </si>
  <si>
    <t>42.3%BCI cotton 50.2%M7.5%SP</t>
  </si>
  <si>
    <r>
      <rPr>
        <sz val="10"/>
        <color theme="1"/>
        <rFont val="Calibri Light"/>
        <charset val="134"/>
      </rPr>
      <t xml:space="preserve">4070# </t>
    </r>
    <r>
      <rPr>
        <sz val="10"/>
        <color theme="1"/>
        <rFont val="宋体"/>
        <charset val="134"/>
      </rPr>
      <t>晴棉罗纹</t>
    </r>
  </si>
  <si>
    <t>SY252774</t>
  </si>
  <si>
    <t>XL</t>
  </si>
  <si>
    <r>
      <rPr>
        <sz val="10"/>
        <color theme="1"/>
        <rFont val="Calibri Light"/>
        <charset val="134"/>
      </rPr>
      <t>20182#</t>
    </r>
    <r>
      <rPr>
        <sz val="10"/>
        <color theme="1"/>
        <rFont val="宋体"/>
        <charset val="134"/>
      </rPr>
      <t>元气棉随心裁</t>
    </r>
  </si>
  <si>
    <t>SY252775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</si>
  <si>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人棉5%氨纶</t>
    </r>
  </si>
  <si>
    <t>95%Rayon5%SP</t>
  </si>
  <si>
    <r>
      <rPr>
        <sz val="10"/>
        <color theme="1"/>
        <rFont val="Calibri Light"/>
        <charset val="134"/>
      </rPr>
      <t xml:space="preserve">2221# </t>
    </r>
    <r>
      <rPr>
        <sz val="10"/>
        <color theme="1"/>
        <rFont val="宋体"/>
        <charset val="134"/>
      </rPr>
      <t>华棉卫衣食毛</t>
    </r>
  </si>
  <si>
    <t>SY252776</t>
  </si>
  <si>
    <t>源标纺织</t>
  </si>
  <si>
    <r>
      <rPr>
        <sz val="10"/>
        <color theme="1"/>
        <rFont val="Calibri Light"/>
        <charset val="134"/>
      </rPr>
      <t>362</t>
    </r>
    <r>
      <rPr>
        <sz val="10"/>
        <color theme="1"/>
        <rFont val="宋体"/>
        <charset val="134"/>
      </rPr>
      <t>华棉卫衣</t>
    </r>
  </si>
  <si>
    <t>SY252777</t>
  </si>
  <si>
    <t>新嘉彩纺织</t>
  </si>
  <si>
    <r>
      <rPr>
        <sz val="10"/>
        <color theme="1"/>
        <rFont val="Calibri Light"/>
        <charset val="134"/>
      </rPr>
      <t xml:space="preserve">LF0359CM </t>
    </r>
    <r>
      <rPr>
        <sz val="10"/>
        <color theme="1"/>
        <rFont val="宋体"/>
        <charset val="134"/>
      </rPr>
      <t>法国羊绒磨毛</t>
    </r>
  </si>
  <si>
    <t>SY252778</t>
  </si>
  <si>
    <r>
      <rPr>
        <sz val="10"/>
        <color theme="1"/>
        <rFont val="Calibri Light"/>
        <charset val="134"/>
      </rPr>
      <t xml:space="preserve">C1011# </t>
    </r>
    <r>
      <rPr>
        <sz val="10"/>
        <color theme="1"/>
        <rFont val="宋体"/>
        <charset val="134"/>
      </rPr>
      <t>花纱羊绒磨毛</t>
    </r>
  </si>
  <si>
    <t>SY252779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</si>
  <si>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涤纶15%人棉4%氨纶</t>
    </r>
  </si>
  <si>
    <t>81%POLY15%Rayon4%SP</t>
  </si>
  <si>
    <t>顺锦纺织</t>
  </si>
  <si>
    <r>
      <rPr>
        <sz val="10"/>
        <color theme="1"/>
        <rFont val="Calibri Light"/>
        <charset val="134"/>
      </rPr>
      <t>YM8101</t>
    </r>
    <r>
      <rPr>
        <sz val="10"/>
        <color theme="1"/>
        <rFont val="宋体"/>
        <charset val="134"/>
      </rPr>
      <t>双面绵羊绒</t>
    </r>
  </si>
  <si>
    <t>SY252780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</si>
  <si>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人棉6</t>
    </r>
    <r>
      <rPr>
        <sz val="10"/>
        <color theme="1"/>
        <rFont val="Calibri Light"/>
        <charset val="134"/>
      </rPr>
      <t>%</t>
    </r>
    <r>
      <rPr>
        <sz val="10"/>
        <color theme="1"/>
        <rFont val="宋体"/>
        <charset val="134"/>
      </rPr>
      <t>氨纶</t>
    </r>
  </si>
  <si>
    <t>81%POLY13%Rayon6%SP</t>
  </si>
  <si>
    <t>粤美纺织</t>
  </si>
  <si>
    <r>
      <rPr>
        <sz val="10"/>
        <color theme="1"/>
        <rFont val="Calibri Light"/>
        <charset val="134"/>
      </rPr>
      <t xml:space="preserve">JM7079# </t>
    </r>
    <r>
      <rPr>
        <sz val="10"/>
        <color theme="1"/>
        <rFont val="宋体"/>
        <charset val="134"/>
      </rPr>
      <t>莫代尔长绒双面7</t>
    </r>
    <r>
      <rPr>
        <sz val="10"/>
        <color theme="1"/>
        <rFont val="Calibri Light"/>
        <charset val="134"/>
      </rPr>
      <t>A</t>
    </r>
    <r>
      <rPr>
        <sz val="10"/>
        <color theme="1"/>
        <rFont val="宋体"/>
        <charset val="134"/>
      </rPr>
      <t>抗菌版</t>
    </r>
  </si>
  <si>
    <t>SY252781</t>
  </si>
  <si>
    <r>
      <rPr>
        <sz val="10"/>
        <color theme="1"/>
        <rFont val="Calibri Light"/>
        <charset val="134"/>
      </rPr>
      <t>46.5%</t>
    </r>
    <r>
      <rPr>
        <sz val="10"/>
        <color theme="1"/>
        <rFont val="宋体"/>
        <charset val="134"/>
      </rPr>
      <t>棉46.5%莫代尔7%氨纶</t>
    </r>
  </si>
  <si>
    <t>46.5%BCI COTTON 46.5%M7%SP</t>
  </si>
  <si>
    <t>空间纺织</t>
  </si>
  <si>
    <t>1099#</t>
  </si>
  <si>
    <t>SY252782</t>
  </si>
  <si>
    <t>广坤纺织</t>
  </si>
  <si>
    <r>
      <rPr>
        <sz val="10"/>
        <color theme="1"/>
        <rFont val="Calibri Light"/>
        <charset val="134"/>
      </rPr>
      <t xml:space="preserve">A723015 </t>
    </r>
    <r>
      <rPr>
        <sz val="10"/>
        <color theme="1"/>
        <rFont val="宋体"/>
        <charset val="134"/>
      </rPr>
      <t>抓毛</t>
    </r>
  </si>
  <si>
    <t>SY252783</t>
  </si>
  <si>
    <t>好晨</t>
  </si>
  <si>
    <r>
      <rPr>
        <sz val="10"/>
        <color theme="1"/>
        <rFont val="Calibri Light"/>
        <charset val="134"/>
      </rPr>
      <t>150D</t>
    </r>
    <r>
      <rPr>
        <sz val="10"/>
        <color theme="1"/>
        <rFont val="宋体"/>
        <charset val="134"/>
      </rPr>
      <t>健康布</t>
    </r>
  </si>
  <si>
    <t>SY252784</t>
  </si>
  <si>
    <t>康程网布行</t>
  </si>
  <si>
    <t>YF23699#</t>
  </si>
  <si>
    <t>SY252785</t>
  </si>
  <si>
    <t>源丰纺织</t>
  </si>
  <si>
    <t>K772218</t>
  </si>
  <si>
    <t>SY252786</t>
  </si>
  <si>
    <t>16130#</t>
  </si>
  <si>
    <t>SY252787</t>
  </si>
  <si>
    <t>金布银座</t>
  </si>
  <si>
    <t>121023#</t>
  </si>
  <si>
    <t>SY252788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</si>
  <si>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涤纶25%人棉3%氨纶</t>
    </r>
  </si>
  <si>
    <t>72%POLY25%Rayon3%SP</t>
  </si>
  <si>
    <t>嘉丽时尚</t>
  </si>
  <si>
    <r>
      <rPr>
        <sz val="10"/>
        <color theme="1"/>
        <rFont val="宋体"/>
        <charset val="134"/>
      </rPr>
      <t>替代</t>
    </r>
    <r>
      <rPr>
        <sz val="10"/>
        <color theme="1"/>
        <rFont val="Calibri Light"/>
        <charset val="134"/>
      </rPr>
      <t>SY25419</t>
    </r>
  </si>
  <si>
    <t>SY252789</t>
  </si>
  <si>
    <t>乐丽丝双层</t>
  </si>
  <si>
    <t>华越纺织</t>
  </si>
  <si>
    <r>
      <rPr>
        <sz val="10"/>
        <color theme="1"/>
        <rFont val="宋体"/>
        <charset val="134"/>
      </rPr>
      <t>汇恩报价</t>
    </r>
    <r>
      <rPr>
        <sz val="10"/>
        <color theme="1"/>
        <rFont val="Calibri Light"/>
        <charset val="134"/>
      </rPr>
      <t>11.2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</t>
    </r>
    <r>
      <rPr>
        <sz val="10"/>
        <color theme="1"/>
        <rFont val="宋体"/>
        <charset val="134"/>
      </rPr>
      <t>米</t>
    </r>
  </si>
  <si>
    <r>
      <rPr>
        <sz val="10"/>
        <color theme="1"/>
        <rFont val="Calibri Light"/>
        <charset val="134"/>
      </rPr>
      <t>18122#</t>
    </r>
    <r>
      <rPr>
        <sz val="10"/>
        <color theme="1"/>
        <rFont val="宋体"/>
        <charset val="134"/>
      </rPr>
      <t>纯棉华棉卫衣食毛</t>
    </r>
    <r>
      <rPr>
        <sz val="10"/>
        <color theme="1"/>
        <rFont val="Calibri Light"/>
        <charset val="134"/>
      </rPr>
      <t>170g</t>
    </r>
  </si>
  <si>
    <t>SY252790</t>
  </si>
  <si>
    <r>
      <rPr>
        <sz val="10"/>
        <color theme="1"/>
        <rFont val="Calibri Light"/>
        <charset val="134"/>
      </rPr>
      <t>18008#21S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2x2</t>
    </r>
    <r>
      <rPr>
        <sz val="10"/>
        <color theme="1"/>
        <rFont val="宋体"/>
        <charset val="134"/>
      </rPr>
      <t>拉架罗纹</t>
    </r>
  </si>
  <si>
    <t>SY252791</t>
  </si>
  <si>
    <r>
      <rPr>
        <sz val="10"/>
        <color theme="1"/>
        <rFont val="Calibri Light"/>
        <charset val="134"/>
      </rPr>
      <t>9208#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2x2</t>
    </r>
    <r>
      <rPr>
        <sz val="10"/>
        <color theme="1"/>
        <rFont val="宋体"/>
        <charset val="134"/>
      </rPr>
      <t>随心裁</t>
    </r>
    <r>
      <rPr>
        <sz val="10"/>
        <color theme="1"/>
        <rFont val="Calibri Light"/>
        <charset val="134"/>
      </rPr>
      <t>260g</t>
    </r>
  </si>
  <si>
    <t>SY252792</t>
  </si>
  <si>
    <t>SY252793</t>
  </si>
  <si>
    <t>60%POLY40%BCI COTTON</t>
  </si>
  <si>
    <r>
      <rPr>
        <sz val="10"/>
        <color theme="1"/>
        <rFont val="Calibri Light"/>
        <charset val="134"/>
      </rPr>
      <t xml:space="preserve">9082#   </t>
    </r>
    <r>
      <rPr>
        <sz val="10"/>
        <color theme="1"/>
        <rFont val="宋体"/>
        <charset val="134"/>
      </rPr>
      <t>特薄华棉卫衣食毛</t>
    </r>
    <r>
      <rPr>
        <sz val="10"/>
        <color theme="1"/>
        <rFont val="Calibri Light"/>
        <charset val="134"/>
      </rPr>
      <t>140g</t>
    </r>
  </si>
  <si>
    <t>SY252794</t>
  </si>
  <si>
    <r>
      <rPr>
        <sz val="10"/>
        <color theme="1"/>
        <rFont val="宋体"/>
        <charset val="134"/>
      </rPr>
      <t>超薄新氧棉食毛</t>
    </r>
    <r>
      <rPr>
        <sz val="10"/>
        <color theme="1"/>
        <rFont val="Calibri Light"/>
        <charset val="134"/>
      </rPr>
      <t>170g   9033</t>
    </r>
  </si>
  <si>
    <t>SY252795</t>
  </si>
  <si>
    <t>GFG0582</t>
  </si>
  <si>
    <r>
      <rPr>
        <sz val="10"/>
        <color theme="1"/>
        <rFont val="Calibri Light"/>
        <charset val="134"/>
      </rPr>
      <t xml:space="preserve">2475 </t>
    </r>
    <r>
      <rPr>
        <sz val="10"/>
        <color theme="1"/>
        <rFont val="宋体"/>
        <charset val="134"/>
      </rPr>
      <t>薄荷棉</t>
    </r>
  </si>
  <si>
    <t>SY252796</t>
  </si>
  <si>
    <t>70%聚酯纤维30%粘胶</t>
  </si>
  <si>
    <t>70%POLY 30%V</t>
  </si>
  <si>
    <t>7.1m/kg</t>
  </si>
  <si>
    <t>恒泰纺织</t>
  </si>
  <si>
    <r>
      <rPr>
        <sz val="10"/>
        <color theme="1"/>
        <rFont val="Calibri Light"/>
        <charset val="134"/>
      </rPr>
      <t xml:space="preserve">H670  </t>
    </r>
    <r>
      <rPr>
        <sz val="10"/>
        <color theme="1"/>
        <rFont val="宋体"/>
        <charset val="134"/>
      </rPr>
      <t>超薄羊绒</t>
    </r>
  </si>
  <si>
    <t>SY252797</t>
  </si>
  <si>
    <t>6.7m/kg</t>
  </si>
  <si>
    <r>
      <rPr>
        <sz val="10"/>
        <color theme="1"/>
        <rFont val="Calibri Light"/>
        <charset val="134"/>
      </rPr>
      <t xml:space="preserve">H671  </t>
    </r>
    <r>
      <rPr>
        <sz val="10"/>
        <color theme="1"/>
        <rFont val="宋体"/>
        <charset val="134"/>
      </rPr>
      <t>超薄羊绒</t>
    </r>
  </si>
  <si>
    <t>SY252798</t>
  </si>
  <si>
    <t>4.4m/kg</t>
  </si>
  <si>
    <t>GFG0583</t>
  </si>
  <si>
    <r>
      <rPr>
        <sz val="10"/>
        <color theme="1"/>
        <rFont val="Calibri Light"/>
        <charset val="134"/>
      </rPr>
      <t xml:space="preserve">190g  </t>
    </r>
    <r>
      <rPr>
        <sz val="10"/>
        <color theme="1"/>
        <rFont val="宋体"/>
        <charset val="134"/>
      </rPr>
      <t>捻丝乱麻</t>
    </r>
  </si>
  <si>
    <t>SY252799</t>
  </si>
  <si>
    <t>鑫亲源纺织</t>
  </si>
  <si>
    <r>
      <rPr>
        <sz val="10"/>
        <color theme="1"/>
        <rFont val="Calibri Light"/>
        <charset val="134"/>
      </rPr>
      <t>250g</t>
    </r>
    <r>
      <rPr>
        <sz val="10"/>
        <color theme="1"/>
        <rFont val="宋体"/>
        <charset val="134"/>
      </rPr>
      <t>真捻丝乱麻</t>
    </r>
  </si>
  <si>
    <t>SY252800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</si>
  <si>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捻丝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低弹丝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</si>
  <si>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280g</t>
    </r>
    <r>
      <rPr>
        <sz val="10"/>
        <color theme="1"/>
        <rFont val="宋体"/>
        <charset val="134"/>
      </rPr>
      <t>捻丝乱麻</t>
    </r>
  </si>
  <si>
    <t>SY252801</t>
  </si>
  <si>
    <r>
      <rPr>
        <sz val="10"/>
        <color theme="1"/>
        <rFont val="Calibri Light"/>
        <charset val="134"/>
      </rPr>
      <t>300g</t>
    </r>
    <r>
      <rPr>
        <sz val="10"/>
        <color theme="1"/>
        <rFont val="宋体"/>
        <charset val="134"/>
      </rPr>
      <t>捻丝乱麻</t>
    </r>
  </si>
  <si>
    <t>SY252802</t>
  </si>
  <si>
    <r>
      <rPr>
        <sz val="10"/>
        <color theme="1"/>
        <rFont val="Calibri Light"/>
        <charset val="134"/>
      </rPr>
      <t>200G</t>
    </r>
    <r>
      <rPr>
        <sz val="10"/>
        <color theme="1"/>
        <rFont val="宋体"/>
        <charset val="134"/>
      </rPr>
      <t>新捻丝乱麻</t>
    </r>
  </si>
  <si>
    <t>SY252803</t>
  </si>
  <si>
    <r>
      <rPr>
        <sz val="10"/>
        <color theme="1"/>
        <rFont val="Calibri Light"/>
        <charset val="134"/>
      </rPr>
      <t>230g</t>
    </r>
    <r>
      <rPr>
        <sz val="10"/>
        <color theme="1"/>
        <rFont val="宋体"/>
        <charset val="134"/>
      </rPr>
      <t>捻丝乱麻</t>
    </r>
  </si>
  <si>
    <t>SY252804</t>
  </si>
  <si>
    <t>GFG0584</t>
  </si>
  <si>
    <r>
      <rPr>
        <sz val="10"/>
        <color theme="1"/>
        <rFont val="Calibri Light"/>
        <charset val="134"/>
      </rPr>
      <t>3837#</t>
    </r>
    <r>
      <rPr>
        <sz val="10"/>
        <color theme="1"/>
        <rFont val="宋体"/>
        <charset val="134"/>
      </rPr>
      <t>南韩麻</t>
    </r>
  </si>
  <si>
    <t>SY252805</t>
  </si>
  <si>
    <t>三和纺织</t>
  </si>
  <si>
    <r>
      <rPr>
        <sz val="10"/>
        <color theme="1"/>
        <rFont val="Calibri Light"/>
        <charset val="134"/>
      </rPr>
      <t xml:space="preserve">2016 </t>
    </r>
    <r>
      <rPr>
        <sz val="10"/>
        <color theme="1"/>
        <rFont val="宋体"/>
        <charset val="134"/>
      </rPr>
      <t>南韩麻</t>
    </r>
  </si>
  <si>
    <t>SY252806</t>
  </si>
  <si>
    <r>
      <rPr>
        <sz val="10"/>
        <color theme="1"/>
        <rFont val="宋体"/>
        <charset val="134"/>
      </rPr>
      <t>新秀</t>
    </r>
    <r>
      <rPr>
        <sz val="10"/>
        <color theme="1"/>
        <rFont val="Calibri Light"/>
        <charset val="134"/>
      </rPr>
      <t>.</t>
    </r>
    <r>
      <rPr>
        <sz val="10"/>
        <color theme="1"/>
        <rFont val="宋体"/>
        <charset val="134"/>
      </rPr>
      <t>正佳</t>
    </r>
  </si>
  <si>
    <r>
      <rPr>
        <sz val="10"/>
        <color theme="1"/>
        <rFont val="Calibri Light"/>
        <charset val="134"/>
      </rPr>
      <t>9030</t>
    </r>
    <r>
      <rPr>
        <sz val="10"/>
        <color theme="1"/>
        <rFont val="宋体"/>
        <charset val="134"/>
      </rPr>
      <t>南韩麻</t>
    </r>
  </si>
  <si>
    <t>SY252807</t>
  </si>
  <si>
    <t>强兴纺织</t>
  </si>
  <si>
    <r>
      <rPr>
        <sz val="10"/>
        <color theme="1"/>
        <rFont val="Calibri Light"/>
        <charset val="134"/>
      </rPr>
      <t>SY251427/1428</t>
    </r>
    <r>
      <rPr>
        <sz val="10"/>
        <color theme="1"/>
        <rFont val="宋体"/>
        <charset val="134"/>
      </rPr>
      <t>类似样</t>
    </r>
  </si>
  <si>
    <t>LJ-1010 舒爽平纹拉架</t>
  </si>
  <si>
    <t>条纹布</t>
  </si>
  <si>
    <r>
      <rPr>
        <sz val="10"/>
        <color theme="1"/>
        <rFont val="Calibri Light"/>
        <charset val="134"/>
      </rPr>
      <t xml:space="preserve">LJ-1505 </t>
    </r>
    <r>
      <rPr>
        <sz val="10"/>
        <color theme="1"/>
        <rFont val="宋体"/>
        <charset val="134"/>
      </rPr>
      <t>舒爽平纹拉架</t>
    </r>
  </si>
  <si>
    <t>SY252808</t>
  </si>
  <si>
    <t>85%涤10%人棉5氨纶</t>
  </si>
  <si>
    <t>85%POLY 10%R 5%SP</t>
  </si>
  <si>
    <r>
      <rPr>
        <sz val="10"/>
        <color theme="1"/>
        <rFont val="Calibri Light"/>
        <charset val="134"/>
      </rPr>
      <t xml:space="preserve">LJ-2020 </t>
    </r>
    <r>
      <rPr>
        <sz val="10"/>
        <color theme="1"/>
        <rFont val="宋体"/>
        <charset val="134"/>
      </rPr>
      <t>舒爽平纹拉架</t>
    </r>
  </si>
  <si>
    <t>SY252809</t>
  </si>
  <si>
    <r>
      <rPr>
        <sz val="10"/>
        <color theme="1"/>
        <rFont val="Calibri Light"/>
        <charset val="134"/>
      </rPr>
      <t xml:space="preserve">LJ-4545 </t>
    </r>
    <r>
      <rPr>
        <sz val="10"/>
        <color theme="1"/>
        <rFont val="宋体"/>
        <charset val="134"/>
      </rPr>
      <t>舒爽平纹拉架</t>
    </r>
  </si>
  <si>
    <t>SY252810</t>
  </si>
  <si>
    <t>GFG0581</t>
  </si>
  <si>
    <t>H2763</t>
  </si>
  <si>
    <t>SY252811</t>
  </si>
  <si>
    <t>50%棉 50%莱赛尔</t>
  </si>
  <si>
    <t>50%BCI COTTON 50%LC</t>
  </si>
  <si>
    <t>绿树</t>
  </si>
  <si>
    <t>R16072</t>
  </si>
  <si>
    <t>SY252812</t>
  </si>
  <si>
    <t>永成发</t>
  </si>
  <si>
    <t>K7255</t>
  </si>
  <si>
    <t>SY252813</t>
  </si>
  <si>
    <t>05133#</t>
  </si>
  <si>
    <t>SY252814</t>
  </si>
  <si>
    <r>
      <rPr>
        <sz val="10"/>
        <color theme="1"/>
        <rFont val="Calibri Light"/>
        <charset val="134"/>
      </rPr>
      <t>B022/</t>
    </r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 B3963</t>
    </r>
  </si>
  <si>
    <t>SY252815</t>
  </si>
  <si>
    <t>嘉盛纺织</t>
  </si>
  <si>
    <r>
      <rPr>
        <sz val="10"/>
        <color theme="1"/>
        <rFont val="Calibri Light"/>
        <charset val="134"/>
      </rPr>
      <t>B619/</t>
    </r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 B3913</t>
    </r>
  </si>
  <si>
    <t>SY252816</t>
  </si>
  <si>
    <r>
      <rPr>
        <sz val="10"/>
        <color theme="1"/>
        <rFont val="Calibri Light"/>
        <charset val="134"/>
      </rPr>
      <t>A9078</t>
    </r>
    <r>
      <rPr>
        <sz val="10"/>
        <color theme="1"/>
        <rFont val="宋体"/>
        <charset val="134"/>
      </rPr>
      <t>印条</t>
    </r>
    <r>
      <rPr>
        <sz val="10"/>
        <color theme="1"/>
        <rFont val="Calibri Light"/>
        <charset val="134"/>
      </rPr>
      <t xml:space="preserve"> B3166</t>
    </r>
  </si>
  <si>
    <t>SY252817</t>
  </si>
  <si>
    <r>
      <rPr>
        <sz val="10"/>
        <color theme="1"/>
        <rFont val="Calibri Light"/>
        <charset val="134"/>
      </rPr>
      <t>A9039/</t>
    </r>
    <r>
      <rPr>
        <sz val="10"/>
        <color theme="1"/>
        <rFont val="宋体"/>
        <charset val="134"/>
      </rPr>
      <t>条</t>
    </r>
    <r>
      <rPr>
        <sz val="10"/>
        <color theme="1"/>
        <rFont val="Calibri Light"/>
        <charset val="134"/>
      </rPr>
      <t xml:space="preserve"> B3923</t>
    </r>
  </si>
  <si>
    <t>SY252818</t>
  </si>
  <si>
    <r>
      <rPr>
        <sz val="10"/>
        <color theme="1"/>
        <rFont val="Calibri Light"/>
        <charset val="134"/>
      </rPr>
      <t>A9041/</t>
    </r>
    <r>
      <rPr>
        <sz val="10"/>
        <color theme="1"/>
        <rFont val="宋体"/>
        <charset val="134"/>
      </rPr>
      <t>双色条</t>
    </r>
    <r>
      <rPr>
        <sz val="10"/>
        <color theme="1"/>
        <rFont val="Calibri Light"/>
        <charset val="134"/>
      </rPr>
      <t xml:space="preserve"> B3302</t>
    </r>
  </si>
  <si>
    <t>SY252819</t>
  </si>
  <si>
    <t>SY252820</t>
  </si>
  <si>
    <t>米兰色织条</t>
  </si>
  <si>
    <t>SY252821</t>
  </si>
  <si>
    <t>50%涤 50%棉</t>
  </si>
  <si>
    <t>SY252822</t>
  </si>
  <si>
    <t>SY252823</t>
  </si>
  <si>
    <t>SY252824</t>
  </si>
  <si>
    <t>富翔</t>
  </si>
  <si>
    <t>SY252825</t>
  </si>
  <si>
    <t>DS2304</t>
  </si>
  <si>
    <t>SY252826</t>
  </si>
  <si>
    <t>DS2281</t>
  </si>
  <si>
    <t>SY252827</t>
  </si>
  <si>
    <t>DS2283</t>
  </si>
  <si>
    <t>SY252828</t>
  </si>
  <si>
    <t>DS2305</t>
  </si>
  <si>
    <t>SY252829</t>
  </si>
  <si>
    <t>DS2309</t>
  </si>
  <si>
    <t>SY252830</t>
  </si>
  <si>
    <t>DS2332</t>
  </si>
  <si>
    <t>SY252831</t>
  </si>
  <si>
    <t>DS2343</t>
  </si>
  <si>
    <t>SY252832</t>
  </si>
  <si>
    <t>DS2352</t>
  </si>
  <si>
    <t>SY252833</t>
  </si>
  <si>
    <t>DS3997</t>
  </si>
  <si>
    <t>SY252834</t>
  </si>
  <si>
    <t>DS2292</t>
  </si>
  <si>
    <t>SY252835</t>
  </si>
  <si>
    <t>DS2219</t>
  </si>
  <si>
    <t>SY252836</t>
  </si>
  <si>
    <t>84.3%涤纶15.7%金银丝</t>
  </si>
  <si>
    <t>84.3%Recycle POLY15.7%Lurex</t>
  </si>
  <si>
    <t>DS2167</t>
  </si>
  <si>
    <t>SY252837</t>
  </si>
  <si>
    <t>DS2142</t>
  </si>
  <si>
    <t>SY252838</t>
  </si>
  <si>
    <t>47.6%涤纶52.4%TPEE</t>
  </si>
  <si>
    <t>47.6%Recycle POLY52.4%TPEE</t>
  </si>
  <si>
    <t>DS2137</t>
  </si>
  <si>
    <t>SY252839</t>
  </si>
  <si>
    <t>38.5%涤纶61.5%TPEE</t>
  </si>
  <si>
    <t>38.5%Recycle POLY61.5%TPEE</t>
  </si>
  <si>
    <t>DS2335</t>
  </si>
  <si>
    <t>SY252840</t>
  </si>
  <si>
    <t>66.8%涤纶33.2%雪尼尔</t>
  </si>
  <si>
    <t>66.8%Recycle POLY33.2%ChenIlle</t>
  </si>
  <si>
    <t>JZ016</t>
  </si>
  <si>
    <t>SY252841</t>
  </si>
  <si>
    <t>29%尼龙单丝20%TPEE51%涤纶</t>
  </si>
  <si>
    <r>
      <rPr>
        <sz val="11"/>
        <color rgb="FF000000"/>
        <rFont val="Tahoma"/>
        <charset val="134"/>
      </rPr>
      <t>29%</t>
    </r>
    <r>
      <rPr>
        <sz val="11"/>
        <color rgb="FF000000"/>
        <rFont val="宋体"/>
        <charset val="134"/>
      </rPr>
      <t>NYLON</t>
    </r>
    <r>
      <rPr>
        <sz val="11"/>
        <color rgb="FF000000"/>
        <rFont val="Tahoma"/>
        <charset val="134"/>
      </rPr>
      <t>20%TPEE51%Recycle POLY</t>
    </r>
  </si>
  <si>
    <t>JZ023</t>
  </si>
  <si>
    <t>SY252842</t>
  </si>
  <si>
    <t>JZ004</t>
  </si>
  <si>
    <t>SY252843</t>
  </si>
  <si>
    <t>7%尼龙单丝51%TPEE42%涤纶</t>
  </si>
  <si>
    <r>
      <rPr>
        <sz val="11"/>
        <color rgb="FF000000"/>
        <rFont val="Tahoma"/>
        <charset val="134"/>
      </rPr>
      <t>7%</t>
    </r>
    <r>
      <rPr>
        <sz val="11"/>
        <color rgb="FF000000"/>
        <rFont val="宋体"/>
        <charset val="134"/>
      </rPr>
      <t>NYLON</t>
    </r>
    <r>
      <rPr>
        <sz val="11"/>
        <color rgb="FF000000"/>
        <rFont val="Tahoma"/>
        <charset val="134"/>
      </rPr>
      <t>51%TPEE42%Recycle POLY</t>
    </r>
  </si>
  <si>
    <t>法兰绒印条子</t>
  </si>
  <si>
    <t>毛巾布</t>
  </si>
  <si>
    <t>SY252844</t>
  </si>
  <si>
    <t>辉杰绒毛</t>
  </si>
  <si>
    <r>
      <rPr>
        <sz val="10"/>
        <color theme="1"/>
        <rFont val="Calibri Light"/>
        <charset val="134"/>
      </rPr>
      <t>cvc</t>
    </r>
    <r>
      <rPr>
        <sz val="10"/>
        <color theme="1"/>
        <rFont val="宋体"/>
        <charset val="134"/>
      </rPr>
      <t>毛巾布</t>
    </r>
    <r>
      <rPr>
        <sz val="10"/>
        <color theme="1"/>
        <rFont val="Calibri Light"/>
        <charset val="134"/>
      </rPr>
      <t xml:space="preserve">   M-72</t>
    </r>
  </si>
  <si>
    <t>SY252845</t>
  </si>
  <si>
    <t>环球毛绒</t>
  </si>
  <si>
    <r>
      <rPr>
        <sz val="10"/>
        <color theme="1"/>
        <rFont val="宋体"/>
        <charset val="134"/>
      </rPr>
      <t>超厚双面水貂</t>
    </r>
    <r>
      <rPr>
        <sz val="10"/>
        <color theme="1"/>
        <rFont val="Calibri Light"/>
        <charset val="134"/>
      </rPr>
      <t xml:space="preserve">   HYWF25#</t>
    </r>
  </si>
  <si>
    <t>SY252846</t>
  </si>
  <si>
    <t>兴华纺织</t>
  </si>
  <si>
    <r>
      <rPr>
        <sz val="10"/>
        <color theme="1"/>
        <rFont val="Calibri Light"/>
        <charset val="134"/>
      </rPr>
      <t>213P</t>
    </r>
    <r>
      <rPr>
        <sz val="10"/>
        <color theme="1"/>
        <rFont val="宋体"/>
        <charset val="134"/>
      </rPr>
      <t>人棉毛巾布</t>
    </r>
    <r>
      <rPr>
        <sz val="10"/>
        <color theme="1"/>
        <rFont val="Calibri Light"/>
        <charset val="134"/>
      </rPr>
      <t xml:space="preserve">  A1280422523</t>
    </r>
  </si>
  <si>
    <t>SY252847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</si>
  <si>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涤纶</t>
    </r>
  </si>
  <si>
    <t>40%BCI COTTON40%R20%POLY</t>
  </si>
  <si>
    <t>彤阳纺织</t>
  </si>
  <si>
    <t>三色印花</t>
  </si>
  <si>
    <t>SY252848</t>
  </si>
  <si>
    <r>
      <rPr>
        <sz val="10"/>
        <color theme="1"/>
        <rFont val="宋体"/>
        <charset val="134"/>
      </rPr>
      <t>全棉毛巾布</t>
    </r>
    <r>
      <rPr>
        <sz val="10"/>
        <color theme="1"/>
        <rFont val="Calibri Light"/>
        <charset val="134"/>
      </rPr>
      <t xml:space="preserve">  A172-046#-22175#</t>
    </r>
  </si>
  <si>
    <t>SY252849</t>
  </si>
  <si>
    <t>80%棉20%涤纶</t>
  </si>
  <si>
    <r>
      <rPr>
        <sz val="10"/>
        <color theme="1"/>
        <rFont val="Calibri Light"/>
        <charset val="134"/>
      </rPr>
      <t>1919</t>
    </r>
    <r>
      <rPr>
        <sz val="10"/>
        <color theme="1"/>
        <rFont val="宋体"/>
        <charset val="134"/>
      </rPr>
      <t>毛巾布</t>
    </r>
    <r>
      <rPr>
        <sz val="10"/>
        <color theme="1"/>
        <rFont val="Calibri Light"/>
        <charset val="134"/>
      </rPr>
      <t xml:space="preserve"> A1280462521#</t>
    </r>
  </si>
  <si>
    <t>SY252850</t>
  </si>
  <si>
    <t>ZS4051</t>
  </si>
  <si>
    <t>亮片布</t>
  </si>
  <si>
    <t>SY252851</t>
  </si>
  <si>
    <t>金泰龙</t>
  </si>
  <si>
    <t>7050#</t>
  </si>
  <si>
    <t>SY252852</t>
  </si>
  <si>
    <t>100%Recycle涤纶</t>
  </si>
  <si>
    <t>H2101</t>
  </si>
  <si>
    <t>SY252853</t>
  </si>
  <si>
    <t>永祥纺织</t>
  </si>
  <si>
    <t>7212#</t>
  </si>
  <si>
    <t>SY252854</t>
  </si>
  <si>
    <r>
      <rPr>
        <sz val="10"/>
        <color theme="1"/>
        <rFont val="Calibri Light"/>
        <charset val="134"/>
      </rPr>
      <t>L</t>
    </r>
    <r>
      <rPr>
        <sz val="10"/>
        <color theme="1"/>
        <rFont val="宋体"/>
        <charset val="134"/>
      </rPr>
      <t>金银网</t>
    </r>
  </si>
  <si>
    <t>SY252855</t>
  </si>
  <si>
    <t>QZC 6071#</t>
  </si>
  <si>
    <t>SY252856</t>
  </si>
  <si>
    <t>千姿彩</t>
  </si>
  <si>
    <t>QZC 2303#</t>
  </si>
  <si>
    <t>SY252857</t>
  </si>
  <si>
    <t>QZC 1010#</t>
  </si>
  <si>
    <t>SY252858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</si>
  <si>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金属丝</t>
    </r>
  </si>
  <si>
    <t>65%POLY35%Lurex</t>
  </si>
  <si>
    <t>QZC F24102#</t>
  </si>
  <si>
    <t>SY252859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</si>
  <si>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金属丝</t>
    </r>
  </si>
  <si>
    <t>80%POLY20%Lurex</t>
  </si>
  <si>
    <t>QZC 6039#</t>
  </si>
  <si>
    <t>SY252860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</si>
  <si>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金属丝</t>
    </r>
  </si>
  <si>
    <t>55%NYLON45%Lurex</t>
  </si>
  <si>
    <t>AI-1304</t>
  </si>
  <si>
    <t>SY252861</t>
  </si>
  <si>
    <t>勇胜</t>
  </si>
  <si>
    <t>AI-1316</t>
  </si>
  <si>
    <t>SY252862</t>
  </si>
  <si>
    <t>HS3438</t>
  </si>
  <si>
    <t>SY252863</t>
  </si>
  <si>
    <t>D0849</t>
  </si>
  <si>
    <t>SY252864</t>
  </si>
  <si>
    <t>细金银彩色线</t>
  </si>
  <si>
    <t>SY252865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</si>
  <si>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氨纶</t>
    </r>
  </si>
  <si>
    <t>85%R15%SP</t>
  </si>
  <si>
    <r>
      <rPr>
        <sz val="10"/>
        <color theme="1"/>
        <rFont val="Calibri Light"/>
        <charset val="134"/>
      </rPr>
      <t>CC637</t>
    </r>
    <r>
      <rPr>
        <sz val="10"/>
        <color theme="1"/>
        <rFont val="宋体"/>
        <charset val="134"/>
      </rPr>
      <t>金镂衣</t>
    </r>
  </si>
  <si>
    <t>SY252866</t>
  </si>
  <si>
    <t>JHY031</t>
  </si>
  <si>
    <t>SY252867</t>
  </si>
  <si>
    <t>XTH15</t>
  </si>
  <si>
    <t>SY252868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</si>
  <si>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银线</t>
    </r>
    <r>
      <rPr>
        <sz val="10"/>
        <color theme="1"/>
        <rFont val="Calibri Light"/>
        <charset val="134"/>
      </rPr>
      <t>1%</t>
    </r>
    <r>
      <rPr>
        <sz val="10"/>
        <color theme="1"/>
        <rFont val="宋体"/>
        <charset val="134"/>
      </rPr>
      <t>氨纶</t>
    </r>
  </si>
  <si>
    <t>90%POLY9%AGLINE1%SP</t>
  </si>
  <si>
    <t>XTH6</t>
  </si>
  <si>
    <t>SY252869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</si>
  <si>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银线</t>
    </r>
  </si>
  <si>
    <t>96%Recycel POLY4%AGLINE</t>
  </si>
  <si>
    <t>SY252870</t>
  </si>
  <si>
    <r>
      <rPr>
        <sz val="10"/>
        <color theme="1"/>
        <rFont val="Calibri Light"/>
        <charset val="134"/>
      </rPr>
      <t>47.5%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28.5%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19%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银丝</t>
    </r>
  </si>
  <si>
    <t>47.5%R28.5%POLY19%NYLON5%AGLINE</t>
  </si>
  <si>
    <t>铭鑫</t>
  </si>
  <si>
    <t>SY252871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</si>
  <si>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11%</t>
    </r>
    <r>
      <rPr>
        <sz val="10"/>
        <color theme="1"/>
        <rFont val="宋体"/>
        <charset val="134"/>
      </rPr>
      <t>银丝</t>
    </r>
    <r>
      <rPr>
        <sz val="10"/>
        <color theme="1"/>
        <rFont val="Calibri Light"/>
        <charset val="134"/>
      </rPr>
      <t>1%</t>
    </r>
    <r>
      <rPr>
        <sz val="10"/>
        <color theme="1"/>
        <rFont val="宋体"/>
        <charset val="134"/>
      </rPr>
      <t>氨纶</t>
    </r>
  </si>
  <si>
    <t>88%Recycle POLY 11%AGLINE1%SP</t>
  </si>
  <si>
    <t>SY252872</t>
  </si>
  <si>
    <t>0066</t>
  </si>
  <si>
    <t>SY252873</t>
  </si>
  <si>
    <t>0735</t>
  </si>
  <si>
    <t>SY252874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</si>
  <si>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银丝</t>
    </r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</si>
  <si>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57%AGLINE38%POLY5%SP</t>
  </si>
  <si>
    <r>
      <rPr>
        <sz val="10"/>
        <color theme="1"/>
        <rFont val="Calibri Light"/>
        <charset val="134"/>
      </rPr>
      <t>K134-</t>
    </r>
    <r>
      <rPr>
        <sz val="10"/>
        <color theme="1"/>
        <rFont val="宋体"/>
        <charset val="134"/>
      </rPr>
      <t>极光</t>
    </r>
  </si>
  <si>
    <t>SY252875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</si>
  <si>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金银线</t>
    </r>
  </si>
  <si>
    <t>65%NYLON35%Lurex</t>
  </si>
  <si>
    <t>特布</t>
  </si>
  <si>
    <r>
      <rPr>
        <sz val="10"/>
        <color theme="1"/>
        <rFont val="Calibri Light"/>
        <charset val="134"/>
      </rPr>
      <t>J</t>
    </r>
    <r>
      <rPr>
        <sz val="10"/>
        <color theme="1"/>
        <rFont val="宋体"/>
        <charset val="134"/>
      </rPr>
      <t>开口笑</t>
    </r>
  </si>
  <si>
    <t>SY252876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</si>
  <si>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金属丝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</si>
  <si>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63%POLY32%Lurex5%SP</t>
  </si>
  <si>
    <r>
      <rPr>
        <sz val="10"/>
        <color theme="1"/>
        <rFont val="Calibri Light"/>
        <charset val="134"/>
      </rPr>
      <t>J</t>
    </r>
    <r>
      <rPr>
        <sz val="10"/>
        <color theme="1"/>
        <rFont val="宋体"/>
        <charset val="134"/>
      </rPr>
      <t>流星雨</t>
    </r>
  </si>
  <si>
    <t>SY252877</t>
  </si>
  <si>
    <r>
      <rPr>
        <sz val="10"/>
        <color theme="1"/>
        <rFont val="Calibri Light"/>
        <charset val="134"/>
      </rPr>
      <t>52%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42%</t>
    </r>
    <r>
      <rPr>
        <sz val="10"/>
        <color theme="1"/>
        <rFont val="宋体"/>
        <charset val="134"/>
      </rPr>
      <t>金丝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</si>
  <si>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52%NYLON42%Lurex6%SP</t>
  </si>
  <si>
    <r>
      <rPr>
        <sz val="10"/>
        <color theme="1"/>
        <rFont val="Calibri Light"/>
        <charset val="134"/>
      </rPr>
      <t>J</t>
    </r>
    <r>
      <rPr>
        <sz val="10"/>
        <color theme="1"/>
        <rFont val="宋体"/>
        <charset val="134"/>
      </rPr>
      <t>变色龙</t>
    </r>
  </si>
  <si>
    <t>SY252878</t>
  </si>
  <si>
    <r>
      <rPr>
        <sz val="10"/>
        <color theme="1"/>
        <rFont val="Calibri Light"/>
        <charset val="134"/>
      </rPr>
      <t>J</t>
    </r>
    <r>
      <rPr>
        <sz val="10"/>
        <color theme="1"/>
        <rFont val="宋体"/>
        <charset val="134"/>
      </rPr>
      <t>涤纶竹节</t>
    </r>
  </si>
  <si>
    <t>SY252879</t>
  </si>
  <si>
    <t>W825</t>
  </si>
  <si>
    <t>SY252880</t>
  </si>
  <si>
    <r>
      <rPr>
        <sz val="10"/>
        <color theme="1"/>
        <rFont val="Calibri Light"/>
        <charset val="134"/>
      </rPr>
      <t>71%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金银线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</si>
  <si>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71%POLY25%Lurex4%SP</t>
  </si>
  <si>
    <t>T1386</t>
  </si>
  <si>
    <t>SY252881</t>
  </si>
  <si>
    <r>
      <rPr>
        <sz val="10"/>
        <color theme="1"/>
        <rFont val="Calibri Light"/>
        <charset val="134"/>
      </rPr>
      <t>77.2%</t>
    </r>
    <r>
      <rPr>
        <sz val="10"/>
        <color theme="1"/>
        <rFont val="宋体"/>
        <charset val="134"/>
      </rPr>
      <t>锦纶纱</t>
    </r>
    <r>
      <rPr>
        <sz val="10"/>
        <color theme="1"/>
        <rFont val="Calibri Light"/>
        <charset val="134"/>
      </rPr>
      <t>22.8%</t>
    </r>
    <r>
      <rPr>
        <sz val="10"/>
        <color theme="1"/>
        <rFont val="宋体"/>
        <charset val="134"/>
      </rPr>
      <t>金属丝</t>
    </r>
  </si>
  <si>
    <t>77.2%NYLON22.8%Lurex</t>
  </si>
  <si>
    <r>
      <rPr>
        <sz val="10"/>
        <color theme="1"/>
        <rFont val="Calibri Light"/>
        <charset val="134"/>
      </rPr>
      <t xml:space="preserve">9886  </t>
    </r>
    <r>
      <rPr>
        <sz val="10"/>
        <color theme="1"/>
        <rFont val="宋体"/>
        <charset val="134"/>
      </rPr>
      <t>醋酸乱麻缎</t>
    </r>
  </si>
  <si>
    <t>SY252882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</si>
  <si>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涤纶</t>
    </r>
  </si>
  <si>
    <t>68%Acetate32%POLY</t>
  </si>
  <si>
    <t>星展</t>
  </si>
  <si>
    <r>
      <rPr>
        <sz val="10"/>
        <color theme="1"/>
        <rFont val="Calibri Light"/>
        <charset val="134"/>
      </rPr>
      <t xml:space="preserve">9801# </t>
    </r>
    <r>
      <rPr>
        <sz val="10"/>
        <color theme="1"/>
        <rFont val="宋体"/>
        <charset val="134"/>
      </rPr>
      <t>醋酸缎</t>
    </r>
  </si>
  <si>
    <t>SY252883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</si>
  <si>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涤纶</t>
    </r>
  </si>
  <si>
    <t>75%Acetate25%POLY</t>
  </si>
  <si>
    <r>
      <rPr>
        <sz val="10"/>
        <color theme="1"/>
        <rFont val="Calibri Light"/>
        <charset val="134"/>
      </rPr>
      <t xml:space="preserve">9889  </t>
    </r>
    <r>
      <rPr>
        <sz val="10"/>
        <color theme="1"/>
        <rFont val="宋体"/>
        <charset val="134"/>
      </rPr>
      <t>醋酸双层麻</t>
    </r>
  </si>
  <si>
    <t>SY252884</t>
  </si>
  <si>
    <t>68%醋酸32%涤纶</t>
  </si>
  <si>
    <r>
      <rPr>
        <sz val="10"/>
        <color theme="1"/>
        <rFont val="Calibri Light"/>
        <charset val="134"/>
      </rPr>
      <t xml:space="preserve">9878  </t>
    </r>
    <r>
      <rPr>
        <sz val="10"/>
        <color theme="1"/>
        <rFont val="宋体"/>
        <charset val="134"/>
      </rPr>
      <t>醋酸罗马布</t>
    </r>
  </si>
  <si>
    <t>SY252885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</si>
  <si>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22%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</si>
  <si>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30%NYLON28%R22%Modal4%Acetate6%SP</t>
  </si>
  <si>
    <r>
      <rPr>
        <sz val="10"/>
        <color theme="1"/>
        <rFont val="Calibri Light"/>
        <charset val="134"/>
      </rPr>
      <t>20128#  75</t>
    </r>
    <r>
      <rPr>
        <sz val="10"/>
        <color theme="1"/>
        <rFont val="宋体"/>
        <charset val="134"/>
      </rPr>
      <t>醋酸缎单面</t>
    </r>
  </si>
  <si>
    <t>SY252886</t>
  </si>
  <si>
    <t>75%醋酸25%涤纶</t>
  </si>
  <si>
    <r>
      <rPr>
        <sz val="10"/>
        <color theme="1"/>
        <rFont val="Calibri Light"/>
        <charset val="134"/>
      </rPr>
      <t xml:space="preserve">9816  </t>
    </r>
    <r>
      <rPr>
        <sz val="10"/>
        <color theme="1"/>
        <rFont val="宋体"/>
        <charset val="134"/>
      </rPr>
      <t>醋酸索罗娜</t>
    </r>
  </si>
  <si>
    <t>SY252887</t>
  </si>
  <si>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索罗娜</t>
    </r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醋酸</t>
    </r>
  </si>
  <si>
    <t>34%POLY34%Sorona32%Acetate</t>
  </si>
  <si>
    <r>
      <rPr>
        <sz val="10"/>
        <color theme="1"/>
        <rFont val="Calibri Light"/>
        <charset val="134"/>
      </rPr>
      <t xml:space="preserve">9883  </t>
    </r>
    <r>
      <rPr>
        <sz val="10"/>
        <color theme="1"/>
        <rFont val="宋体"/>
        <charset val="134"/>
      </rPr>
      <t>醋酸乱麻</t>
    </r>
  </si>
  <si>
    <t>SY252888</t>
  </si>
  <si>
    <r>
      <rPr>
        <sz val="10"/>
        <color theme="1"/>
        <rFont val="Calibri Light"/>
        <charset val="134"/>
      </rPr>
      <t xml:space="preserve">9803   </t>
    </r>
    <r>
      <rPr>
        <sz val="10"/>
        <color theme="1"/>
        <rFont val="宋体"/>
        <charset val="134"/>
      </rPr>
      <t>全醋酸皱</t>
    </r>
  </si>
  <si>
    <t>SY252889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</si>
  <si>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醋酸</t>
    </r>
  </si>
  <si>
    <t>100%Acetate</t>
  </si>
  <si>
    <r>
      <rPr>
        <sz val="10"/>
        <color theme="1"/>
        <rFont val="Calibri Light"/>
        <charset val="134"/>
      </rPr>
      <t xml:space="preserve">9811  </t>
    </r>
    <r>
      <rPr>
        <sz val="10"/>
        <color theme="1"/>
        <rFont val="宋体"/>
        <charset val="134"/>
      </rPr>
      <t>醋酸菠萝纹</t>
    </r>
  </si>
  <si>
    <t>SY252890</t>
  </si>
  <si>
    <t>恒祥照片</t>
  </si>
  <si>
    <t>SY252891</t>
  </si>
  <si>
    <t>恒翔</t>
  </si>
  <si>
    <t>SY252892</t>
  </si>
  <si>
    <t>SY252893</t>
  </si>
  <si>
    <t>SY252894</t>
  </si>
  <si>
    <t>SY252895</t>
  </si>
  <si>
    <t>SY252896</t>
  </si>
  <si>
    <t>SY252897</t>
  </si>
  <si>
    <t>SY252898</t>
  </si>
  <si>
    <t>SY252899</t>
  </si>
  <si>
    <t>杰发照片</t>
  </si>
  <si>
    <t>SY252900</t>
  </si>
  <si>
    <t>广胜绣品照片</t>
  </si>
  <si>
    <t>SY252901</t>
  </si>
  <si>
    <t>广胜绣品</t>
  </si>
  <si>
    <t>GFG0585</t>
  </si>
  <si>
    <r>
      <rPr>
        <sz val="10"/>
        <color theme="1"/>
        <rFont val="Calibri Light"/>
        <charset val="134"/>
      </rPr>
      <t>1816# 200g</t>
    </r>
    <r>
      <rPr>
        <sz val="10"/>
        <color theme="1"/>
        <rFont val="宋体"/>
        <charset val="134"/>
      </rPr>
      <t>双面乱麻</t>
    </r>
  </si>
  <si>
    <t>SY252902</t>
  </si>
  <si>
    <t>顺丰发纺织</t>
  </si>
  <si>
    <t>805 加厚阳光麻</t>
  </si>
  <si>
    <t>SY252903</t>
  </si>
  <si>
    <t>时尚女装</t>
  </si>
  <si>
    <r>
      <rPr>
        <sz val="10"/>
        <color theme="1"/>
        <rFont val="Calibri Light"/>
        <charset val="134"/>
      </rPr>
      <t xml:space="preserve">EA188   </t>
    </r>
    <r>
      <rPr>
        <sz val="10"/>
        <color theme="1"/>
        <rFont val="宋体"/>
        <charset val="134"/>
      </rPr>
      <t>厚格仔梳织</t>
    </r>
  </si>
  <si>
    <t>SY252904</t>
  </si>
  <si>
    <r>
      <rPr>
        <sz val="10"/>
        <color theme="1"/>
        <rFont val="Calibri Light"/>
        <charset val="134"/>
      </rPr>
      <t xml:space="preserve">EA025  </t>
    </r>
    <r>
      <rPr>
        <sz val="10"/>
        <color theme="1"/>
        <rFont val="宋体"/>
        <charset val="134"/>
      </rPr>
      <t>薄格仔梳织</t>
    </r>
  </si>
  <si>
    <t>SY252905</t>
  </si>
  <si>
    <r>
      <rPr>
        <sz val="10"/>
        <color theme="1"/>
        <rFont val="Calibri Light"/>
        <charset val="134"/>
      </rPr>
      <t xml:space="preserve">E1816  </t>
    </r>
    <r>
      <rPr>
        <sz val="10"/>
        <color theme="1"/>
        <rFont val="宋体"/>
        <charset val="134"/>
      </rPr>
      <t>双面乱麻</t>
    </r>
  </si>
  <si>
    <t>SY252906</t>
  </si>
  <si>
    <r>
      <rPr>
        <sz val="10"/>
        <color theme="1"/>
        <rFont val="Calibri Light"/>
        <charset val="134"/>
      </rPr>
      <t xml:space="preserve">E1927  </t>
    </r>
    <r>
      <rPr>
        <sz val="10"/>
        <color theme="1"/>
        <rFont val="宋体"/>
        <charset val="134"/>
      </rPr>
      <t>双面乱麻</t>
    </r>
  </si>
  <si>
    <t>SY252907</t>
  </si>
  <si>
    <t>E1907  双面乱麻</t>
  </si>
  <si>
    <t>SY252908</t>
  </si>
  <si>
    <r>
      <rPr>
        <sz val="10"/>
        <color theme="1"/>
        <rFont val="Calibri Light"/>
        <charset val="134"/>
      </rPr>
      <t xml:space="preserve">E1166  </t>
    </r>
    <r>
      <rPr>
        <sz val="10"/>
        <color theme="1"/>
        <rFont val="宋体"/>
        <charset val="134"/>
      </rPr>
      <t>超柔乱麻</t>
    </r>
  </si>
  <si>
    <t>SY252909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</si>
  <si>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</si>
  <si>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纯亚麻</t>
  </si>
  <si>
    <t>SY252910</t>
  </si>
  <si>
    <t>100%亚麻</t>
  </si>
  <si>
    <t>100%Linen</t>
  </si>
  <si>
    <t>汉中棉麻/鉴泽棉麻</t>
  </si>
  <si>
    <t>J2081</t>
  </si>
  <si>
    <t>不含税</t>
  </si>
  <si>
    <t>SY252911</t>
  </si>
  <si>
    <t>J2831</t>
  </si>
  <si>
    <t>纯亚麻邹布</t>
  </si>
  <si>
    <t>SY252912</t>
  </si>
  <si>
    <t>J1836#</t>
  </si>
  <si>
    <t>天丝亚麻</t>
  </si>
  <si>
    <t>SY252913</t>
  </si>
  <si>
    <t>90%天丝
10%亚麻</t>
  </si>
  <si>
    <t>90%TEN10%LINEN</t>
  </si>
  <si>
    <t>J1698#</t>
  </si>
  <si>
    <t>SY252914</t>
  </si>
  <si>
    <t>2030#</t>
  </si>
  <si>
    <t>天丝苎麻</t>
  </si>
  <si>
    <t>SY252915</t>
  </si>
  <si>
    <t>55%亚麻
45%天丝</t>
  </si>
  <si>
    <t>55%LINEN45%TEN</t>
  </si>
  <si>
    <t>棉麻邹布</t>
  </si>
  <si>
    <t>SY252916</t>
  </si>
  <si>
    <t>55%亚麻
45%粘胶</t>
  </si>
  <si>
    <t>55%LINEN45%Rayon</t>
  </si>
  <si>
    <t>竹节粘亚麻</t>
  </si>
  <si>
    <t>SY252917</t>
  </si>
  <si>
    <t>85%粘胶
15%亚麻</t>
  </si>
  <si>
    <t>85%Rayon15%LINEN</t>
  </si>
  <si>
    <t>1218#</t>
  </si>
  <si>
    <t>竹节粘麻洗邹</t>
  </si>
  <si>
    <t>SY252918</t>
  </si>
  <si>
    <t>121A</t>
  </si>
  <si>
    <t>棉麻洗邹布</t>
  </si>
  <si>
    <t>SY252919</t>
  </si>
  <si>
    <t>55%亚麻
45%棉</t>
  </si>
  <si>
    <t>55%LINEN45%COTTON</t>
  </si>
  <si>
    <t>122#</t>
  </si>
  <si>
    <t>纯苎麻</t>
  </si>
  <si>
    <t>SY252920</t>
  </si>
  <si>
    <t>100%纯苎麻</t>
  </si>
  <si>
    <t>100%Ramie</t>
  </si>
  <si>
    <t>1258#</t>
  </si>
  <si>
    <t>SY252921</t>
  </si>
  <si>
    <t>100%苎麻</t>
  </si>
  <si>
    <t>J6001#</t>
  </si>
  <si>
    <t>SY252922</t>
  </si>
  <si>
    <t>4242#</t>
  </si>
  <si>
    <t>纯苎麻斜纹</t>
  </si>
  <si>
    <t>SY252923</t>
  </si>
  <si>
    <t>J2042</t>
  </si>
  <si>
    <t>双面斜苎麻洗邹</t>
  </si>
  <si>
    <t>SY252924</t>
  </si>
  <si>
    <t>70%苎麻
30%棉</t>
  </si>
  <si>
    <t>70%Ramie30%COTTON</t>
  </si>
  <si>
    <t>J1090#</t>
  </si>
  <si>
    <t>苎麻洗邹布</t>
  </si>
  <si>
    <t>SY252925</t>
  </si>
  <si>
    <t>J1088</t>
  </si>
  <si>
    <t>SY252926</t>
  </si>
  <si>
    <r>
      <rPr>
        <sz val="10"/>
        <color theme="1"/>
        <rFont val="宋体"/>
        <charset val="134"/>
      </rPr>
      <t>塔丝隆</t>
    </r>
    <r>
      <rPr>
        <sz val="10"/>
        <color theme="1"/>
        <rFont val="Calibri Light"/>
        <charset val="134"/>
      </rPr>
      <t xml:space="preserve">228 </t>
    </r>
    <r>
      <rPr>
        <sz val="10"/>
        <color theme="1"/>
        <rFont val="宋体"/>
        <charset val="134"/>
      </rPr>
      <t>色卡二</t>
    </r>
  </si>
  <si>
    <r>
      <rPr>
        <sz val="10"/>
        <color theme="1"/>
        <rFont val="Calibri Light"/>
        <charset val="134"/>
      </rPr>
      <t>320D</t>
    </r>
    <r>
      <rPr>
        <sz val="10"/>
        <color theme="1"/>
        <rFont val="宋体"/>
        <charset val="134"/>
      </rPr>
      <t>消光尼龙塔斯隆</t>
    </r>
  </si>
  <si>
    <t>SY252927</t>
  </si>
  <si>
    <t>147/149</t>
  </si>
  <si>
    <t>70D*320D</t>
  </si>
  <si>
    <r>
      <rPr>
        <sz val="10"/>
        <color theme="1"/>
        <rFont val="Calibri Light"/>
        <charset val="134"/>
      </rPr>
      <t xml:space="preserve">E3067  </t>
    </r>
    <r>
      <rPr>
        <sz val="10"/>
        <color theme="1"/>
        <rFont val="宋体"/>
        <charset val="134"/>
      </rPr>
      <t>玲珑雅缎</t>
    </r>
  </si>
  <si>
    <t>SY252928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</si>
  <si>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氨纶</t>
    </r>
  </si>
  <si>
    <t>75%NYLON25%SP</t>
  </si>
  <si>
    <r>
      <rPr>
        <sz val="10"/>
        <color theme="1"/>
        <rFont val="Calibri Light"/>
        <charset val="134"/>
      </rPr>
      <t xml:space="preserve">E3057  </t>
    </r>
    <r>
      <rPr>
        <sz val="10"/>
        <color theme="1"/>
        <rFont val="宋体"/>
        <charset val="134"/>
      </rPr>
      <t>冰纱羽</t>
    </r>
  </si>
  <si>
    <t>SY252929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</si>
  <si>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氨纶</t>
    </r>
  </si>
  <si>
    <t>80%NYLON20%SP</t>
  </si>
  <si>
    <r>
      <rPr>
        <sz val="10"/>
        <color theme="1"/>
        <rFont val="Calibri Light"/>
        <charset val="134"/>
      </rPr>
      <t xml:space="preserve">EAN10022   </t>
    </r>
    <r>
      <rPr>
        <sz val="10"/>
        <color theme="1"/>
        <rFont val="宋体"/>
        <charset val="134"/>
      </rPr>
      <t>流光棉</t>
    </r>
  </si>
  <si>
    <t>SY252930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</si>
  <si>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氨纶</t>
    </r>
  </si>
  <si>
    <t>82%NYLON18%SP</t>
  </si>
  <si>
    <t>EXH10013</t>
  </si>
  <si>
    <t>SY252931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</si>
  <si>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12%</t>
    </r>
    <r>
      <rPr>
        <sz val="10"/>
        <color theme="1"/>
        <rFont val="宋体"/>
        <charset val="134"/>
      </rPr>
      <t>氨纶</t>
    </r>
  </si>
  <si>
    <t>88%NYLON12%SP</t>
  </si>
  <si>
    <r>
      <rPr>
        <sz val="10"/>
        <color theme="1"/>
        <rFont val="Calibri Light"/>
        <charset val="134"/>
      </rPr>
      <t>E16 A</t>
    </r>
    <r>
      <rPr>
        <sz val="10"/>
        <color theme="1"/>
        <rFont val="宋体"/>
        <charset val="134"/>
      </rPr>
      <t>巴宝丽</t>
    </r>
  </si>
  <si>
    <t>SY252932</t>
  </si>
  <si>
    <t>高品质捻丝乱麻</t>
  </si>
  <si>
    <t>SY252933</t>
  </si>
  <si>
    <r>
      <rPr>
        <sz val="10"/>
        <color theme="1"/>
        <rFont val="Calibri Light"/>
        <charset val="134"/>
      </rPr>
      <t xml:space="preserve">E1201 </t>
    </r>
    <r>
      <rPr>
        <sz val="10"/>
        <color theme="1"/>
        <rFont val="宋体"/>
        <charset val="134"/>
      </rPr>
      <t>加密珍珠雪纺</t>
    </r>
  </si>
  <si>
    <t>SY252934</t>
  </si>
  <si>
    <r>
      <rPr>
        <sz val="10"/>
        <color theme="1"/>
        <rFont val="Calibri Light"/>
        <charset val="134"/>
      </rPr>
      <t>E366</t>
    </r>
    <r>
      <rPr>
        <sz val="10"/>
        <color theme="1"/>
        <rFont val="宋体"/>
        <charset val="134"/>
      </rPr>
      <t>彩棉拉架</t>
    </r>
  </si>
  <si>
    <t>SY252935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</si>
  <si>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</si>
  <si>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65%POLY 30%R 5%SP</t>
  </si>
  <si>
    <t>27.5/kg</t>
  </si>
  <si>
    <r>
      <rPr>
        <sz val="10"/>
        <color theme="1"/>
        <rFont val="Calibri Light"/>
        <charset val="134"/>
      </rPr>
      <t>E203 CV</t>
    </r>
    <r>
      <rPr>
        <sz val="10"/>
        <color theme="1"/>
        <rFont val="宋体"/>
        <charset val="134"/>
      </rPr>
      <t>双股小斜纹</t>
    </r>
  </si>
  <si>
    <t>SY252936</t>
  </si>
  <si>
    <r>
      <rPr>
        <sz val="10"/>
        <color theme="1"/>
        <rFont val="Calibri Light"/>
        <charset val="134"/>
      </rPr>
      <t>E206 CV40</t>
    </r>
    <r>
      <rPr>
        <sz val="10"/>
        <color theme="1"/>
        <rFont val="宋体"/>
        <charset val="134"/>
      </rPr>
      <t>支双股</t>
    </r>
    <r>
      <rPr>
        <sz val="10"/>
        <color theme="1"/>
        <rFont val="Calibri Light"/>
        <charset val="134"/>
      </rPr>
      <t>1/2</t>
    </r>
    <r>
      <rPr>
        <sz val="10"/>
        <color theme="1"/>
        <rFont val="宋体"/>
        <charset val="134"/>
      </rPr>
      <t>斜</t>
    </r>
  </si>
  <si>
    <t>SY252937</t>
  </si>
  <si>
    <r>
      <rPr>
        <sz val="10"/>
        <color theme="1"/>
        <rFont val="Calibri Light"/>
        <charset val="134"/>
      </rPr>
      <t>74%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21%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</si>
  <si>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74%POLY 21%R 5%SP</t>
  </si>
  <si>
    <r>
      <rPr>
        <sz val="10"/>
        <color theme="1"/>
        <rFont val="Calibri Light"/>
        <charset val="134"/>
      </rPr>
      <t xml:space="preserve">E1253 </t>
    </r>
    <r>
      <rPr>
        <sz val="10"/>
        <color theme="1"/>
        <rFont val="宋体"/>
        <charset val="134"/>
      </rPr>
      <t>精品锦棉皱</t>
    </r>
  </si>
  <si>
    <t>SY252938</t>
  </si>
  <si>
    <t>70%涤纶 30%尼龙</t>
  </si>
  <si>
    <t>SY252939</t>
  </si>
  <si>
    <r>
      <rPr>
        <sz val="10"/>
        <color theme="1"/>
        <rFont val="Calibri Light"/>
        <charset val="134"/>
      </rPr>
      <t xml:space="preserve">E883 </t>
    </r>
    <r>
      <rPr>
        <sz val="10"/>
        <color theme="1"/>
        <rFont val="宋体"/>
        <charset val="134"/>
      </rPr>
      <t>锦涤斜</t>
    </r>
  </si>
  <si>
    <t>SY252940</t>
  </si>
  <si>
    <r>
      <rPr>
        <sz val="10"/>
        <color theme="1"/>
        <rFont val="Calibri Light"/>
        <charset val="134"/>
      </rPr>
      <t xml:space="preserve">E821 </t>
    </r>
    <r>
      <rPr>
        <sz val="10"/>
        <color theme="1"/>
        <rFont val="宋体"/>
        <charset val="134"/>
      </rPr>
      <t>高品质孔雀斜</t>
    </r>
  </si>
  <si>
    <t>SY252941</t>
  </si>
  <si>
    <r>
      <rPr>
        <sz val="10"/>
        <color theme="1"/>
        <rFont val="Calibri Light"/>
        <charset val="134"/>
      </rPr>
      <t xml:space="preserve">E5806A </t>
    </r>
    <r>
      <rPr>
        <sz val="10"/>
        <color theme="1"/>
        <rFont val="宋体"/>
        <charset val="134"/>
      </rPr>
      <t>阳涤乐丽</t>
    </r>
  </si>
  <si>
    <t>SY252942</t>
  </si>
  <si>
    <r>
      <rPr>
        <sz val="10"/>
        <color theme="1"/>
        <rFont val="Calibri Light"/>
        <charset val="134"/>
      </rPr>
      <t>E199 CV</t>
    </r>
    <r>
      <rPr>
        <sz val="10"/>
        <color theme="1"/>
        <rFont val="宋体"/>
        <charset val="134"/>
      </rPr>
      <t>双股小斜纹</t>
    </r>
  </si>
  <si>
    <t>SY252943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</si>
  <si>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氨纶</t>
    </r>
  </si>
  <si>
    <t>75%POLY 20%R 5%SP</t>
  </si>
  <si>
    <r>
      <rPr>
        <sz val="10"/>
        <color theme="1"/>
        <rFont val="Calibri Light"/>
        <charset val="134"/>
      </rPr>
      <t>E230 C</t>
    </r>
    <r>
      <rPr>
        <sz val="10"/>
        <color theme="1"/>
        <rFont val="宋体"/>
        <charset val="134"/>
      </rPr>
      <t>亚麻小百叶</t>
    </r>
  </si>
  <si>
    <t>SY252944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</si>
  <si>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麻</t>
    </r>
  </si>
  <si>
    <t>76%R 20%N 4%L</t>
  </si>
  <si>
    <r>
      <rPr>
        <sz val="10"/>
        <color theme="1"/>
        <rFont val="Calibri Light"/>
        <charset val="134"/>
      </rPr>
      <t>E226 C</t>
    </r>
    <r>
      <rPr>
        <sz val="10"/>
        <color theme="1"/>
        <rFont val="宋体"/>
        <charset val="134"/>
      </rPr>
      <t>亚麻子母条</t>
    </r>
  </si>
  <si>
    <t>SY252945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</si>
  <si>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麻</t>
    </r>
  </si>
  <si>
    <t>88%R 9%N 3%L</t>
  </si>
  <si>
    <r>
      <rPr>
        <sz val="10"/>
        <color theme="1"/>
        <rFont val="Calibri Light"/>
        <charset val="134"/>
      </rPr>
      <t>E130 U</t>
    </r>
    <r>
      <rPr>
        <sz val="10"/>
        <color theme="1"/>
        <rFont val="宋体"/>
        <charset val="134"/>
      </rPr>
      <t>曲天丝</t>
    </r>
  </si>
  <si>
    <t>SY252946</t>
  </si>
  <si>
    <t>90%天丝 10%涤纶</t>
  </si>
  <si>
    <r>
      <rPr>
        <sz val="10"/>
        <color theme="1"/>
        <rFont val="Calibri Light"/>
        <charset val="134"/>
      </rPr>
      <t>E127 D</t>
    </r>
    <r>
      <rPr>
        <sz val="10"/>
        <color theme="1"/>
        <rFont val="宋体"/>
        <charset val="134"/>
      </rPr>
      <t>天丝牙签条</t>
    </r>
  </si>
  <si>
    <t>SY252947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</si>
  <si>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16%</t>
    </r>
    <r>
      <rPr>
        <sz val="10"/>
        <color theme="1"/>
        <rFont val="宋体"/>
        <charset val="134"/>
      </rPr>
      <t>尼龙</t>
    </r>
  </si>
  <si>
    <t>84%TEN 16%N</t>
  </si>
  <si>
    <t>高强PE</t>
  </si>
  <si>
    <t>SY252948</t>
  </si>
  <si>
    <t>100%PE</t>
  </si>
  <si>
    <t>卓总</t>
  </si>
  <si>
    <r>
      <rPr>
        <sz val="10"/>
        <color theme="1"/>
        <rFont val="Calibri Light"/>
        <charset val="134"/>
      </rPr>
      <t>210T</t>
    </r>
    <r>
      <rPr>
        <sz val="10"/>
        <color theme="1"/>
        <rFont val="宋体"/>
        <charset val="134"/>
      </rPr>
      <t>尼龙里</t>
    </r>
  </si>
  <si>
    <t>SY252949</t>
  </si>
  <si>
    <t>韩国加密里</t>
  </si>
  <si>
    <t>SY252950</t>
  </si>
  <si>
    <t>袋布朴</t>
  </si>
  <si>
    <t>SY252951</t>
  </si>
  <si>
    <r>
      <rPr>
        <sz val="10"/>
        <color theme="1"/>
        <rFont val="Calibri Light"/>
        <charset val="134"/>
      </rPr>
      <t xml:space="preserve">E632  </t>
    </r>
    <r>
      <rPr>
        <sz val="10"/>
        <color theme="1"/>
        <rFont val="宋体"/>
        <charset val="134"/>
      </rPr>
      <t>四面弹</t>
    </r>
  </si>
  <si>
    <t>SY252952</t>
  </si>
  <si>
    <r>
      <rPr>
        <sz val="10"/>
        <color theme="1"/>
        <rFont val="Calibri Light"/>
        <charset val="134"/>
      </rPr>
      <t xml:space="preserve">E892  </t>
    </r>
    <r>
      <rPr>
        <sz val="10"/>
        <color theme="1"/>
        <rFont val="宋体"/>
        <charset val="134"/>
      </rPr>
      <t>棉感记忆</t>
    </r>
  </si>
  <si>
    <t>SY252953</t>
  </si>
  <si>
    <r>
      <rPr>
        <sz val="10"/>
        <color theme="1"/>
        <rFont val="Calibri Light"/>
        <charset val="134"/>
      </rPr>
      <t xml:space="preserve">E825  </t>
    </r>
    <r>
      <rPr>
        <sz val="10"/>
        <color theme="1"/>
        <rFont val="宋体"/>
        <charset val="134"/>
      </rPr>
      <t>斜纹</t>
    </r>
  </si>
  <si>
    <t>SY252954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</si>
  <si>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聚酯纤维</t>
    </r>
  </si>
  <si>
    <t>65%R35%POLY</t>
  </si>
  <si>
    <r>
      <rPr>
        <sz val="10"/>
        <color theme="1"/>
        <rFont val="Calibri Light"/>
        <charset val="134"/>
      </rPr>
      <t xml:space="preserve">E3833A  </t>
    </r>
    <r>
      <rPr>
        <sz val="10"/>
        <color theme="1"/>
        <rFont val="宋体"/>
        <charset val="134"/>
      </rPr>
      <t>云感双面</t>
    </r>
  </si>
  <si>
    <t>SY252955</t>
  </si>
  <si>
    <t>80%棉14.5%聚酯纤维5.5%氨纶</t>
  </si>
  <si>
    <t>80%BCI COTTON14.5%POLY5.5%SP</t>
  </si>
  <si>
    <r>
      <rPr>
        <sz val="10"/>
        <color theme="1"/>
        <rFont val="Calibri Light"/>
        <charset val="134"/>
      </rPr>
      <t xml:space="preserve">E3833B  </t>
    </r>
    <r>
      <rPr>
        <sz val="10"/>
        <color theme="1"/>
        <rFont val="宋体"/>
        <charset val="134"/>
      </rPr>
      <t>云感双面</t>
    </r>
  </si>
  <si>
    <t>SY252956</t>
  </si>
  <si>
    <r>
      <rPr>
        <sz val="10"/>
        <color theme="1"/>
        <rFont val="Calibri Light"/>
        <charset val="134"/>
      </rPr>
      <t xml:space="preserve">E2551   </t>
    </r>
    <r>
      <rPr>
        <sz val="10"/>
        <color theme="1"/>
        <rFont val="宋体"/>
        <charset val="134"/>
      </rPr>
      <t>动感双面</t>
    </r>
  </si>
  <si>
    <t>SY252957</t>
  </si>
  <si>
    <t>84.3%棉8.4%聚酯纤维7.3%氨纶</t>
  </si>
  <si>
    <t>84.3%BCI COTTON8.4%POLY7.3%SP</t>
  </si>
  <si>
    <r>
      <rPr>
        <sz val="10"/>
        <color theme="1"/>
        <rFont val="Calibri Light"/>
        <charset val="134"/>
      </rPr>
      <t xml:space="preserve">E2517  </t>
    </r>
    <r>
      <rPr>
        <sz val="10"/>
        <color theme="1"/>
        <rFont val="宋体"/>
        <charset val="134"/>
      </rPr>
      <t>锦棉罗马</t>
    </r>
  </si>
  <si>
    <t>SY252958</t>
  </si>
  <si>
    <t>62%粘纤33%锦纶5%氨纶</t>
  </si>
  <si>
    <t>62%V33%NYLON5%SP</t>
  </si>
  <si>
    <r>
      <rPr>
        <sz val="10"/>
        <color theme="1"/>
        <rFont val="Calibri Light"/>
        <charset val="134"/>
      </rPr>
      <t>E1090 26S</t>
    </r>
    <r>
      <rPr>
        <sz val="10"/>
        <color theme="1"/>
        <rFont val="宋体"/>
        <charset val="134"/>
      </rPr>
      <t>双纱潮牌爽滑棉平纹</t>
    </r>
  </si>
  <si>
    <t>SY252959</t>
  </si>
  <si>
    <r>
      <rPr>
        <sz val="10"/>
        <color theme="1"/>
        <rFont val="Calibri Light"/>
        <charset val="134"/>
      </rPr>
      <t>E981 228T</t>
    </r>
    <r>
      <rPr>
        <sz val="10"/>
        <color theme="1"/>
        <rFont val="宋体"/>
        <charset val="134"/>
      </rPr>
      <t>消光塔丝隆（防水）</t>
    </r>
  </si>
  <si>
    <t>SY252960</t>
  </si>
  <si>
    <r>
      <rPr>
        <sz val="10"/>
        <color theme="1"/>
        <rFont val="宋体"/>
        <charset val="134"/>
      </rPr>
      <t>米白</t>
    </r>
    <r>
      <rPr>
        <sz val="10"/>
        <color theme="1"/>
        <rFont val="Calibri Light"/>
        <charset val="134"/>
      </rPr>
      <t>6</t>
    </r>
    <r>
      <rPr>
        <sz val="10"/>
        <color theme="1"/>
        <rFont val="宋体"/>
        <charset val="134"/>
      </rPr>
      <t>，彩色</t>
    </r>
    <r>
      <rPr>
        <sz val="10"/>
        <color theme="1"/>
        <rFont val="Calibri Light"/>
        <charset val="134"/>
      </rPr>
      <t>6.3</t>
    </r>
  </si>
  <si>
    <r>
      <rPr>
        <sz val="10"/>
        <color theme="1"/>
        <rFont val="Calibri Light"/>
        <charset val="134"/>
      </rPr>
      <t>GFG0586</t>
    </r>
    <r>
      <rPr>
        <sz val="10"/>
        <color theme="1"/>
        <rFont val="宋体"/>
        <charset val="134"/>
      </rPr>
      <t>裙面料</t>
    </r>
  </si>
  <si>
    <r>
      <rPr>
        <sz val="10"/>
        <color theme="1"/>
        <rFont val="Calibri Light"/>
        <charset val="134"/>
      </rPr>
      <t xml:space="preserve">EG7166 </t>
    </r>
    <r>
      <rPr>
        <sz val="10"/>
        <color theme="1"/>
        <rFont val="宋体"/>
        <charset val="134"/>
      </rPr>
      <t>印花</t>
    </r>
  </si>
  <si>
    <t>SY252961</t>
  </si>
  <si>
    <t>彩膜印花</t>
  </si>
  <si>
    <t>SY252962</t>
  </si>
  <si>
    <t>邬晓静</t>
  </si>
  <si>
    <r>
      <rPr>
        <sz val="10"/>
        <color theme="1"/>
        <rFont val="Calibri Light"/>
        <charset val="134"/>
      </rPr>
      <t>E2704A  8</t>
    </r>
    <r>
      <rPr>
        <sz val="10"/>
        <color theme="1"/>
        <rFont val="宋体"/>
        <charset val="134"/>
      </rPr>
      <t>坑子母条（外销）</t>
    </r>
  </si>
  <si>
    <t>SY252963</t>
  </si>
  <si>
    <r>
      <rPr>
        <sz val="10"/>
        <color theme="1"/>
        <rFont val="Calibri Light"/>
        <charset val="134"/>
      </rPr>
      <t>E955 9.5</t>
    </r>
    <r>
      <rPr>
        <sz val="10"/>
        <color theme="1"/>
        <rFont val="宋体"/>
        <charset val="134"/>
      </rPr>
      <t>坑（外销）</t>
    </r>
  </si>
  <si>
    <t>SY252964</t>
  </si>
  <si>
    <r>
      <rPr>
        <sz val="10"/>
        <color theme="1"/>
        <rFont val="Calibri Light"/>
        <charset val="134"/>
      </rPr>
      <t>E1819   6</t>
    </r>
    <r>
      <rPr>
        <sz val="10"/>
        <color theme="1"/>
        <rFont val="宋体"/>
        <charset val="134"/>
      </rPr>
      <t>坑</t>
    </r>
  </si>
  <si>
    <t>SY252965</t>
  </si>
  <si>
    <r>
      <rPr>
        <sz val="10"/>
        <color theme="1"/>
        <rFont val="Calibri Light"/>
        <charset val="134"/>
      </rPr>
      <t xml:space="preserve">S26 </t>
    </r>
    <r>
      <rPr>
        <sz val="10"/>
        <color theme="1"/>
        <rFont val="宋体"/>
        <charset val="134"/>
      </rPr>
      <t>条纹</t>
    </r>
  </si>
  <si>
    <r>
      <rPr>
        <sz val="10"/>
        <color theme="1"/>
        <rFont val="Calibri Light"/>
        <charset val="134"/>
      </rPr>
      <t xml:space="preserve">EA9188  </t>
    </r>
    <r>
      <rPr>
        <sz val="10"/>
        <color theme="1"/>
        <rFont val="宋体"/>
        <charset val="134"/>
      </rPr>
      <t>色织间条</t>
    </r>
  </si>
  <si>
    <t>SY252966</t>
  </si>
  <si>
    <r>
      <rPr>
        <sz val="10"/>
        <color theme="1"/>
        <rFont val="Calibri Light"/>
        <charset val="134"/>
      </rPr>
      <t xml:space="preserve">EQ219  </t>
    </r>
    <r>
      <rPr>
        <sz val="10"/>
        <color theme="1"/>
        <rFont val="宋体"/>
        <charset val="134"/>
      </rPr>
      <t>色织间条</t>
    </r>
  </si>
  <si>
    <t>SY252967</t>
  </si>
  <si>
    <r>
      <rPr>
        <sz val="10"/>
        <color theme="1"/>
        <rFont val="Calibri Light"/>
        <charset val="134"/>
      </rPr>
      <t xml:space="preserve">EQ220  </t>
    </r>
    <r>
      <rPr>
        <sz val="10"/>
        <color theme="1"/>
        <rFont val="宋体"/>
        <charset val="134"/>
      </rPr>
      <t>色织间条</t>
    </r>
  </si>
  <si>
    <t>SY252968</t>
  </si>
  <si>
    <t>印间</t>
  </si>
  <si>
    <t>SY252969</t>
  </si>
  <si>
    <r>
      <rPr>
        <sz val="10"/>
        <color theme="1"/>
        <rFont val="Calibri Light"/>
        <charset val="134"/>
      </rPr>
      <t xml:space="preserve">S26 </t>
    </r>
    <r>
      <rPr>
        <sz val="10"/>
        <color theme="1"/>
        <rFont val="宋体"/>
        <charset val="134"/>
      </rPr>
      <t>印花</t>
    </r>
  </si>
  <si>
    <r>
      <rPr>
        <sz val="10"/>
        <color theme="1"/>
        <rFont val="Calibri Light"/>
        <charset val="134"/>
      </rPr>
      <t xml:space="preserve">EA1802  </t>
    </r>
    <r>
      <rPr>
        <sz val="10"/>
        <color theme="1"/>
        <rFont val="宋体"/>
        <charset val="134"/>
      </rPr>
      <t>竖条宽间印花</t>
    </r>
  </si>
  <si>
    <t>SY252970</t>
  </si>
  <si>
    <t>S26 P1</t>
  </si>
  <si>
    <r>
      <rPr>
        <sz val="10"/>
        <color theme="1"/>
        <rFont val="Calibri Light"/>
        <charset val="134"/>
      </rPr>
      <t xml:space="preserve">EA1840  </t>
    </r>
    <r>
      <rPr>
        <sz val="10"/>
        <color theme="1"/>
        <rFont val="宋体"/>
        <charset val="134"/>
      </rPr>
      <t>幻彩印花</t>
    </r>
  </si>
  <si>
    <t>SY252971</t>
  </si>
  <si>
    <r>
      <rPr>
        <sz val="10"/>
        <color theme="1"/>
        <rFont val="Calibri Light"/>
        <charset val="134"/>
      </rPr>
      <t>S26 P2</t>
    </r>
    <r>
      <rPr>
        <sz val="10"/>
        <color theme="1"/>
        <rFont val="宋体"/>
        <charset val="134"/>
      </rPr>
      <t>，</t>
    </r>
    <r>
      <rPr>
        <sz val="10"/>
        <color theme="1"/>
        <rFont val="Calibri Light"/>
        <charset val="134"/>
      </rPr>
      <t>4</t>
    </r>
  </si>
  <si>
    <r>
      <rPr>
        <sz val="10"/>
        <color theme="1"/>
        <rFont val="Calibri Light"/>
        <charset val="134"/>
      </rPr>
      <t xml:space="preserve">EA1801  </t>
    </r>
    <r>
      <rPr>
        <sz val="10"/>
        <color theme="1"/>
        <rFont val="宋体"/>
        <charset val="134"/>
      </rPr>
      <t>竖条幼间印花</t>
    </r>
  </si>
  <si>
    <t>SY252972</t>
  </si>
  <si>
    <t>S26 P3</t>
  </si>
  <si>
    <r>
      <rPr>
        <sz val="10"/>
        <color theme="1"/>
        <rFont val="Calibri Light"/>
        <charset val="134"/>
      </rPr>
      <t xml:space="preserve">EA1798  </t>
    </r>
    <r>
      <rPr>
        <sz val="10"/>
        <color theme="1"/>
        <rFont val="宋体"/>
        <charset val="134"/>
      </rPr>
      <t>竖条幼间印花</t>
    </r>
  </si>
  <si>
    <t>SY252973</t>
  </si>
  <si>
    <r>
      <rPr>
        <sz val="10"/>
        <color theme="1"/>
        <rFont val="Calibri Light"/>
        <charset val="134"/>
      </rPr>
      <t xml:space="preserve">EA1795  </t>
    </r>
    <r>
      <rPr>
        <sz val="10"/>
        <color theme="1"/>
        <rFont val="宋体"/>
        <charset val="134"/>
      </rPr>
      <t>竖条宽间印花</t>
    </r>
  </si>
  <si>
    <t>SY252974</t>
  </si>
  <si>
    <r>
      <rPr>
        <sz val="10"/>
        <color theme="1"/>
        <rFont val="Calibri Light"/>
        <charset val="134"/>
      </rPr>
      <t xml:space="preserve">EA1793  </t>
    </r>
    <r>
      <rPr>
        <sz val="10"/>
        <color theme="1"/>
        <rFont val="宋体"/>
        <charset val="134"/>
      </rPr>
      <t>竖条宽间印花</t>
    </r>
  </si>
  <si>
    <t>SY252975</t>
  </si>
  <si>
    <r>
      <rPr>
        <sz val="10"/>
        <color theme="1"/>
        <rFont val="Calibri Light"/>
        <charset val="134"/>
      </rPr>
      <t xml:space="preserve">EA1797  </t>
    </r>
    <r>
      <rPr>
        <sz val="10"/>
        <color theme="1"/>
        <rFont val="宋体"/>
        <charset val="134"/>
      </rPr>
      <t>竖条宽间印花</t>
    </r>
  </si>
  <si>
    <t>SY252976</t>
  </si>
  <si>
    <r>
      <rPr>
        <sz val="10"/>
        <color theme="1"/>
        <rFont val="Calibri Light"/>
        <charset val="134"/>
      </rPr>
      <t xml:space="preserve">EA1794  </t>
    </r>
    <r>
      <rPr>
        <sz val="10"/>
        <color theme="1"/>
        <rFont val="宋体"/>
        <charset val="134"/>
      </rPr>
      <t>竖条宽间印花</t>
    </r>
  </si>
  <si>
    <t>SY252977</t>
  </si>
  <si>
    <r>
      <rPr>
        <sz val="10"/>
        <color theme="1"/>
        <rFont val="Calibri Light"/>
        <charset val="134"/>
      </rPr>
      <t xml:space="preserve">S26 </t>
    </r>
    <r>
      <rPr>
        <sz val="10"/>
        <color theme="1"/>
        <rFont val="宋体"/>
        <charset val="134"/>
      </rPr>
      <t>蚂蚁皱</t>
    </r>
  </si>
  <si>
    <r>
      <rPr>
        <sz val="10"/>
        <color theme="1"/>
        <rFont val="Calibri Light"/>
        <charset val="134"/>
      </rPr>
      <t xml:space="preserve">E721  </t>
    </r>
    <r>
      <rPr>
        <sz val="10"/>
        <color theme="1"/>
        <rFont val="宋体"/>
        <charset val="134"/>
      </rPr>
      <t>精品蚂蚁皱</t>
    </r>
  </si>
  <si>
    <t>SY252978</t>
  </si>
  <si>
    <t>S26  P13</t>
  </si>
  <si>
    <r>
      <rPr>
        <sz val="10"/>
        <color theme="1"/>
        <rFont val="Calibri Light"/>
        <charset val="134"/>
      </rPr>
      <t xml:space="preserve">EA1796  </t>
    </r>
    <r>
      <rPr>
        <sz val="10"/>
        <color theme="1"/>
        <rFont val="宋体"/>
        <charset val="134"/>
      </rPr>
      <t>竖条宽间印花</t>
    </r>
  </si>
  <si>
    <t>SY252979</t>
  </si>
  <si>
    <t xml:space="preserve">GFG0591 </t>
  </si>
  <si>
    <r>
      <rPr>
        <sz val="10"/>
        <color theme="1"/>
        <rFont val="Calibri Light"/>
        <charset val="134"/>
      </rPr>
      <t xml:space="preserve">E940  </t>
    </r>
    <r>
      <rPr>
        <sz val="10"/>
        <color theme="1"/>
        <rFont val="宋体"/>
        <charset val="134"/>
      </rPr>
      <t>缎面顺纡皱</t>
    </r>
  </si>
  <si>
    <t>SY252980</t>
  </si>
  <si>
    <r>
      <rPr>
        <sz val="10"/>
        <color theme="1"/>
        <rFont val="Calibri Light"/>
        <charset val="134"/>
      </rPr>
      <t xml:space="preserve">E919  </t>
    </r>
    <r>
      <rPr>
        <sz val="10"/>
        <color theme="1"/>
        <rFont val="宋体"/>
        <charset val="134"/>
      </rPr>
      <t>高密弹力真丝皱</t>
    </r>
  </si>
  <si>
    <t>SY252981</t>
  </si>
  <si>
    <t>GFG0587</t>
  </si>
  <si>
    <r>
      <rPr>
        <sz val="10"/>
        <color theme="1"/>
        <rFont val="Calibri Light"/>
        <charset val="134"/>
      </rPr>
      <t>E150 P</t>
    </r>
    <r>
      <rPr>
        <sz val="10"/>
        <color theme="1"/>
        <rFont val="宋体"/>
        <charset val="134"/>
      </rPr>
      <t>洛施棉</t>
    </r>
  </si>
  <si>
    <t>SY252982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</si>
  <si>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锦纶</t>
    </r>
  </si>
  <si>
    <t>70%R30%NYLON</t>
  </si>
  <si>
    <t>GFG0589</t>
  </si>
  <si>
    <r>
      <rPr>
        <sz val="10"/>
        <color theme="1"/>
        <rFont val="Calibri Light"/>
        <charset val="134"/>
      </rPr>
      <t>A</t>
    </r>
    <r>
      <rPr>
        <sz val="10"/>
        <color theme="1"/>
        <rFont val="宋体"/>
        <charset val="134"/>
      </rPr>
      <t>精品摩根丝</t>
    </r>
  </si>
  <si>
    <t>SY252983</t>
  </si>
  <si>
    <r>
      <rPr>
        <sz val="10"/>
        <color theme="1"/>
        <rFont val="Calibri Light"/>
        <charset val="134"/>
      </rPr>
      <t>E97 V</t>
    </r>
    <r>
      <rPr>
        <sz val="10"/>
        <color theme="1"/>
        <rFont val="宋体"/>
        <charset val="134"/>
      </rPr>
      <t>精品双层</t>
    </r>
  </si>
  <si>
    <t>SY252984</t>
  </si>
  <si>
    <r>
      <rPr>
        <sz val="10"/>
        <color theme="1"/>
        <rFont val="宋体"/>
        <charset val="134"/>
      </rPr>
      <t>卓总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速干类</t>
    </r>
  </si>
  <si>
    <r>
      <rPr>
        <sz val="10"/>
        <color theme="1"/>
        <rFont val="Calibri Light"/>
        <charset val="134"/>
      </rPr>
      <t>E6018 LULU</t>
    </r>
    <r>
      <rPr>
        <sz val="10"/>
        <color theme="1"/>
        <rFont val="宋体"/>
        <charset val="134"/>
      </rPr>
      <t>裸感双面</t>
    </r>
  </si>
  <si>
    <t>SY252985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</si>
  <si>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微软雅黑"/>
        <charset val="134"/>
      </rPr>
      <t>锦纶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微软雅黑"/>
        <charset val="134"/>
      </rPr>
      <t>氨纶</t>
    </r>
  </si>
  <si>
    <t>3M/kg</t>
  </si>
  <si>
    <r>
      <rPr>
        <sz val="10"/>
        <color theme="1"/>
        <rFont val="Calibri Light"/>
        <charset val="134"/>
      </rPr>
      <t xml:space="preserve">EH2231  </t>
    </r>
    <r>
      <rPr>
        <sz val="10"/>
        <color theme="1"/>
        <rFont val="宋体"/>
        <charset val="134"/>
      </rPr>
      <t>锦双面消光磨毛</t>
    </r>
  </si>
  <si>
    <t>SY252986</t>
  </si>
  <si>
    <t>75%锦纶25%氨纶</t>
  </si>
  <si>
    <r>
      <rPr>
        <sz val="10"/>
        <color theme="1"/>
        <rFont val="Calibri Light"/>
        <charset val="134"/>
      </rPr>
      <t xml:space="preserve">EH5127  </t>
    </r>
    <r>
      <rPr>
        <sz val="10"/>
        <color theme="1"/>
        <rFont val="宋体"/>
        <charset val="134"/>
      </rPr>
      <t>冰酷棉</t>
    </r>
  </si>
  <si>
    <t>SY252987</t>
  </si>
  <si>
    <r>
      <rPr>
        <sz val="10"/>
        <color theme="1"/>
        <rFont val="Calibri Light"/>
        <charset val="134"/>
      </rPr>
      <t>59%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41%</t>
    </r>
    <r>
      <rPr>
        <sz val="10"/>
        <color theme="1"/>
        <rFont val="宋体"/>
        <charset val="134"/>
      </rPr>
      <t>PPT</t>
    </r>
  </si>
  <si>
    <t>59%POLY41%PPT</t>
  </si>
  <si>
    <t>3.3M/kg</t>
  </si>
  <si>
    <r>
      <rPr>
        <sz val="10"/>
        <color theme="1"/>
        <rFont val="Calibri Light"/>
        <charset val="134"/>
      </rPr>
      <t xml:space="preserve">ED001  </t>
    </r>
    <r>
      <rPr>
        <sz val="10"/>
        <color theme="1"/>
        <rFont val="宋体"/>
        <charset val="134"/>
      </rPr>
      <t>迪桑棉麻</t>
    </r>
  </si>
  <si>
    <t>SY252988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</si>
  <si>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50%PPT</t>
    </r>
  </si>
  <si>
    <t>51POLY49%PPT</t>
  </si>
  <si>
    <t>3.5M/kg</t>
  </si>
  <si>
    <r>
      <rPr>
        <sz val="10"/>
        <color theme="1"/>
        <rFont val="Calibri Light"/>
        <charset val="134"/>
      </rPr>
      <t xml:space="preserve">E10028  </t>
    </r>
    <r>
      <rPr>
        <sz val="10"/>
        <color theme="1"/>
        <rFont val="宋体"/>
        <charset val="134"/>
      </rPr>
      <t>双磨</t>
    </r>
  </si>
  <si>
    <t>SY252989</t>
  </si>
  <si>
    <t>2.5M/kg</t>
  </si>
  <si>
    <r>
      <rPr>
        <sz val="10"/>
        <color theme="1"/>
        <rFont val="Calibri Light"/>
        <charset val="134"/>
      </rPr>
      <t>EH4286  LULU</t>
    </r>
    <r>
      <rPr>
        <sz val="10"/>
        <color theme="1"/>
        <rFont val="宋体"/>
        <charset val="134"/>
      </rPr>
      <t>云感双磨</t>
    </r>
  </si>
  <si>
    <t>SY252990</t>
  </si>
  <si>
    <t>80%锦纶20%氨纶</t>
  </si>
  <si>
    <t>2.9M/kg</t>
  </si>
  <si>
    <r>
      <rPr>
        <sz val="10"/>
        <color theme="1"/>
        <rFont val="宋体"/>
        <charset val="134"/>
      </rPr>
      <t>邬晓静</t>
    </r>
    <r>
      <rPr>
        <sz val="10"/>
        <color theme="1"/>
        <rFont val="Calibri Light"/>
        <charset val="134"/>
      </rPr>
      <t xml:space="preserve">  </t>
    </r>
    <r>
      <rPr>
        <sz val="10"/>
        <color theme="1"/>
        <rFont val="宋体"/>
        <charset val="134"/>
      </rPr>
      <t>梭织棉布</t>
    </r>
  </si>
  <si>
    <r>
      <rPr>
        <sz val="10"/>
        <color theme="1"/>
        <rFont val="Calibri Light"/>
        <charset val="134"/>
      </rPr>
      <t xml:space="preserve">E302  </t>
    </r>
    <r>
      <rPr>
        <sz val="10"/>
        <color theme="1"/>
        <rFont val="宋体"/>
        <charset val="134"/>
      </rPr>
      <t>英伦斜砂洗</t>
    </r>
  </si>
  <si>
    <t>SY252991</t>
  </si>
  <si>
    <r>
      <rPr>
        <sz val="10"/>
        <color theme="1"/>
        <rFont val="Calibri Light"/>
        <charset val="134"/>
      </rPr>
      <t xml:space="preserve">E588  </t>
    </r>
    <r>
      <rPr>
        <sz val="10"/>
        <color theme="1"/>
        <rFont val="宋体"/>
        <charset val="134"/>
      </rPr>
      <t>冰澳棉砂洗</t>
    </r>
  </si>
  <si>
    <t>SY252992</t>
  </si>
  <si>
    <r>
      <rPr>
        <sz val="10"/>
        <color theme="1"/>
        <rFont val="Calibri Light"/>
        <charset val="134"/>
      </rPr>
      <t xml:space="preserve">E878  </t>
    </r>
    <r>
      <rPr>
        <sz val="10"/>
        <color theme="1"/>
        <rFont val="宋体"/>
        <charset val="134"/>
      </rPr>
      <t>精梳高密夫砂洗皱</t>
    </r>
  </si>
  <si>
    <t>SY252993</t>
  </si>
  <si>
    <r>
      <rPr>
        <sz val="10"/>
        <color theme="1"/>
        <rFont val="宋体"/>
        <charset val="134"/>
      </rPr>
      <t>邬晓静</t>
    </r>
    <r>
      <rPr>
        <sz val="10"/>
        <color theme="1"/>
        <rFont val="Calibri Light"/>
        <charset val="134"/>
      </rPr>
      <t xml:space="preserve">  </t>
    </r>
    <r>
      <rPr>
        <sz val="10"/>
        <color theme="1"/>
        <rFont val="宋体"/>
        <charset val="134"/>
      </rPr>
      <t>灯芯绒</t>
    </r>
  </si>
  <si>
    <r>
      <rPr>
        <sz val="10"/>
        <color theme="1"/>
        <rFont val="Calibri Light"/>
        <charset val="134"/>
      </rPr>
      <t>E816  16</t>
    </r>
    <r>
      <rPr>
        <sz val="10"/>
        <color theme="1"/>
        <rFont val="宋体"/>
        <charset val="134"/>
      </rPr>
      <t>坑无弹外销版灯芯绒</t>
    </r>
  </si>
  <si>
    <t>SY252994</t>
  </si>
  <si>
    <t>D1113-2   H01450</t>
  </si>
  <si>
    <t>SY252995</t>
  </si>
  <si>
    <r>
      <rPr>
        <sz val="10"/>
        <color theme="1"/>
        <rFont val="宋体"/>
        <charset val="134"/>
      </rPr>
      <t>活性传染外销</t>
    </r>
    <r>
      <rPr>
        <sz val="10"/>
        <color theme="1"/>
        <rFont val="Calibri Light"/>
        <charset val="134"/>
      </rPr>
      <t>16</t>
    </r>
    <r>
      <rPr>
        <sz val="10"/>
        <color theme="1"/>
        <rFont val="宋体"/>
        <charset val="134"/>
      </rPr>
      <t>坑</t>
    </r>
    <r>
      <rPr>
        <sz val="10"/>
        <color theme="1"/>
        <rFont val="Calibri Light"/>
        <charset val="134"/>
      </rPr>
      <t xml:space="preserve">  0323</t>
    </r>
  </si>
  <si>
    <t>SY252996</t>
  </si>
  <si>
    <r>
      <rPr>
        <sz val="10"/>
        <color theme="1"/>
        <rFont val="Calibri Light"/>
        <charset val="134"/>
      </rPr>
      <t>1816#</t>
    </r>
    <r>
      <rPr>
        <sz val="10"/>
        <color theme="1"/>
        <rFont val="宋体"/>
        <charset val="134"/>
      </rPr>
      <t>全棉16坑无弹</t>
    </r>
  </si>
  <si>
    <t>SY252997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</si>
  <si>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粘胶</t>
    </r>
  </si>
  <si>
    <t>90%BCICOTTON10%V</t>
  </si>
  <si>
    <t>液氨丝光</t>
  </si>
  <si>
    <r>
      <rPr>
        <sz val="10"/>
        <color theme="1"/>
        <rFont val="Calibri Light"/>
        <charset val="134"/>
      </rPr>
      <t>A943#</t>
    </r>
    <r>
      <rPr>
        <sz val="10"/>
        <color theme="1"/>
        <rFont val="宋体"/>
        <charset val="134"/>
      </rPr>
      <t>液氨罗马布</t>
    </r>
  </si>
  <si>
    <t>SY252998</t>
  </si>
  <si>
    <t>誉珲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</si>
  <si>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95/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97</t>
    </r>
  </si>
  <si>
    <t>（花灰统一加3元/KG）</t>
  </si>
  <si>
    <t>2.67m/kg</t>
  </si>
  <si>
    <r>
      <rPr>
        <sz val="10"/>
        <color theme="1"/>
        <rFont val="Calibri Light"/>
        <charset val="134"/>
      </rPr>
      <t>946#50</t>
    </r>
    <r>
      <rPr>
        <sz val="10"/>
        <color theme="1"/>
        <rFont val="宋体"/>
        <charset val="134"/>
      </rPr>
      <t>织液氨弹力平纹</t>
    </r>
  </si>
  <si>
    <t>SY252999</t>
  </si>
  <si>
    <r>
      <rPr>
        <sz val="10"/>
        <color theme="1"/>
        <rFont val="Calibri Light"/>
        <charset val="134"/>
      </rPr>
      <t>94%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</si>
  <si>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108/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110</t>
    </r>
  </si>
  <si>
    <r>
      <rPr>
        <sz val="10"/>
        <color theme="1"/>
        <rFont val="Calibri Light"/>
        <charset val="134"/>
      </rPr>
      <t>A945#28</t>
    </r>
    <r>
      <rPr>
        <sz val="10"/>
        <color theme="1"/>
        <rFont val="宋体"/>
        <charset val="134"/>
      </rPr>
      <t>织液氨潮牌平纹</t>
    </r>
  </si>
  <si>
    <t>SY253000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</si>
  <si>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89/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91</t>
    </r>
  </si>
  <si>
    <t>2.28/kg</t>
  </si>
  <si>
    <r>
      <rPr>
        <sz val="10"/>
        <color theme="1"/>
        <rFont val="Calibri Light"/>
        <charset val="134"/>
      </rPr>
      <t>A902-1  110s</t>
    </r>
    <r>
      <rPr>
        <sz val="10"/>
        <color theme="1"/>
        <rFont val="宋体"/>
        <charset val="134"/>
      </rPr>
      <t>匹马棉拉架双面</t>
    </r>
  </si>
  <si>
    <t>SY253001</t>
  </si>
  <si>
    <r>
      <rPr>
        <sz val="10"/>
        <color theme="1"/>
        <rFont val="Calibri Light"/>
        <charset val="134"/>
      </rPr>
      <t>90.5%</t>
    </r>
    <r>
      <rPr>
        <sz val="10"/>
        <color theme="1"/>
        <rFont val="宋体"/>
        <charset val="134"/>
      </rPr>
      <t>匹马棉</t>
    </r>
    <r>
      <rPr>
        <sz val="10"/>
        <color theme="1"/>
        <rFont val="Calibri Light"/>
        <charset val="134"/>
      </rPr>
      <t>9.5%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</si>
  <si>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142/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144</t>
    </r>
  </si>
  <si>
    <r>
      <rPr>
        <sz val="10"/>
        <color theme="1"/>
        <rFont val="宋体"/>
        <charset val="134"/>
      </rPr>
      <t>（花灰统一加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元</t>
    </r>
    <r>
      <rPr>
        <sz val="10"/>
        <color theme="1"/>
        <rFont val="Calibri Light"/>
        <charset val="134"/>
      </rPr>
      <t>/KG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</si>
  <si>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Calibri Light"/>
        <charset val="134"/>
      </rPr>
      <t xml:space="preserve">A942 </t>
    </r>
    <r>
      <rPr>
        <sz val="10"/>
        <color theme="1"/>
        <rFont val="宋体"/>
        <charset val="134"/>
      </rPr>
      <t>重磅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棉液氨双面</t>
    </r>
  </si>
  <si>
    <t>SY253002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</si>
  <si>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87/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89</t>
    </r>
  </si>
  <si>
    <t>1.75/kg</t>
  </si>
  <si>
    <r>
      <rPr>
        <sz val="10"/>
        <color theme="1"/>
        <rFont val="Calibri Light"/>
        <charset val="134"/>
      </rPr>
      <t>978#</t>
    </r>
    <r>
      <rPr>
        <sz val="10"/>
        <color theme="1"/>
        <rFont val="宋体"/>
        <charset val="134"/>
      </rPr>
      <t>液氨木棉</t>
    </r>
  </si>
  <si>
    <t>SY253003</t>
  </si>
  <si>
    <t>2.26/kg</t>
  </si>
  <si>
    <r>
      <rPr>
        <sz val="10"/>
        <color theme="1"/>
        <rFont val="Calibri Light"/>
        <charset val="134"/>
      </rPr>
      <t>968#</t>
    </r>
    <r>
      <rPr>
        <sz val="10"/>
        <color theme="1"/>
        <rFont val="宋体"/>
        <charset val="134"/>
      </rPr>
      <t>液氨打基布</t>
    </r>
  </si>
  <si>
    <t>SY253004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</si>
  <si>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91/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93</t>
    </r>
  </si>
  <si>
    <t>2.36/kg</t>
  </si>
  <si>
    <r>
      <rPr>
        <sz val="10"/>
        <color theme="1"/>
        <rFont val="Calibri Light"/>
        <charset val="134"/>
      </rPr>
      <t>A965</t>
    </r>
    <r>
      <rPr>
        <sz val="10"/>
        <color theme="1"/>
        <rFont val="宋体"/>
        <charset val="134"/>
      </rPr>
      <t>液氨桑蚕绸丽丝</t>
    </r>
  </si>
  <si>
    <t>SY253005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</si>
  <si>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桑蚕丝</t>
    </r>
  </si>
  <si>
    <t>白色142/杂色144</t>
  </si>
  <si>
    <r>
      <rPr>
        <sz val="10"/>
        <color theme="1"/>
        <rFont val="Calibri Light"/>
        <charset val="134"/>
      </rPr>
      <t>A988#</t>
    </r>
    <r>
      <rPr>
        <sz val="10"/>
        <color theme="1"/>
        <rFont val="宋体"/>
        <charset val="134"/>
      </rPr>
      <t>液氨柔丝绵</t>
    </r>
  </si>
  <si>
    <t>SY253006</t>
  </si>
  <si>
    <t>白色91/杂色93</t>
  </si>
  <si>
    <r>
      <rPr>
        <sz val="10"/>
        <color theme="1"/>
        <rFont val="Calibri Light"/>
        <charset val="134"/>
      </rPr>
      <t>A918# 50s</t>
    </r>
    <r>
      <rPr>
        <sz val="10"/>
        <color theme="1"/>
        <rFont val="宋体"/>
        <charset val="134"/>
      </rPr>
      <t>棉液氨双面</t>
    </r>
  </si>
  <si>
    <t>SY253007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</si>
  <si>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94/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96</t>
    </r>
  </si>
  <si>
    <r>
      <rPr>
        <sz val="10"/>
        <color theme="1"/>
        <rFont val="Calibri Light"/>
        <charset val="134"/>
      </rPr>
      <t>A919#60s</t>
    </r>
    <r>
      <rPr>
        <sz val="10"/>
        <color theme="1"/>
        <rFont val="宋体"/>
        <charset val="134"/>
      </rPr>
      <t>棉液氨双面</t>
    </r>
  </si>
  <si>
    <t>SY253008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</si>
  <si>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匹马棉</t>
    </r>
  </si>
  <si>
    <t>100%PIMA COTTON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</si>
  <si>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99/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101</t>
    </r>
  </si>
  <si>
    <t>棉混纺</t>
  </si>
  <si>
    <r>
      <rPr>
        <sz val="10"/>
        <color theme="1"/>
        <rFont val="Calibri Light"/>
        <charset val="134"/>
      </rPr>
      <t>A606</t>
    </r>
    <r>
      <rPr>
        <sz val="10"/>
        <color theme="1"/>
        <rFont val="宋体"/>
        <charset val="134"/>
      </rPr>
      <t>水柔棉</t>
    </r>
  </si>
  <si>
    <t>SY253009</t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</si>
  <si>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68/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70</t>
    </r>
  </si>
  <si>
    <r>
      <rPr>
        <sz val="10"/>
        <color theme="1"/>
        <rFont val="Calibri Light"/>
        <charset val="134"/>
      </rPr>
      <t>752#</t>
    </r>
    <r>
      <rPr>
        <sz val="10"/>
        <color theme="1"/>
        <rFont val="宋体"/>
        <charset val="134"/>
      </rPr>
      <t>醋酸小提花</t>
    </r>
  </si>
  <si>
    <t>SY253010</t>
  </si>
  <si>
    <r>
      <rPr>
        <sz val="10"/>
        <color theme="1"/>
        <rFont val="Calibri Light"/>
        <charset val="134"/>
      </rPr>
      <t>39.2%</t>
    </r>
    <r>
      <rPr>
        <sz val="10"/>
        <color theme="1"/>
        <rFont val="宋体"/>
        <charset val="134"/>
      </rPr>
      <t>高弹聚酯纤维</t>
    </r>
    <r>
      <rPr>
        <sz val="10"/>
        <color theme="1"/>
        <rFont val="Calibri Light"/>
        <charset val="134"/>
      </rPr>
      <t>36.4%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24.4%</t>
    </r>
    <r>
      <rPr>
        <sz val="10"/>
        <color theme="1"/>
        <rFont val="宋体"/>
        <charset val="134"/>
      </rPr>
      <t>醋脂纤维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</si>
  <si>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90/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92</t>
    </r>
  </si>
  <si>
    <r>
      <rPr>
        <sz val="10"/>
        <color theme="1"/>
        <rFont val="Calibri Light"/>
        <charset val="134"/>
      </rPr>
      <t>726#</t>
    </r>
    <r>
      <rPr>
        <sz val="10"/>
        <color theme="1"/>
        <rFont val="宋体"/>
        <charset val="134"/>
      </rPr>
      <t>棉麻府绸</t>
    </r>
  </si>
  <si>
    <t>SY253011</t>
  </si>
  <si>
    <r>
      <rPr>
        <sz val="10"/>
        <color theme="1"/>
        <rFont val="Calibri Light"/>
        <charset val="134"/>
      </rPr>
      <t>53.8%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22.46%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20.74%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亚麻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</si>
  <si>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105/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107</t>
    </r>
  </si>
  <si>
    <r>
      <rPr>
        <sz val="10"/>
        <color theme="1"/>
        <rFont val="Calibri Light"/>
        <charset val="134"/>
      </rPr>
      <t>701#</t>
    </r>
    <r>
      <rPr>
        <sz val="10"/>
        <color theme="1"/>
        <rFont val="宋体"/>
        <charset val="134"/>
      </rPr>
      <t>棉如雪皮肤衣</t>
    </r>
  </si>
  <si>
    <t>SY253012</t>
  </si>
  <si>
    <r>
      <rPr>
        <sz val="10"/>
        <color theme="1"/>
        <rFont val="Calibri Light"/>
        <charset val="134"/>
      </rPr>
      <t>89%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11%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</si>
  <si>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98/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100</t>
    </r>
  </si>
  <si>
    <t>3.94m/kg</t>
  </si>
  <si>
    <r>
      <rPr>
        <sz val="10"/>
        <color theme="1"/>
        <rFont val="Calibri Light"/>
        <charset val="134"/>
      </rPr>
      <t>713#i</t>
    </r>
    <r>
      <rPr>
        <sz val="10"/>
        <color theme="1"/>
        <rFont val="宋体"/>
        <charset val="134"/>
      </rPr>
      <t>亲液棉</t>
    </r>
  </si>
  <si>
    <t>SY253013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</si>
  <si>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涤纶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</si>
  <si>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73/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75</t>
    </r>
  </si>
  <si>
    <t>2.86m/kg</t>
  </si>
  <si>
    <r>
      <rPr>
        <sz val="10"/>
        <color theme="1"/>
        <rFont val="Calibri Light"/>
        <charset val="134"/>
      </rPr>
      <t>667-2#</t>
    </r>
    <r>
      <rPr>
        <sz val="10"/>
        <color theme="1"/>
        <rFont val="宋体"/>
        <charset val="134"/>
      </rPr>
      <t>贵竹棉</t>
    </r>
  </si>
  <si>
    <t>SY253014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</si>
  <si>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</si>
  <si>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71/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73</t>
    </r>
  </si>
  <si>
    <t>3.27m/kg</t>
  </si>
  <si>
    <r>
      <rPr>
        <sz val="10"/>
        <color theme="1"/>
        <rFont val="Calibri Light"/>
        <charset val="134"/>
      </rPr>
      <t>733#</t>
    </r>
    <r>
      <rPr>
        <sz val="10"/>
        <color theme="1"/>
        <rFont val="宋体"/>
        <charset val="134"/>
      </rPr>
      <t>莫棉丝光双面</t>
    </r>
  </si>
  <si>
    <t>SY253015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</si>
  <si>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莫代尔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</si>
  <si>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86/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88</t>
    </r>
  </si>
  <si>
    <r>
      <rPr>
        <sz val="10"/>
        <color theme="1"/>
        <rFont val="Calibri Light"/>
        <charset val="134"/>
      </rPr>
      <t>A666-1</t>
    </r>
    <r>
      <rPr>
        <sz val="10"/>
        <color theme="1"/>
        <rFont val="宋体"/>
        <charset val="134"/>
      </rPr>
      <t>羊毛罗马</t>
    </r>
  </si>
  <si>
    <t>SY253016</t>
  </si>
  <si>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羊毛</t>
    </r>
  </si>
  <si>
    <t>白色89/杂色91</t>
  </si>
  <si>
    <r>
      <rPr>
        <sz val="10"/>
        <color theme="1"/>
        <rFont val="Calibri Light"/>
        <charset val="134"/>
      </rPr>
      <t>764#</t>
    </r>
    <r>
      <rPr>
        <sz val="10"/>
        <color theme="1"/>
        <rFont val="宋体"/>
        <charset val="134"/>
      </rPr>
      <t>琉光缎</t>
    </r>
  </si>
  <si>
    <t>SY253017</t>
  </si>
  <si>
    <r>
      <rPr>
        <sz val="10"/>
        <color theme="1"/>
        <rFont val="Calibri Light"/>
        <charset val="134"/>
      </rPr>
      <t>65.1%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21.9%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莫代尔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</si>
  <si>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106/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108</t>
    </r>
  </si>
  <si>
    <r>
      <rPr>
        <sz val="10"/>
        <color theme="1"/>
        <rFont val="Calibri Light"/>
        <charset val="134"/>
      </rPr>
      <t>753#</t>
    </r>
    <r>
      <rPr>
        <sz val="10"/>
        <color theme="1"/>
        <rFont val="宋体"/>
        <charset val="134"/>
      </rPr>
      <t>冰丝幽棉</t>
    </r>
  </si>
  <si>
    <t>SY253018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</si>
  <si>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16%</t>
    </r>
    <r>
      <rPr>
        <sz val="10"/>
        <color theme="1"/>
        <rFont val="宋体"/>
        <charset val="134"/>
      </rPr>
      <t>莫代尔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</si>
  <si>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107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109</t>
    </r>
  </si>
  <si>
    <r>
      <rPr>
        <sz val="10"/>
        <color theme="1"/>
        <rFont val="Calibri Light"/>
        <charset val="134"/>
      </rPr>
      <t>662#</t>
    </r>
    <r>
      <rPr>
        <sz val="10"/>
        <color theme="1"/>
        <rFont val="宋体"/>
        <charset val="134"/>
      </rPr>
      <t>玉石锡</t>
    </r>
  </si>
  <si>
    <t>SY253019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</si>
  <si>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</si>
  <si>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t>白色95/杂色97</t>
  </si>
  <si>
    <r>
      <rPr>
        <sz val="10"/>
        <color theme="1"/>
        <rFont val="Calibri Light"/>
        <charset val="134"/>
      </rPr>
      <t>614-1 80s</t>
    </r>
    <r>
      <rPr>
        <sz val="10"/>
        <color theme="1"/>
        <rFont val="宋体"/>
        <charset val="134"/>
      </rPr>
      <t>棉莫拉架双面</t>
    </r>
  </si>
  <si>
    <t>SY253020</t>
  </si>
  <si>
    <r>
      <rPr>
        <sz val="10"/>
        <color theme="1"/>
        <rFont val="Calibri Light"/>
        <charset val="134"/>
      </rPr>
      <t>72.6%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18.12%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9.28%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</si>
  <si>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133/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135</t>
    </r>
  </si>
  <si>
    <r>
      <rPr>
        <sz val="10"/>
        <color theme="1"/>
        <rFont val="Calibri Light"/>
        <charset val="134"/>
      </rPr>
      <t>654#</t>
    </r>
    <r>
      <rPr>
        <sz val="10"/>
        <color theme="1"/>
        <rFont val="宋体"/>
        <charset val="134"/>
      </rPr>
      <t>晨曦花</t>
    </r>
  </si>
  <si>
    <t>SY253021</t>
  </si>
  <si>
    <t>64%棉28%莫代尔8%氨纶</t>
  </si>
  <si>
    <t>空气层</t>
  </si>
  <si>
    <r>
      <rPr>
        <sz val="10"/>
        <color theme="1"/>
        <rFont val="Calibri Light"/>
        <charset val="134"/>
      </rPr>
      <t xml:space="preserve">A636-3 </t>
    </r>
    <r>
      <rPr>
        <sz val="10"/>
        <color theme="1"/>
        <rFont val="宋体"/>
        <charset val="134"/>
      </rPr>
      <t>单面绒</t>
    </r>
  </si>
  <si>
    <t>SY253022</t>
  </si>
  <si>
    <r>
      <rPr>
        <sz val="10"/>
        <color theme="1"/>
        <rFont val="Calibri Light"/>
        <charset val="134"/>
      </rPr>
      <t>38.5%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16.5%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</si>
  <si>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79/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81</t>
    </r>
  </si>
  <si>
    <t>2.44m/kg</t>
  </si>
  <si>
    <r>
      <rPr>
        <sz val="10"/>
        <color theme="1"/>
        <rFont val="Calibri Light"/>
        <charset val="134"/>
      </rPr>
      <t>628#</t>
    </r>
    <r>
      <rPr>
        <sz val="10"/>
        <color theme="1"/>
        <rFont val="宋体"/>
        <charset val="134"/>
      </rPr>
      <t>桑蚕丝空气层</t>
    </r>
  </si>
  <si>
    <t>SY253023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</si>
  <si>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14.5%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4.5%</t>
    </r>
    <r>
      <rPr>
        <sz val="10"/>
        <color theme="1"/>
        <rFont val="宋体"/>
        <charset val="134"/>
      </rPr>
      <t>桑蚕丝</t>
    </r>
  </si>
  <si>
    <t>白色108/杂色110</t>
  </si>
  <si>
    <r>
      <rPr>
        <sz val="10"/>
        <color theme="1"/>
        <rFont val="Calibri Light"/>
        <charset val="134"/>
      </rPr>
      <t xml:space="preserve">744-1 </t>
    </r>
    <r>
      <rPr>
        <sz val="10"/>
        <color theme="1"/>
        <rFont val="宋体"/>
        <charset val="134"/>
      </rPr>
      <t>云朵棉</t>
    </r>
  </si>
  <si>
    <t>SY253024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</si>
  <si>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10.5%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8.5%</t>
    </r>
    <r>
      <rPr>
        <sz val="10"/>
        <color theme="1"/>
        <rFont val="宋体"/>
        <charset val="134"/>
      </rPr>
      <t>氨纶</t>
    </r>
  </si>
  <si>
    <t>白色94/杂色96</t>
  </si>
  <si>
    <r>
      <rPr>
        <sz val="10"/>
        <color theme="1"/>
        <rFont val="Calibri Light"/>
        <charset val="134"/>
      </rPr>
      <t xml:space="preserve">A636  </t>
    </r>
    <r>
      <rPr>
        <sz val="10"/>
        <color theme="1"/>
        <rFont val="宋体"/>
        <charset val="134"/>
      </rPr>
      <t>双面空气层</t>
    </r>
  </si>
  <si>
    <t>SY253025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</si>
  <si>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24%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13.3%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6.7%</t>
    </r>
    <r>
      <rPr>
        <sz val="10"/>
        <color theme="1"/>
        <rFont val="宋体"/>
        <charset val="134"/>
      </rPr>
      <t>氨纶</t>
    </r>
  </si>
  <si>
    <t>白色86/杂色88</t>
  </si>
  <si>
    <r>
      <rPr>
        <sz val="10"/>
        <color theme="1"/>
        <rFont val="Calibri Light"/>
        <charset val="134"/>
      </rPr>
      <t>3184#</t>
    </r>
    <r>
      <rPr>
        <sz val="10"/>
        <color theme="1"/>
        <rFont val="宋体"/>
        <charset val="134"/>
      </rPr>
      <t>羊毛拉绒卫衣</t>
    </r>
  </si>
  <si>
    <t>SY253026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</si>
  <si>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4.5%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3.5%</t>
    </r>
    <r>
      <rPr>
        <sz val="10"/>
        <color theme="1"/>
        <rFont val="宋体"/>
        <charset val="134"/>
      </rPr>
      <t>羊毛</t>
    </r>
  </si>
  <si>
    <t>白色71/杂色73</t>
  </si>
  <si>
    <r>
      <rPr>
        <sz val="10"/>
        <color theme="1"/>
        <rFont val="Calibri Light"/>
        <charset val="134"/>
      </rPr>
      <t>750#</t>
    </r>
    <r>
      <rPr>
        <sz val="10"/>
        <color theme="1"/>
        <rFont val="宋体"/>
        <charset val="134"/>
      </rPr>
      <t>寒雨思绒</t>
    </r>
  </si>
  <si>
    <t>SY253027</t>
  </si>
  <si>
    <r>
      <rPr>
        <sz val="10"/>
        <color theme="1"/>
        <rFont val="Calibri Light"/>
        <charset val="134"/>
      </rPr>
      <t>79.7%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15.2%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5.1%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</si>
  <si>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64/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66</t>
    </r>
  </si>
  <si>
    <r>
      <rPr>
        <sz val="10"/>
        <color theme="1"/>
        <rFont val="Calibri Light"/>
        <charset val="134"/>
      </rPr>
      <t xml:space="preserve">A 3185 </t>
    </r>
    <r>
      <rPr>
        <sz val="10"/>
        <color theme="1"/>
        <rFont val="宋体"/>
        <charset val="134"/>
      </rPr>
      <t>亲肤超柔卫衣</t>
    </r>
  </si>
  <si>
    <t>SY253028</t>
  </si>
  <si>
    <r>
      <rPr>
        <sz val="10"/>
        <color theme="1"/>
        <rFont val="Calibri Light"/>
        <charset val="134"/>
      </rPr>
      <t>50.4%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22.3%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22.3%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</si>
  <si>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63/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65</t>
    </r>
  </si>
  <si>
    <r>
      <rPr>
        <sz val="10"/>
        <color theme="1"/>
        <rFont val="Calibri Light"/>
        <charset val="134"/>
      </rPr>
      <t>3183#</t>
    </r>
    <r>
      <rPr>
        <sz val="10"/>
        <color theme="1"/>
        <rFont val="宋体"/>
        <charset val="134"/>
      </rPr>
      <t>色织间条空气层</t>
    </r>
  </si>
  <si>
    <t>SY253029</t>
  </si>
  <si>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再生纤维素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15.5%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4.5%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</si>
  <si>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81/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73</t>
    </r>
  </si>
  <si>
    <t>1.93m/kg</t>
  </si>
  <si>
    <r>
      <rPr>
        <sz val="10"/>
        <color theme="1"/>
        <rFont val="Calibri Light"/>
        <charset val="134"/>
      </rPr>
      <t xml:space="preserve">3128# </t>
    </r>
    <r>
      <rPr>
        <sz val="10"/>
        <color theme="1"/>
        <rFont val="宋体"/>
        <charset val="134"/>
      </rPr>
      <t>亲肤超柔卫衣</t>
    </r>
  </si>
  <si>
    <t>SY253030</t>
  </si>
  <si>
    <t>40%再生纤维素40%棉15.5%聚酯纤维4.5%氨纶</t>
  </si>
  <si>
    <t>白色63/杂色65</t>
  </si>
  <si>
    <t>1.42m/kg</t>
  </si>
  <si>
    <r>
      <rPr>
        <sz val="10"/>
        <color theme="1"/>
        <rFont val="Calibri Light"/>
        <charset val="134"/>
      </rPr>
      <t xml:space="preserve">3127# </t>
    </r>
    <r>
      <rPr>
        <sz val="10"/>
        <color theme="1"/>
        <rFont val="宋体"/>
        <charset val="134"/>
      </rPr>
      <t>亲肤超柔卫衣</t>
    </r>
  </si>
  <si>
    <t>SY253031</t>
  </si>
  <si>
    <r>
      <rPr>
        <sz val="10"/>
        <color theme="1"/>
        <rFont val="Calibri Light"/>
        <charset val="134"/>
      </rPr>
      <t>42.1%</t>
    </r>
    <r>
      <rPr>
        <sz val="10"/>
        <color theme="1"/>
        <rFont val="宋体"/>
        <charset val="134"/>
      </rPr>
      <t>再生纤维素</t>
    </r>
    <r>
      <rPr>
        <sz val="10"/>
        <color theme="1"/>
        <rFont val="Calibri Light"/>
        <charset val="134"/>
      </rPr>
      <t>35.1%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17.6%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5.2%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</si>
  <si>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66/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68</t>
    </r>
  </si>
  <si>
    <r>
      <rPr>
        <sz val="10"/>
        <color theme="1"/>
        <rFont val="Calibri Light"/>
        <charset val="134"/>
      </rPr>
      <t xml:space="preserve">3174# </t>
    </r>
    <r>
      <rPr>
        <sz val="10"/>
        <color theme="1"/>
        <rFont val="宋体"/>
        <charset val="134"/>
      </rPr>
      <t>热暖绒空气层</t>
    </r>
  </si>
  <si>
    <t>SY253032</t>
  </si>
  <si>
    <r>
      <rPr>
        <sz val="10"/>
        <color theme="1"/>
        <rFont val="Calibri Light"/>
        <charset val="134"/>
      </rPr>
      <t>58.6%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18.8%</t>
    </r>
    <r>
      <rPr>
        <sz val="10"/>
        <color theme="1"/>
        <rFont val="宋体"/>
        <charset val="134"/>
      </rPr>
      <t>纤维素纤维</t>
    </r>
    <r>
      <rPr>
        <sz val="10"/>
        <color theme="1"/>
        <rFont val="Calibri Light"/>
        <charset val="134"/>
      </rPr>
      <t>18.8%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3.8%</t>
    </r>
    <r>
      <rPr>
        <sz val="10"/>
        <color theme="1"/>
        <rFont val="宋体"/>
        <charset val="134"/>
      </rPr>
      <t>氨纶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</si>
  <si>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59/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61/</t>
    </r>
    <r>
      <rPr>
        <sz val="11"/>
        <rFont val="宋体"/>
        <charset val="134"/>
      </rPr>
      <t>固黑</t>
    </r>
    <r>
      <rPr>
        <sz val="11"/>
        <rFont val="Calibri Light"/>
        <charset val="134"/>
      </rPr>
      <t>63</t>
    </r>
  </si>
  <si>
    <t>1.39m/kg</t>
  </si>
  <si>
    <r>
      <rPr>
        <sz val="10"/>
        <color theme="1"/>
        <rFont val="Calibri Light"/>
        <charset val="134"/>
      </rPr>
      <t xml:space="preserve">757# </t>
    </r>
    <r>
      <rPr>
        <sz val="10"/>
        <color theme="1"/>
        <rFont val="宋体"/>
        <charset val="134"/>
      </rPr>
      <t>棉莫羊绒蛋白单面绒</t>
    </r>
  </si>
  <si>
    <t>SY253033</t>
  </si>
  <si>
    <r>
      <rPr>
        <sz val="10"/>
        <color theme="1"/>
        <rFont val="Calibri Light"/>
        <charset val="134"/>
      </rPr>
      <t>36.5%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34.9%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23.4%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5.2%</t>
    </r>
    <r>
      <rPr>
        <sz val="10"/>
        <color theme="1"/>
        <rFont val="宋体"/>
        <charset val="134"/>
      </rPr>
      <t>氨纶</t>
    </r>
  </si>
  <si>
    <t>2.26m/kg</t>
  </si>
  <si>
    <r>
      <rPr>
        <sz val="10"/>
        <color theme="1"/>
        <rFont val="Calibri Light"/>
        <charset val="134"/>
      </rPr>
      <t xml:space="preserve">626A# </t>
    </r>
    <r>
      <rPr>
        <sz val="10"/>
        <color theme="1"/>
        <rFont val="宋体"/>
        <charset val="134"/>
      </rPr>
      <t>轻量拉毛单面</t>
    </r>
  </si>
  <si>
    <t>SY253034</t>
  </si>
  <si>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再生纤维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晴纶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棉</t>
    </r>
  </si>
  <si>
    <t>2.16m/kg</t>
  </si>
  <si>
    <r>
      <rPr>
        <sz val="10"/>
        <color theme="1"/>
        <rFont val="Calibri Light"/>
        <charset val="134"/>
      </rPr>
      <t>740#</t>
    </r>
    <r>
      <rPr>
        <sz val="10"/>
        <color theme="1"/>
        <rFont val="宋体"/>
        <charset val="134"/>
      </rPr>
      <t>水磨小羊皮绒</t>
    </r>
  </si>
  <si>
    <t>SY253035</t>
  </si>
  <si>
    <r>
      <rPr>
        <sz val="10"/>
        <color theme="1"/>
        <rFont val="Calibri Light"/>
        <charset val="134"/>
      </rPr>
      <t>77%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功能性粘胶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</si>
  <si>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2.15m/kg</t>
  </si>
  <si>
    <r>
      <rPr>
        <sz val="10"/>
        <color theme="1"/>
        <rFont val="Calibri Light"/>
        <charset val="134"/>
      </rPr>
      <t>686#</t>
    </r>
    <r>
      <rPr>
        <sz val="10"/>
        <color theme="1"/>
        <rFont val="宋体"/>
        <charset val="134"/>
      </rPr>
      <t>麂皮绒弹力双面</t>
    </r>
  </si>
  <si>
    <t>SY253036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</si>
  <si>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</si>
  <si>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639</t>
    </r>
    <r>
      <rPr>
        <sz val="10"/>
        <color theme="1"/>
        <rFont val="宋体"/>
        <charset val="134"/>
      </rPr>
      <t>轻量化拉毛膨体双面</t>
    </r>
  </si>
  <si>
    <t>SY253037</t>
  </si>
  <si>
    <r>
      <rPr>
        <sz val="10"/>
        <color theme="1"/>
        <rFont val="Calibri Light"/>
        <charset val="134"/>
      </rPr>
      <t>66.5%</t>
    </r>
    <r>
      <rPr>
        <sz val="10"/>
        <color theme="1"/>
        <rFont val="宋体"/>
        <charset val="134"/>
      </rPr>
      <t>再生纤维素纤维</t>
    </r>
    <r>
      <rPr>
        <sz val="10"/>
        <color theme="1"/>
        <rFont val="Calibri Light"/>
        <charset val="134"/>
      </rPr>
      <t>25.5%</t>
    </r>
    <r>
      <rPr>
        <sz val="10"/>
        <color theme="1"/>
        <rFont val="宋体"/>
        <charset val="134"/>
      </rPr>
      <t>晴纶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</si>
  <si>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t>1.85m/kg</t>
  </si>
  <si>
    <r>
      <rPr>
        <sz val="10"/>
        <color theme="1"/>
        <rFont val="Calibri Light"/>
        <charset val="134"/>
      </rPr>
      <t>3194</t>
    </r>
    <r>
      <rPr>
        <sz val="10"/>
        <color theme="1"/>
        <rFont val="宋体"/>
        <charset val="134"/>
      </rPr>
      <t>羊毛卫衣（不拉毛）</t>
    </r>
  </si>
  <si>
    <t>SY253038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</si>
  <si>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18.6%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14.88%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4.8%</t>
    </r>
    <r>
      <rPr>
        <sz val="10"/>
        <color theme="1"/>
        <rFont val="宋体"/>
        <charset val="134"/>
      </rPr>
      <t>氨纶</t>
    </r>
    <r>
      <rPr>
        <sz val="10"/>
        <color theme="1"/>
        <rFont val="Calibri Light"/>
        <charset val="134"/>
      </rPr>
      <t>3.72%</t>
    </r>
    <r>
      <rPr>
        <sz val="10"/>
        <color theme="1"/>
        <rFont val="宋体"/>
        <charset val="134"/>
      </rPr>
      <t>羊毛</t>
    </r>
  </si>
  <si>
    <r>
      <rPr>
        <sz val="11"/>
        <rFont val="宋体"/>
        <charset val="134"/>
      </rPr>
      <t>白色</t>
    </r>
    <r>
      <rPr>
        <sz val="11"/>
        <rFont val="Calibri Light"/>
        <charset val="134"/>
      </rPr>
      <t>69/</t>
    </r>
    <r>
      <rPr>
        <sz val="11"/>
        <rFont val="宋体"/>
        <charset val="134"/>
      </rPr>
      <t>杂色</t>
    </r>
    <r>
      <rPr>
        <sz val="11"/>
        <rFont val="Calibri Light"/>
        <charset val="134"/>
      </rPr>
      <t>71</t>
    </r>
  </si>
  <si>
    <t>珠地</t>
  </si>
  <si>
    <r>
      <rPr>
        <sz val="10"/>
        <color theme="1"/>
        <rFont val="Calibri Light"/>
        <charset val="134"/>
      </rPr>
      <t xml:space="preserve">2400   </t>
    </r>
    <r>
      <rPr>
        <sz val="10"/>
        <color theme="1"/>
        <rFont val="宋体"/>
        <charset val="134"/>
      </rPr>
      <t>爽棉珠地拉架</t>
    </r>
  </si>
  <si>
    <t>SY253039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</si>
  <si>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</si>
  <si>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55%BCI COTTON40%POLY5%SP</t>
  </si>
  <si>
    <t>恒生布行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</si>
  <si>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2</t>
    </r>
    <r>
      <rPr>
        <sz val="10"/>
        <color theme="1"/>
        <rFont val="宋体"/>
        <charset val="134"/>
      </rPr>
      <t>，活性黑加</t>
    </r>
    <r>
      <rPr>
        <sz val="10"/>
        <color theme="1"/>
        <rFont val="Calibri Light"/>
        <charset val="134"/>
      </rPr>
      <t>3</t>
    </r>
  </si>
  <si>
    <t>3.0m/kg</t>
  </si>
  <si>
    <r>
      <rPr>
        <sz val="10"/>
        <color theme="1"/>
        <rFont val="Calibri Light"/>
        <charset val="134"/>
      </rPr>
      <t>802   32S</t>
    </r>
    <r>
      <rPr>
        <sz val="10"/>
        <color theme="1"/>
        <rFont val="宋体"/>
        <charset val="134"/>
      </rPr>
      <t>精棉珠地拉架</t>
    </r>
  </si>
  <si>
    <t>SY253040</t>
  </si>
  <si>
    <t>均价加3，最高加3</t>
  </si>
  <si>
    <r>
      <rPr>
        <sz val="10"/>
        <color theme="1"/>
        <rFont val="Calibri Light"/>
        <charset val="134"/>
      </rPr>
      <t xml:space="preserve">2419  </t>
    </r>
    <r>
      <rPr>
        <sz val="10"/>
        <color theme="1"/>
        <rFont val="宋体"/>
        <charset val="134"/>
      </rPr>
      <t>珠地空气层</t>
    </r>
  </si>
  <si>
    <t>SY253041</t>
  </si>
  <si>
    <t>52%棉 48%涤纶</t>
  </si>
  <si>
    <t>52%BCI COTTON 48%POLY</t>
  </si>
  <si>
    <t>2.0m/kg</t>
  </si>
  <si>
    <r>
      <rPr>
        <sz val="10"/>
        <color theme="1"/>
        <rFont val="Calibri Light"/>
        <charset val="134"/>
      </rPr>
      <t xml:space="preserve">2518  </t>
    </r>
    <r>
      <rPr>
        <sz val="10"/>
        <color theme="1"/>
        <rFont val="宋体"/>
        <charset val="134"/>
      </rPr>
      <t>果冻珠地</t>
    </r>
  </si>
  <si>
    <t>SY253042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</si>
  <si>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</si>
  <si>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57%BCI COTTON40%POLY3%SP</t>
  </si>
  <si>
    <t>均价加2，活性黑加3</t>
  </si>
  <si>
    <r>
      <rPr>
        <sz val="10"/>
        <color theme="1"/>
        <rFont val="Calibri Light"/>
        <charset val="134"/>
      </rPr>
      <t xml:space="preserve">2463  </t>
    </r>
    <r>
      <rPr>
        <sz val="10"/>
        <color theme="1"/>
        <rFont val="宋体"/>
        <charset val="134"/>
      </rPr>
      <t>珠地双面</t>
    </r>
  </si>
  <si>
    <t>SY253043</t>
  </si>
  <si>
    <r>
      <rPr>
        <sz val="10"/>
        <color theme="1"/>
        <rFont val="Calibri Light"/>
        <charset val="134"/>
      </rPr>
      <t>84%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</si>
  <si>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84%BCI COTTON12%POLY4%SP</t>
  </si>
  <si>
    <r>
      <rPr>
        <sz val="10"/>
        <color theme="1"/>
        <rFont val="Calibri Light"/>
        <charset val="134"/>
      </rPr>
      <t>2382  16S</t>
    </r>
    <r>
      <rPr>
        <sz val="10"/>
        <color theme="1"/>
        <rFont val="宋体"/>
        <charset val="134"/>
      </rPr>
      <t>纯棉</t>
    </r>
    <r>
      <rPr>
        <sz val="10"/>
        <color theme="1"/>
        <rFont val="Calibri Light"/>
        <charset val="134"/>
      </rPr>
      <t>2X2</t>
    </r>
    <r>
      <rPr>
        <sz val="10"/>
        <color theme="1"/>
        <rFont val="宋体"/>
        <charset val="134"/>
      </rPr>
      <t>罗纹</t>
    </r>
  </si>
  <si>
    <t>SY253044</t>
  </si>
  <si>
    <t>96%棉4%氨纶</t>
  </si>
  <si>
    <t>双面</t>
  </si>
  <si>
    <r>
      <rPr>
        <sz val="10"/>
        <color theme="1"/>
        <rFont val="Calibri Light"/>
        <charset val="134"/>
      </rPr>
      <t xml:space="preserve">2514  </t>
    </r>
    <r>
      <rPr>
        <sz val="10"/>
        <color theme="1"/>
        <rFont val="宋体"/>
        <charset val="134"/>
      </rPr>
      <t>轻奢双面</t>
    </r>
  </si>
  <si>
    <t>SY253045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</si>
  <si>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，花灰加</t>
    </r>
    <r>
      <rPr>
        <sz val="10"/>
        <color theme="1"/>
        <rFont val="Calibri Light"/>
        <charset val="134"/>
      </rPr>
      <t>6</t>
    </r>
    <r>
      <rPr>
        <sz val="10"/>
        <color theme="1"/>
        <rFont val="宋体"/>
        <charset val="134"/>
      </rPr>
      <t>深花灰加</t>
    </r>
    <r>
      <rPr>
        <sz val="10"/>
        <color theme="1"/>
        <rFont val="Calibri Light"/>
        <charset val="134"/>
      </rPr>
      <t>12</t>
    </r>
  </si>
  <si>
    <r>
      <rPr>
        <sz val="10"/>
        <color theme="1"/>
        <rFont val="Calibri Light"/>
        <charset val="134"/>
      </rPr>
      <t xml:space="preserve">2105  </t>
    </r>
    <r>
      <rPr>
        <sz val="10"/>
        <color theme="1"/>
        <rFont val="宋体"/>
        <charset val="134"/>
      </rPr>
      <t>纯棉健康布</t>
    </r>
  </si>
  <si>
    <t>SY253046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</si>
  <si>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</si>
  <si>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80%BCI COTTON14%POLY6%SP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</si>
  <si>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，活性黑加</t>
    </r>
    <r>
      <rPr>
        <sz val="10"/>
        <color theme="1"/>
        <rFont val="Calibri Light"/>
        <charset val="134"/>
      </rPr>
      <t>5</t>
    </r>
  </si>
  <si>
    <r>
      <rPr>
        <sz val="10"/>
        <color theme="1"/>
        <rFont val="Calibri Light"/>
        <charset val="134"/>
      </rPr>
      <t xml:space="preserve">2466  </t>
    </r>
    <r>
      <rPr>
        <sz val="10"/>
        <color theme="1"/>
        <rFont val="宋体"/>
        <charset val="134"/>
      </rPr>
      <t>液氨双面</t>
    </r>
  </si>
  <si>
    <t>SY253047</t>
  </si>
  <si>
    <r>
      <rPr>
        <sz val="10"/>
        <color theme="1"/>
        <rFont val="Calibri Light"/>
        <charset val="134"/>
      </rPr>
      <t xml:space="preserve">2388  </t>
    </r>
    <r>
      <rPr>
        <sz val="10"/>
        <color theme="1"/>
        <rFont val="宋体"/>
        <charset val="134"/>
      </rPr>
      <t>秋野双面</t>
    </r>
  </si>
  <si>
    <t>SY253048</t>
  </si>
  <si>
    <r>
      <rPr>
        <sz val="10"/>
        <color theme="1"/>
        <rFont val="Calibri Light"/>
        <charset val="134"/>
      </rPr>
      <t>59%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</si>
  <si>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59%POLY35%BCI COTTON6%SP</t>
  </si>
  <si>
    <r>
      <rPr>
        <sz val="10"/>
        <color theme="1"/>
        <rFont val="Calibri Light"/>
        <charset val="134"/>
      </rPr>
      <t xml:space="preserve">2664#  </t>
    </r>
    <r>
      <rPr>
        <sz val="10"/>
        <color theme="1"/>
        <rFont val="宋体"/>
        <charset val="134"/>
      </rPr>
      <t>赫本双面</t>
    </r>
  </si>
  <si>
    <t>SY253049</t>
  </si>
  <si>
    <r>
      <rPr>
        <sz val="10"/>
        <color theme="1"/>
        <rFont val="Calibri Light"/>
        <charset val="134"/>
      </rPr>
      <t>49%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氨纶</t>
    </r>
  </si>
  <si>
    <t>49%POLY42%BCI COTTON9%SP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</si>
  <si>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，撞白宝蓝加</t>
    </r>
    <r>
      <rPr>
        <sz val="10"/>
        <color theme="1"/>
        <rFont val="Calibri Light"/>
        <charset val="134"/>
      </rPr>
      <t>4</t>
    </r>
  </si>
  <si>
    <r>
      <rPr>
        <sz val="10"/>
        <color theme="1"/>
        <rFont val="Calibri Light"/>
        <charset val="134"/>
      </rPr>
      <t xml:space="preserve">2484  </t>
    </r>
    <r>
      <rPr>
        <sz val="10"/>
        <color theme="1"/>
        <rFont val="宋体"/>
        <charset val="134"/>
      </rPr>
      <t>北面绒</t>
    </r>
  </si>
  <si>
    <t>SY253050</t>
  </si>
  <si>
    <r>
      <rPr>
        <sz val="10"/>
        <color theme="1"/>
        <rFont val="Calibri Light"/>
        <charset val="134"/>
      </rPr>
      <t>89%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</si>
  <si>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89%BCI COTTON9%POLY2%SP</t>
  </si>
  <si>
    <r>
      <rPr>
        <sz val="10"/>
        <color theme="1"/>
        <rFont val="Calibri Light"/>
        <charset val="134"/>
      </rPr>
      <t xml:space="preserve">2655  </t>
    </r>
    <r>
      <rPr>
        <sz val="10"/>
        <color theme="1"/>
        <rFont val="宋体"/>
        <charset val="134"/>
      </rPr>
      <t>典雅双面</t>
    </r>
  </si>
  <si>
    <t>SY253051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</si>
  <si>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</si>
  <si>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66%BCI COTTON28%POLY6%SP</t>
  </si>
  <si>
    <t>均价加3，活性黑加5</t>
  </si>
  <si>
    <r>
      <rPr>
        <sz val="10"/>
        <color theme="1"/>
        <rFont val="Calibri Light"/>
        <charset val="134"/>
      </rPr>
      <t xml:space="preserve">2655L </t>
    </r>
    <r>
      <rPr>
        <sz val="10"/>
        <color theme="1"/>
        <rFont val="宋体"/>
        <charset val="134"/>
      </rPr>
      <t>弹力棉罗纹</t>
    </r>
  </si>
  <si>
    <t>SY253052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</si>
  <si>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42%</t>
    </r>
    <r>
      <rPr>
        <sz val="10"/>
        <color theme="1"/>
        <rFont val="宋体"/>
        <charset val="134"/>
      </rPr>
      <t>涤纶</t>
    </r>
  </si>
  <si>
    <t>58%BCI COTTON42%POLY</t>
  </si>
  <si>
    <r>
      <rPr>
        <sz val="10"/>
        <color theme="1"/>
        <rFont val="Calibri Light"/>
        <charset val="134"/>
      </rPr>
      <t xml:space="preserve">2453  </t>
    </r>
    <r>
      <rPr>
        <sz val="10"/>
        <color theme="1"/>
        <rFont val="宋体"/>
        <charset val="134"/>
      </rPr>
      <t>果冻双面</t>
    </r>
  </si>
  <si>
    <t>SY253053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</si>
  <si>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</si>
  <si>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Calibri Light"/>
        <charset val="134"/>
      </rPr>
      <t xml:space="preserve">2429  </t>
    </r>
    <r>
      <rPr>
        <sz val="10"/>
        <color theme="1"/>
        <rFont val="宋体"/>
        <charset val="134"/>
      </rPr>
      <t>新氧棉</t>
    </r>
  </si>
  <si>
    <t>SY253054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</si>
  <si>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</si>
  <si>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57%BCI COTTON41%POLY2%SP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</si>
  <si>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，彩兰加</t>
    </r>
    <r>
      <rPr>
        <sz val="10"/>
        <color theme="1"/>
        <rFont val="Calibri Light"/>
        <charset val="134"/>
      </rPr>
      <t>5</t>
    </r>
  </si>
  <si>
    <r>
      <rPr>
        <sz val="10"/>
        <color theme="1"/>
        <rFont val="Calibri Light"/>
        <charset val="134"/>
      </rPr>
      <t xml:space="preserve">2069  </t>
    </r>
    <r>
      <rPr>
        <sz val="10"/>
        <color theme="1"/>
        <rFont val="宋体"/>
        <charset val="134"/>
      </rPr>
      <t>蛇仔纹</t>
    </r>
  </si>
  <si>
    <t>SY253055</t>
  </si>
  <si>
    <r>
      <rPr>
        <sz val="10"/>
        <color theme="1"/>
        <rFont val="Calibri Light"/>
        <charset val="134"/>
      </rPr>
      <t>49%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</si>
  <si>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49%BCI COTTON49%POLY2%SP</t>
  </si>
  <si>
    <t>罗纹</t>
  </si>
  <si>
    <r>
      <rPr>
        <sz val="10"/>
        <color theme="1"/>
        <rFont val="Calibri Light"/>
        <charset val="134"/>
      </rPr>
      <t xml:space="preserve">2483  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</t>
    </r>
  </si>
  <si>
    <t>SY253056</t>
  </si>
  <si>
    <r>
      <rPr>
        <sz val="10"/>
        <color theme="1"/>
        <rFont val="Calibri Light"/>
        <charset val="134"/>
      </rPr>
      <t>91%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氨纶</t>
    </r>
  </si>
  <si>
    <t>91%R9%SP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</si>
  <si>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，最高加</t>
    </r>
    <r>
      <rPr>
        <sz val="10"/>
        <color theme="1"/>
        <rFont val="Calibri Light"/>
        <charset val="134"/>
      </rPr>
      <t>3</t>
    </r>
  </si>
  <si>
    <r>
      <rPr>
        <sz val="10"/>
        <color theme="1"/>
        <rFont val="Calibri Light"/>
        <charset val="134"/>
      </rPr>
      <t xml:space="preserve">2349  </t>
    </r>
    <r>
      <rPr>
        <sz val="10"/>
        <color theme="1"/>
        <rFont val="宋体"/>
        <charset val="134"/>
      </rPr>
      <t>超薄长绒冰丝</t>
    </r>
    <r>
      <rPr>
        <sz val="10"/>
        <color theme="1"/>
        <rFont val="Calibri Light"/>
        <charset val="134"/>
      </rPr>
      <t>2X2</t>
    </r>
    <r>
      <rPr>
        <sz val="10"/>
        <color theme="1"/>
        <rFont val="宋体"/>
        <charset val="134"/>
      </rPr>
      <t>罗纹</t>
    </r>
  </si>
  <si>
    <t>SY253057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</si>
  <si>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</si>
  <si>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78%BCI COTTON18%POLY4%SP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</si>
  <si>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2</t>
    </r>
    <r>
      <rPr>
        <sz val="10"/>
        <color theme="1"/>
        <rFont val="宋体"/>
        <charset val="134"/>
      </rPr>
      <t>，最高加</t>
    </r>
    <r>
      <rPr>
        <sz val="10"/>
        <color theme="1"/>
        <rFont val="Calibri Light"/>
        <charset val="134"/>
      </rPr>
      <t>3</t>
    </r>
  </si>
  <si>
    <r>
      <rPr>
        <sz val="10"/>
        <color theme="1"/>
        <rFont val="Calibri Light"/>
        <charset val="134"/>
      </rPr>
      <t xml:space="preserve">2482  </t>
    </r>
    <r>
      <rPr>
        <sz val="10"/>
        <color theme="1"/>
        <rFont val="宋体"/>
        <charset val="134"/>
      </rPr>
      <t>加厚莫代尔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</t>
    </r>
  </si>
  <si>
    <t>SY253058</t>
  </si>
  <si>
    <r>
      <rPr>
        <sz val="10"/>
        <color theme="1"/>
        <rFont val="Calibri Light"/>
        <charset val="134"/>
      </rPr>
      <t>91%</t>
    </r>
    <r>
      <rPr>
        <sz val="10"/>
        <color theme="1"/>
        <rFont val="宋体"/>
        <charset val="134"/>
      </rPr>
      <t>粘纤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氨纶</t>
    </r>
  </si>
  <si>
    <t>91%V9%SP</t>
  </si>
  <si>
    <r>
      <rPr>
        <sz val="10"/>
        <color theme="1"/>
        <rFont val="Calibri Light"/>
        <charset val="134"/>
      </rPr>
      <t xml:space="preserve">2343  </t>
    </r>
    <r>
      <rPr>
        <sz val="10"/>
        <color theme="1"/>
        <rFont val="宋体"/>
        <charset val="134"/>
      </rPr>
      <t>优可丝罗纹</t>
    </r>
  </si>
  <si>
    <t>SY253059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</si>
  <si>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粘纤</t>
    </r>
    <r>
      <rPr>
        <sz val="10"/>
        <color theme="1"/>
        <rFont val="Calibri Light"/>
        <charset val="134"/>
      </rPr>
      <t>27%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11%</t>
    </r>
    <r>
      <rPr>
        <sz val="10"/>
        <color theme="1"/>
        <rFont val="宋体"/>
        <charset val="134"/>
      </rPr>
      <t>氨纶</t>
    </r>
  </si>
  <si>
    <t>62%V27%POLY11%SP</t>
  </si>
  <si>
    <t>卫衣空气层</t>
  </si>
  <si>
    <r>
      <rPr>
        <sz val="10"/>
        <color theme="1"/>
        <rFont val="Calibri Light"/>
        <charset val="134"/>
      </rPr>
      <t xml:space="preserve">2595#  </t>
    </r>
    <r>
      <rPr>
        <sz val="10"/>
        <color theme="1"/>
        <rFont val="宋体"/>
        <charset val="134"/>
      </rPr>
      <t>棉花糖</t>
    </r>
  </si>
  <si>
    <t>SY253060</t>
  </si>
  <si>
    <r>
      <rPr>
        <sz val="10"/>
        <color theme="1"/>
        <rFont val="Calibri Light"/>
        <charset val="134"/>
      </rPr>
      <t xml:space="preserve">1583  </t>
    </r>
    <r>
      <rPr>
        <sz val="10"/>
        <color theme="1"/>
        <rFont val="宋体"/>
        <charset val="134"/>
      </rPr>
      <t>精品棉卫衣刷毛绒</t>
    </r>
  </si>
  <si>
    <t>SY253061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</si>
  <si>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，彩兰加</t>
    </r>
    <r>
      <rPr>
        <sz val="10"/>
        <color theme="1"/>
        <rFont val="Calibri Light"/>
        <charset val="134"/>
      </rPr>
      <t>4</t>
    </r>
  </si>
  <si>
    <r>
      <rPr>
        <sz val="10"/>
        <color theme="1"/>
        <rFont val="Calibri Light"/>
        <charset val="134"/>
      </rPr>
      <t xml:space="preserve">2601  </t>
    </r>
    <r>
      <rPr>
        <sz val="10"/>
        <color theme="1"/>
        <rFont val="宋体"/>
        <charset val="134"/>
      </rPr>
      <t>羊绒空气层</t>
    </r>
  </si>
  <si>
    <t>SY253062</t>
  </si>
  <si>
    <r>
      <rPr>
        <sz val="10"/>
        <color theme="1"/>
        <rFont val="Calibri Light"/>
        <charset val="134"/>
      </rPr>
      <t>52%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</si>
  <si>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t>52%POLY40%BCI COTTON8%SP</t>
  </si>
  <si>
    <r>
      <rPr>
        <sz val="10"/>
        <color theme="1"/>
        <rFont val="Calibri Light"/>
        <charset val="134"/>
      </rPr>
      <t xml:space="preserve">2590  </t>
    </r>
    <r>
      <rPr>
        <sz val="10"/>
        <color theme="1"/>
        <rFont val="宋体"/>
        <charset val="134"/>
      </rPr>
      <t>五明治</t>
    </r>
  </si>
  <si>
    <t>SY253063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</si>
  <si>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氨纶</t>
    </r>
  </si>
  <si>
    <t>56%POLY35%BCI COTTON8%SP</t>
  </si>
  <si>
    <r>
      <rPr>
        <sz val="10"/>
        <color theme="1"/>
        <rFont val="Calibri Light"/>
        <charset val="134"/>
      </rPr>
      <t xml:space="preserve">2507  </t>
    </r>
    <r>
      <rPr>
        <sz val="10"/>
        <color theme="1"/>
        <rFont val="宋体"/>
        <charset val="134"/>
      </rPr>
      <t>小米空气层</t>
    </r>
  </si>
  <si>
    <t>SY253064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</si>
  <si>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</si>
  <si>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56%POLY38%BCI COTTON6%SP</t>
  </si>
  <si>
    <t>1,6m/kg</t>
  </si>
  <si>
    <r>
      <rPr>
        <sz val="10"/>
        <color theme="1"/>
        <rFont val="Calibri Light"/>
        <charset val="134"/>
      </rPr>
      <t xml:space="preserve">2040  </t>
    </r>
    <r>
      <rPr>
        <sz val="10"/>
        <color theme="1"/>
        <rFont val="宋体"/>
        <charset val="134"/>
      </rPr>
      <t>尚品摇绒</t>
    </r>
  </si>
  <si>
    <t>SY253065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</si>
  <si>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，撞白大红加</t>
    </r>
    <r>
      <rPr>
        <sz val="10"/>
        <color theme="1"/>
        <rFont val="Calibri Light"/>
        <charset val="134"/>
      </rPr>
      <t>4</t>
    </r>
  </si>
  <si>
    <r>
      <rPr>
        <sz val="10"/>
        <color theme="1"/>
        <rFont val="Calibri Light"/>
        <charset val="134"/>
      </rPr>
      <t xml:space="preserve">2389  </t>
    </r>
    <r>
      <rPr>
        <sz val="10"/>
        <color theme="1"/>
        <rFont val="宋体"/>
        <charset val="134"/>
      </rPr>
      <t>国朝卫衣</t>
    </r>
  </si>
  <si>
    <t>SY253066</t>
  </si>
  <si>
    <t>1.3m/kg</t>
  </si>
  <si>
    <r>
      <rPr>
        <sz val="10"/>
        <color theme="1"/>
        <rFont val="Calibri Light"/>
        <charset val="134"/>
      </rPr>
      <t>2389L  21S</t>
    </r>
    <r>
      <rPr>
        <sz val="10"/>
        <color theme="1"/>
        <rFont val="宋体"/>
        <charset val="134"/>
      </rPr>
      <t>纯棉双纱罗纹</t>
    </r>
  </si>
  <si>
    <t>SY253067</t>
  </si>
  <si>
    <t>1.2m/kg</t>
  </si>
  <si>
    <r>
      <rPr>
        <sz val="10"/>
        <color theme="1"/>
        <rFont val="Calibri Light"/>
        <charset val="134"/>
      </rPr>
      <t xml:space="preserve">2098  </t>
    </r>
    <r>
      <rPr>
        <sz val="10"/>
        <color theme="1"/>
        <rFont val="宋体"/>
        <charset val="134"/>
      </rPr>
      <t>小珠地卫衣</t>
    </r>
  </si>
  <si>
    <t>SY253068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</si>
  <si>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22%</t>
    </r>
    <r>
      <rPr>
        <sz val="10"/>
        <color theme="1"/>
        <rFont val="宋体"/>
        <charset val="134"/>
      </rPr>
      <t>涤纶</t>
    </r>
  </si>
  <si>
    <t>78%BCI COTTON22%POLY</t>
  </si>
  <si>
    <r>
      <rPr>
        <sz val="10"/>
        <color theme="1"/>
        <rFont val="Calibri Light"/>
        <charset val="134"/>
      </rPr>
      <t>814  32S</t>
    </r>
    <r>
      <rPr>
        <sz val="10"/>
        <color theme="1"/>
        <rFont val="宋体"/>
        <charset val="134"/>
      </rPr>
      <t>精棉双卫衣</t>
    </r>
  </si>
  <si>
    <t>SY253069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</si>
  <si>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19%</t>
    </r>
    <r>
      <rPr>
        <sz val="10"/>
        <color theme="1"/>
        <rFont val="宋体"/>
        <charset val="134"/>
      </rPr>
      <t>涤纶</t>
    </r>
  </si>
  <si>
    <t>81%BCI COTTON19%POLY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</si>
  <si>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2</t>
    </r>
    <r>
      <rPr>
        <sz val="10"/>
        <color theme="1"/>
        <rFont val="宋体"/>
        <charset val="134"/>
      </rPr>
      <t>，最高加</t>
    </r>
    <r>
      <rPr>
        <sz val="10"/>
        <color theme="1"/>
        <rFont val="Calibri Light"/>
        <charset val="134"/>
      </rPr>
      <t>2</t>
    </r>
  </si>
  <si>
    <r>
      <rPr>
        <sz val="10"/>
        <color theme="1"/>
        <rFont val="Calibri Light"/>
        <charset val="134"/>
      </rPr>
      <t>1892  40S</t>
    </r>
    <r>
      <rPr>
        <sz val="10"/>
        <color theme="1"/>
        <rFont val="宋体"/>
        <charset val="134"/>
      </rPr>
      <t>奥黛尔斜纹卫衣</t>
    </r>
  </si>
  <si>
    <t>SY253070</t>
  </si>
  <si>
    <r>
      <rPr>
        <sz val="10"/>
        <color theme="1"/>
        <rFont val="Calibri Light"/>
        <charset val="134"/>
      </rPr>
      <t>81%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</si>
  <si>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81%BCI COTTON13%POLY6%SP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</si>
  <si>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，花绿加</t>
    </r>
    <r>
      <rPr>
        <sz val="10"/>
        <color theme="1"/>
        <rFont val="Calibri Light"/>
        <charset val="134"/>
      </rPr>
      <t>5</t>
    </r>
  </si>
  <si>
    <t>单面</t>
  </si>
  <si>
    <r>
      <rPr>
        <sz val="10"/>
        <color theme="1"/>
        <rFont val="Calibri Light"/>
        <charset val="134"/>
      </rPr>
      <t xml:space="preserve">2529  </t>
    </r>
    <r>
      <rPr>
        <sz val="10"/>
        <color theme="1"/>
        <rFont val="宋体"/>
        <charset val="134"/>
      </rPr>
      <t>椰油优可丝</t>
    </r>
  </si>
  <si>
    <t>SY253071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</si>
  <si>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粘纤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</si>
  <si>
    <t>70%R30%POLY</t>
  </si>
  <si>
    <r>
      <rPr>
        <sz val="10"/>
        <color theme="1"/>
        <rFont val="Calibri Light"/>
        <charset val="134"/>
      </rPr>
      <t xml:space="preserve">1394  </t>
    </r>
    <r>
      <rPr>
        <sz val="10"/>
        <color theme="1"/>
        <rFont val="宋体"/>
        <charset val="134"/>
      </rPr>
      <t>丝光棉盖丝</t>
    </r>
  </si>
  <si>
    <t>SY253072</t>
  </si>
  <si>
    <r>
      <rPr>
        <sz val="10"/>
        <color theme="1"/>
        <rFont val="Calibri Light"/>
        <charset val="134"/>
      </rPr>
      <t>41%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41%</t>
    </r>
    <r>
      <rPr>
        <sz val="10"/>
        <color theme="1"/>
        <rFont val="宋体"/>
        <charset val="134"/>
      </rPr>
      <t>木代尔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聚酯纤维</t>
    </r>
  </si>
  <si>
    <t>41%BCI COTTON41%MODAL8%POLY</t>
  </si>
  <si>
    <r>
      <rPr>
        <sz val="10"/>
        <color theme="1"/>
        <rFont val="Calibri Light"/>
        <charset val="134"/>
      </rPr>
      <t>1392  40S</t>
    </r>
    <r>
      <rPr>
        <sz val="10"/>
        <color theme="1"/>
        <rFont val="宋体"/>
        <charset val="134"/>
      </rPr>
      <t>纯棉拉架食毛</t>
    </r>
  </si>
  <si>
    <t>SY253073</t>
  </si>
  <si>
    <t>3.8m/kg</t>
  </si>
  <si>
    <r>
      <rPr>
        <sz val="10"/>
        <color theme="1"/>
        <rFont val="Calibri Light"/>
        <charset val="134"/>
      </rPr>
      <t>1935  40S</t>
    </r>
    <r>
      <rPr>
        <sz val="10"/>
        <color theme="1"/>
        <rFont val="宋体"/>
        <charset val="134"/>
      </rPr>
      <t>滑爽棉</t>
    </r>
  </si>
  <si>
    <t>SY253074</t>
  </si>
  <si>
    <t>均价加3，花灰加6深花灰加12</t>
  </si>
  <si>
    <r>
      <rPr>
        <sz val="10"/>
        <color theme="1"/>
        <rFont val="Calibri Light"/>
        <charset val="134"/>
      </rPr>
      <t>2395  32S</t>
    </r>
    <r>
      <rPr>
        <sz val="10"/>
        <color theme="1"/>
        <rFont val="宋体"/>
        <charset val="134"/>
      </rPr>
      <t>紧密棉双纱平纹</t>
    </r>
  </si>
  <si>
    <t>SY253075</t>
  </si>
  <si>
    <r>
      <rPr>
        <sz val="10"/>
        <color theme="1"/>
        <rFont val="Calibri Light"/>
        <charset val="134"/>
      </rPr>
      <t>2395L  32S</t>
    </r>
    <r>
      <rPr>
        <sz val="10"/>
        <color theme="1"/>
        <rFont val="宋体"/>
        <charset val="134"/>
      </rPr>
      <t>纯棉双纱</t>
    </r>
    <r>
      <rPr>
        <sz val="10"/>
        <color theme="1"/>
        <rFont val="Calibri Light"/>
        <charset val="134"/>
      </rPr>
      <t>1*1</t>
    </r>
    <r>
      <rPr>
        <sz val="10"/>
        <color theme="1"/>
        <rFont val="宋体"/>
        <charset val="134"/>
      </rPr>
      <t>罗纹</t>
    </r>
  </si>
  <si>
    <t>SY253076</t>
  </si>
  <si>
    <r>
      <rPr>
        <sz val="10"/>
        <color theme="1"/>
        <rFont val="Calibri Light"/>
        <charset val="134"/>
      </rPr>
      <t>2494  32S</t>
    </r>
    <r>
      <rPr>
        <sz val="10"/>
        <color theme="1"/>
        <rFont val="宋体"/>
        <charset val="134"/>
      </rPr>
      <t>简酷潮棉</t>
    </r>
  </si>
  <si>
    <t>SY253077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</si>
  <si>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2</t>
    </r>
    <r>
      <rPr>
        <sz val="10"/>
        <color theme="1"/>
        <rFont val="宋体"/>
        <charset val="134"/>
      </rPr>
      <t>，彩兰加</t>
    </r>
    <r>
      <rPr>
        <sz val="10"/>
        <color theme="1"/>
        <rFont val="Calibri Light"/>
        <charset val="134"/>
      </rPr>
      <t>3</t>
    </r>
  </si>
  <si>
    <r>
      <rPr>
        <sz val="10"/>
        <color theme="1"/>
        <rFont val="Calibri Light"/>
        <charset val="134"/>
      </rPr>
      <t>2495  21S</t>
    </r>
    <r>
      <rPr>
        <sz val="10"/>
        <color theme="1"/>
        <rFont val="宋体"/>
        <charset val="134"/>
      </rPr>
      <t>简酷潮棉</t>
    </r>
  </si>
  <si>
    <t>SY253078</t>
  </si>
  <si>
    <r>
      <rPr>
        <sz val="10"/>
        <color theme="1"/>
        <rFont val="Calibri Light"/>
        <charset val="134"/>
      </rPr>
      <t>2159  32S</t>
    </r>
    <r>
      <rPr>
        <sz val="10"/>
        <color theme="1"/>
        <rFont val="宋体"/>
        <charset val="134"/>
      </rPr>
      <t>双纱潮棉</t>
    </r>
  </si>
  <si>
    <t>SY253079</t>
  </si>
  <si>
    <r>
      <rPr>
        <sz val="10"/>
        <color theme="1"/>
        <rFont val="Calibri Light"/>
        <charset val="134"/>
      </rPr>
      <t>1379  32S</t>
    </r>
    <r>
      <rPr>
        <sz val="10"/>
        <color theme="1"/>
        <rFont val="宋体"/>
        <charset val="134"/>
      </rPr>
      <t>纯棉竹节平纹</t>
    </r>
  </si>
  <si>
    <t>SY253080</t>
  </si>
  <si>
    <t>4.0m/kg</t>
  </si>
  <si>
    <r>
      <rPr>
        <sz val="10"/>
        <color theme="1"/>
        <rFont val="Calibri Light"/>
        <charset val="134"/>
      </rPr>
      <t>2265  26S</t>
    </r>
    <r>
      <rPr>
        <sz val="10"/>
        <color theme="1"/>
        <rFont val="宋体"/>
        <charset val="134"/>
      </rPr>
      <t>爽棉单面</t>
    </r>
  </si>
  <si>
    <t>SY253081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</si>
  <si>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，深蓝加</t>
    </r>
    <r>
      <rPr>
        <sz val="10"/>
        <color theme="1"/>
        <rFont val="Calibri Light"/>
        <charset val="134"/>
      </rPr>
      <t>5</t>
    </r>
  </si>
  <si>
    <r>
      <rPr>
        <sz val="10"/>
        <color theme="1"/>
        <rFont val="Calibri Light"/>
        <charset val="134"/>
      </rPr>
      <t>1823  21S</t>
    </r>
    <r>
      <rPr>
        <sz val="10"/>
        <color theme="1"/>
        <rFont val="宋体"/>
        <charset val="134"/>
      </rPr>
      <t>纯棉平纹</t>
    </r>
  </si>
  <si>
    <t>SY253082</t>
  </si>
  <si>
    <r>
      <rPr>
        <sz val="10"/>
        <color theme="1"/>
        <rFont val="宋体"/>
        <charset val="134"/>
      </rPr>
      <t>均价加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，最高加</t>
    </r>
    <r>
      <rPr>
        <sz val="10"/>
        <color theme="1"/>
        <rFont val="Calibri Light"/>
        <charset val="134"/>
      </rPr>
      <t>5</t>
    </r>
  </si>
  <si>
    <r>
      <rPr>
        <sz val="10"/>
        <color theme="1"/>
        <rFont val="Calibri Light"/>
        <charset val="134"/>
      </rPr>
      <t>2393  21S</t>
    </r>
    <r>
      <rPr>
        <sz val="10"/>
        <color theme="1"/>
        <rFont val="宋体"/>
        <charset val="134"/>
      </rPr>
      <t>液氨棉</t>
    </r>
  </si>
  <si>
    <t>SY253083</t>
  </si>
  <si>
    <r>
      <rPr>
        <sz val="10"/>
        <color theme="1"/>
        <rFont val="Calibri Light"/>
        <charset val="134"/>
      </rPr>
      <t>2393L  32S</t>
    </r>
    <r>
      <rPr>
        <sz val="10"/>
        <color theme="1"/>
        <rFont val="宋体"/>
        <charset val="134"/>
      </rPr>
      <t>纯棉双纱</t>
    </r>
    <r>
      <rPr>
        <sz val="10"/>
        <color theme="1"/>
        <rFont val="Calibri Light"/>
        <charset val="134"/>
      </rPr>
      <t>1X1</t>
    </r>
    <r>
      <rPr>
        <sz val="10"/>
        <color theme="1"/>
        <rFont val="宋体"/>
        <charset val="134"/>
      </rPr>
      <t>罗纹</t>
    </r>
  </si>
  <si>
    <t>SY253084</t>
  </si>
  <si>
    <r>
      <rPr>
        <sz val="10"/>
        <color theme="1"/>
        <rFont val="Calibri Light"/>
        <charset val="134"/>
      </rPr>
      <t>1417  21S</t>
    </r>
    <r>
      <rPr>
        <sz val="10"/>
        <color theme="1"/>
        <rFont val="宋体"/>
        <charset val="134"/>
      </rPr>
      <t>纯棉竹节平纹</t>
    </r>
  </si>
  <si>
    <t>SY253085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</si>
  <si>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纯棉</t>
    </r>
  </si>
  <si>
    <r>
      <rPr>
        <sz val="10"/>
        <color theme="1"/>
        <rFont val="Calibri Light"/>
        <charset val="134"/>
      </rPr>
      <t>2413  16S</t>
    </r>
    <r>
      <rPr>
        <sz val="10"/>
        <color theme="1"/>
        <rFont val="宋体"/>
        <charset val="134"/>
      </rPr>
      <t>纯棉平纹</t>
    </r>
  </si>
  <si>
    <t>SY253086</t>
  </si>
  <si>
    <t>GFG0588</t>
  </si>
  <si>
    <t>EA5122</t>
  </si>
  <si>
    <t>SY253087</t>
  </si>
  <si>
    <t>卓总 秋冬裤料</t>
  </si>
  <si>
    <r>
      <rPr>
        <sz val="10"/>
        <color theme="1"/>
        <rFont val="Calibri Light"/>
        <charset val="134"/>
      </rPr>
      <t xml:space="preserve">E21842  </t>
    </r>
    <r>
      <rPr>
        <sz val="10"/>
        <color theme="1"/>
        <rFont val="宋体"/>
        <charset val="134"/>
      </rPr>
      <t>色纺</t>
    </r>
  </si>
  <si>
    <t>SY253088</t>
  </si>
  <si>
    <t>47%T29%M17%R4%W3%SP</t>
  </si>
  <si>
    <r>
      <rPr>
        <sz val="10"/>
        <color theme="1"/>
        <rFont val="Calibri Light"/>
        <charset val="134"/>
      </rPr>
      <t xml:space="preserve">E90317 </t>
    </r>
    <r>
      <rPr>
        <sz val="10"/>
        <color theme="1"/>
        <rFont val="宋体"/>
        <charset val="134"/>
      </rPr>
      <t>塞络纺双股</t>
    </r>
  </si>
  <si>
    <t>SY253089</t>
  </si>
  <si>
    <t>67%T27%R6%SP</t>
  </si>
  <si>
    <t>E58989</t>
  </si>
  <si>
    <t>SY253090</t>
  </si>
  <si>
    <t>88%N12%SP</t>
  </si>
  <si>
    <r>
      <rPr>
        <sz val="10"/>
        <color theme="1"/>
        <rFont val="Calibri Light"/>
        <charset val="134"/>
      </rPr>
      <t xml:space="preserve">E8062  </t>
    </r>
    <r>
      <rPr>
        <sz val="10"/>
        <color theme="1"/>
        <rFont val="宋体"/>
        <charset val="134"/>
      </rPr>
      <t>暖阳猫眼</t>
    </r>
  </si>
  <si>
    <t>SY253091</t>
  </si>
  <si>
    <r>
      <rPr>
        <sz val="10"/>
        <color theme="1"/>
        <rFont val="Calibri Light"/>
        <charset val="134"/>
      </rPr>
      <t xml:space="preserve">E2469  </t>
    </r>
    <r>
      <rPr>
        <sz val="10"/>
        <color theme="1"/>
        <rFont val="宋体"/>
        <charset val="134"/>
      </rPr>
      <t>步步高</t>
    </r>
  </si>
  <si>
    <t>SY253092</t>
  </si>
  <si>
    <r>
      <rPr>
        <sz val="10"/>
        <color theme="1"/>
        <rFont val="Calibri Light"/>
        <charset val="134"/>
      </rPr>
      <t>89%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11%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</si>
  <si>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 xml:space="preserve">E2472  </t>
    </r>
    <r>
      <rPr>
        <sz val="10"/>
        <color theme="1"/>
        <rFont val="宋体"/>
        <charset val="134"/>
      </rPr>
      <t>凯乐石</t>
    </r>
  </si>
  <si>
    <t>SY253093</t>
  </si>
  <si>
    <t>E19888</t>
  </si>
  <si>
    <t>SY253094</t>
  </si>
  <si>
    <t>E19882</t>
  </si>
  <si>
    <t>SY253095</t>
  </si>
  <si>
    <t>E19878</t>
  </si>
  <si>
    <t>SY253096</t>
  </si>
  <si>
    <r>
      <rPr>
        <sz val="10"/>
        <color theme="1"/>
        <rFont val="Calibri Light"/>
        <charset val="134"/>
      </rPr>
      <t xml:space="preserve">E2066  </t>
    </r>
    <r>
      <rPr>
        <sz val="10"/>
        <color theme="1"/>
        <rFont val="宋体"/>
        <charset val="134"/>
      </rPr>
      <t>消光平纹登山布</t>
    </r>
  </si>
  <si>
    <t>SY253097</t>
  </si>
  <si>
    <t>88%锦纶12%氨纶</t>
  </si>
  <si>
    <r>
      <rPr>
        <sz val="10"/>
        <color theme="1"/>
        <rFont val="Calibri Light"/>
        <charset val="134"/>
      </rPr>
      <t xml:space="preserve">E2061  </t>
    </r>
    <r>
      <rPr>
        <sz val="10"/>
        <color theme="1"/>
        <rFont val="宋体"/>
        <charset val="134"/>
      </rPr>
      <t>细斜消光登山布</t>
    </r>
  </si>
  <si>
    <t>SY253098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</si>
  <si>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</si>
  <si>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 xml:space="preserve">E19890  </t>
    </r>
    <r>
      <rPr>
        <sz val="10"/>
        <color theme="1"/>
        <rFont val="宋体"/>
        <charset val="134"/>
      </rPr>
      <t>素心棉</t>
    </r>
  </si>
  <si>
    <t>SY253099</t>
  </si>
  <si>
    <r>
      <rPr>
        <sz val="10"/>
        <color theme="1"/>
        <rFont val="宋体"/>
        <charset val="134"/>
      </rPr>
      <t>卓总</t>
    </r>
    <r>
      <rPr>
        <sz val="10"/>
        <color theme="1"/>
        <rFont val="Calibri Light"/>
        <charset val="134"/>
      </rPr>
      <t xml:space="preserve">  </t>
    </r>
    <r>
      <rPr>
        <sz val="10"/>
        <color theme="1"/>
        <rFont val="宋体"/>
        <charset val="134"/>
      </rPr>
      <t>丝巾</t>
    </r>
  </si>
  <si>
    <r>
      <rPr>
        <sz val="10"/>
        <color theme="1"/>
        <rFont val="Calibri Light"/>
        <charset val="134"/>
      </rPr>
      <t>E012  12MM</t>
    </r>
    <r>
      <rPr>
        <sz val="10"/>
        <color theme="1"/>
        <rFont val="宋体"/>
        <charset val="134"/>
      </rPr>
      <t>（空姐丝巾）</t>
    </r>
  </si>
  <si>
    <t>SY253100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</si>
  <si>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桑蚕丝</t>
    </r>
  </si>
  <si>
    <t>E7538</t>
  </si>
  <si>
    <t>SY253101</t>
  </si>
  <si>
    <r>
      <rPr>
        <sz val="10"/>
        <color theme="1"/>
        <rFont val="Calibri Light"/>
        <charset val="134"/>
      </rPr>
      <t xml:space="preserve">E4103  </t>
    </r>
    <r>
      <rPr>
        <sz val="10"/>
        <color theme="1"/>
        <rFont val="宋体"/>
        <charset val="134"/>
      </rPr>
      <t>新型绉布染色</t>
    </r>
  </si>
  <si>
    <t>SY253102</t>
  </si>
  <si>
    <t>EA15195-1</t>
  </si>
  <si>
    <t>SY253103</t>
  </si>
  <si>
    <t>GFG0590</t>
  </si>
  <si>
    <r>
      <rPr>
        <sz val="10"/>
        <color theme="1"/>
        <rFont val="Calibri Light"/>
        <charset val="134"/>
      </rPr>
      <t>8040# 18*4</t>
    </r>
    <r>
      <rPr>
        <sz val="10"/>
        <color theme="1"/>
        <rFont val="宋体"/>
        <charset val="134"/>
      </rPr>
      <t>坑条</t>
    </r>
  </si>
  <si>
    <t>SY253104</t>
  </si>
  <si>
    <t>米数2.9-3m</t>
  </si>
  <si>
    <t>苏纺</t>
  </si>
  <si>
    <r>
      <rPr>
        <sz val="10"/>
        <color theme="1"/>
        <rFont val="Calibri Light"/>
        <charset val="134"/>
      </rPr>
      <t>8041#18x8</t>
    </r>
    <r>
      <rPr>
        <sz val="10"/>
        <color theme="1"/>
        <rFont val="宋体"/>
        <charset val="134"/>
      </rPr>
      <t>坑条</t>
    </r>
  </si>
  <si>
    <t>SY253105</t>
  </si>
  <si>
    <r>
      <rPr>
        <sz val="10"/>
        <color theme="1"/>
        <rFont val="宋体"/>
        <charset val="134"/>
      </rPr>
      <t>米数</t>
    </r>
    <r>
      <rPr>
        <sz val="10"/>
        <color theme="1"/>
        <rFont val="Calibri Light"/>
        <charset val="134"/>
      </rPr>
      <t>2.9-3m</t>
    </r>
  </si>
  <si>
    <r>
      <rPr>
        <sz val="10"/>
        <color theme="1"/>
        <rFont val="Calibri Light"/>
        <charset val="134"/>
      </rPr>
      <t>24145</t>
    </r>
    <r>
      <rPr>
        <sz val="10"/>
        <color theme="1"/>
        <rFont val="宋体"/>
        <charset val="134"/>
      </rPr>
      <t>圣诞雪松</t>
    </r>
  </si>
  <si>
    <t>SY253106</t>
  </si>
  <si>
    <r>
      <rPr>
        <sz val="10"/>
        <color theme="1"/>
        <rFont val="宋体"/>
        <charset val="134"/>
      </rPr>
      <t>量化</t>
    </r>
    <r>
      <rPr>
        <sz val="10"/>
        <color theme="1"/>
        <rFont val="Calibri Light"/>
        <charset val="134"/>
      </rPr>
      <t>2.1m</t>
    </r>
  </si>
  <si>
    <r>
      <rPr>
        <sz val="10"/>
        <color theme="1"/>
        <rFont val="Calibri Light"/>
        <charset val="134"/>
      </rPr>
      <t>J1025#12x2</t>
    </r>
    <r>
      <rPr>
        <sz val="10"/>
        <color theme="1"/>
        <rFont val="宋体"/>
        <charset val="134"/>
      </rPr>
      <t>大坑条</t>
    </r>
  </si>
  <si>
    <t>SY253107</t>
  </si>
  <si>
    <r>
      <rPr>
        <sz val="10"/>
        <color theme="1"/>
        <rFont val="宋体"/>
        <charset val="134"/>
      </rPr>
      <t>米数</t>
    </r>
    <r>
      <rPr>
        <sz val="10"/>
        <color theme="1"/>
        <rFont val="Calibri Light"/>
        <charset val="134"/>
      </rPr>
      <t>2.9m/kg</t>
    </r>
  </si>
  <si>
    <t>jx1</t>
  </si>
  <si>
    <r>
      <rPr>
        <sz val="10"/>
        <color theme="1"/>
        <rFont val="Calibri Light"/>
        <charset val="134"/>
      </rPr>
      <t>5002#16*3</t>
    </r>
    <r>
      <rPr>
        <sz val="10"/>
        <color theme="1"/>
        <rFont val="宋体"/>
        <charset val="134"/>
      </rPr>
      <t>乱麻坑条</t>
    </r>
  </si>
  <si>
    <t>SY253108</t>
  </si>
  <si>
    <r>
      <rPr>
        <sz val="10"/>
        <color theme="1"/>
        <rFont val="宋体"/>
        <charset val="134"/>
      </rPr>
      <t>米数</t>
    </r>
    <r>
      <rPr>
        <sz val="10"/>
        <color theme="1"/>
        <rFont val="Calibri Light"/>
        <charset val="134"/>
      </rPr>
      <t>2.9m</t>
    </r>
  </si>
  <si>
    <r>
      <rPr>
        <sz val="10"/>
        <color theme="1"/>
        <rFont val="Calibri Light"/>
        <charset val="134"/>
      </rPr>
      <t>9*5</t>
    </r>
    <r>
      <rPr>
        <sz val="10"/>
        <color theme="1"/>
        <rFont val="宋体"/>
        <charset val="134"/>
      </rPr>
      <t>玲珑条</t>
    </r>
  </si>
  <si>
    <t>SY253109</t>
  </si>
  <si>
    <r>
      <rPr>
        <sz val="10"/>
        <color theme="1"/>
        <rFont val="Calibri Light"/>
        <charset val="134"/>
      </rPr>
      <t>236012*4</t>
    </r>
    <r>
      <rPr>
        <sz val="10"/>
        <color theme="1"/>
        <rFont val="宋体"/>
        <charset val="134"/>
      </rPr>
      <t>花灰绒</t>
    </r>
  </si>
  <si>
    <t>SY253110</t>
  </si>
  <si>
    <r>
      <rPr>
        <sz val="10"/>
        <color theme="1"/>
        <rFont val="宋体"/>
        <charset val="134"/>
      </rPr>
      <t>量化</t>
    </r>
    <r>
      <rPr>
        <sz val="10"/>
        <color theme="1"/>
        <rFont val="Calibri Light"/>
        <charset val="134"/>
      </rPr>
      <t>3.9m</t>
    </r>
  </si>
  <si>
    <t>人丝缎面料</t>
  </si>
  <si>
    <t>SY253111</t>
  </si>
  <si>
    <t>86277#</t>
  </si>
  <si>
    <t>SY253112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</si>
  <si>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8%</t>
    </r>
    <r>
      <rPr>
        <sz val="10"/>
        <color theme="1"/>
        <rFont val="宋体"/>
        <charset val="134"/>
      </rPr>
      <t>氨纶</t>
    </r>
  </si>
  <si>
    <t>轩亿布行</t>
  </si>
  <si>
    <r>
      <rPr>
        <sz val="10"/>
        <color theme="1"/>
        <rFont val="宋体"/>
        <charset val="134"/>
      </rPr>
      <t>类似</t>
    </r>
    <r>
      <rPr>
        <sz val="10"/>
        <color theme="1"/>
        <rFont val="Calibri Light"/>
        <charset val="134"/>
      </rPr>
      <t>SY251120</t>
    </r>
  </si>
  <si>
    <t>E3909 全棉自动间平纹</t>
  </si>
  <si>
    <t>SY253113</t>
  </si>
  <si>
    <t>66/kg</t>
  </si>
  <si>
    <t>里布</t>
  </si>
  <si>
    <r>
      <rPr>
        <sz val="10"/>
        <color theme="1"/>
        <rFont val="Calibri Light"/>
        <charset val="134"/>
      </rPr>
      <t xml:space="preserve">S702  </t>
    </r>
    <r>
      <rPr>
        <sz val="10"/>
        <color theme="1"/>
        <rFont val="宋体"/>
        <charset val="134"/>
      </rPr>
      <t>再生绒感</t>
    </r>
  </si>
  <si>
    <t>SY253114</t>
  </si>
  <si>
    <t>50D*50D</t>
  </si>
  <si>
    <t>宏达里布</t>
  </si>
  <si>
    <t>足米，不含税价，散剪另加</t>
  </si>
  <si>
    <r>
      <rPr>
        <sz val="10"/>
        <color theme="1"/>
        <rFont val="Calibri Light"/>
        <charset val="134"/>
      </rPr>
      <t xml:space="preserve">S703  </t>
    </r>
    <r>
      <rPr>
        <sz val="10"/>
        <color theme="1"/>
        <rFont val="宋体"/>
        <charset val="134"/>
      </rPr>
      <t>再生高密双绉</t>
    </r>
  </si>
  <si>
    <t>SY253115</t>
  </si>
  <si>
    <t>75D*100D</t>
  </si>
  <si>
    <r>
      <rPr>
        <sz val="10"/>
        <color theme="1"/>
        <rFont val="Calibri Light"/>
        <charset val="134"/>
      </rPr>
      <t xml:space="preserve">8754  </t>
    </r>
    <r>
      <rPr>
        <sz val="10"/>
        <color theme="1"/>
        <rFont val="宋体"/>
        <charset val="134"/>
      </rPr>
      <t>绒感四面弹</t>
    </r>
  </si>
  <si>
    <t>SY253116</t>
  </si>
  <si>
    <r>
      <rPr>
        <sz val="10"/>
        <color theme="1"/>
        <rFont val="Calibri Light"/>
        <charset val="134"/>
      </rPr>
      <t>D8775  75D</t>
    </r>
    <r>
      <rPr>
        <sz val="10"/>
        <color theme="1"/>
        <rFont val="宋体"/>
        <charset val="134"/>
      </rPr>
      <t>加厚绒感四面弹</t>
    </r>
  </si>
  <si>
    <t>SY253117</t>
  </si>
  <si>
    <t>75D*75D</t>
  </si>
  <si>
    <r>
      <rPr>
        <sz val="10"/>
        <color theme="1"/>
        <rFont val="Calibri Light"/>
        <charset val="134"/>
      </rPr>
      <t xml:space="preserve">D6600  </t>
    </r>
    <r>
      <rPr>
        <sz val="10"/>
        <color theme="1"/>
        <rFont val="宋体"/>
        <charset val="134"/>
      </rPr>
      <t>舒美绸</t>
    </r>
  </si>
  <si>
    <t>SY253118</t>
  </si>
  <si>
    <t>68D*75D</t>
  </si>
  <si>
    <r>
      <rPr>
        <sz val="10"/>
        <color theme="1"/>
        <rFont val="Calibri Light"/>
        <charset val="134"/>
      </rPr>
      <t xml:space="preserve">D2200  </t>
    </r>
    <r>
      <rPr>
        <sz val="10"/>
        <color theme="1"/>
        <rFont val="宋体"/>
        <charset val="134"/>
      </rPr>
      <t>防劈裂平纹里</t>
    </r>
  </si>
  <si>
    <t>SY253119</t>
  </si>
  <si>
    <t>63D*66D</t>
  </si>
  <si>
    <r>
      <rPr>
        <sz val="10"/>
        <color theme="1"/>
        <rFont val="Calibri Light"/>
        <charset val="134"/>
      </rPr>
      <t xml:space="preserve">D2000  </t>
    </r>
    <r>
      <rPr>
        <sz val="10"/>
        <color theme="1"/>
        <rFont val="宋体"/>
        <charset val="134"/>
      </rPr>
      <t>涤塔夫里布</t>
    </r>
  </si>
  <si>
    <t>SY253120</t>
  </si>
  <si>
    <r>
      <rPr>
        <sz val="10"/>
        <color theme="1"/>
        <rFont val="Calibri Light"/>
        <charset val="134"/>
      </rPr>
      <t>D8753  100D</t>
    </r>
    <r>
      <rPr>
        <sz val="10"/>
        <color theme="1"/>
        <rFont val="宋体"/>
        <charset val="134"/>
      </rPr>
      <t>四面弹</t>
    </r>
  </si>
  <si>
    <t>SY253121</t>
  </si>
  <si>
    <t>95%聚酯纤维 5%氨纶</t>
  </si>
  <si>
    <t>100D*100D</t>
  </si>
  <si>
    <r>
      <rPr>
        <sz val="10"/>
        <color theme="1"/>
        <rFont val="Calibri Light"/>
        <charset val="134"/>
      </rPr>
      <t>D8019  30D</t>
    </r>
    <r>
      <rPr>
        <sz val="10"/>
        <color theme="1"/>
        <rFont val="宋体"/>
        <charset val="134"/>
      </rPr>
      <t>御丝锦</t>
    </r>
  </si>
  <si>
    <t>SY253122</t>
  </si>
  <si>
    <t>30D*30D</t>
  </si>
  <si>
    <r>
      <rPr>
        <sz val="10"/>
        <color theme="1"/>
        <rFont val="Calibri Light"/>
        <charset val="134"/>
      </rPr>
      <t xml:space="preserve">D1800  </t>
    </r>
    <r>
      <rPr>
        <sz val="10"/>
        <color theme="1"/>
        <rFont val="宋体"/>
        <charset val="134"/>
      </rPr>
      <t>特柔锦丝纺</t>
    </r>
  </si>
  <si>
    <t>SY253123</t>
  </si>
  <si>
    <r>
      <rPr>
        <sz val="10"/>
        <color theme="1"/>
        <rFont val="Calibri Light"/>
        <charset val="134"/>
      </rPr>
      <t xml:space="preserve">9088  </t>
    </r>
    <r>
      <rPr>
        <sz val="10"/>
        <color theme="1"/>
        <rFont val="宋体"/>
        <charset val="134"/>
      </rPr>
      <t>全工艺</t>
    </r>
    <r>
      <rPr>
        <sz val="10"/>
        <color theme="1"/>
        <rFont val="Calibri Light"/>
        <charset val="134"/>
      </rPr>
      <t xml:space="preserve">  </t>
    </r>
    <r>
      <rPr>
        <sz val="10"/>
        <color theme="1"/>
        <rFont val="宋体"/>
        <charset val="134"/>
      </rPr>
      <t>货号：</t>
    </r>
    <r>
      <rPr>
        <sz val="10"/>
        <color theme="1"/>
        <rFont val="Calibri Light"/>
        <charset val="134"/>
      </rPr>
      <t>8560</t>
    </r>
  </si>
  <si>
    <t>SY253124</t>
  </si>
  <si>
    <t>90D*88D</t>
  </si>
  <si>
    <r>
      <rPr>
        <sz val="10"/>
        <color theme="1"/>
        <rFont val="Calibri Light"/>
        <charset val="134"/>
      </rPr>
      <t xml:space="preserve">D8101  </t>
    </r>
    <r>
      <rPr>
        <sz val="10"/>
        <color theme="1"/>
        <rFont val="宋体"/>
        <charset val="134"/>
      </rPr>
      <t>双面绸</t>
    </r>
  </si>
  <si>
    <t>SY253125</t>
  </si>
  <si>
    <t>网布</t>
  </si>
  <si>
    <t>特美</t>
  </si>
  <si>
    <t>SY253126</t>
  </si>
  <si>
    <t>200Y/匹（183米）</t>
  </si>
  <si>
    <t>锦加强网</t>
  </si>
  <si>
    <t>SY253127</t>
  </si>
  <si>
    <t>180Y/匹（165米）</t>
  </si>
  <si>
    <t>锦闪美</t>
  </si>
  <si>
    <t>SY253128</t>
  </si>
  <si>
    <t>170Y/匹（155米）</t>
  </si>
  <si>
    <t>乱网</t>
  </si>
  <si>
    <t>SY253129</t>
  </si>
  <si>
    <t>85Y/匹（78米）</t>
  </si>
  <si>
    <t>36A</t>
  </si>
  <si>
    <t>SY253130</t>
  </si>
  <si>
    <t>652-1#</t>
  </si>
  <si>
    <t>SY253131</t>
  </si>
  <si>
    <t>682#</t>
  </si>
  <si>
    <t>SY253132</t>
  </si>
  <si>
    <r>
      <rPr>
        <sz val="10"/>
        <color theme="1"/>
        <rFont val="Calibri Light"/>
        <charset val="134"/>
      </rPr>
      <t>699#45</t>
    </r>
    <r>
      <rPr>
        <sz val="10"/>
        <color theme="1"/>
        <rFont val="宋体"/>
        <charset val="134"/>
      </rPr>
      <t>支精仿棉</t>
    </r>
  </si>
  <si>
    <t>SY253133</t>
  </si>
  <si>
    <t>涤棉仿天丝</t>
  </si>
  <si>
    <t>SY253134</t>
  </si>
  <si>
    <t>E32167</t>
  </si>
  <si>
    <t>SY253135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</si>
  <si>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氨纶</t>
    </r>
  </si>
  <si>
    <t>60%NYLON30%POLY10%SP</t>
  </si>
  <si>
    <t>汇恩纺织</t>
  </si>
  <si>
    <r>
      <rPr>
        <sz val="10"/>
        <color theme="1"/>
        <rFont val="Calibri Light"/>
        <charset val="134"/>
      </rPr>
      <t xml:space="preserve">E24040 </t>
    </r>
    <r>
      <rPr>
        <sz val="10"/>
        <color theme="1"/>
        <rFont val="宋体"/>
        <charset val="134"/>
      </rPr>
      <t>色纺</t>
    </r>
  </si>
  <si>
    <t>SY253136</t>
  </si>
  <si>
    <t>40.2%T25%R25.5%HF6%W3.3%SP</t>
  </si>
  <si>
    <r>
      <rPr>
        <sz val="10"/>
        <color theme="1"/>
        <rFont val="Calibri Light"/>
        <charset val="134"/>
      </rPr>
      <t xml:space="preserve">E44305 </t>
    </r>
    <r>
      <rPr>
        <sz val="10"/>
        <color theme="1"/>
        <rFont val="宋体"/>
        <charset val="134"/>
      </rPr>
      <t>色纺</t>
    </r>
  </si>
  <si>
    <t>SY253137</t>
  </si>
  <si>
    <t>68%T29%R3%SP</t>
  </si>
  <si>
    <t>高端裤料</t>
  </si>
  <si>
    <t>E727</t>
  </si>
  <si>
    <t>SY253138</t>
  </si>
  <si>
    <r>
      <rPr>
        <sz val="10"/>
        <color theme="1"/>
        <rFont val="Calibri Light"/>
        <charset val="134"/>
      </rPr>
      <t>63.6%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19.7</t>
    </r>
    <r>
      <rPr>
        <sz val="10"/>
        <color theme="1"/>
        <rFont val="宋体"/>
        <charset val="134"/>
      </rPr>
      <t>粘纤</t>
    </r>
    <r>
      <rPr>
        <sz val="10"/>
        <color theme="1"/>
        <rFont val="Calibri Light"/>
        <charset val="134"/>
      </rPr>
      <t>7.9%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>3.2%</t>
    </r>
    <r>
      <rPr>
        <sz val="10"/>
        <color theme="1"/>
        <rFont val="宋体"/>
        <charset val="134"/>
      </rPr>
      <t>醋纤</t>
    </r>
    <r>
      <rPr>
        <sz val="10"/>
        <color theme="1"/>
        <rFont val="Calibri Light"/>
        <charset val="134"/>
      </rPr>
      <t>5.6%</t>
    </r>
    <r>
      <rPr>
        <sz val="10"/>
        <color theme="1"/>
        <rFont val="宋体"/>
        <charset val="134"/>
      </rPr>
      <t>氨纶</t>
    </r>
  </si>
  <si>
    <t>63.6%POLY19.7%V7.9%MODAL3.2%Acetate5.6%SP</t>
  </si>
  <si>
    <t>E720</t>
  </si>
  <si>
    <t>SY253139</t>
  </si>
  <si>
    <r>
      <rPr>
        <sz val="10"/>
        <color theme="1"/>
        <rFont val="Calibri Light"/>
        <charset val="134"/>
      </rPr>
      <t>69%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</si>
  <si>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69%POLY29%R2%SP</t>
  </si>
  <si>
    <t>E701</t>
  </si>
  <si>
    <t>SY253140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</si>
  <si>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</si>
  <si>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t>76%POLY18%R6%SP</t>
  </si>
  <si>
    <t>E865</t>
  </si>
  <si>
    <t>SY253141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</si>
  <si>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</si>
  <si>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67%POLY29%R4%SP</t>
  </si>
  <si>
    <t>E208</t>
  </si>
  <si>
    <t>SY253142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</si>
  <si>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氨纶</t>
    </r>
  </si>
  <si>
    <t>68%POLY28%R4%SP</t>
  </si>
  <si>
    <t>E643</t>
  </si>
  <si>
    <t>SY253143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</si>
  <si>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氨纶</t>
    </r>
  </si>
  <si>
    <t>65%POLY28%R7%SP</t>
  </si>
  <si>
    <t>E722</t>
  </si>
  <si>
    <t>SY253144</t>
  </si>
  <si>
    <r>
      <rPr>
        <sz val="10"/>
        <color theme="1"/>
        <rFont val="Calibri Light"/>
        <charset val="134"/>
      </rPr>
      <t>54%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</si>
  <si>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54%POLY23%R10%Lyocell10%COTTON3%SP</t>
  </si>
  <si>
    <t>高档面料</t>
  </si>
  <si>
    <t>E182</t>
  </si>
  <si>
    <t>SY253145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</si>
  <si>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再生纤维</t>
    </r>
  </si>
  <si>
    <t>E221</t>
  </si>
  <si>
    <t>SY253146</t>
  </si>
  <si>
    <t>E203</t>
  </si>
  <si>
    <t>SY253147</t>
  </si>
  <si>
    <t>登山布</t>
  </si>
  <si>
    <r>
      <rPr>
        <sz val="10"/>
        <color theme="1"/>
        <rFont val="Calibri Light"/>
        <charset val="134"/>
      </rPr>
      <t xml:space="preserve">E19506  </t>
    </r>
    <r>
      <rPr>
        <sz val="10"/>
        <color theme="1"/>
        <rFont val="宋体"/>
        <charset val="134"/>
      </rPr>
      <t>生物基纳米皱</t>
    </r>
  </si>
  <si>
    <t>SY253148</t>
  </si>
  <si>
    <r>
      <rPr>
        <sz val="10"/>
        <color theme="1"/>
        <rFont val="Calibri Light"/>
        <charset val="134"/>
      </rPr>
      <t xml:space="preserve">E19505  </t>
    </r>
    <r>
      <rPr>
        <sz val="10"/>
        <color theme="1"/>
        <rFont val="宋体"/>
        <charset val="134"/>
      </rPr>
      <t>特种兵T400</t>
    </r>
  </si>
  <si>
    <t>SY253149</t>
  </si>
  <si>
    <r>
      <rPr>
        <sz val="10"/>
        <color theme="1"/>
        <rFont val="Calibri Light"/>
        <charset val="134"/>
      </rPr>
      <t>E19504  75D T400</t>
    </r>
    <r>
      <rPr>
        <sz val="10"/>
        <color theme="1"/>
        <rFont val="宋体"/>
        <charset val="134"/>
      </rPr>
      <t>弹力布</t>
    </r>
  </si>
  <si>
    <t>SY253150</t>
  </si>
  <si>
    <t>E19503  75/150D T800</t>
  </si>
  <si>
    <t>SY253151</t>
  </si>
  <si>
    <t>E19502  50D T800</t>
  </si>
  <si>
    <t>SY253152</t>
  </si>
  <si>
    <r>
      <rPr>
        <sz val="10"/>
        <color theme="1"/>
        <rFont val="Calibri Light"/>
        <charset val="134"/>
      </rPr>
      <t xml:space="preserve">E19501  30D T800 </t>
    </r>
    <r>
      <rPr>
        <sz val="10"/>
        <color theme="1"/>
        <rFont val="宋体"/>
        <charset val="134"/>
      </rPr>
      <t>御丝棉</t>
    </r>
  </si>
  <si>
    <t>SY253153</t>
  </si>
  <si>
    <r>
      <rPr>
        <sz val="10"/>
        <color theme="1"/>
        <rFont val="Calibri Light"/>
        <charset val="134"/>
      </rPr>
      <t>1231  32S</t>
    </r>
    <r>
      <rPr>
        <sz val="10"/>
        <color theme="1"/>
        <rFont val="宋体"/>
        <charset val="134"/>
      </rPr>
      <t>精棉大卫衣</t>
    </r>
  </si>
  <si>
    <t>SY253154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</si>
  <si>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聚酯纤维</t>
    </r>
  </si>
  <si>
    <t>82%BCI COTTON18%POLY</t>
  </si>
  <si>
    <r>
      <rPr>
        <sz val="10"/>
        <color theme="1"/>
        <rFont val="Calibri Light"/>
        <charset val="134"/>
      </rPr>
      <t xml:space="preserve">1137  </t>
    </r>
    <r>
      <rPr>
        <sz val="10"/>
        <color theme="1"/>
        <rFont val="宋体"/>
        <charset val="134"/>
      </rPr>
      <t>无尘精棉大卫衣</t>
    </r>
  </si>
  <si>
    <t>SY253155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</si>
  <si>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聚酯纤维</t>
    </r>
  </si>
  <si>
    <t>79%BCI COTTON21%POLY</t>
  </si>
  <si>
    <r>
      <rPr>
        <sz val="10"/>
        <color theme="1"/>
        <rFont val="Calibri Light"/>
        <charset val="134"/>
      </rPr>
      <t>1026  40S</t>
    </r>
    <r>
      <rPr>
        <sz val="10"/>
        <color theme="1"/>
        <rFont val="宋体"/>
        <charset val="134"/>
      </rPr>
      <t>奥黛尔斜纹拉架卫衣</t>
    </r>
  </si>
  <si>
    <t>SY253156</t>
  </si>
  <si>
    <t>52/kg</t>
  </si>
  <si>
    <r>
      <rPr>
        <sz val="10"/>
        <color theme="1"/>
        <rFont val="Calibri Light"/>
        <charset val="134"/>
      </rPr>
      <t>E1027  32S</t>
    </r>
    <r>
      <rPr>
        <sz val="10"/>
        <color theme="1"/>
        <rFont val="宋体"/>
        <charset val="134"/>
      </rPr>
      <t>奥黛尔斜纹拉架卫衣</t>
    </r>
  </si>
  <si>
    <t>SY253157</t>
  </si>
  <si>
    <r>
      <rPr>
        <sz val="10"/>
        <color theme="1"/>
        <rFont val="Calibri Light"/>
        <charset val="134"/>
      </rPr>
      <t>94.5%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5.5%</t>
    </r>
    <r>
      <rPr>
        <sz val="10"/>
        <color theme="1"/>
        <rFont val="宋体"/>
        <charset val="134"/>
      </rPr>
      <t>氨纶</t>
    </r>
  </si>
  <si>
    <t>94.5%BCI COTTON5.5%SP</t>
  </si>
  <si>
    <t>51/kg</t>
  </si>
  <si>
    <r>
      <rPr>
        <sz val="10"/>
        <color theme="1"/>
        <rFont val="Calibri Light"/>
        <charset val="134"/>
      </rPr>
      <t xml:space="preserve">A1701  </t>
    </r>
    <r>
      <rPr>
        <sz val="10"/>
        <color theme="1"/>
        <rFont val="宋体"/>
        <charset val="134"/>
      </rPr>
      <t>一品棉</t>
    </r>
  </si>
  <si>
    <t>SY253158</t>
  </si>
  <si>
    <t>48/kg</t>
  </si>
  <si>
    <t>L1701索罗娜罗纹28/米56/kg</t>
  </si>
  <si>
    <r>
      <rPr>
        <sz val="10"/>
        <color theme="1"/>
        <rFont val="Calibri Light"/>
        <charset val="134"/>
      </rPr>
      <t xml:space="preserve">2521  </t>
    </r>
    <r>
      <rPr>
        <sz val="10"/>
        <color theme="1"/>
        <rFont val="宋体"/>
        <charset val="134"/>
      </rPr>
      <t>晴柔棉</t>
    </r>
  </si>
  <si>
    <t>SY253159</t>
  </si>
  <si>
    <t>59/kg</t>
  </si>
  <si>
    <t>水洗斜纹梭织布</t>
  </si>
  <si>
    <r>
      <rPr>
        <sz val="10"/>
        <color theme="1"/>
        <rFont val="Calibri Light"/>
        <charset val="134"/>
      </rPr>
      <t>6601  10856</t>
    </r>
    <r>
      <rPr>
        <sz val="10"/>
        <color theme="1"/>
        <rFont val="宋体"/>
        <charset val="134"/>
      </rPr>
      <t>斜超柔洗褪（石磨洗）</t>
    </r>
  </si>
  <si>
    <t>SY253160</t>
  </si>
  <si>
    <r>
      <rPr>
        <sz val="10"/>
        <color theme="1"/>
        <rFont val="Calibri Light"/>
        <charset val="134"/>
      </rPr>
      <t>6602  1/3</t>
    </r>
    <r>
      <rPr>
        <sz val="10"/>
        <color theme="1"/>
        <rFont val="宋体"/>
        <charset val="134"/>
      </rPr>
      <t>斜超柔碳磨洗褪（酵洗）</t>
    </r>
  </si>
  <si>
    <t>SY253161</t>
  </si>
  <si>
    <r>
      <rPr>
        <sz val="10"/>
        <color theme="1"/>
        <rFont val="Calibri Light"/>
        <charset val="134"/>
      </rPr>
      <t>6603  7x7</t>
    </r>
    <r>
      <rPr>
        <sz val="10"/>
        <color theme="1"/>
        <rFont val="宋体"/>
        <charset val="134"/>
      </rPr>
      <t>超柔碳磨洗褪（石磨洗）</t>
    </r>
  </si>
  <si>
    <t>SY253162</t>
  </si>
  <si>
    <r>
      <rPr>
        <sz val="10"/>
        <color theme="1"/>
        <rFont val="Calibri Light"/>
        <charset val="134"/>
      </rPr>
      <t xml:space="preserve">6605  </t>
    </r>
    <r>
      <rPr>
        <sz val="10"/>
        <color theme="1"/>
        <rFont val="宋体"/>
        <charset val="134"/>
      </rPr>
      <t>斜纹碳磨洗褪（重酵洗）</t>
    </r>
  </si>
  <si>
    <t>SY253163</t>
  </si>
  <si>
    <r>
      <rPr>
        <sz val="10"/>
        <color theme="1"/>
        <rFont val="Calibri Light"/>
        <charset val="134"/>
      </rPr>
      <t xml:space="preserve">6607  </t>
    </r>
    <r>
      <rPr>
        <sz val="10"/>
        <color theme="1"/>
        <rFont val="宋体"/>
        <charset val="134"/>
      </rPr>
      <t>平纹碳磨洗褪（重酵洗）</t>
    </r>
  </si>
  <si>
    <t>SY253164</t>
  </si>
  <si>
    <r>
      <rPr>
        <sz val="10"/>
        <color theme="1"/>
        <rFont val="Calibri Light"/>
        <charset val="134"/>
      </rPr>
      <t xml:space="preserve">6608  </t>
    </r>
    <r>
      <rPr>
        <sz val="10"/>
        <color theme="1"/>
        <rFont val="宋体"/>
        <charset val="134"/>
      </rPr>
      <t>斜纹亲肤凉感洗褪</t>
    </r>
  </si>
  <si>
    <t>SY253165</t>
  </si>
  <si>
    <t>50%BCI COTTON50%Lyocell</t>
  </si>
  <si>
    <r>
      <rPr>
        <sz val="10"/>
        <color theme="1"/>
        <rFont val="Calibri Light"/>
        <charset val="134"/>
      </rPr>
      <t xml:space="preserve">6609  </t>
    </r>
    <r>
      <rPr>
        <sz val="10"/>
        <color theme="1"/>
        <rFont val="宋体"/>
        <charset val="134"/>
      </rPr>
      <t>珠地洗褪（炒雪花）</t>
    </r>
  </si>
  <si>
    <t>SY253166</t>
  </si>
  <si>
    <r>
      <rPr>
        <sz val="10"/>
        <color theme="1"/>
        <rFont val="Calibri Light"/>
        <charset val="134"/>
      </rPr>
      <t xml:space="preserve">6610  </t>
    </r>
    <r>
      <rPr>
        <sz val="10"/>
        <color theme="1"/>
        <rFont val="宋体"/>
        <charset val="134"/>
      </rPr>
      <t>珠地洗褪</t>
    </r>
  </si>
  <si>
    <t>SY253167</t>
  </si>
  <si>
    <r>
      <rPr>
        <sz val="10"/>
        <color theme="1"/>
        <rFont val="Calibri Light"/>
        <charset val="134"/>
      </rPr>
      <t xml:space="preserve">6611  </t>
    </r>
    <r>
      <rPr>
        <sz val="10"/>
        <color theme="1"/>
        <rFont val="宋体"/>
        <charset val="134"/>
      </rPr>
      <t>斜纹洗褪</t>
    </r>
  </si>
  <si>
    <t>SY253168</t>
  </si>
  <si>
    <r>
      <rPr>
        <sz val="10"/>
        <color theme="1"/>
        <rFont val="Calibri Light"/>
        <charset val="134"/>
      </rPr>
      <t xml:space="preserve">6613  </t>
    </r>
    <r>
      <rPr>
        <sz val="10"/>
        <color theme="1"/>
        <rFont val="宋体"/>
        <charset val="134"/>
      </rPr>
      <t>硫化洗褪</t>
    </r>
  </si>
  <si>
    <t>SY253169</t>
  </si>
  <si>
    <r>
      <rPr>
        <sz val="10"/>
        <color theme="1"/>
        <rFont val="Calibri Light"/>
        <charset val="134"/>
      </rPr>
      <t xml:space="preserve">89006  </t>
    </r>
    <r>
      <rPr>
        <sz val="10"/>
        <color theme="1"/>
        <rFont val="宋体"/>
        <charset val="134"/>
      </rPr>
      <t>冰霜洗褪</t>
    </r>
  </si>
  <si>
    <t>SY253170</t>
  </si>
  <si>
    <r>
      <rPr>
        <sz val="10"/>
        <color theme="1"/>
        <rFont val="Calibri Light"/>
        <charset val="134"/>
      </rPr>
      <t xml:space="preserve">89007  </t>
    </r>
    <r>
      <rPr>
        <sz val="10"/>
        <color theme="1"/>
        <rFont val="宋体"/>
        <charset val="134"/>
      </rPr>
      <t>冰霜洗褪</t>
    </r>
  </si>
  <si>
    <t>SY253171</t>
  </si>
  <si>
    <r>
      <rPr>
        <sz val="10"/>
        <color theme="1"/>
        <rFont val="Calibri Light"/>
        <charset val="134"/>
      </rPr>
      <t xml:space="preserve">89008  </t>
    </r>
    <r>
      <rPr>
        <sz val="10"/>
        <color theme="1"/>
        <rFont val="宋体"/>
        <charset val="134"/>
      </rPr>
      <t>冰霜洗褪</t>
    </r>
  </si>
  <si>
    <t>SY253172</t>
  </si>
  <si>
    <r>
      <rPr>
        <sz val="10"/>
        <color theme="1"/>
        <rFont val="Calibri Light"/>
        <charset val="134"/>
      </rPr>
      <t xml:space="preserve">89009  </t>
    </r>
    <r>
      <rPr>
        <sz val="10"/>
        <color theme="1"/>
        <rFont val="宋体"/>
        <charset val="134"/>
      </rPr>
      <t>冰霜洗褪</t>
    </r>
  </si>
  <si>
    <t>SY253173</t>
  </si>
  <si>
    <t>手机壳布</t>
  </si>
  <si>
    <r>
      <rPr>
        <sz val="10"/>
        <color theme="1"/>
        <rFont val="Calibri Light"/>
        <charset val="134"/>
      </rPr>
      <t xml:space="preserve">HF-Y01-60 </t>
    </r>
    <r>
      <rPr>
        <sz val="10"/>
        <color theme="1"/>
        <rFont val="宋体"/>
        <charset val="134"/>
      </rPr>
      <t>桔色</t>
    </r>
  </si>
  <si>
    <t>SY253174</t>
  </si>
  <si>
    <t>雷总手机壳</t>
  </si>
  <si>
    <r>
      <rPr>
        <sz val="10"/>
        <color theme="1"/>
        <rFont val="Calibri Light"/>
        <charset val="134"/>
      </rPr>
      <t>HF-BR16-59</t>
    </r>
    <r>
      <rPr>
        <sz val="10"/>
        <color theme="1"/>
        <rFont val="宋体"/>
        <charset val="134"/>
      </rPr>
      <t>棕色</t>
    </r>
  </si>
  <si>
    <t>SY253175</t>
  </si>
  <si>
    <r>
      <rPr>
        <sz val="10"/>
        <color theme="1"/>
        <rFont val="Calibri Light"/>
        <charset val="134"/>
      </rPr>
      <t xml:space="preserve">HF-BL04-74 </t>
    </r>
    <r>
      <rPr>
        <sz val="10"/>
        <color theme="1"/>
        <rFont val="宋体"/>
        <charset val="134"/>
      </rPr>
      <t>中蓝色</t>
    </r>
  </si>
  <si>
    <t>SY253176</t>
  </si>
  <si>
    <r>
      <rPr>
        <sz val="10"/>
        <color theme="1"/>
        <rFont val="Calibri Light"/>
        <charset val="134"/>
      </rPr>
      <t>HF-G22-63</t>
    </r>
    <r>
      <rPr>
        <sz val="10"/>
        <color theme="1"/>
        <rFont val="宋体"/>
        <charset val="134"/>
      </rPr>
      <t>深灰</t>
    </r>
  </si>
  <si>
    <t>SY253177</t>
  </si>
  <si>
    <t>G140-1</t>
  </si>
  <si>
    <t>SY253178</t>
  </si>
  <si>
    <t>AJ7504</t>
  </si>
  <si>
    <t>SY253179</t>
  </si>
  <si>
    <t>AJ7360</t>
  </si>
  <si>
    <t>SY253180</t>
  </si>
  <si>
    <t>HF-GR02-14</t>
  </si>
  <si>
    <t>SY253181</t>
  </si>
  <si>
    <t>HF-BR03-09</t>
  </si>
  <si>
    <t>SY253182</t>
  </si>
  <si>
    <t>HF-BL01-7</t>
  </si>
  <si>
    <t>SY253183</t>
  </si>
  <si>
    <t>HF-001-12</t>
  </si>
  <si>
    <t>SY253184</t>
  </si>
  <si>
    <t>HF-G07-180</t>
  </si>
  <si>
    <t>SY253185</t>
  </si>
  <si>
    <t>HF-BR02-13</t>
  </si>
  <si>
    <t>SY253186</t>
  </si>
  <si>
    <t>AF-BR004-16</t>
  </si>
  <si>
    <t>SY253187</t>
  </si>
  <si>
    <t>HF-BR03-15</t>
  </si>
  <si>
    <t>SY253188</t>
  </si>
  <si>
    <t>HF-B01-08</t>
  </si>
  <si>
    <t>SY253189</t>
  </si>
  <si>
    <r>
      <rPr>
        <sz val="10"/>
        <color theme="1"/>
        <rFont val="Calibri Light"/>
        <charset val="134"/>
      </rPr>
      <t>leo</t>
    </r>
    <r>
      <rPr>
        <sz val="10"/>
        <color theme="1"/>
        <rFont val="宋体"/>
        <charset val="134"/>
      </rPr>
      <t>条纹布</t>
    </r>
  </si>
  <si>
    <t>LX23133</t>
  </si>
  <si>
    <t>SY253190</t>
  </si>
  <si>
    <t>环宇</t>
  </si>
  <si>
    <r>
      <rPr>
        <sz val="10"/>
        <color theme="1"/>
        <rFont val="Calibri Light"/>
        <charset val="134"/>
      </rPr>
      <t xml:space="preserve">C016  </t>
    </r>
    <r>
      <rPr>
        <sz val="10"/>
        <color theme="1"/>
        <rFont val="宋体"/>
        <charset val="134"/>
      </rPr>
      <t>迪桑鸟眼</t>
    </r>
  </si>
  <si>
    <t>SY253191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</si>
  <si>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聚酯弹性纤维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聚酯纤维</t>
    </r>
  </si>
  <si>
    <t>31/kg</t>
  </si>
  <si>
    <r>
      <rPr>
        <sz val="10"/>
        <color theme="1"/>
        <rFont val="Calibri Light"/>
        <charset val="134"/>
      </rPr>
      <t xml:space="preserve">C015  </t>
    </r>
    <r>
      <rPr>
        <sz val="10"/>
        <color theme="1"/>
        <rFont val="宋体"/>
        <charset val="134"/>
      </rPr>
      <t>迪桑渐变条</t>
    </r>
  </si>
  <si>
    <t>SY253192</t>
  </si>
  <si>
    <r>
      <rPr>
        <sz val="10"/>
        <color theme="1"/>
        <rFont val="Calibri Light"/>
        <charset val="134"/>
      </rPr>
      <t xml:space="preserve">C014  </t>
    </r>
    <r>
      <rPr>
        <sz val="10"/>
        <color theme="1"/>
        <rFont val="宋体"/>
        <charset val="134"/>
      </rPr>
      <t>迪桑小华夫格</t>
    </r>
  </si>
  <si>
    <t>SY253193</t>
  </si>
  <si>
    <t>小华夫格</t>
  </si>
  <si>
    <t>SY253194</t>
  </si>
  <si>
    <t>100%酷丝绵</t>
  </si>
  <si>
    <t>27/kg</t>
  </si>
  <si>
    <t>仿锦鸟眼</t>
  </si>
  <si>
    <t>SY253195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</si>
  <si>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氨纶</t>
    </r>
  </si>
  <si>
    <t>30/kg</t>
  </si>
  <si>
    <r>
      <rPr>
        <sz val="10"/>
        <color theme="1"/>
        <rFont val="Calibri Light"/>
        <charset val="134"/>
      </rPr>
      <t xml:space="preserve">C011 </t>
    </r>
    <r>
      <rPr>
        <sz val="10"/>
        <color theme="1"/>
        <rFont val="宋体"/>
        <charset val="134"/>
      </rPr>
      <t>仿锦长城格</t>
    </r>
  </si>
  <si>
    <t>SY253196</t>
  </si>
  <si>
    <r>
      <rPr>
        <sz val="10"/>
        <color theme="1"/>
        <rFont val="Calibri Light"/>
        <charset val="134"/>
      </rPr>
      <t xml:space="preserve">C010  </t>
    </r>
    <r>
      <rPr>
        <sz val="10"/>
        <color theme="1"/>
        <rFont val="宋体"/>
        <charset val="134"/>
      </rPr>
      <t>仿锦渐变条</t>
    </r>
  </si>
  <si>
    <t>SY253197</t>
  </si>
  <si>
    <r>
      <rPr>
        <sz val="10"/>
        <color theme="1"/>
        <rFont val="Calibri Light"/>
        <charset val="134"/>
      </rPr>
      <t xml:space="preserve">C009  </t>
    </r>
    <r>
      <rPr>
        <sz val="10"/>
        <color theme="1"/>
        <rFont val="宋体"/>
        <charset val="134"/>
      </rPr>
      <t>仿锦肌理格</t>
    </r>
  </si>
  <si>
    <t>SY253198</t>
  </si>
  <si>
    <r>
      <rPr>
        <sz val="10"/>
        <color theme="1"/>
        <rFont val="Calibri Light"/>
        <charset val="134"/>
      </rPr>
      <t xml:space="preserve">C008  </t>
    </r>
    <r>
      <rPr>
        <sz val="10"/>
        <color theme="1"/>
        <rFont val="宋体"/>
        <charset val="134"/>
      </rPr>
      <t>仿锦精细格</t>
    </r>
  </si>
  <si>
    <t>SY253199</t>
  </si>
  <si>
    <t>迪桑麻棉</t>
  </si>
  <si>
    <t>SY253200</t>
  </si>
  <si>
    <r>
      <rPr>
        <sz val="10"/>
        <color theme="1"/>
        <rFont val="Calibri Light"/>
        <charset val="134"/>
      </rPr>
      <t xml:space="preserve">C013 </t>
    </r>
    <r>
      <rPr>
        <sz val="10"/>
        <color theme="1"/>
        <rFont val="宋体"/>
        <charset val="134"/>
      </rPr>
      <t>迪桑速干轻氧</t>
    </r>
  </si>
  <si>
    <t>SY253201</t>
  </si>
  <si>
    <r>
      <rPr>
        <sz val="10"/>
        <color theme="1"/>
        <rFont val="Calibri Light"/>
        <charset val="134"/>
      </rPr>
      <t xml:space="preserve">C012  </t>
    </r>
    <r>
      <rPr>
        <sz val="10"/>
        <color theme="1"/>
        <rFont val="宋体"/>
        <charset val="134"/>
      </rPr>
      <t>迪桑麦穗</t>
    </r>
  </si>
  <si>
    <r>
      <rPr>
        <sz val="10"/>
        <color theme="1"/>
        <rFont val="Calibri Light"/>
        <charset val="134"/>
      </rPr>
      <t xml:space="preserve">1625  </t>
    </r>
    <r>
      <rPr>
        <sz val="10"/>
        <color theme="1"/>
        <rFont val="宋体"/>
        <charset val="134"/>
      </rPr>
      <t>平纹四面弹</t>
    </r>
  </si>
  <si>
    <t>SY253203</t>
  </si>
  <si>
    <t>90%锦纶10%氨纶</t>
  </si>
  <si>
    <t>90%NYLON10%SP</t>
  </si>
  <si>
    <r>
      <rPr>
        <sz val="10"/>
        <color theme="1"/>
        <rFont val="Calibri Light"/>
        <charset val="134"/>
      </rPr>
      <t xml:space="preserve">2502  </t>
    </r>
    <r>
      <rPr>
        <sz val="10"/>
        <color theme="1"/>
        <rFont val="宋体"/>
        <charset val="134"/>
      </rPr>
      <t>塞力斯</t>
    </r>
  </si>
  <si>
    <t>SY253204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</si>
  <si>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22%T800</t>
    </r>
  </si>
  <si>
    <t>78%POLY22%T800</t>
  </si>
  <si>
    <r>
      <rPr>
        <sz val="10"/>
        <color theme="1"/>
        <rFont val="Calibri Light"/>
        <charset val="134"/>
      </rPr>
      <t>2503  T800</t>
    </r>
    <r>
      <rPr>
        <sz val="10"/>
        <color theme="1"/>
        <rFont val="宋体"/>
        <charset val="134"/>
      </rPr>
      <t>珍珠点</t>
    </r>
  </si>
  <si>
    <t>SY253205</t>
  </si>
  <si>
    <r>
      <rPr>
        <sz val="10"/>
        <color theme="1"/>
        <rFont val="Calibri Light"/>
        <charset val="134"/>
      </rPr>
      <t xml:space="preserve">2507  </t>
    </r>
    <r>
      <rPr>
        <sz val="10"/>
        <color theme="1"/>
        <rFont val="宋体"/>
        <charset val="134"/>
      </rPr>
      <t>金龙斜</t>
    </r>
  </si>
  <si>
    <t>SY253206</t>
  </si>
  <si>
    <r>
      <rPr>
        <sz val="10"/>
        <color theme="1"/>
        <rFont val="Calibri Light"/>
        <charset val="134"/>
      </rPr>
      <t xml:space="preserve">2517  </t>
    </r>
    <r>
      <rPr>
        <sz val="10"/>
        <color theme="1"/>
        <rFont val="宋体"/>
        <charset val="134"/>
      </rPr>
      <t>字母斜</t>
    </r>
  </si>
  <si>
    <t>SY253207</t>
  </si>
  <si>
    <r>
      <rPr>
        <sz val="10"/>
        <color theme="1"/>
        <rFont val="Calibri Light"/>
        <charset val="134"/>
      </rPr>
      <t xml:space="preserve">2526  </t>
    </r>
    <r>
      <rPr>
        <sz val="10"/>
        <color theme="1"/>
        <rFont val="宋体"/>
        <charset val="134"/>
      </rPr>
      <t>正方格</t>
    </r>
  </si>
  <si>
    <t>SY253208</t>
  </si>
  <si>
    <r>
      <rPr>
        <sz val="10"/>
        <color theme="1"/>
        <rFont val="Calibri Light"/>
        <charset val="134"/>
      </rPr>
      <t>D</t>
    </r>
    <r>
      <rPr>
        <sz val="10"/>
        <color theme="1"/>
        <rFont val="宋体"/>
        <charset val="134"/>
      </rPr>
      <t>竖条子</t>
    </r>
  </si>
  <si>
    <t>SY253209</t>
  </si>
  <si>
    <r>
      <rPr>
        <sz val="10"/>
        <color theme="1"/>
        <rFont val="Calibri Light"/>
        <charset val="134"/>
      </rPr>
      <t>48%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26%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26%</t>
    </r>
    <r>
      <rPr>
        <sz val="10"/>
        <color theme="1"/>
        <rFont val="宋体"/>
        <charset val="134"/>
      </rPr>
      <t>天丝</t>
    </r>
  </si>
  <si>
    <t>48%POLY26%TENCEL26%NYLON</t>
  </si>
  <si>
    <r>
      <rPr>
        <sz val="10"/>
        <color theme="1"/>
        <rFont val="Calibri Light"/>
        <charset val="134"/>
      </rPr>
      <t>C</t>
    </r>
    <r>
      <rPr>
        <sz val="10"/>
        <color theme="1"/>
        <rFont val="宋体"/>
        <charset val="134"/>
      </rPr>
      <t>竖条子</t>
    </r>
  </si>
  <si>
    <t>SY253210</t>
  </si>
  <si>
    <r>
      <rPr>
        <sz val="10"/>
        <color theme="1"/>
        <rFont val="Calibri Light"/>
        <charset val="134"/>
      </rPr>
      <t>B</t>
    </r>
    <r>
      <rPr>
        <sz val="10"/>
        <color theme="1"/>
        <rFont val="宋体"/>
        <charset val="134"/>
      </rPr>
      <t>竖条子</t>
    </r>
  </si>
  <si>
    <t>SY253211</t>
  </si>
  <si>
    <r>
      <rPr>
        <sz val="10"/>
        <color theme="1"/>
        <rFont val="Calibri Light"/>
        <charset val="134"/>
      </rPr>
      <t>A</t>
    </r>
    <r>
      <rPr>
        <sz val="10"/>
        <color theme="1"/>
        <rFont val="宋体"/>
        <charset val="134"/>
      </rPr>
      <t>竖条子</t>
    </r>
  </si>
  <si>
    <t>SY253212</t>
  </si>
  <si>
    <r>
      <rPr>
        <sz val="10"/>
        <color theme="1"/>
        <rFont val="Calibri Light"/>
        <charset val="134"/>
      </rPr>
      <t xml:space="preserve">F6002  </t>
    </r>
    <r>
      <rPr>
        <sz val="10"/>
        <color theme="1"/>
        <rFont val="宋体"/>
        <charset val="134"/>
      </rPr>
      <t>砂洗骑兵斜</t>
    </r>
  </si>
  <si>
    <t>SY253213</t>
  </si>
  <si>
    <r>
      <rPr>
        <sz val="10"/>
        <color theme="1"/>
        <rFont val="Calibri Light"/>
        <charset val="134"/>
      </rPr>
      <t>F6011  128*160/</t>
    </r>
    <r>
      <rPr>
        <sz val="10"/>
        <color theme="1"/>
        <rFont val="宋体"/>
        <charset val="134"/>
      </rPr>
      <t>足纱加密水洗棉（漂白胚）</t>
    </r>
  </si>
  <si>
    <t>SY253214</t>
  </si>
  <si>
    <r>
      <rPr>
        <sz val="10"/>
        <color theme="1"/>
        <rFont val="Calibri Light"/>
        <charset val="134"/>
      </rPr>
      <t>K369  108*56</t>
    </r>
    <r>
      <rPr>
        <sz val="10"/>
        <color theme="1"/>
        <rFont val="宋体"/>
        <charset val="134"/>
      </rPr>
      <t>砂洗</t>
    </r>
  </si>
  <si>
    <t>SY253215</t>
  </si>
  <si>
    <t>色布：13.5    漂白胚色布：15</t>
  </si>
  <si>
    <t>颜色需对原色卡，排序有变</t>
  </si>
  <si>
    <r>
      <rPr>
        <sz val="10"/>
        <color theme="1"/>
        <rFont val="Calibri Light"/>
        <charset val="134"/>
      </rPr>
      <t>K669  32*21 3/1</t>
    </r>
    <r>
      <rPr>
        <sz val="10"/>
        <color theme="1"/>
        <rFont val="宋体"/>
        <charset val="134"/>
      </rPr>
      <t>斜</t>
    </r>
  </si>
  <si>
    <t>SY253216</t>
  </si>
  <si>
    <t>15.5(含税含运到广东福建）</t>
  </si>
  <si>
    <r>
      <rPr>
        <sz val="10"/>
        <color theme="1"/>
        <rFont val="Calibri Light"/>
        <charset val="134"/>
      </rPr>
      <t xml:space="preserve">K681  </t>
    </r>
    <r>
      <rPr>
        <sz val="10"/>
        <color theme="1"/>
        <rFont val="宋体"/>
        <charset val="134"/>
      </rPr>
      <t>双线条</t>
    </r>
  </si>
  <si>
    <t>SY253217</t>
  </si>
  <si>
    <r>
      <rPr>
        <sz val="10"/>
        <color theme="1"/>
        <rFont val="Calibri Light"/>
        <charset val="134"/>
      </rPr>
      <t>3/20</t>
    </r>
    <r>
      <rPr>
        <sz val="10"/>
        <color theme="1"/>
        <rFont val="宋体"/>
        <charset val="134"/>
      </rPr>
      <t>更新价格，加</t>
    </r>
    <r>
      <rPr>
        <sz val="10"/>
        <color theme="1"/>
        <rFont val="Calibri Light"/>
        <charset val="134"/>
      </rPr>
      <t>0.5</t>
    </r>
    <r>
      <rPr>
        <sz val="10"/>
        <color theme="1"/>
        <rFont val="宋体"/>
        <charset val="134"/>
      </rPr>
      <t>元</t>
    </r>
  </si>
  <si>
    <t>BTC</t>
  </si>
  <si>
    <r>
      <rPr>
        <sz val="10"/>
        <color theme="1"/>
        <rFont val="Calibri Light"/>
        <charset val="134"/>
      </rPr>
      <t>3C1103 32S</t>
    </r>
    <r>
      <rPr>
        <sz val="10"/>
        <color theme="1"/>
        <rFont val="宋体"/>
        <charset val="134"/>
      </rPr>
      <t>棉拉架平纹</t>
    </r>
  </si>
  <si>
    <t>SY26001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</si>
  <si>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纯棉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</si>
  <si>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宋体"/>
        <charset val="134"/>
      </rPr>
      <t>里布</t>
    </r>
    <r>
      <rPr>
        <sz val="10"/>
        <color theme="1"/>
        <rFont val="Calibri Light"/>
        <charset val="134"/>
      </rPr>
      <t>CCB</t>
    </r>
  </si>
  <si>
    <t>75D高捻乱麻</t>
  </si>
  <si>
    <t>梭织里布</t>
  </si>
  <si>
    <t>SY26002</t>
  </si>
  <si>
    <t>9.6（看备注）</t>
  </si>
  <si>
    <t>世贸纺织阿详</t>
  </si>
  <si>
    <r>
      <rPr>
        <sz val="11"/>
        <color rgb="FF000000"/>
        <rFont val="微软雅黑"/>
        <charset val="134"/>
      </rPr>
      <t>不含税价格，含税+7个点，</t>
    </r>
    <r>
      <rPr>
        <sz val="11"/>
        <color indexed="8"/>
        <rFont val="微软雅黑"/>
        <charset val="134"/>
      </rPr>
      <t>30</t>
    </r>
    <r>
      <rPr>
        <sz val="11"/>
        <color rgb="FF000000"/>
        <rFont val="微软雅黑"/>
        <charset val="134"/>
      </rPr>
      <t>米以下16</t>
    </r>
  </si>
  <si>
    <t>50D缎面雪纺</t>
  </si>
  <si>
    <t>SY26003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</si>
  <si>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50</t>
    </r>
    <r>
      <rPr>
        <sz val="11"/>
        <color rgb="FF000000"/>
        <rFont val="微软雅黑"/>
        <charset val="134"/>
      </rPr>
      <t>米以下16/米，51-200米10/米</t>
    </r>
  </si>
  <si>
    <t>50/75有光弹力色丁</t>
  </si>
  <si>
    <t>SY26004</t>
  </si>
  <si>
    <r>
      <rPr>
        <sz val="10"/>
        <color theme="1"/>
        <rFont val="Calibri Light"/>
        <charset val="134"/>
      </rPr>
      <t>94.5%</t>
    </r>
    <r>
      <rPr>
        <sz val="10"/>
        <color theme="1"/>
        <rFont val="宋体"/>
        <charset val="134"/>
      </rPr>
      <t>涤纶5.5%氨纶</t>
    </r>
  </si>
  <si>
    <t>94.5%Recycle POLY5.5%SP</t>
  </si>
  <si>
    <t>95-100</t>
  </si>
  <si>
    <t>390T 30D 0.4钻石格春</t>
  </si>
  <si>
    <t>SY26005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</si>
  <si>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50</t>
    </r>
    <r>
      <rPr>
        <sz val="11"/>
        <color rgb="FF000000"/>
        <rFont val="微软雅黑"/>
        <charset val="134"/>
      </rPr>
      <t>米以下15/米，51-150米10/米</t>
    </r>
  </si>
  <si>
    <t>50D弹力缎面雪纺</t>
  </si>
  <si>
    <t>SY26006</t>
  </si>
  <si>
    <r>
      <rPr>
        <sz val="10"/>
        <color theme="1"/>
        <rFont val="Calibri Light"/>
        <charset val="134"/>
      </rPr>
      <t>96.5%</t>
    </r>
    <r>
      <rPr>
        <sz val="10"/>
        <color theme="1"/>
        <rFont val="宋体"/>
        <charset val="134"/>
      </rPr>
      <t>涤纶3.5%氨纶</t>
    </r>
  </si>
  <si>
    <t>96.5%Recycle POLY3.5%SP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</si>
  <si>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50</t>
    </r>
    <r>
      <rPr>
        <sz val="11"/>
        <color rgb="FF000000"/>
        <rFont val="微软雅黑"/>
        <charset val="134"/>
      </rPr>
      <t>米以下16/米，51-200米11/米</t>
    </r>
  </si>
  <si>
    <t>75D假捻弹力雪纺</t>
  </si>
  <si>
    <t>SY26007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</si>
  <si>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30</t>
    </r>
    <r>
      <rPr>
        <sz val="11"/>
        <color rgb="FF000000"/>
        <rFont val="微软雅黑"/>
        <charset val="134"/>
      </rPr>
      <t>米以下16/米</t>
    </r>
  </si>
  <si>
    <t>50D哑光弹力色丁</t>
  </si>
  <si>
    <t>SY26008</t>
  </si>
  <si>
    <t>复合丝纬弹花瑶绉</t>
  </si>
  <si>
    <t>SY26009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</si>
  <si>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30</t>
    </r>
    <r>
      <rPr>
        <sz val="11"/>
        <color rgb="FF000000"/>
        <rFont val="微软雅黑"/>
        <charset val="134"/>
      </rPr>
      <t>米以下11/米</t>
    </r>
  </si>
  <si>
    <t>50D弹力迷你绉</t>
  </si>
  <si>
    <t>SY26010</t>
  </si>
  <si>
    <t>50D假捻弹力缎面雪纺</t>
  </si>
  <si>
    <t>SY26011</t>
  </si>
  <si>
    <t>50D弹力春亚纺</t>
  </si>
  <si>
    <t>SY26012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</si>
  <si>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200</t>
    </r>
    <r>
      <rPr>
        <sz val="11"/>
        <color rgb="FF000000"/>
        <rFont val="微软雅黑"/>
        <charset val="134"/>
      </rPr>
      <t>米以下6.6/米</t>
    </r>
  </si>
  <si>
    <t>300T春亚纺</t>
  </si>
  <si>
    <t>SY26013</t>
  </si>
  <si>
    <t>4.6（看备注）</t>
  </si>
  <si>
    <r>
      <rPr>
        <sz val="11"/>
        <color rgb="FF000000"/>
        <rFont val="微软雅黑"/>
        <charset val="134"/>
      </rPr>
      <t>不含税价格，含税</t>
    </r>
    <r>
      <rPr>
        <sz val="11"/>
        <color indexed="8"/>
        <rFont val="微软雅黑"/>
        <charset val="134"/>
      </rPr>
      <t>+7</t>
    </r>
    <r>
      <rPr>
        <sz val="11"/>
        <color rgb="FF000000"/>
        <rFont val="微软雅黑"/>
        <charset val="134"/>
      </rPr>
      <t>个点，</t>
    </r>
    <r>
      <rPr>
        <sz val="11"/>
        <color indexed="8"/>
        <rFont val="微软雅黑"/>
        <charset val="134"/>
      </rPr>
      <t>200</t>
    </r>
    <r>
      <rPr>
        <sz val="11"/>
        <color rgb="FF000000"/>
        <rFont val="微软雅黑"/>
        <charset val="134"/>
      </rPr>
      <t>米以下5.6/米</t>
    </r>
  </si>
  <si>
    <t>弹力薄的有提花形状面料</t>
  </si>
  <si>
    <t>7021 网布车花</t>
  </si>
  <si>
    <t>SY26014</t>
  </si>
  <si>
    <t>X029    珠片绣花</t>
  </si>
  <si>
    <t>SY26015</t>
  </si>
  <si>
    <t>98%聚酯纤维2%氨纶</t>
  </si>
  <si>
    <t xml:space="preserve">X035 </t>
  </si>
  <si>
    <t>SY26016</t>
  </si>
  <si>
    <t xml:space="preserve">X030 </t>
  </si>
  <si>
    <t>SY26017</t>
  </si>
  <si>
    <t>X028 珠片绣花</t>
  </si>
  <si>
    <t>SY26018</t>
  </si>
  <si>
    <t>X032    网布绣花</t>
  </si>
  <si>
    <t>SY26019</t>
  </si>
  <si>
    <t xml:space="preserve">  X022    珠片绣花</t>
  </si>
  <si>
    <t>SY26020</t>
  </si>
  <si>
    <t>ZP017 珠片绣花</t>
  </si>
  <si>
    <t>SY26021</t>
  </si>
  <si>
    <t>X026 珠片绣花</t>
  </si>
  <si>
    <t>SY26022</t>
  </si>
  <si>
    <t>提花格仔面料</t>
  </si>
  <si>
    <t>J1162 绣珠片</t>
  </si>
  <si>
    <t>SY26023</t>
  </si>
  <si>
    <t>100% 聚酯纤维</t>
  </si>
  <si>
    <t>5386 片</t>
  </si>
  <si>
    <t>SY26024</t>
  </si>
  <si>
    <t>1498 绣珠片</t>
  </si>
  <si>
    <t>SY26025</t>
  </si>
  <si>
    <t xml:space="preserve">K28 </t>
  </si>
  <si>
    <t>SY26026</t>
  </si>
  <si>
    <t xml:space="preserve">5183 </t>
  </si>
  <si>
    <t>SY26027</t>
  </si>
  <si>
    <t>提花蕾丝面料</t>
  </si>
  <si>
    <t>6406 波边</t>
  </si>
  <si>
    <t>SY26028</t>
  </si>
  <si>
    <t>65%棉35%锦纶</t>
  </si>
  <si>
    <t>珠片绣花</t>
  </si>
  <si>
    <t>Y1569-4 珠片绣花</t>
  </si>
  <si>
    <t>梭织绣花</t>
  </si>
  <si>
    <t>SY26029</t>
  </si>
  <si>
    <t>镂空大图绣花</t>
  </si>
  <si>
    <t xml:space="preserve">C </t>
  </si>
  <si>
    <t>SY26030</t>
  </si>
  <si>
    <t xml:space="preserve">B </t>
  </si>
  <si>
    <t>SY26031</t>
  </si>
  <si>
    <t xml:space="preserve">A  Y1342-1 </t>
  </si>
  <si>
    <t>SY26032</t>
  </si>
  <si>
    <t>中厚棉定位梳织绣花</t>
  </si>
  <si>
    <t>SY26033</t>
  </si>
  <si>
    <t xml:space="preserve">D </t>
  </si>
  <si>
    <t>SY26034</t>
  </si>
  <si>
    <t>薄的有提花形状面料</t>
  </si>
  <si>
    <t>8061 烧花</t>
  </si>
  <si>
    <t>梭织烧花</t>
  </si>
  <si>
    <t>SY26035</t>
  </si>
  <si>
    <t>8351B 薄</t>
  </si>
  <si>
    <t>SY26036</t>
  </si>
  <si>
    <t>1117 特薄</t>
  </si>
  <si>
    <t>SY26037</t>
  </si>
  <si>
    <t>薄的净色面料</t>
  </si>
  <si>
    <t>1201 加密珍珠雪纺</t>
  </si>
  <si>
    <t>梭织雪纺</t>
  </si>
  <si>
    <t>SY26038</t>
  </si>
  <si>
    <t>有坠感提花</t>
  </si>
  <si>
    <t xml:space="preserve">R8095 </t>
  </si>
  <si>
    <t>SY26039</t>
  </si>
  <si>
    <t>80%人棉20%锦纶</t>
  </si>
  <si>
    <t xml:space="preserve">      双面缎手抓花 </t>
  </si>
  <si>
    <t>SY26040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</si>
  <si>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1</t>
    </r>
  </si>
  <si>
    <t>C9030</t>
  </si>
  <si>
    <t>SY26041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</si>
  <si>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42%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</si>
  <si>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55%BCI COTTON42%N3%SP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</si>
  <si>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2</t>
    </r>
  </si>
  <si>
    <t>加厚高弹双层</t>
  </si>
  <si>
    <t>SY26042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</si>
  <si>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3</t>
    </r>
  </si>
  <si>
    <t>K702</t>
  </si>
  <si>
    <t>SY26043</t>
  </si>
  <si>
    <r>
      <rPr>
        <sz val="10"/>
        <color theme="1"/>
        <rFont val="Calibri Light"/>
        <charset val="134"/>
      </rPr>
      <t>49%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涤纶</t>
    </r>
  </si>
  <si>
    <t>49%R 17%N 34%POLY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</si>
  <si>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4</t>
    </r>
  </si>
  <si>
    <t>A1170-2</t>
  </si>
  <si>
    <t>SY26044</t>
  </si>
  <si>
    <t>45%人棉 37%天丝 18%锦纶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</si>
  <si>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5</t>
    </r>
  </si>
  <si>
    <t>冰丝波比</t>
  </si>
  <si>
    <t>SY26045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</si>
  <si>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6</t>
    </r>
  </si>
  <si>
    <t>5364A</t>
  </si>
  <si>
    <t>SY26046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</si>
  <si>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7</t>
    </r>
  </si>
  <si>
    <t>醋酸缎面料</t>
  </si>
  <si>
    <t>SY26047</t>
  </si>
  <si>
    <r>
      <rPr>
        <sz val="10"/>
        <color theme="1"/>
        <rFont val="宋体"/>
        <charset val="134"/>
      </rPr>
      <t>布样</t>
    </r>
    <r>
      <rPr>
        <sz val="10"/>
        <color theme="1"/>
        <rFont val="Calibri Light"/>
        <charset val="134"/>
      </rPr>
      <t>8</t>
    </r>
  </si>
  <si>
    <r>
      <rPr>
        <sz val="10"/>
        <color theme="1"/>
        <rFont val="Calibri Light"/>
        <charset val="134"/>
      </rPr>
      <t>3058</t>
    </r>
    <r>
      <rPr>
        <sz val="10"/>
        <color theme="1"/>
        <rFont val="宋体"/>
        <charset val="134"/>
      </rPr>
      <t>天丝条</t>
    </r>
  </si>
  <si>
    <t>SY26048</t>
  </si>
  <si>
    <t>20%N 80%TEN</t>
  </si>
  <si>
    <t>3058天丝条</t>
  </si>
  <si>
    <t>jesscia</t>
  </si>
  <si>
    <r>
      <rPr>
        <sz val="10"/>
        <color theme="1"/>
        <rFont val="Calibri Light"/>
        <charset val="134"/>
      </rPr>
      <t>MC922 T8</t>
    </r>
    <r>
      <rPr>
        <sz val="10"/>
        <color theme="1"/>
        <rFont val="宋体"/>
        <charset val="134"/>
      </rPr>
      <t>蚂蚁布</t>
    </r>
  </si>
  <si>
    <t>SY26049</t>
  </si>
  <si>
    <t>茂成纺织</t>
  </si>
  <si>
    <r>
      <rPr>
        <sz val="10"/>
        <color theme="1"/>
        <rFont val="Calibri Light"/>
        <charset val="134"/>
      </rPr>
      <t>MC888 300D</t>
    </r>
    <r>
      <rPr>
        <sz val="10"/>
        <color theme="1"/>
        <rFont val="宋体"/>
        <charset val="134"/>
      </rPr>
      <t>加捻乱麻</t>
    </r>
  </si>
  <si>
    <t>SY26050</t>
  </si>
  <si>
    <t>钟哥</t>
  </si>
  <si>
    <r>
      <rPr>
        <sz val="10"/>
        <color theme="1"/>
        <rFont val="Calibri Light"/>
        <charset val="134"/>
      </rPr>
      <t xml:space="preserve">10940 </t>
    </r>
    <r>
      <rPr>
        <sz val="10"/>
        <color theme="1"/>
        <rFont val="宋体"/>
        <charset val="134"/>
      </rPr>
      <t>加厚米其弹力</t>
    </r>
  </si>
  <si>
    <t>SY26051</t>
  </si>
  <si>
    <t>经纬织造-锦地印染</t>
  </si>
  <si>
    <t>厦门Sara</t>
  </si>
  <si>
    <t>高密韩国里</t>
  </si>
  <si>
    <t>SY26052</t>
  </si>
  <si>
    <t>裤料开发</t>
  </si>
  <si>
    <t>消光斜纹登山布</t>
  </si>
  <si>
    <t>SY26053</t>
  </si>
  <si>
    <r>
      <rPr>
        <sz val="10"/>
        <color theme="1"/>
        <rFont val="Calibri Light"/>
        <charset val="134"/>
      </rPr>
      <t xml:space="preserve">90% 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氨纶</t>
    </r>
  </si>
  <si>
    <t>1898#（始祖鸟系列）</t>
  </si>
  <si>
    <t>16，足米不含税</t>
  </si>
  <si>
    <t>消光格仔登山布</t>
  </si>
  <si>
    <t>SY26054</t>
  </si>
  <si>
    <t>1899#（始祖鸟系列）</t>
  </si>
  <si>
    <t>19，足米不含税</t>
  </si>
  <si>
    <t>长城条登山布</t>
  </si>
  <si>
    <t>SY26055</t>
  </si>
  <si>
    <t>1731# 长城条登山布（毛巾底）</t>
  </si>
  <si>
    <t>14.5，足米不含税</t>
  </si>
  <si>
    <r>
      <rPr>
        <sz val="10"/>
        <color theme="1"/>
        <rFont val="Calibri Light"/>
        <charset val="134"/>
      </rPr>
      <t>2008#20D</t>
    </r>
    <r>
      <rPr>
        <sz val="10"/>
        <color theme="1"/>
        <rFont val="宋体"/>
        <charset val="134"/>
      </rPr>
      <t>消光尼丝纺</t>
    </r>
  </si>
  <si>
    <t>SY26056</t>
  </si>
  <si>
    <t>光伏</t>
  </si>
  <si>
    <t>涤阳牛津布</t>
  </si>
  <si>
    <t>SYL250927-5</t>
  </si>
  <si>
    <r>
      <rPr>
        <sz val="10"/>
        <color theme="1"/>
        <rFont val="Calibri Light"/>
        <charset val="134"/>
      </rPr>
      <t>8038#</t>
    </r>
    <r>
      <rPr>
        <sz val="10"/>
        <color theme="1"/>
        <rFont val="宋体"/>
        <charset val="134"/>
      </rPr>
      <t>双线格</t>
    </r>
  </si>
  <si>
    <t>SY26057(SY26014)</t>
  </si>
  <si>
    <t>87.2%NYLON 12.8%SP</t>
  </si>
  <si>
    <r>
      <rPr>
        <sz val="10"/>
        <color theme="1"/>
        <rFont val="Calibri Light"/>
        <charset val="134"/>
      </rPr>
      <t>11.5</t>
    </r>
    <r>
      <rPr>
        <sz val="10"/>
        <color theme="1"/>
        <rFont val="微软雅黑"/>
        <charset val="134"/>
      </rPr>
      <t>，足米不含税</t>
    </r>
  </si>
  <si>
    <r>
      <rPr>
        <sz val="10"/>
        <color theme="1"/>
        <rFont val="Calibri Light"/>
        <charset val="134"/>
      </rPr>
      <t xml:space="preserve">2084# </t>
    </r>
    <r>
      <rPr>
        <sz val="10"/>
        <color theme="1"/>
        <rFont val="微软雅黑"/>
        <charset val="134"/>
      </rPr>
      <t>重磅宽幅钛金棉（冷堆免洗）</t>
    </r>
  </si>
  <si>
    <r>
      <rPr>
        <sz val="10"/>
        <color theme="1"/>
        <rFont val="Calibri Light"/>
        <charset val="134"/>
      </rPr>
      <t>SY26058(SY26015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</si>
  <si>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Calibri Light"/>
        <charset val="134"/>
      </rPr>
      <t>9.5</t>
    </r>
    <r>
      <rPr>
        <sz val="10"/>
        <color theme="1"/>
        <rFont val="微软雅黑"/>
        <charset val="134"/>
      </rPr>
      <t>足米不含税</t>
    </r>
  </si>
  <si>
    <r>
      <rPr>
        <sz val="10"/>
        <color theme="1"/>
        <rFont val="Calibri Light"/>
        <charset val="134"/>
      </rPr>
      <t>6098# 32D</t>
    </r>
    <r>
      <rPr>
        <sz val="10"/>
        <color theme="1"/>
        <rFont val="微软雅黑"/>
        <charset val="134"/>
      </rPr>
      <t>登山布</t>
    </r>
  </si>
  <si>
    <t>SY26059(SY26016)</t>
  </si>
  <si>
    <t>GFG0593</t>
  </si>
  <si>
    <r>
      <rPr>
        <sz val="10"/>
        <color theme="1"/>
        <rFont val="Calibri Light"/>
        <charset val="134"/>
      </rPr>
      <t xml:space="preserve">TS-010 </t>
    </r>
    <r>
      <rPr>
        <sz val="10"/>
        <color theme="1"/>
        <rFont val="宋体"/>
        <charset val="134"/>
      </rPr>
      <t>天丝感罗纹</t>
    </r>
  </si>
  <si>
    <t>SY26060</t>
  </si>
  <si>
    <r>
      <rPr>
        <sz val="10"/>
        <color rgb="FF9C0006"/>
        <rFont val="Calibri Light"/>
        <charset val="134"/>
      </rPr>
      <t xml:space="preserve">TS-016 </t>
    </r>
    <r>
      <rPr>
        <sz val="10"/>
        <color theme="1"/>
        <rFont val="宋体"/>
        <charset val="134"/>
      </rPr>
      <t>天丝感罗纹</t>
    </r>
  </si>
  <si>
    <t>SY26061</t>
  </si>
  <si>
    <t>2MM022</t>
  </si>
  <si>
    <t>SY26062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</si>
  <si>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涤纶</t>
    </r>
  </si>
  <si>
    <t>70%POLY 30%LINEN</t>
  </si>
  <si>
    <t>朝正茂</t>
  </si>
  <si>
    <r>
      <rPr>
        <sz val="10"/>
        <color theme="1"/>
        <rFont val="Calibri Light"/>
        <charset val="134"/>
      </rPr>
      <t>6073</t>
    </r>
    <r>
      <rPr>
        <sz val="10"/>
        <color theme="1"/>
        <rFont val="宋体"/>
        <charset val="134"/>
      </rPr>
      <t>弹</t>
    </r>
  </si>
  <si>
    <t>SY26063</t>
  </si>
  <si>
    <t>98%棉2%氨纶</t>
  </si>
  <si>
    <t>98%BCI COTTON 2%SP</t>
  </si>
  <si>
    <t>SY26064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</si>
  <si>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人棉</t>
    </r>
  </si>
  <si>
    <t>F663</t>
  </si>
  <si>
    <t>SY26065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</si>
  <si>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</si>
  <si>
    <t>逢源纺织</t>
  </si>
  <si>
    <r>
      <rPr>
        <sz val="10"/>
        <color theme="1"/>
        <rFont val="Calibri Light"/>
        <charset val="134"/>
      </rPr>
      <t>1650</t>
    </r>
    <r>
      <rPr>
        <sz val="10"/>
        <color theme="1"/>
        <rFont val="宋体"/>
        <charset val="134"/>
      </rPr>
      <t>天丝麻平纹</t>
    </r>
  </si>
  <si>
    <t>SY26066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</si>
  <si>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9%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亚麻</t>
    </r>
  </si>
  <si>
    <t>47%TEN 38%R 9%N 6%L</t>
  </si>
  <si>
    <t>灿盛纺织</t>
  </si>
  <si>
    <r>
      <rPr>
        <sz val="10"/>
        <color theme="1"/>
        <rFont val="Calibri Light"/>
        <charset val="134"/>
      </rPr>
      <t>D2357</t>
    </r>
    <r>
      <rPr>
        <sz val="10"/>
        <color theme="1"/>
        <rFont val="宋体"/>
        <charset val="134"/>
      </rPr>
      <t>波点</t>
    </r>
  </si>
  <si>
    <t>SY26067</t>
  </si>
  <si>
    <t>吕底亚纺织</t>
  </si>
  <si>
    <t>D2356-1</t>
  </si>
  <si>
    <t>SY26068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</si>
  <si>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尼龙</t>
    </r>
  </si>
  <si>
    <t>50%BCI COTTON 25%POLY 25%N</t>
  </si>
  <si>
    <r>
      <rPr>
        <sz val="10"/>
        <color theme="1"/>
        <rFont val="Calibri Light"/>
        <charset val="134"/>
      </rPr>
      <t>A</t>
    </r>
    <r>
      <rPr>
        <sz val="10"/>
        <color theme="1"/>
        <rFont val="宋体"/>
        <charset val="134"/>
      </rPr>
      <t>法式坑条印花</t>
    </r>
    <r>
      <rPr>
        <sz val="10"/>
        <color theme="1"/>
        <rFont val="Calibri Light"/>
        <charset val="134"/>
      </rPr>
      <t>-Y48</t>
    </r>
    <r>
      <rPr>
        <sz val="10"/>
        <color theme="1"/>
        <rFont val="宋体"/>
        <charset val="134"/>
      </rPr>
      <t>圆点</t>
    </r>
  </si>
  <si>
    <t>SY26069</t>
  </si>
  <si>
    <t>广州丽达优品（yard）</t>
  </si>
  <si>
    <r>
      <rPr>
        <sz val="10"/>
        <color theme="1"/>
        <rFont val="Calibri Light"/>
        <charset val="134"/>
      </rPr>
      <t>LD8177</t>
    </r>
    <r>
      <rPr>
        <sz val="10"/>
        <color theme="1"/>
        <rFont val="宋体"/>
        <charset val="134"/>
      </rPr>
      <t>天丝雪花棉印花</t>
    </r>
    <r>
      <rPr>
        <sz val="10"/>
        <color theme="1"/>
        <rFont val="Calibri Light"/>
        <charset val="134"/>
      </rPr>
      <t>-Y114</t>
    </r>
    <r>
      <rPr>
        <sz val="10"/>
        <color theme="1"/>
        <rFont val="宋体"/>
        <charset val="134"/>
      </rPr>
      <t>圆点A</t>
    </r>
  </si>
  <si>
    <t>SY26070</t>
  </si>
  <si>
    <r>
      <rPr>
        <sz val="10"/>
        <color theme="1"/>
        <rFont val="Calibri Light"/>
        <charset val="134"/>
      </rPr>
      <t>52%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</t>
    </r>
  </si>
  <si>
    <t>52%BCI COTTON 35%POLY 13%LC</t>
  </si>
  <si>
    <t>TS1578</t>
  </si>
  <si>
    <t>SY26071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</si>
  <si>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涤纶</t>
    </r>
  </si>
  <si>
    <t>15%POLY 85%TEN</t>
  </si>
  <si>
    <t>桐森</t>
  </si>
  <si>
    <t>TS1796</t>
  </si>
  <si>
    <t>SY26072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</si>
  <si>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尼龙</t>
    </r>
  </si>
  <si>
    <t>80%LC 25%R 17%N</t>
  </si>
  <si>
    <r>
      <rPr>
        <sz val="10"/>
        <color theme="1"/>
        <rFont val="Calibri Light"/>
        <charset val="134"/>
      </rPr>
      <t>2026</t>
    </r>
    <r>
      <rPr>
        <sz val="10"/>
        <color theme="1"/>
        <rFont val="宋体"/>
        <charset val="134"/>
      </rPr>
      <t>年新款诺锦皱印花</t>
    </r>
    <r>
      <rPr>
        <sz val="10"/>
        <color theme="1"/>
        <rFont val="Calibri Light"/>
        <charset val="134"/>
      </rPr>
      <t>-18#</t>
    </r>
  </si>
  <si>
    <t>SY26073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</si>
  <si>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尼龙</t>
    </r>
  </si>
  <si>
    <t>58%POLY 25%R 17%N</t>
  </si>
  <si>
    <r>
      <rPr>
        <sz val="10"/>
        <color theme="1"/>
        <rFont val="宋体"/>
        <charset val="134"/>
      </rPr>
      <t>利和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时尚集合店</t>
    </r>
  </si>
  <si>
    <r>
      <rPr>
        <sz val="10"/>
        <color theme="1"/>
        <rFont val="Calibri Light"/>
        <charset val="134"/>
      </rPr>
      <t>B10950  80</t>
    </r>
    <r>
      <rPr>
        <sz val="10"/>
        <color theme="1"/>
        <rFont val="宋体"/>
        <charset val="134"/>
      </rPr>
      <t>支</t>
    </r>
    <r>
      <rPr>
        <sz val="10"/>
        <color theme="1"/>
        <rFont val="Calibri Light"/>
        <charset val="134"/>
      </rPr>
      <t>9088</t>
    </r>
    <r>
      <rPr>
        <sz val="10"/>
        <color theme="1"/>
        <rFont val="宋体"/>
        <charset val="134"/>
      </rPr>
      <t>棉</t>
    </r>
  </si>
  <si>
    <t>SY26074</t>
  </si>
  <si>
    <r>
      <rPr>
        <sz val="10"/>
        <color theme="1"/>
        <rFont val="Calibri Light"/>
        <charset val="134"/>
      </rPr>
      <t>TR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6</t>
    </r>
    <r>
      <rPr>
        <sz val="10"/>
        <color theme="1"/>
        <rFont val="宋体"/>
        <charset val="134"/>
      </rPr>
      <t>号提花</t>
    </r>
    <r>
      <rPr>
        <sz val="10"/>
        <color theme="1"/>
        <rFont val="Calibri Light"/>
        <charset val="134"/>
      </rPr>
      <t xml:space="preserve">  CS-3109</t>
    </r>
  </si>
  <si>
    <t>SY26075</t>
  </si>
  <si>
    <t>聪盛纺织</t>
  </si>
  <si>
    <r>
      <rPr>
        <sz val="10"/>
        <color theme="1"/>
        <rFont val="Calibri Light"/>
        <charset val="134"/>
      </rPr>
      <t>2-1382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1237</t>
    </r>
    <r>
      <rPr>
        <sz val="10"/>
        <color theme="1"/>
        <rFont val="宋体"/>
        <charset val="134"/>
      </rPr>
      <t>）</t>
    </r>
  </si>
  <si>
    <t>SY26076</t>
  </si>
  <si>
    <t>长丰纺织</t>
  </si>
  <si>
    <t>21T WL005#</t>
  </si>
  <si>
    <t>SY26077</t>
  </si>
  <si>
    <t>55%T 45%C</t>
  </si>
  <si>
    <t>45%BCI COTTON 55%POLY</t>
  </si>
  <si>
    <t>SY26078</t>
  </si>
  <si>
    <t>SY26079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</si>
  <si>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</si>
  <si>
    <t>SY26080</t>
  </si>
  <si>
    <t>SY26081</t>
  </si>
  <si>
    <t>SY26082</t>
  </si>
  <si>
    <t>G-512</t>
  </si>
  <si>
    <t>SY26083</t>
  </si>
  <si>
    <t>芊曼纺织</t>
  </si>
  <si>
    <t>G-516</t>
  </si>
  <si>
    <t>SY26084</t>
  </si>
  <si>
    <t>G-500</t>
  </si>
  <si>
    <t>SY26085</t>
  </si>
  <si>
    <t>G-001</t>
  </si>
  <si>
    <t>SY26086</t>
  </si>
  <si>
    <t>G-005</t>
  </si>
  <si>
    <t>SY26087</t>
  </si>
  <si>
    <t>G-502</t>
  </si>
  <si>
    <t>SY26088</t>
  </si>
  <si>
    <t>G-501</t>
  </si>
  <si>
    <t>SY26089</t>
  </si>
  <si>
    <t>G-503</t>
  </si>
  <si>
    <t>SY26090</t>
  </si>
  <si>
    <t>G-505</t>
  </si>
  <si>
    <t>SY26091</t>
  </si>
  <si>
    <t>G-506</t>
  </si>
  <si>
    <t>SY26092</t>
  </si>
  <si>
    <t>G-507</t>
  </si>
  <si>
    <t>SY26093</t>
  </si>
  <si>
    <t>G-508</t>
  </si>
  <si>
    <t>SY26094</t>
  </si>
  <si>
    <t>SY26095</t>
  </si>
  <si>
    <t>G-010</t>
  </si>
  <si>
    <t>SY26096</t>
  </si>
  <si>
    <t>G-003</t>
  </si>
  <si>
    <t>SY26097</t>
  </si>
  <si>
    <t>GFG0599</t>
  </si>
  <si>
    <t>A2341</t>
  </si>
  <si>
    <t>SY26098</t>
  </si>
  <si>
    <t>佐尚纺织</t>
  </si>
  <si>
    <t>A23460</t>
  </si>
  <si>
    <t>SY26099</t>
  </si>
  <si>
    <t>A23499</t>
  </si>
  <si>
    <t>SY26100</t>
  </si>
  <si>
    <t>A23917</t>
  </si>
  <si>
    <t>SY26101</t>
  </si>
  <si>
    <t>A23920</t>
  </si>
  <si>
    <t>SY26102</t>
  </si>
  <si>
    <t>A234120</t>
  </si>
  <si>
    <t>SY26103</t>
  </si>
  <si>
    <t>A234202</t>
  </si>
  <si>
    <t>SY26104</t>
  </si>
  <si>
    <t>C236217</t>
  </si>
  <si>
    <t>SY26105</t>
  </si>
  <si>
    <r>
      <rPr>
        <sz val="10"/>
        <color theme="1"/>
        <rFont val="Calibri Light"/>
        <charset val="134"/>
      </rPr>
      <t xml:space="preserve">J7197 </t>
    </r>
    <r>
      <rPr>
        <sz val="10"/>
        <color theme="1"/>
        <rFont val="宋体"/>
        <charset val="134"/>
      </rPr>
      <t>皮草编织</t>
    </r>
  </si>
  <si>
    <t>SY26106</t>
  </si>
  <si>
    <r>
      <rPr>
        <sz val="10"/>
        <color theme="1"/>
        <rFont val="Calibri Light"/>
        <charset val="134"/>
      </rPr>
      <t>60%PU 40%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</si>
  <si>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Calibri Light"/>
        <charset val="134"/>
      </rPr>
      <t>60%PU</t>
    </r>
    <r>
      <rPr>
        <sz val="10"/>
        <color theme="1"/>
        <rFont val="宋体"/>
        <charset val="134"/>
      </rPr>
      <t xml:space="preserve"> </t>
    </r>
    <r>
      <rPr>
        <sz val="10"/>
        <color theme="1"/>
        <rFont val="Calibri Light"/>
        <charset val="134"/>
      </rPr>
      <t>40%POLY</t>
    </r>
  </si>
  <si>
    <t>1.0±0.05mm</t>
  </si>
  <si>
    <t>上森皮革</t>
  </si>
  <si>
    <t>28.5元/米</t>
  </si>
  <si>
    <t>200M</t>
  </si>
  <si>
    <r>
      <rPr>
        <sz val="10"/>
        <color theme="1"/>
        <rFont val="Calibri Light"/>
        <charset val="134"/>
      </rPr>
      <t xml:space="preserve">J7139  </t>
    </r>
    <r>
      <rPr>
        <sz val="10"/>
        <color theme="1"/>
        <rFont val="宋体"/>
        <charset val="134"/>
      </rPr>
      <t>稻城亚丁</t>
    </r>
  </si>
  <si>
    <t>SY26107</t>
  </si>
  <si>
    <t>27.4元/米</t>
  </si>
  <si>
    <t>300M</t>
  </si>
  <si>
    <t>J7211</t>
  </si>
  <si>
    <t>SY26108</t>
  </si>
  <si>
    <t>1.05±0.05mm</t>
  </si>
  <si>
    <t>25.2元/米</t>
  </si>
  <si>
    <t>100-200M</t>
  </si>
  <si>
    <t>J7199</t>
  </si>
  <si>
    <t>SY26109</t>
  </si>
  <si>
    <t>0.85±0.05mm</t>
  </si>
  <si>
    <t>K1717</t>
  </si>
  <si>
    <t>SY26110</t>
  </si>
  <si>
    <t>0.9±0.05mm</t>
  </si>
  <si>
    <t>24.1元/米</t>
  </si>
  <si>
    <r>
      <rPr>
        <sz val="10"/>
        <color theme="1"/>
        <rFont val="Calibri Light"/>
        <charset val="134"/>
      </rPr>
      <t xml:space="preserve">F828  </t>
    </r>
    <r>
      <rPr>
        <sz val="10"/>
        <color theme="1"/>
        <rFont val="宋体"/>
        <charset val="134"/>
      </rPr>
      <t>激情牛仔</t>
    </r>
  </si>
  <si>
    <t>SY26111</t>
  </si>
  <si>
    <t>1.1±0.05mm</t>
  </si>
  <si>
    <t>23.5元/米</t>
  </si>
  <si>
    <t>DZ355</t>
  </si>
  <si>
    <t>SY26112</t>
  </si>
  <si>
    <t>1.2±0.05mm</t>
  </si>
  <si>
    <t>19.3元/米</t>
  </si>
  <si>
    <r>
      <rPr>
        <sz val="10"/>
        <color theme="1"/>
        <rFont val="Calibri Light"/>
        <charset val="134"/>
      </rPr>
      <t xml:space="preserve">K899  </t>
    </r>
    <r>
      <rPr>
        <sz val="10"/>
        <color theme="1"/>
        <rFont val="宋体"/>
        <charset val="134"/>
      </rPr>
      <t>一路风暴</t>
    </r>
  </si>
  <si>
    <t>SY26113</t>
  </si>
  <si>
    <t>23.1元/米</t>
  </si>
  <si>
    <t>Y1131</t>
  </si>
  <si>
    <t>SY26114</t>
  </si>
  <si>
    <t>16元/米</t>
  </si>
  <si>
    <t>Y1001</t>
  </si>
  <si>
    <t>SY26115</t>
  </si>
  <si>
    <t>S117</t>
  </si>
  <si>
    <t>SY26116</t>
  </si>
  <si>
    <t>18.2元/米</t>
  </si>
  <si>
    <t>Y1176</t>
  </si>
  <si>
    <t>SY26117</t>
  </si>
  <si>
    <t>Y1177</t>
  </si>
  <si>
    <t>SY26118</t>
  </si>
  <si>
    <t>17.6元/米</t>
  </si>
  <si>
    <t>Y1010</t>
  </si>
  <si>
    <t>SY26119</t>
  </si>
  <si>
    <t>Y1132</t>
  </si>
  <si>
    <t>SY26120</t>
  </si>
  <si>
    <t>18.7元/米</t>
  </si>
  <si>
    <t>J7219</t>
  </si>
  <si>
    <t>SY26121</t>
  </si>
  <si>
    <t>0.95±0.05mm</t>
  </si>
  <si>
    <t>26.4元/米</t>
  </si>
  <si>
    <t>暂无起订量</t>
  </si>
  <si>
    <r>
      <rPr>
        <sz val="10"/>
        <color theme="1"/>
        <rFont val="Calibri Light"/>
        <charset val="134"/>
      </rPr>
      <t xml:space="preserve">J511 </t>
    </r>
    <r>
      <rPr>
        <sz val="10"/>
        <color theme="1"/>
        <rFont val="宋体"/>
        <charset val="134"/>
      </rPr>
      <t>明日之星</t>
    </r>
  </si>
  <si>
    <t>SY26122</t>
  </si>
  <si>
    <t>22元/米</t>
  </si>
  <si>
    <r>
      <rPr>
        <sz val="10"/>
        <color theme="1"/>
        <rFont val="Calibri Light"/>
        <charset val="134"/>
      </rPr>
      <t xml:space="preserve">J508 </t>
    </r>
    <r>
      <rPr>
        <sz val="10"/>
        <color theme="1"/>
        <rFont val="宋体"/>
        <charset val="134"/>
      </rPr>
      <t>心软油皮</t>
    </r>
  </si>
  <si>
    <t>SY26123</t>
  </si>
  <si>
    <t>J509</t>
  </si>
  <si>
    <t>SY26124</t>
  </si>
  <si>
    <t>21.5元/米</t>
  </si>
  <si>
    <t>J9156</t>
  </si>
  <si>
    <t>SY26125</t>
  </si>
  <si>
    <t>28.6元/米</t>
  </si>
  <si>
    <t>J9157</t>
  </si>
  <si>
    <t>SY26126</t>
  </si>
  <si>
    <r>
      <rPr>
        <sz val="10"/>
        <color theme="1"/>
        <rFont val="宋体"/>
        <charset val="134"/>
      </rPr>
      <t>新染草席</t>
    </r>
    <r>
      <rPr>
        <sz val="10"/>
        <color theme="1"/>
        <rFont val="Calibri Light"/>
        <charset val="134"/>
      </rPr>
      <t xml:space="preserve">  J7119</t>
    </r>
  </si>
  <si>
    <t>SY26127</t>
  </si>
  <si>
    <r>
      <rPr>
        <sz val="10"/>
        <color theme="1"/>
        <rFont val="宋体"/>
        <charset val="134"/>
      </rPr>
      <t>新染草席</t>
    </r>
    <r>
      <rPr>
        <sz val="10"/>
        <color theme="1"/>
        <rFont val="Calibri Light"/>
        <charset val="134"/>
      </rPr>
      <t xml:space="preserve">  J7119/J7120</t>
    </r>
  </si>
  <si>
    <t>J7212</t>
  </si>
  <si>
    <t>SY26128</t>
  </si>
  <si>
    <t>25.3元/米</t>
  </si>
  <si>
    <t>K1710</t>
  </si>
  <si>
    <t>SY26129</t>
  </si>
  <si>
    <t>编织工艺85元</t>
  </si>
  <si>
    <t>22.6元/米</t>
  </si>
  <si>
    <t>K1715</t>
  </si>
  <si>
    <t>SY26130</t>
  </si>
  <si>
    <t>K1996</t>
  </si>
  <si>
    <t>SY26131</t>
  </si>
  <si>
    <t>2.15±0.05mm</t>
  </si>
  <si>
    <t>31元/米</t>
  </si>
  <si>
    <t>50M</t>
  </si>
  <si>
    <t>DZ715</t>
  </si>
  <si>
    <t>SY26132</t>
  </si>
  <si>
    <t>13.2元/米</t>
  </si>
  <si>
    <t>F512</t>
  </si>
  <si>
    <t>SY26133</t>
  </si>
  <si>
    <t>K1681</t>
  </si>
  <si>
    <t>SY26134</t>
  </si>
  <si>
    <t>24.7元/米</t>
  </si>
  <si>
    <t>SF375</t>
  </si>
  <si>
    <t>SY26135</t>
  </si>
  <si>
    <t>90-100</t>
  </si>
  <si>
    <t>狮峰纺织</t>
  </si>
  <si>
    <r>
      <rPr>
        <sz val="10"/>
        <color theme="1"/>
        <rFont val="Calibri Light"/>
        <charset val="134"/>
      </rPr>
      <t>9.3</t>
    </r>
    <r>
      <rPr>
        <sz val="10"/>
        <color theme="1"/>
        <rFont val="宋体"/>
        <charset val="134"/>
      </rPr>
      <t>不含税</t>
    </r>
  </si>
  <si>
    <t>水浆印花+布底</t>
  </si>
  <si>
    <t>SY26136</t>
  </si>
  <si>
    <t>吴小姐</t>
  </si>
  <si>
    <r>
      <rPr>
        <sz val="10"/>
        <color theme="1"/>
        <rFont val="宋体"/>
        <charset val="134"/>
      </rPr>
      <t>起订量</t>
    </r>
    <r>
      <rPr>
        <sz val="10"/>
        <color theme="1"/>
        <rFont val="Calibri Light"/>
        <charset val="134"/>
      </rPr>
      <t>1000</t>
    </r>
    <r>
      <rPr>
        <sz val="10"/>
        <color theme="1"/>
        <rFont val="宋体"/>
        <charset val="134"/>
      </rPr>
      <t>米。需要开版费，</t>
    </r>
    <r>
      <rPr>
        <sz val="10"/>
        <color theme="1"/>
        <rFont val="Calibri Light"/>
        <charset val="134"/>
      </rPr>
      <t>1</t>
    </r>
    <r>
      <rPr>
        <sz val="10"/>
        <color theme="1"/>
        <rFont val="宋体"/>
        <charset val="134"/>
      </rPr>
      <t>个色</t>
    </r>
    <r>
      <rPr>
        <sz val="10"/>
        <color theme="1"/>
        <rFont val="Calibri Light"/>
        <charset val="134"/>
      </rPr>
      <t>200</t>
    </r>
    <r>
      <rPr>
        <sz val="10"/>
        <color theme="1"/>
        <rFont val="宋体"/>
        <charset val="134"/>
      </rPr>
      <t>元</t>
    </r>
  </si>
  <si>
    <t>SY26137</t>
  </si>
  <si>
    <t>科瑞</t>
  </si>
  <si>
    <t>格子布</t>
  </si>
  <si>
    <t>A7132</t>
  </si>
  <si>
    <t>SY26138</t>
  </si>
  <si>
    <t>盛唐纺织</t>
  </si>
  <si>
    <t>R1-9141</t>
  </si>
  <si>
    <t>SY26139</t>
  </si>
  <si>
    <t>涤棉</t>
  </si>
  <si>
    <t>D948</t>
  </si>
  <si>
    <t>SY26140</t>
  </si>
  <si>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60</t>
    </r>
    <r>
      <rPr>
        <sz val="10"/>
        <color theme="1"/>
        <rFont val="宋体"/>
        <charset val="134"/>
      </rPr>
      <t>涤纶</t>
    </r>
  </si>
  <si>
    <t>A6031</t>
  </si>
  <si>
    <t>SY26141</t>
  </si>
  <si>
    <t>Z3125</t>
  </si>
  <si>
    <t>SY26142</t>
  </si>
  <si>
    <t>B6031</t>
  </si>
  <si>
    <t>SY26143</t>
  </si>
  <si>
    <t>盛丰达纺织</t>
  </si>
  <si>
    <t>B6022</t>
  </si>
  <si>
    <t>SY26144</t>
  </si>
  <si>
    <t>734#</t>
  </si>
  <si>
    <t>SY26145</t>
  </si>
  <si>
    <t>胜发</t>
  </si>
  <si>
    <t>SY26146</t>
  </si>
  <si>
    <t>军涛纺织</t>
  </si>
  <si>
    <r>
      <rPr>
        <sz val="10"/>
        <color theme="1"/>
        <rFont val="Calibri Light"/>
        <charset val="134"/>
      </rPr>
      <t>12-1294</t>
    </r>
    <r>
      <rPr>
        <sz val="10"/>
        <color theme="1"/>
        <rFont val="宋体"/>
        <charset val="134"/>
      </rPr>
      <t>格</t>
    </r>
  </si>
  <si>
    <t>SY26147</t>
  </si>
  <si>
    <t>洪艳里布</t>
  </si>
  <si>
    <t>A16-5825</t>
  </si>
  <si>
    <t>SY26148</t>
  </si>
  <si>
    <r>
      <rPr>
        <sz val="10"/>
        <color theme="1"/>
        <rFont val="Calibri Light"/>
        <charset val="134"/>
      </rPr>
      <t>52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48</t>
    </r>
    <r>
      <rPr>
        <sz val="10"/>
        <color theme="1"/>
        <rFont val="宋体"/>
        <charset val="134"/>
      </rPr>
      <t>涤</t>
    </r>
  </si>
  <si>
    <r>
      <rPr>
        <sz val="10"/>
        <color theme="1"/>
        <rFont val="Calibri Light"/>
        <charset val="134"/>
      </rPr>
      <t>12-1292</t>
    </r>
    <r>
      <rPr>
        <sz val="10"/>
        <color theme="1"/>
        <rFont val="宋体"/>
        <charset val="134"/>
      </rPr>
      <t>格</t>
    </r>
  </si>
  <si>
    <t>SY26149</t>
  </si>
  <si>
    <t>16-5826</t>
  </si>
  <si>
    <t>SY26150</t>
  </si>
  <si>
    <t>刘苗</t>
  </si>
  <si>
    <t>图得利</t>
  </si>
  <si>
    <t xml:space="preserve">YS-15250 </t>
  </si>
  <si>
    <t>涤氨提花布</t>
  </si>
  <si>
    <t>SY26151</t>
  </si>
  <si>
    <t>97% POLY 3%SP</t>
  </si>
  <si>
    <t>绍兴凯翔针织有限公司</t>
  </si>
  <si>
    <t xml:space="preserve">YS-13370 </t>
  </si>
  <si>
    <t>消光锦氨双布棉</t>
  </si>
  <si>
    <t>SY26152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</si>
  <si>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氨纶</t>
    </r>
  </si>
  <si>
    <t>70%NYLON 30%SP</t>
  </si>
  <si>
    <r>
      <rPr>
        <sz val="10"/>
        <color theme="1"/>
        <rFont val="宋体"/>
        <charset val="134"/>
      </rPr>
      <t>绍兴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凯翔针织有限公司</t>
    </r>
  </si>
  <si>
    <t xml:space="preserve">YS-19324 </t>
  </si>
  <si>
    <t>消光锦氨双面布双磨</t>
  </si>
  <si>
    <t>SY26153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</si>
  <si>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17%</t>
    </r>
    <r>
      <rPr>
        <sz val="10"/>
        <color theme="1"/>
        <rFont val="宋体"/>
        <charset val="134"/>
      </rPr>
      <t>氨纶</t>
    </r>
  </si>
  <si>
    <t xml:space="preserve">83%NYLON  17%SP </t>
  </si>
  <si>
    <t xml:space="preserve">YS-19336 </t>
  </si>
  <si>
    <t>SY26154</t>
  </si>
  <si>
    <r>
      <rPr>
        <sz val="10"/>
        <color theme="1"/>
        <rFont val="Calibri Light"/>
        <charset val="134"/>
      </rPr>
      <t>71%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29%</t>
    </r>
    <r>
      <rPr>
        <sz val="10"/>
        <color theme="1"/>
        <rFont val="宋体"/>
        <charset val="134"/>
      </rPr>
      <t>氨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纶</t>
    </r>
    <r>
      <rPr>
        <sz val="10"/>
        <color theme="1"/>
        <rFont val="Calibri Light"/>
        <charset val="134"/>
      </rPr>
      <t xml:space="preserve"> </t>
    </r>
  </si>
  <si>
    <t xml:space="preserve">71%NYLON  29%SP </t>
  </si>
  <si>
    <t xml:space="preserve">YS-19335 </t>
  </si>
  <si>
    <t>SY26155</t>
  </si>
  <si>
    <r>
      <rPr>
        <sz val="10"/>
        <color theme="1"/>
        <rFont val="Calibri Light"/>
        <charset val="134"/>
      </rPr>
      <t>71%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29 %</t>
    </r>
    <r>
      <rPr>
        <sz val="10"/>
        <color theme="1"/>
        <rFont val="宋体"/>
        <charset val="134"/>
      </rPr>
      <t>氨纶</t>
    </r>
  </si>
  <si>
    <t xml:space="preserve">YS-41408 </t>
  </si>
  <si>
    <t>SY26156</t>
  </si>
  <si>
    <r>
      <rPr>
        <sz val="10"/>
        <color theme="1"/>
        <rFont val="宋体"/>
        <charset val="134"/>
      </rPr>
      <t>97%涤纶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</si>
  <si>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 xml:space="preserve">SA-260323-1  </t>
    </r>
    <r>
      <rPr>
        <sz val="10"/>
        <color theme="1"/>
        <rFont val="宋体"/>
        <charset val="134"/>
      </rPr>
      <t>单丝小骑兵斜</t>
    </r>
  </si>
  <si>
    <t>SY26157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</si>
  <si>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70%LC</t>
    </r>
  </si>
  <si>
    <t>30%NYLON  70%LC</t>
  </si>
  <si>
    <t>吴江市世奥纺织</t>
  </si>
  <si>
    <r>
      <rPr>
        <sz val="10"/>
        <color theme="1"/>
        <rFont val="Calibri Light"/>
        <charset val="134"/>
      </rPr>
      <t xml:space="preserve"> SA-260316-3  </t>
    </r>
    <r>
      <rPr>
        <sz val="10"/>
        <color theme="1"/>
        <rFont val="宋体"/>
        <charset val="134"/>
      </rPr>
      <t>双色纬弹</t>
    </r>
    <r>
      <rPr>
        <sz val="10"/>
        <color theme="1"/>
        <rFont val="Calibri Light"/>
        <charset val="134"/>
      </rPr>
      <t>2/2</t>
    </r>
    <r>
      <rPr>
        <sz val="10"/>
        <color theme="1"/>
        <rFont val="宋体"/>
        <charset val="134"/>
      </rPr>
      <t>斜</t>
    </r>
  </si>
  <si>
    <t>SY26158</t>
  </si>
  <si>
    <t>98%涤纶 2%氨纶</t>
  </si>
  <si>
    <t>98%  POLY 2%SP</t>
  </si>
  <si>
    <r>
      <rPr>
        <sz val="10"/>
        <color theme="1"/>
        <rFont val="Calibri Light"/>
        <charset val="134"/>
      </rPr>
      <t xml:space="preserve"> SA-260323-5 CEY</t>
    </r>
    <r>
      <rPr>
        <sz val="10"/>
        <color theme="1"/>
        <rFont val="宋体"/>
        <charset val="134"/>
      </rPr>
      <t>双层</t>
    </r>
  </si>
  <si>
    <t>SY26159</t>
  </si>
  <si>
    <r>
      <rPr>
        <sz val="10"/>
        <color theme="1"/>
        <rFont val="Calibri Light"/>
        <charset val="134"/>
      </rPr>
      <t>SA-260323-6  CEY</t>
    </r>
    <r>
      <rPr>
        <sz val="10"/>
        <color theme="1"/>
        <rFont val="宋体"/>
        <charset val="134"/>
      </rPr>
      <t>双层</t>
    </r>
  </si>
  <si>
    <t>SY26160</t>
  </si>
  <si>
    <r>
      <rPr>
        <sz val="10"/>
        <color theme="1"/>
        <rFont val="Calibri Light"/>
        <charset val="134"/>
      </rPr>
      <t xml:space="preserve">SA-260316-1  </t>
    </r>
    <r>
      <rPr>
        <sz val="10"/>
        <color theme="1"/>
        <rFont val="宋体"/>
        <charset val="134"/>
      </rPr>
      <t>双层四面弹</t>
    </r>
  </si>
  <si>
    <t>SY26161</t>
  </si>
  <si>
    <t>93% POLY 7%SP</t>
  </si>
  <si>
    <r>
      <rPr>
        <sz val="10"/>
        <color theme="1"/>
        <rFont val="Calibri Light"/>
        <charset val="134"/>
      </rPr>
      <t xml:space="preserve">SA-260316-2  </t>
    </r>
    <r>
      <rPr>
        <sz val="10"/>
        <color theme="1"/>
        <rFont val="宋体"/>
        <charset val="134"/>
      </rPr>
      <t>高弹消光</t>
    </r>
    <r>
      <rPr>
        <sz val="10"/>
        <color theme="1"/>
        <rFont val="Calibri Light"/>
        <charset val="134"/>
      </rPr>
      <t>2/2</t>
    </r>
    <r>
      <rPr>
        <sz val="10"/>
        <color theme="1"/>
        <rFont val="宋体"/>
        <charset val="134"/>
      </rPr>
      <t>斜</t>
    </r>
  </si>
  <si>
    <t>SY26162</t>
  </si>
  <si>
    <r>
      <rPr>
        <sz val="10"/>
        <color theme="1"/>
        <rFont val="Calibri Light"/>
        <charset val="134"/>
      </rPr>
      <t xml:space="preserve">SA-260323-3  </t>
    </r>
    <r>
      <rPr>
        <sz val="10"/>
        <color theme="1"/>
        <rFont val="宋体"/>
        <charset val="134"/>
      </rPr>
      <t>仿醋酸段</t>
    </r>
  </si>
  <si>
    <t>SY26163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</si>
  <si>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</t>
    </r>
  </si>
  <si>
    <r>
      <rPr>
        <sz val="10"/>
        <color theme="1"/>
        <rFont val="Calibri Light"/>
        <charset val="134"/>
      </rPr>
      <t xml:space="preserve">SA-260323-4   </t>
    </r>
    <r>
      <rPr>
        <sz val="10"/>
        <color theme="1"/>
        <rFont val="宋体"/>
        <charset val="134"/>
      </rPr>
      <t>八枚段</t>
    </r>
  </si>
  <si>
    <t>SY26164</t>
  </si>
  <si>
    <r>
      <rPr>
        <sz val="10"/>
        <color theme="1"/>
        <rFont val="Calibri Light"/>
        <charset val="134"/>
      </rPr>
      <t xml:space="preserve">SA-260323-2  </t>
    </r>
    <r>
      <rPr>
        <sz val="10"/>
        <color theme="1"/>
        <rFont val="宋体"/>
        <charset val="134"/>
      </rPr>
      <t>曲丝涤纱</t>
    </r>
  </si>
  <si>
    <t>SY26165</t>
  </si>
  <si>
    <r>
      <rPr>
        <sz val="10"/>
        <color theme="1"/>
        <rFont val="Calibri Light"/>
        <charset val="134"/>
      </rPr>
      <t xml:space="preserve"> 100%</t>
    </r>
    <r>
      <rPr>
        <sz val="10"/>
        <color theme="1"/>
        <rFont val="宋体"/>
        <charset val="134"/>
      </rPr>
      <t>涤纶</t>
    </r>
  </si>
  <si>
    <t>M4002#</t>
  </si>
  <si>
    <t>弹力麻粘</t>
  </si>
  <si>
    <t>SY26166</t>
  </si>
  <si>
    <t>55%亚麻42%人棉3%氨纶</t>
  </si>
  <si>
    <t>55%Linen42%Rayon3%SP</t>
  </si>
  <si>
    <t>每米不含税</t>
  </si>
  <si>
    <t>M83630#</t>
  </si>
  <si>
    <t>弹力苎麻粘</t>
  </si>
  <si>
    <t>SY26167</t>
  </si>
  <si>
    <t>52%苎麻45%粘胶3%氨纶</t>
  </si>
  <si>
    <t>52%Ramie45%Rayon3%SP</t>
  </si>
  <si>
    <t>L8213#</t>
  </si>
  <si>
    <t>SY26168</t>
  </si>
  <si>
    <t>L8215#</t>
  </si>
  <si>
    <t>SY26169</t>
  </si>
  <si>
    <t>L8302#</t>
  </si>
  <si>
    <t>SY26170</t>
  </si>
  <si>
    <t>L8318#</t>
  </si>
  <si>
    <t>SY26171</t>
  </si>
  <si>
    <t>L168312#</t>
  </si>
  <si>
    <t>SY26172</t>
  </si>
  <si>
    <t>H23282-B</t>
  </si>
  <si>
    <t>SY26173</t>
  </si>
  <si>
    <t>H22228#</t>
  </si>
  <si>
    <t>SY26174</t>
  </si>
  <si>
    <t>H23282#-A</t>
  </si>
  <si>
    <t>SY26175</t>
  </si>
  <si>
    <t>H2202-2038#</t>
  </si>
  <si>
    <t>SY26176</t>
  </si>
  <si>
    <t>Y3038#</t>
  </si>
  <si>
    <t>SY26177</t>
  </si>
  <si>
    <t>GB110#</t>
  </si>
  <si>
    <t>天丝麻</t>
  </si>
  <si>
    <t>SY26178</t>
  </si>
  <si>
    <t>30%亚麻70%天丝</t>
  </si>
  <si>
    <t>30%Linen70%TEN</t>
  </si>
  <si>
    <t>X240845#</t>
  </si>
  <si>
    <t>SY26179</t>
  </si>
  <si>
    <t>GB069#</t>
  </si>
  <si>
    <t>色织双线格</t>
  </si>
  <si>
    <t>SY26180</t>
  </si>
  <si>
    <t>5%麻35%涤纶60%棉</t>
  </si>
  <si>
    <t>5%Linen35%POLY60%COTTON</t>
  </si>
  <si>
    <t>X2208833#</t>
  </si>
  <si>
    <t>SY26181</t>
  </si>
  <si>
    <t>5%麻25%涤纶70%棉</t>
  </si>
  <si>
    <t>5%Linen25%POLY70%COTTON</t>
  </si>
  <si>
    <t>Y5039#</t>
  </si>
  <si>
    <t>棉麻格</t>
  </si>
  <si>
    <t>SY26182</t>
  </si>
  <si>
    <t>18%亚麻22%涤纶60%棉</t>
  </si>
  <si>
    <t>18%Linen22%POLY60%COTTON</t>
  </si>
  <si>
    <t>Y5016#</t>
  </si>
  <si>
    <t>SY26183</t>
  </si>
  <si>
    <t>10%亚麻25%涤纶65%棉</t>
  </si>
  <si>
    <t>10%Linen25%POLY65%COTTON</t>
  </si>
  <si>
    <t>Anker</t>
  </si>
  <si>
    <r>
      <rPr>
        <sz val="10"/>
        <color theme="1"/>
        <rFont val="Calibri Light"/>
        <charset val="134"/>
      </rPr>
      <t>logo</t>
    </r>
    <r>
      <rPr>
        <sz val="10"/>
        <color theme="1"/>
        <rFont val="宋体"/>
        <charset val="134"/>
      </rPr>
      <t>手机壳</t>
    </r>
  </si>
  <si>
    <t>SY26184</t>
  </si>
  <si>
    <r>
      <rPr>
        <sz val="10"/>
        <color theme="1"/>
        <rFont val="Calibri Light"/>
        <charset val="134"/>
      </rPr>
      <t>0.3mm</t>
    </r>
    <r>
      <rPr>
        <sz val="10"/>
        <color theme="1"/>
        <rFont val="宋体"/>
        <charset val="134"/>
      </rPr>
      <t>厚度</t>
    </r>
  </si>
  <si>
    <t>SY26185</t>
  </si>
  <si>
    <t>印花价格</t>
  </si>
  <si>
    <r>
      <rPr>
        <sz val="10"/>
        <color theme="1"/>
        <rFont val="宋体"/>
        <charset val="134"/>
      </rPr>
      <t>新染草席</t>
    </r>
    <r>
      <rPr>
        <sz val="10"/>
        <color theme="1"/>
        <rFont val="Calibri Light"/>
        <charset val="134"/>
      </rPr>
      <t xml:space="preserve"> J7120</t>
    </r>
  </si>
  <si>
    <t>SY26186</t>
  </si>
  <si>
    <t>J7120</t>
  </si>
  <si>
    <t>汕头佳音</t>
  </si>
  <si>
    <t>7F01#</t>
  </si>
  <si>
    <t>SY26187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</si>
  <si>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13%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锦</t>
    </r>
  </si>
  <si>
    <t>80%TEN 13%P 7%NYLON</t>
  </si>
  <si>
    <t>亚源纺织</t>
  </si>
  <si>
    <t>7F013#</t>
  </si>
  <si>
    <t>6F38#</t>
  </si>
  <si>
    <t>SY26188</t>
  </si>
  <si>
    <r>
      <rPr>
        <sz val="10"/>
        <color theme="1"/>
        <rFont val="Calibri Light"/>
        <charset val="134"/>
      </rPr>
      <t>96%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4%</t>
    </r>
    <r>
      <rPr>
        <sz val="10"/>
        <color theme="1"/>
        <rFont val="宋体"/>
        <charset val="134"/>
      </rPr>
      <t>锦纶</t>
    </r>
  </si>
  <si>
    <t xml:space="preserve">96%Lyocell 4%NYLON </t>
  </si>
  <si>
    <t>SY26189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</si>
  <si>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黏胶</t>
    </r>
  </si>
  <si>
    <t>50%COTTON  50%RAYON</t>
  </si>
  <si>
    <t>新领域</t>
  </si>
  <si>
    <t>SY26190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</si>
  <si>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天丝</t>
    </r>
  </si>
  <si>
    <t>SY26191</t>
  </si>
  <si>
    <t>50%COTTON 50%Lyocell</t>
  </si>
  <si>
    <t>15O</t>
  </si>
  <si>
    <t>中昇纺织</t>
  </si>
  <si>
    <t>SY26192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</si>
  <si>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棉</t>
    </r>
  </si>
  <si>
    <t xml:space="preserve">65%Lyocell 35%COTTON </t>
  </si>
  <si>
    <t>SY26193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</si>
  <si>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莱赛尔</t>
    </r>
  </si>
  <si>
    <t>65%Lyocell  35%COTTON</t>
  </si>
  <si>
    <t>37553A</t>
  </si>
  <si>
    <t>SY26194</t>
  </si>
  <si>
    <t>鹏鑫</t>
  </si>
  <si>
    <t>8980#</t>
  </si>
  <si>
    <t>SY26195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</si>
  <si>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34%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尼龙</t>
    </r>
  </si>
  <si>
    <t>30%TEN 34%POLY 30%R 3%N</t>
  </si>
  <si>
    <t>和兴</t>
  </si>
  <si>
    <r>
      <rPr>
        <sz val="10"/>
        <color theme="1"/>
        <rFont val="Calibri Light"/>
        <charset val="134"/>
      </rPr>
      <t xml:space="preserve">2448 </t>
    </r>
    <r>
      <rPr>
        <sz val="10"/>
        <color theme="1"/>
        <rFont val="宋体"/>
        <charset val="134"/>
      </rPr>
      <t>塔丝隆纬弹</t>
    </r>
  </si>
  <si>
    <t>SY26196</t>
  </si>
  <si>
    <t>鸿运</t>
  </si>
  <si>
    <r>
      <rPr>
        <sz val="10"/>
        <color theme="1"/>
        <rFont val="Calibri Light"/>
        <charset val="134"/>
      </rPr>
      <t xml:space="preserve">2488 </t>
    </r>
    <r>
      <rPr>
        <sz val="10"/>
        <color theme="1"/>
        <rFont val="宋体"/>
        <charset val="134"/>
      </rPr>
      <t>塔丝隆纬弹</t>
    </r>
  </si>
  <si>
    <t>FH276#</t>
  </si>
  <si>
    <t>SY26197</t>
  </si>
  <si>
    <t>富鸿纺织</t>
  </si>
  <si>
    <r>
      <rPr>
        <sz val="10"/>
        <color theme="1"/>
        <rFont val="Calibri Light"/>
        <charset val="134"/>
      </rPr>
      <t>2401</t>
    </r>
    <r>
      <rPr>
        <sz val="10"/>
        <color theme="1"/>
        <rFont val="宋体"/>
        <charset val="134"/>
      </rPr>
      <t>竹节</t>
    </r>
  </si>
  <si>
    <t>SY26198</t>
  </si>
  <si>
    <t xml:space="preserve">100%NY LON </t>
  </si>
  <si>
    <t>鸿运布行</t>
  </si>
  <si>
    <t>6065#</t>
  </si>
  <si>
    <t>SY26199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</si>
  <si>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33%</t>
    </r>
    <r>
      <rPr>
        <sz val="10"/>
        <color theme="1"/>
        <rFont val="宋体"/>
        <charset val="134"/>
      </rPr>
      <t>锦纶</t>
    </r>
  </si>
  <si>
    <t xml:space="preserve">67%COTTON 33%NYLON </t>
  </si>
  <si>
    <t>鸿业纺织</t>
  </si>
  <si>
    <t>伟华顺</t>
  </si>
  <si>
    <r>
      <rPr>
        <sz val="10"/>
        <color theme="1"/>
        <rFont val="宋体"/>
        <charset val="134"/>
      </rPr>
      <t>揽胜</t>
    </r>
    <r>
      <rPr>
        <sz val="10"/>
        <color theme="1"/>
        <rFont val="Calibri Light"/>
        <charset val="134"/>
      </rPr>
      <t>T600   197507</t>
    </r>
    <r>
      <rPr>
        <sz val="10"/>
        <color theme="1"/>
        <rFont val="宋体"/>
        <charset val="134"/>
      </rPr>
      <t>无氟防水</t>
    </r>
  </si>
  <si>
    <t>SY26200</t>
  </si>
  <si>
    <t>汇恩</t>
  </si>
  <si>
    <t>宏正达纺织</t>
  </si>
  <si>
    <t>Nancy</t>
  </si>
  <si>
    <t>DS3239</t>
  </si>
  <si>
    <t>SY26201</t>
  </si>
  <si>
    <t>涤纶+ TPU</t>
  </si>
  <si>
    <t>经150D/纬300D/3000D</t>
  </si>
  <si>
    <t>DS3682</t>
  </si>
  <si>
    <t>SY26202</t>
  </si>
  <si>
    <t>涤纶+新纤+玻纤</t>
  </si>
  <si>
    <t>经100D/纬9790D/9790D</t>
  </si>
  <si>
    <t>DS3205</t>
  </si>
  <si>
    <t>SY26203</t>
  </si>
  <si>
    <t>DS3165</t>
  </si>
  <si>
    <t>SY26204</t>
  </si>
  <si>
    <t>DS3801</t>
  </si>
  <si>
    <t>SY26205</t>
  </si>
  <si>
    <t>经100D/纬150D/150D/3000D</t>
  </si>
  <si>
    <t>DS8744</t>
  </si>
  <si>
    <t>SY26206</t>
  </si>
  <si>
    <t>21%尼龙+6%TPEE单丝+73%TPU</t>
  </si>
  <si>
    <t>经595D*纬3000D</t>
  </si>
  <si>
    <t xml:space="preserve">K1729 </t>
  </si>
  <si>
    <t>SY26207</t>
  </si>
  <si>
    <t>60%PU 40%涤纶</t>
  </si>
  <si>
    <t>60%PU 40%POLY</t>
  </si>
  <si>
    <t>K1729</t>
  </si>
  <si>
    <t xml:space="preserve">k1729 </t>
  </si>
  <si>
    <t>k1718</t>
  </si>
  <si>
    <t>SY26208</t>
  </si>
  <si>
    <t>K1718</t>
  </si>
  <si>
    <t xml:space="preserve">k1718 </t>
  </si>
  <si>
    <t>J9175</t>
  </si>
  <si>
    <t>SY26209</t>
  </si>
  <si>
    <t>TC076</t>
  </si>
  <si>
    <t>SY26210</t>
  </si>
  <si>
    <t>J307</t>
  </si>
  <si>
    <t>SY26211</t>
  </si>
  <si>
    <t>J8136</t>
  </si>
  <si>
    <t>SY26212</t>
  </si>
  <si>
    <t>J7163</t>
  </si>
  <si>
    <t>SY26213</t>
  </si>
  <si>
    <t>J7198</t>
  </si>
  <si>
    <t>SY26214</t>
  </si>
  <si>
    <t>J762</t>
  </si>
  <si>
    <t>SY26215</t>
  </si>
  <si>
    <t>TC047</t>
  </si>
  <si>
    <t>SY26216</t>
  </si>
  <si>
    <t>TC048</t>
  </si>
  <si>
    <t>SY26217</t>
  </si>
  <si>
    <t>J7192</t>
  </si>
  <si>
    <t>SY26218</t>
  </si>
  <si>
    <t>J511 明日之星</t>
  </si>
  <si>
    <t>SY26219</t>
  </si>
  <si>
    <t>DS2408</t>
  </si>
  <si>
    <t>SY26220</t>
  </si>
  <si>
    <t>涤纶</t>
  </si>
  <si>
    <t>DS3990</t>
  </si>
  <si>
    <t>SY26221</t>
  </si>
  <si>
    <t>锦纶+涤纶</t>
  </si>
  <si>
    <t>新品大样</t>
  </si>
  <si>
    <t>BF6011824X</t>
  </si>
  <si>
    <t>SY26222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</si>
  <si>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锦纶</t>
    </r>
  </si>
  <si>
    <t>80%WOOL  20%NYLON</t>
  </si>
  <si>
    <t>30/2*30/2</t>
  </si>
  <si>
    <t>三毛呢绒</t>
  </si>
  <si>
    <t>BF6011821X</t>
  </si>
  <si>
    <t>SY26223</t>
  </si>
  <si>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46%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麻</t>
    </r>
  </si>
  <si>
    <t>35%WOOL 46%P 15%V 4%Linen</t>
  </si>
  <si>
    <t>14/1**14/1*</t>
  </si>
  <si>
    <t>SY26224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</si>
  <si>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真丝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驼绒</t>
    </r>
  </si>
  <si>
    <t>85%WOOL 5%S 10%CH</t>
  </si>
  <si>
    <t>64/4*64/4</t>
  </si>
  <si>
    <t>N434 022X</t>
  </si>
  <si>
    <t>SY26225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</si>
  <si>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真丝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驼绒</t>
    </r>
  </si>
  <si>
    <t>90%WOOL 5%S 5%CH</t>
  </si>
  <si>
    <t>40/2*40/2*</t>
  </si>
  <si>
    <t>A24305A</t>
  </si>
  <si>
    <t>SY26226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</si>
  <si>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羊毛</t>
    </r>
  </si>
  <si>
    <t>100%WOOL</t>
  </si>
  <si>
    <t>80/2*80/2*</t>
  </si>
  <si>
    <t>BF6011823</t>
  </si>
  <si>
    <t>SY26227</t>
  </si>
  <si>
    <t>A21053</t>
  </si>
  <si>
    <t>SY26228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</si>
  <si>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莱卡</t>
    </r>
  </si>
  <si>
    <t>97%WOOL 3%SP</t>
  </si>
  <si>
    <t>B6011822X</t>
  </si>
  <si>
    <t>SY26229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</si>
  <si>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36%</t>
    </r>
    <r>
      <rPr>
        <sz val="10"/>
        <color theme="1"/>
        <rFont val="宋体"/>
        <charset val="134"/>
      </rPr>
      <t>真丝</t>
    </r>
  </si>
  <si>
    <t>64%WOOL 36%S</t>
  </si>
  <si>
    <t>68/2.22/2*68/2.22/2</t>
  </si>
  <si>
    <t>B621039</t>
  </si>
  <si>
    <t>SY26230</t>
  </si>
  <si>
    <t>66/2*66/2</t>
  </si>
  <si>
    <t>6D347</t>
  </si>
  <si>
    <t>SY26231</t>
  </si>
  <si>
    <r>
      <rPr>
        <sz val="10"/>
        <color theme="1"/>
        <rFont val="Calibri Light"/>
        <charset val="134"/>
      </rPr>
      <t>64%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24%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</si>
  <si>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64%POLY24%R10%W2%SP</t>
  </si>
  <si>
    <t>欧依时尚</t>
  </si>
  <si>
    <t>6D367</t>
  </si>
  <si>
    <t>SY26232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</si>
  <si>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26%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</si>
  <si>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65%POLY26%R7%W2%SP</t>
  </si>
  <si>
    <t>3W308</t>
  </si>
  <si>
    <t>SY26233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</si>
  <si>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</si>
  <si>
    <t>50%WOOL50%POLY</t>
  </si>
  <si>
    <t>韩裳依</t>
  </si>
  <si>
    <t>6A557</t>
  </si>
  <si>
    <t>SY26234</t>
  </si>
  <si>
    <t>50%羊毛44%涤纶6%氨纶</t>
  </si>
  <si>
    <t>50%WOOL44%POLY6%SP</t>
  </si>
  <si>
    <t>6A567</t>
  </si>
  <si>
    <t>SY26235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</si>
  <si>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29.5%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0.5%</t>
    </r>
    <r>
      <rPr>
        <sz val="10"/>
        <color theme="1"/>
        <rFont val="宋体"/>
        <charset val="134"/>
      </rPr>
      <t>芳纶</t>
    </r>
  </si>
  <si>
    <t>70%WOOL29.5%POLY0.5%AS</t>
  </si>
  <si>
    <t>6A823</t>
  </si>
  <si>
    <t>SY26236</t>
  </si>
  <si>
    <t>50%羊毛50%涤纶</t>
  </si>
  <si>
    <t>W4329</t>
  </si>
  <si>
    <t>SY26237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</si>
  <si>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2%</t>
    </r>
    <r>
      <rPr>
        <sz val="10"/>
        <color theme="1"/>
        <rFont val="宋体"/>
        <charset val="134"/>
      </rPr>
      <t>氨纶</t>
    </r>
  </si>
  <si>
    <t>85%POLY13%R2%SP</t>
  </si>
  <si>
    <t>源生泰</t>
  </si>
  <si>
    <t>A6003</t>
  </si>
  <si>
    <t>SY26238</t>
  </si>
  <si>
    <t>明星纺织</t>
  </si>
  <si>
    <t>A5371</t>
  </si>
  <si>
    <t>SY26239</t>
  </si>
  <si>
    <t>A562</t>
  </si>
  <si>
    <t>SY26240</t>
  </si>
  <si>
    <t>3193#</t>
  </si>
  <si>
    <t>SY26241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</si>
  <si>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羊毛</t>
    </r>
  </si>
  <si>
    <t>70%POLY30%WOOL</t>
  </si>
  <si>
    <t>裕虹纺织</t>
  </si>
  <si>
    <t>3088#</t>
  </si>
  <si>
    <t>SY26242</t>
  </si>
  <si>
    <t>8565#</t>
  </si>
  <si>
    <t>SY26243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</si>
  <si>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羊毛</t>
    </r>
  </si>
  <si>
    <t>80%POLY20%WOOL</t>
  </si>
  <si>
    <t>X2339</t>
  </si>
  <si>
    <t>SY26244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</si>
  <si>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羊毛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粘胶</t>
    </r>
  </si>
  <si>
    <t>50%WOOL50%V</t>
  </si>
  <si>
    <t>龙发纺织</t>
  </si>
  <si>
    <t>A340#</t>
  </si>
  <si>
    <t>SY26245</t>
  </si>
  <si>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46%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氨纶</t>
    </r>
  </si>
  <si>
    <t>47%Recycle POLY46%BCI COTTON7%SP</t>
  </si>
  <si>
    <t>虹顺纺织</t>
  </si>
  <si>
    <t>A329#</t>
  </si>
  <si>
    <t>SY26246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</si>
  <si>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23%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</si>
  <si>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75%Recycle POLY23%R2%SP</t>
  </si>
  <si>
    <t>SY26247</t>
  </si>
  <si>
    <t>55%BCI COTTON45%Recycle POLY</t>
  </si>
  <si>
    <t>尚品国际</t>
  </si>
  <si>
    <r>
      <rPr>
        <sz val="10"/>
        <color theme="1"/>
        <rFont val="Calibri Light"/>
        <charset val="134"/>
      </rPr>
      <t>9690</t>
    </r>
    <r>
      <rPr>
        <sz val="10"/>
        <color theme="1"/>
        <rFont val="宋体"/>
        <charset val="134"/>
      </rPr>
      <t>仿醋酸乐丽丝</t>
    </r>
  </si>
  <si>
    <t>SY26248</t>
  </si>
  <si>
    <t>紫东来</t>
  </si>
  <si>
    <r>
      <rPr>
        <sz val="10"/>
        <color theme="1"/>
        <rFont val="Calibri Light"/>
        <charset val="134"/>
      </rPr>
      <t xml:space="preserve">K6239 </t>
    </r>
    <r>
      <rPr>
        <sz val="10"/>
        <color theme="1"/>
        <rFont val="宋体"/>
        <charset val="134"/>
      </rPr>
      <t>新品</t>
    </r>
  </si>
  <si>
    <t>SY26249</t>
  </si>
  <si>
    <r>
      <rPr>
        <sz val="10"/>
        <color theme="1"/>
        <rFont val="Calibri Light"/>
        <charset val="134"/>
      </rPr>
      <t>38%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31%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羊毛</t>
    </r>
  </si>
  <si>
    <t>38%Tencel31%POLY11%NYLON18%R2%WOOL</t>
  </si>
  <si>
    <t>冠丰盛</t>
  </si>
  <si>
    <t>STEMM</t>
  </si>
  <si>
    <t>Y1151</t>
  </si>
  <si>
    <t>SY26250</t>
  </si>
  <si>
    <r>
      <rPr>
        <sz val="10"/>
        <color theme="1"/>
        <rFont val="Calibri Light"/>
        <charset val="134"/>
      </rPr>
      <t xml:space="preserve">K1727  </t>
    </r>
    <r>
      <rPr>
        <sz val="10"/>
        <color theme="1"/>
        <rFont val="宋体"/>
        <charset val="134"/>
      </rPr>
      <t>大美山河</t>
    </r>
  </si>
  <si>
    <t>SY26251</t>
  </si>
  <si>
    <t>K1728</t>
  </si>
  <si>
    <t>SY26252</t>
  </si>
  <si>
    <t>F715</t>
  </si>
  <si>
    <t>SY26253</t>
  </si>
  <si>
    <t>Y1157</t>
  </si>
  <si>
    <t>SY26254</t>
  </si>
  <si>
    <t>Y1729</t>
  </si>
  <si>
    <t>SY26255</t>
  </si>
  <si>
    <t>山本柔丝斜</t>
  </si>
  <si>
    <t>SY26256</t>
  </si>
  <si>
    <r>
      <rPr>
        <sz val="10"/>
        <color theme="1"/>
        <rFont val="Calibri Light"/>
        <charset val="134"/>
      </rPr>
      <t>1200D</t>
    </r>
    <r>
      <rPr>
        <sz val="10"/>
        <color theme="1"/>
        <rFont val="宋体"/>
        <charset val="134"/>
      </rPr>
      <t>古治复合布</t>
    </r>
  </si>
  <si>
    <t>SY26257</t>
  </si>
  <si>
    <r>
      <rPr>
        <sz val="10"/>
        <color theme="1"/>
        <rFont val="Calibri Light"/>
        <charset val="134"/>
      </rPr>
      <t>334</t>
    </r>
    <r>
      <rPr>
        <sz val="10"/>
        <color theme="1"/>
        <rFont val="宋体"/>
        <charset val="134"/>
      </rPr>
      <t>尼龙斜纹PU</t>
    </r>
  </si>
  <si>
    <t>SY26258</t>
  </si>
  <si>
    <r>
      <rPr>
        <sz val="10"/>
        <color theme="1"/>
        <rFont val="Calibri Light"/>
        <charset val="134"/>
      </rPr>
      <t>840</t>
    </r>
    <r>
      <rPr>
        <sz val="10"/>
        <color theme="1"/>
        <rFont val="宋体"/>
        <charset val="134"/>
      </rPr>
      <t>尼龙小双股</t>
    </r>
  </si>
  <si>
    <t>SY26259</t>
  </si>
  <si>
    <r>
      <rPr>
        <sz val="10"/>
        <color theme="1"/>
        <rFont val="Calibri Light"/>
        <charset val="134"/>
      </rPr>
      <t>SF-900D</t>
    </r>
    <r>
      <rPr>
        <sz val="10"/>
        <color theme="1"/>
        <rFont val="宋体"/>
        <charset val="134"/>
      </rPr>
      <t>古治</t>
    </r>
  </si>
  <si>
    <t>SY26260</t>
  </si>
  <si>
    <r>
      <rPr>
        <sz val="10"/>
        <color theme="1"/>
        <rFont val="Calibri Light"/>
        <charset val="134"/>
      </rPr>
      <t>776</t>
    </r>
    <r>
      <rPr>
        <sz val="10"/>
        <color theme="1"/>
        <rFont val="宋体"/>
        <charset val="134"/>
      </rPr>
      <t>消光斜复合</t>
    </r>
  </si>
  <si>
    <t>SY26261</t>
  </si>
  <si>
    <t>斜纹离型PU</t>
  </si>
  <si>
    <t>SY26262</t>
  </si>
  <si>
    <r>
      <rPr>
        <sz val="10"/>
        <color theme="1"/>
        <rFont val="Calibri Light"/>
        <charset val="134"/>
      </rPr>
      <t>372</t>
    </r>
    <r>
      <rPr>
        <sz val="10"/>
        <color theme="1"/>
        <rFont val="宋体"/>
        <charset val="134"/>
      </rPr>
      <t>水洗复合</t>
    </r>
  </si>
  <si>
    <t>SY26263</t>
  </si>
  <si>
    <r>
      <rPr>
        <sz val="10"/>
        <color theme="1"/>
        <rFont val="Calibri Light"/>
        <charset val="134"/>
      </rPr>
      <t>381</t>
    </r>
    <r>
      <rPr>
        <sz val="10"/>
        <color theme="1"/>
        <rFont val="宋体"/>
        <charset val="134"/>
      </rPr>
      <t>尼龙五分格</t>
    </r>
  </si>
  <si>
    <t>SY26264</t>
  </si>
  <si>
    <r>
      <rPr>
        <sz val="10"/>
        <color theme="1"/>
        <rFont val="Calibri Light"/>
        <charset val="134"/>
      </rPr>
      <t>SF-406</t>
    </r>
    <r>
      <rPr>
        <sz val="10"/>
        <color theme="1"/>
        <rFont val="宋体"/>
        <charset val="134"/>
      </rPr>
      <t>斜纹水洗</t>
    </r>
  </si>
  <si>
    <t>SY26265</t>
  </si>
  <si>
    <r>
      <rPr>
        <sz val="10"/>
        <color theme="1"/>
        <rFont val="Calibri Light"/>
        <charset val="134"/>
      </rPr>
      <t>290</t>
    </r>
    <r>
      <rPr>
        <sz val="10"/>
        <color theme="1"/>
        <rFont val="宋体"/>
        <charset val="134"/>
      </rPr>
      <t>尼龙复合</t>
    </r>
  </si>
  <si>
    <t>SY26266</t>
  </si>
  <si>
    <r>
      <rPr>
        <sz val="10"/>
        <color theme="1"/>
        <rFont val="Calibri Light"/>
        <charset val="134"/>
      </rPr>
      <t>900D</t>
    </r>
    <r>
      <rPr>
        <sz val="10"/>
        <color theme="1"/>
        <rFont val="宋体"/>
        <charset val="134"/>
      </rPr>
      <t>离型PU</t>
    </r>
  </si>
  <si>
    <t>SY26267</t>
  </si>
  <si>
    <t>皮膜胶</t>
  </si>
  <si>
    <t>SY26268</t>
  </si>
  <si>
    <t>皮膜料</t>
  </si>
  <si>
    <t>SY26269</t>
  </si>
  <si>
    <r>
      <rPr>
        <sz val="10"/>
        <color theme="1"/>
        <rFont val="Calibri Light"/>
        <charset val="134"/>
      </rPr>
      <t>1680</t>
    </r>
    <r>
      <rPr>
        <sz val="10"/>
        <color theme="1"/>
        <rFont val="宋体"/>
        <charset val="134"/>
      </rPr>
      <t>尼龙双股</t>
    </r>
  </si>
  <si>
    <t>SY26270</t>
  </si>
  <si>
    <t>加粗古治</t>
  </si>
  <si>
    <t>SY26271</t>
  </si>
  <si>
    <t>SF-107</t>
  </si>
  <si>
    <t>SY26272</t>
  </si>
  <si>
    <r>
      <rPr>
        <sz val="10"/>
        <color theme="1"/>
        <rFont val="Calibri Light"/>
        <charset val="134"/>
      </rPr>
      <t>SF-413  900D</t>
    </r>
    <r>
      <rPr>
        <sz val="10"/>
        <color theme="1"/>
        <rFont val="宋体"/>
        <charset val="134"/>
      </rPr>
      <t>加密PU</t>
    </r>
  </si>
  <si>
    <t>SY26273</t>
  </si>
  <si>
    <t>SF-209PVC-A</t>
  </si>
  <si>
    <t>SY26274</t>
  </si>
  <si>
    <r>
      <rPr>
        <sz val="10"/>
        <color theme="1"/>
        <rFont val="Calibri Light"/>
        <charset val="134"/>
      </rPr>
      <t>SF-250</t>
    </r>
    <r>
      <rPr>
        <sz val="10"/>
        <color theme="1"/>
        <rFont val="宋体"/>
        <charset val="134"/>
      </rPr>
      <t>舞龙</t>
    </r>
    <r>
      <rPr>
        <sz val="10"/>
        <color theme="1"/>
        <rFont val="Calibri Light"/>
        <charset val="134"/>
      </rPr>
      <t>-A</t>
    </r>
  </si>
  <si>
    <t>SY26275</t>
  </si>
  <si>
    <r>
      <rPr>
        <sz val="10"/>
        <color theme="1"/>
        <rFont val="Calibri Light"/>
        <charset val="134"/>
      </rPr>
      <t>290-</t>
    </r>
    <r>
      <rPr>
        <sz val="10"/>
        <color theme="1"/>
        <rFont val="宋体"/>
        <charset val="134"/>
      </rPr>
      <t>加厚复合布</t>
    </r>
  </si>
  <si>
    <t>SY26276</t>
  </si>
  <si>
    <t>SF-339</t>
  </si>
  <si>
    <t>SY26277</t>
  </si>
  <si>
    <r>
      <rPr>
        <sz val="10"/>
        <color theme="1"/>
        <rFont val="Calibri Light"/>
        <charset val="134"/>
      </rPr>
      <t>210</t>
    </r>
    <r>
      <rPr>
        <sz val="10"/>
        <color theme="1"/>
        <rFont val="宋体"/>
        <charset val="134"/>
      </rPr>
      <t>双色发泡</t>
    </r>
  </si>
  <si>
    <t>SY26278</t>
  </si>
  <si>
    <t>尼龙双色发泡</t>
  </si>
  <si>
    <t>SY26279</t>
  </si>
  <si>
    <t>高弹水松底</t>
  </si>
  <si>
    <t>SY26280</t>
  </si>
  <si>
    <t>SF-305</t>
  </si>
  <si>
    <t>SY26281</t>
  </si>
  <si>
    <t>吴小波寄样</t>
  </si>
  <si>
    <t>SY26282</t>
  </si>
  <si>
    <r>
      <rPr>
        <sz val="10"/>
        <color theme="1"/>
        <rFont val="宋体"/>
        <charset val="134"/>
      </rPr>
      <t>毛高：</t>
    </r>
    <r>
      <rPr>
        <sz val="10"/>
        <color theme="1"/>
        <rFont val="Calibri Light"/>
        <charset val="134"/>
      </rPr>
      <t>0.6mm</t>
    </r>
  </si>
  <si>
    <r>
      <rPr>
        <sz val="10"/>
        <color theme="1"/>
        <rFont val="宋体"/>
        <charset val="134"/>
      </rPr>
      <t>色牢度</t>
    </r>
    <r>
      <rPr>
        <sz val="10"/>
        <color theme="1"/>
        <rFont val="Calibri Light"/>
        <charset val="134"/>
      </rPr>
      <t>3</t>
    </r>
    <r>
      <rPr>
        <sz val="10"/>
        <color theme="1"/>
        <rFont val="宋体"/>
        <charset val="134"/>
      </rPr>
      <t>级</t>
    </r>
  </si>
  <si>
    <t>红磨坊</t>
  </si>
  <si>
    <t>Korean velvet FCS112</t>
  </si>
  <si>
    <t>SY26283</t>
  </si>
  <si>
    <r>
      <rPr>
        <sz val="10"/>
        <color theme="1"/>
        <rFont val="宋体"/>
        <charset val="134"/>
      </rPr>
      <t>成品毛高：</t>
    </r>
    <r>
      <rPr>
        <sz val="10"/>
        <color theme="1"/>
        <rFont val="Calibri Light"/>
        <charset val="134"/>
      </rPr>
      <t>2mm</t>
    </r>
  </si>
  <si>
    <t>星好月圆</t>
  </si>
  <si>
    <t>Silky velvet FCS87</t>
  </si>
  <si>
    <t>SY26284</t>
  </si>
  <si>
    <r>
      <rPr>
        <sz val="10"/>
        <color theme="1"/>
        <rFont val="宋体"/>
        <charset val="134"/>
      </rPr>
      <t>成品毛高：1.8</t>
    </r>
    <r>
      <rPr>
        <sz val="10"/>
        <color theme="1"/>
        <rFont val="Calibri Light"/>
        <charset val="134"/>
      </rPr>
      <t>mm</t>
    </r>
  </si>
  <si>
    <t>SY26285</t>
  </si>
  <si>
    <t>恩可</t>
  </si>
  <si>
    <r>
      <rPr>
        <sz val="10"/>
        <color theme="1"/>
        <rFont val="Calibri Light"/>
        <charset val="134"/>
      </rPr>
      <t>ML6493</t>
    </r>
    <r>
      <rPr>
        <sz val="10"/>
        <color theme="1"/>
        <rFont val="宋体"/>
        <charset val="134"/>
      </rPr>
      <t>格</t>
    </r>
  </si>
  <si>
    <t>SY26286</t>
  </si>
  <si>
    <t>聚鑫纺织</t>
  </si>
  <si>
    <t>JP219</t>
  </si>
  <si>
    <t>SY26287</t>
  </si>
  <si>
    <t>SY26288</t>
  </si>
  <si>
    <r>
      <rPr>
        <sz val="10"/>
        <color theme="1"/>
        <rFont val="Calibri Light"/>
        <charset val="134"/>
      </rPr>
      <t>45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50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5</t>
    </r>
    <r>
      <rPr>
        <sz val="10"/>
        <color theme="1"/>
        <rFont val="宋体"/>
        <charset val="134"/>
      </rPr>
      <t>氨纶</t>
    </r>
  </si>
  <si>
    <t>宏光纺织</t>
  </si>
  <si>
    <t>2026/4/24寄GFG</t>
  </si>
  <si>
    <t>0210#</t>
  </si>
  <si>
    <t>SY26289</t>
  </si>
  <si>
    <t>宏扬</t>
  </si>
  <si>
    <t>N3994-299</t>
  </si>
  <si>
    <t>SY26290</t>
  </si>
  <si>
    <r>
      <rPr>
        <sz val="10"/>
        <color theme="1"/>
        <rFont val="Calibri Light"/>
        <charset val="134"/>
      </rPr>
      <t>92</t>
    </r>
    <r>
      <rPr>
        <sz val="10"/>
        <color theme="1"/>
        <rFont val="宋体"/>
        <charset val="134"/>
      </rPr>
      <t>精棉</t>
    </r>
    <r>
      <rPr>
        <sz val="10"/>
        <color theme="1"/>
        <rFont val="Calibri Light"/>
        <charset val="134"/>
      </rPr>
      <t>8</t>
    </r>
    <r>
      <rPr>
        <sz val="10"/>
        <color theme="1"/>
        <rFont val="宋体"/>
        <charset val="134"/>
      </rPr>
      <t>氨纶</t>
    </r>
  </si>
  <si>
    <t>12908#</t>
  </si>
  <si>
    <t>SY26291</t>
  </si>
  <si>
    <t>锦盛。条纹馆</t>
  </si>
  <si>
    <t>N3994-285</t>
  </si>
  <si>
    <t>SY26292</t>
  </si>
  <si>
    <r>
      <rPr>
        <sz val="10"/>
        <color theme="1"/>
        <rFont val="宋体"/>
        <charset val="134"/>
      </rPr>
      <t>楠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兴泰</t>
    </r>
  </si>
  <si>
    <r>
      <rPr>
        <sz val="10"/>
        <color theme="1"/>
        <rFont val="Calibri Light"/>
        <charset val="134"/>
      </rPr>
      <t>227</t>
    </r>
    <r>
      <rPr>
        <sz val="10"/>
        <color theme="1"/>
        <rFont val="宋体"/>
        <charset val="134"/>
      </rPr>
      <t>工艺</t>
    </r>
  </si>
  <si>
    <t>SY26293</t>
  </si>
  <si>
    <t>东兴</t>
  </si>
  <si>
    <r>
      <rPr>
        <sz val="10"/>
        <color theme="1"/>
        <rFont val="Calibri Light"/>
        <charset val="134"/>
      </rPr>
      <t>225</t>
    </r>
    <r>
      <rPr>
        <sz val="10"/>
        <color theme="1"/>
        <rFont val="宋体"/>
        <charset val="134"/>
      </rPr>
      <t>工艺</t>
    </r>
  </si>
  <si>
    <t>SY26294</t>
  </si>
  <si>
    <r>
      <rPr>
        <sz val="10"/>
        <color theme="1"/>
        <rFont val="Calibri Light"/>
        <charset val="134"/>
      </rPr>
      <t>169</t>
    </r>
    <r>
      <rPr>
        <sz val="10"/>
        <color theme="1"/>
        <rFont val="宋体"/>
        <charset val="134"/>
      </rPr>
      <t>工艺</t>
    </r>
  </si>
  <si>
    <t>SY26295</t>
  </si>
  <si>
    <t>LNO17#李宁一号</t>
  </si>
  <si>
    <t>SY26296</t>
  </si>
  <si>
    <t>锦泰雷朗</t>
  </si>
  <si>
    <r>
      <rPr>
        <sz val="10"/>
        <color theme="1"/>
        <rFont val="宋体"/>
        <charset val="134"/>
      </rPr>
      <t>天枢棉</t>
    </r>
    <r>
      <rPr>
        <sz val="10"/>
        <color theme="1"/>
        <rFont val="Calibri Light"/>
        <charset val="134"/>
      </rPr>
      <t>3914#</t>
    </r>
  </si>
  <si>
    <t>SY26297</t>
  </si>
  <si>
    <t>全棉</t>
  </si>
  <si>
    <t>麦尔棉B126</t>
  </si>
  <si>
    <t>SY26298</t>
  </si>
  <si>
    <t>腾鑫纺织</t>
  </si>
  <si>
    <t>HY1203</t>
  </si>
  <si>
    <t>SY26299</t>
  </si>
  <si>
    <r>
      <rPr>
        <sz val="10"/>
        <color theme="1"/>
        <rFont val="Calibri Light"/>
        <charset val="134"/>
      </rPr>
      <t>65</t>
    </r>
    <r>
      <rPr>
        <sz val="10"/>
        <color theme="1"/>
        <rFont val="宋体"/>
        <charset val="134"/>
      </rPr>
      <t>涤</t>
    </r>
    <r>
      <rPr>
        <sz val="10"/>
        <color theme="1"/>
        <rFont val="Calibri Light"/>
        <charset val="134"/>
      </rPr>
      <t>35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</t>
    </r>
  </si>
  <si>
    <t>恒裕纺织</t>
  </si>
  <si>
    <r>
      <rPr>
        <sz val="10"/>
        <color theme="1"/>
        <rFont val="宋体"/>
        <charset val="134"/>
      </rPr>
      <t>韩国雪花棉</t>
    </r>
    <r>
      <rPr>
        <sz val="10"/>
        <color theme="1"/>
        <rFont val="Calibri Light"/>
        <charset val="134"/>
      </rPr>
      <t>1652</t>
    </r>
  </si>
  <si>
    <t>SY26300</t>
  </si>
  <si>
    <r>
      <rPr>
        <sz val="10"/>
        <color theme="1"/>
        <rFont val="Calibri Light"/>
        <charset val="134"/>
      </rPr>
      <t>65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>35</t>
    </r>
    <r>
      <rPr>
        <sz val="10"/>
        <color theme="1"/>
        <rFont val="宋体"/>
        <charset val="134"/>
      </rPr>
      <t>聚酯纤维</t>
    </r>
  </si>
  <si>
    <t>1+1textile</t>
  </si>
  <si>
    <t>49..9</t>
  </si>
  <si>
    <t>HY067</t>
  </si>
  <si>
    <t>SY26301</t>
  </si>
  <si>
    <r>
      <rPr>
        <sz val="10"/>
        <color theme="1"/>
        <rFont val="Calibri Light"/>
        <charset val="134"/>
      </rPr>
      <t>LN2043#</t>
    </r>
    <r>
      <rPr>
        <sz val="10"/>
        <color theme="1"/>
        <rFont val="宋体"/>
        <charset val="134"/>
      </rPr>
      <t>李宁二号</t>
    </r>
  </si>
  <si>
    <t>SY26302</t>
  </si>
  <si>
    <t>HY1181</t>
  </si>
  <si>
    <t>SY26303</t>
  </si>
  <si>
    <t>HY1194</t>
  </si>
  <si>
    <t>SY26304</t>
  </si>
  <si>
    <t>HY1193</t>
  </si>
  <si>
    <t>SY26305</t>
  </si>
  <si>
    <t>SY26306</t>
  </si>
  <si>
    <t>昌胜纺织</t>
  </si>
  <si>
    <t>丝棉双纱平纹H83323#</t>
  </si>
  <si>
    <t>SY26307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</si>
  <si>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天丝</t>
    </r>
  </si>
  <si>
    <t>55%COTTON 45%TEN</t>
  </si>
  <si>
    <t>F3681</t>
  </si>
  <si>
    <t>SY26308</t>
  </si>
  <si>
    <r>
      <rPr>
        <sz val="10"/>
        <color theme="1"/>
        <rFont val="Calibri Light"/>
        <charset val="134"/>
      </rPr>
      <t>57%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23%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锦纶</t>
    </r>
  </si>
  <si>
    <t>57%R 23%Tencel 20%R 9%NYLON</t>
  </si>
  <si>
    <t>福梅纺织</t>
  </si>
  <si>
    <t>Z-87101#</t>
  </si>
  <si>
    <t>SY26309</t>
  </si>
  <si>
    <t>布家迪</t>
  </si>
  <si>
    <t>Y326#</t>
  </si>
  <si>
    <t>SY26310</t>
  </si>
  <si>
    <t>全澳漂白精梳棉</t>
  </si>
  <si>
    <t>布加迪</t>
  </si>
  <si>
    <t>F3668</t>
  </si>
  <si>
    <t>SY26311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</si>
  <si>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锦纶</t>
    </r>
  </si>
  <si>
    <t>85%R 15%NYLON</t>
  </si>
  <si>
    <t>2-6491</t>
  </si>
  <si>
    <t>SY26312</t>
  </si>
  <si>
    <t>永典纺织</t>
  </si>
  <si>
    <t>2-6195</t>
  </si>
  <si>
    <t>SY26313</t>
  </si>
  <si>
    <t>2-6087</t>
  </si>
  <si>
    <t>SY26314</t>
  </si>
  <si>
    <t>2-6241</t>
  </si>
  <si>
    <t>SY26315</t>
  </si>
  <si>
    <t>F3669</t>
  </si>
  <si>
    <t>SY26316</t>
  </si>
  <si>
    <r>
      <rPr>
        <sz val="10"/>
        <color theme="1"/>
        <rFont val="Calibri Light"/>
        <charset val="134"/>
      </rPr>
      <t>K1091</t>
    </r>
    <r>
      <rPr>
        <sz val="10"/>
        <color theme="1"/>
        <rFont val="宋体"/>
        <charset val="134"/>
      </rPr>
      <t>云朵棉</t>
    </r>
  </si>
  <si>
    <t>SY26317</t>
  </si>
  <si>
    <t>全涤</t>
  </si>
  <si>
    <t>华丽纺织</t>
  </si>
  <si>
    <r>
      <rPr>
        <sz val="10"/>
        <color theme="1"/>
        <rFont val="Calibri Light"/>
        <charset val="134"/>
      </rPr>
      <t>D902</t>
    </r>
    <r>
      <rPr>
        <sz val="10"/>
        <color theme="1"/>
        <rFont val="宋体"/>
        <charset val="134"/>
      </rPr>
      <t>奶蓝小花</t>
    </r>
  </si>
  <si>
    <t>SY26318</t>
  </si>
  <si>
    <r>
      <rPr>
        <sz val="10"/>
        <color theme="1"/>
        <rFont val="Calibri Light"/>
        <charset val="134"/>
      </rPr>
      <t>W306</t>
    </r>
    <r>
      <rPr>
        <sz val="10"/>
        <color theme="1"/>
        <rFont val="宋体"/>
        <charset val="134"/>
      </rPr>
      <t>竹节兰花</t>
    </r>
  </si>
  <si>
    <t>SY26319</t>
  </si>
  <si>
    <t>S4738</t>
  </si>
  <si>
    <t>SY26320</t>
  </si>
  <si>
    <t>GZ8225</t>
  </si>
  <si>
    <t>SY26321</t>
  </si>
  <si>
    <t>格致纺织</t>
  </si>
  <si>
    <t>V2793</t>
  </si>
  <si>
    <t>SY26322</t>
  </si>
  <si>
    <r>
      <rPr>
        <sz val="10"/>
        <color theme="1"/>
        <rFont val="Calibri Light"/>
        <charset val="134"/>
      </rPr>
      <t>50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50</t>
    </r>
    <r>
      <rPr>
        <sz val="10"/>
        <color theme="1"/>
        <rFont val="宋体"/>
        <charset val="134"/>
      </rPr>
      <t>涤</t>
    </r>
  </si>
  <si>
    <t>能泰纺织</t>
  </si>
  <si>
    <t>SY26323</t>
  </si>
  <si>
    <r>
      <rPr>
        <sz val="10"/>
        <color theme="1"/>
        <rFont val="Calibri Light"/>
        <charset val="134"/>
      </rPr>
      <t>55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40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</t>
    </r>
    <r>
      <rPr>
        <sz val="10"/>
        <color theme="1"/>
        <rFont val="宋体"/>
        <charset val="134"/>
      </rPr>
      <t>粘纤</t>
    </r>
  </si>
  <si>
    <t>40%BCI COTTON 55%POLY 5%R</t>
  </si>
  <si>
    <r>
      <rPr>
        <sz val="10"/>
        <color theme="1"/>
        <rFont val="Calibri Light"/>
        <charset val="134"/>
      </rPr>
      <t>5/7GFG</t>
    </r>
    <r>
      <rPr>
        <sz val="10"/>
        <color theme="1"/>
        <rFont val="宋体"/>
        <charset val="134"/>
      </rPr>
      <t>要报价</t>
    </r>
    <r>
      <rPr>
        <sz val="10"/>
        <color theme="1"/>
        <rFont val="Calibri Light"/>
        <charset val="134"/>
      </rPr>
      <t xml:space="preserve">
2026/4/24</t>
    </r>
    <r>
      <rPr>
        <sz val="10"/>
        <color theme="1"/>
        <rFont val="宋体"/>
        <charset val="134"/>
      </rPr>
      <t>寄</t>
    </r>
    <r>
      <rPr>
        <sz val="10"/>
        <color theme="1"/>
        <rFont val="Calibri Light"/>
        <charset val="134"/>
      </rPr>
      <t>GFG</t>
    </r>
  </si>
  <si>
    <t>H9696</t>
  </si>
  <si>
    <t>SY26324</t>
  </si>
  <si>
    <t>永鑫纺织</t>
  </si>
  <si>
    <t>H9647</t>
  </si>
  <si>
    <t>SY26325</t>
  </si>
  <si>
    <t>H9750</t>
  </si>
  <si>
    <t>SY26326</t>
  </si>
  <si>
    <t>GZ6038#</t>
  </si>
  <si>
    <t>SY26327</t>
  </si>
  <si>
    <t>GZ1142#</t>
  </si>
  <si>
    <t>SY26328</t>
  </si>
  <si>
    <t>50%天丝 50%棉</t>
  </si>
  <si>
    <t>50%T 50%COTTON</t>
  </si>
  <si>
    <t>GZ1058#</t>
  </si>
  <si>
    <t>SY26329</t>
  </si>
  <si>
    <t>SY26330</t>
  </si>
  <si>
    <r>
      <rPr>
        <sz val="10"/>
        <color theme="1"/>
        <rFont val="Calibri Light"/>
        <charset val="134"/>
      </rPr>
      <t>GZ0498#</t>
    </r>
    <r>
      <rPr>
        <sz val="10"/>
        <color theme="1"/>
        <rFont val="宋体"/>
        <charset val="134"/>
      </rPr>
      <t>不磨毛</t>
    </r>
  </si>
  <si>
    <t>SY26331</t>
  </si>
  <si>
    <t>Y321#</t>
  </si>
  <si>
    <t>SY26332</t>
  </si>
  <si>
    <t>40133YH16-1#</t>
  </si>
  <si>
    <t>SY26333</t>
  </si>
  <si>
    <t>容达纺织</t>
  </si>
  <si>
    <t>B26183YH34#</t>
  </si>
  <si>
    <t>SY26334</t>
  </si>
  <si>
    <t>100%P</t>
  </si>
  <si>
    <t>C20YH16#</t>
  </si>
  <si>
    <t>SY26335</t>
  </si>
  <si>
    <t>SY26336</t>
  </si>
  <si>
    <t>行通</t>
  </si>
  <si>
    <t>SY26337</t>
  </si>
  <si>
    <r>
      <rPr>
        <sz val="10"/>
        <color theme="1"/>
        <rFont val="Calibri Light"/>
        <charset val="134"/>
      </rPr>
      <t>20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80</t>
    </r>
    <r>
      <rPr>
        <sz val="10"/>
        <color theme="1"/>
        <rFont val="宋体"/>
        <charset val="134"/>
      </rPr>
      <t>天丝</t>
    </r>
  </si>
  <si>
    <t>SY26338</t>
  </si>
  <si>
    <t>226K203</t>
  </si>
  <si>
    <t>SY26339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</si>
  <si>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</si>
  <si>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杰卡</t>
  </si>
  <si>
    <t>SY26340</t>
  </si>
  <si>
    <t>K2586-3</t>
  </si>
  <si>
    <t>SY26341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</si>
  <si>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棉3%氨纶</t>
    </r>
  </si>
  <si>
    <t>146-148</t>
  </si>
  <si>
    <t>好之量</t>
  </si>
  <si>
    <t>不含税运</t>
  </si>
  <si>
    <t>K2588-3</t>
  </si>
  <si>
    <t>SY26342</t>
  </si>
  <si>
    <t>K329</t>
  </si>
  <si>
    <t>SY26343</t>
  </si>
  <si>
    <t>K328</t>
  </si>
  <si>
    <t>SY26344</t>
  </si>
  <si>
    <t>K2593-3</t>
  </si>
  <si>
    <t>SY26345</t>
  </si>
  <si>
    <r>
      <rPr>
        <sz val="10"/>
        <color theme="1"/>
        <rFont val="Calibri Light"/>
        <charset val="134"/>
      </rPr>
      <t>98%</t>
    </r>
    <r>
      <rPr>
        <sz val="10"/>
        <color theme="1"/>
        <rFont val="宋体"/>
        <charset val="134"/>
      </rPr>
      <t>棉2%氨纶</t>
    </r>
  </si>
  <si>
    <t>98%COTTON2%SP</t>
  </si>
  <si>
    <t>K1362-3</t>
  </si>
  <si>
    <t>SY26346</t>
  </si>
  <si>
    <t>K3291-3</t>
  </si>
  <si>
    <t>SY26347</t>
  </si>
  <si>
    <t>SY26348</t>
  </si>
  <si>
    <t>A364-9</t>
  </si>
  <si>
    <t>SY26349</t>
  </si>
  <si>
    <r>
      <rPr>
        <sz val="10"/>
        <color theme="1"/>
        <rFont val="Calibri Light"/>
        <charset val="134"/>
      </rPr>
      <t>363</t>
    </r>
    <r>
      <rPr>
        <sz val="10"/>
        <color theme="1"/>
        <rFont val="宋体"/>
        <charset val="134"/>
      </rPr>
      <t>（以前</t>
    </r>
    <r>
      <rPr>
        <sz val="10"/>
        <color theme="1"/>
        <rFont val="Calibri Light"/>
        <charset val="134"/>
      </rPr>
      <t>K333</t>
    </r>
    <r>
      <rPr>
        <sz val="10"/>
        <color theme="1"/>
        <rFont val="宋体"/>
        <charset val="134"/>
      </rPr>
      <t>）</t>
    </r>
  </si>
  <si>
    <t>SY26350</t>
  </si>
  <si>
    <t>K333</t>
  </si>
  <si>
    <t>K2594-3</t>
  </si>
  <si>
    <t>SY26351</t>
  </si>
  <si>
    <t>K3255-3</t>
  </si>
  <si>
    <t>SY26352</t>
  </si>
  <si>
    <t>K344-9</t>
  </si>
  <si>
    <t>SY26353</t>
  </si>
  <si>
    <t>A325-9</t>
  </si>
  <si>
    <t>SY26354</t>
  </si>
  <si>
    <t>K2459-3</t>
  </si>
  <si>
    <t>SY26355</t>
  </si>
  <si>
    <t>K3220-3</t>
  </si>
  <si>
    <t>SY26356</t>
  </si>
  <si>
    <t>SY26357</t>
  </si>
  <si>
    <t>SY26358</t>
  </si>
  <si>
    <t>SY26359</t>
  </si>
  <si>
    <r>
      <rPr>
        <sz val="10"/>
        <color theme="1"/>
        <rFont val="Calibri Light"/>
        <charset val="134"/>
      </rPr>
      <t>301</t>
    </r>
    <r>
      <rPr>
        <sz val="10"/>
        <color theme="1"/>
        <rFont val="宋体"/>
        <charset val="134"/>
      </rPr>
      <t>加厚紧密斜仿天丝弹力</t>
    </r>
  </si>
  <si>
    <t>SY26360</t>
  </si>
  <si>
    <t>79%棉 18%聚酯纤维 3%氨纶</t>
  </si>
  <si>
    <t>79%Cotton18%POLY3%SP</t>
  </si>
  <si>
    <r>
      <rPr>
        <sz val="10"/>
        <color theme="1"/>
        <rFont val="Calibri Light"/>
        <charset val="134"/>
      </rPr>
      <t>327</t>
    </r>
    <r>
      <rPr>
        <sz val="10"/>
        <color theme="1"/>
        <rFont val="宋体"/>
        <charset val="134"/>
      </rPr>
      <t>加厚缎纹仿天丝棉布弹力</t>
    </r>
  </si>
  <si>
    <t>SY26361</t>
  </si>
  <si>
    <r>
      <rPr>
        <sz val="10"/>
        <color theme="1"/>
        <rFont val="Calibri Light"/>
        <charset val="134"/>
      </rPr>
      <t>K309</t>
    </r>
    <r>
      <rPr>
        <sz val="10"/>
        <color theme="1"/>
        <rFont val="宋体"/>
        <charset val="134"/>
      </rPr>
      <t>厚缎纹仿天丝弹力</t>
    </r>
  </si>
  <si>
    <t>SY26362</t>
  </si>
  <si>
    <t>45% 精梳棉 51%聚酯长丝 4%氨纶</t>
  </si>
  <si>
    <t>45%Cotton51%POLY4%SP</t>
  </si>
  <si>
    <t>154-156</t>
  </si>
  <si>
    <t>K3331-9</t>
  </si>
  <si>
    <t>SY26363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</si>
  <si>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棉18%莱赛尔3%氨纶</t>
    </r>
  </si>
  <si>
    <t>79%Cotton18%LYOCELL3%SP</t>
  </si>
  <si>
    <r>
      <rPr>
        <sz val="10"/>
        <color theme="1"/>
        <rFont val="Calibri Light"/>
        <charset val="134"/>
      </rPr>
      <t>365</t>
    </r>
    <r>
      <rPr>
        <sz val="10"/>
        <color theme="1"/>
        <rFont val="宋体"/>
        <charset val="134"/>
      </rPr>
      <t>加厚骑兵斜碳磨弹力</t>
    </r>
  </si>
  <si>
    <t>SY26364</t>
  </si>
  <si>
    <t>K2798-3</t>
  </si>
  <si>
    <t>SY26365</t>
  </si>
  <si>
    <r>
      <rPr>
        <sz val="10"/>
        <color theme="1"/>
        <rFont val="Calibri Light"/>
        <charset val="134"/>
      </rPr>
      <t>56%</t>
    </r>
    <r>
      <rPr>
        <sz val="10"/>
        <color theme="1"/>
        <rFont val="宋体"/>
        <charset val="134"/>
      </rPr>
      <t>棉17%粘胶25%涤纶2%氨纶</t>
    </r>
  </si>
  <si>
    <t>56%Cotton17%Royan25%POLY2%SP</t>
  </si>
  <si>
    <t>158-160</t>
  </si>
  <si>
    <t>SY26366</t>
  </si>
  <si>
    <t>K2797-3</t>
  </si>
  <si>
    <t>SY26367</t>
  </si>
  <si>
    <r>
      <rPr>
        <sz val="10"/>
        <color theme="1"/>
        <rFont val="Calibri Light"/>
        <charset val="134"/>
      </rPr>
      <t>51%</t>
    </r>
    <r>
      <rPr>
        <sz val="10"/>
        <color theme="1"/>
        <rFont val="宋体"/>
        <charset val="134"/>
      </rPr>
      <t>棉17%粘胶30%涤纶2%氨纶</t>
    </r>
  </si>
  <si>
    <t>51%Cotton17%Royan30%POLY2%SP</t>
  </si>
  <si>
    <t>K3158-3</t>
  </si>
  <si>
    <t>SY26368</t>
  </si>
  <si>
    <r>
      <rPr>
        <sz val="10"/>
        <color theme="1"/>
        <rFont val="Calibri Light"/>
        <charset val="134"/>
      </rPr>
      <t>75.6%</t>
    </r>
    <r>
      <rPr>
        <sz val="10"/>
        <color theme="1"/>
        <rFont val="宋体"/>
        <charset val="134"/>
      </rPr>
      <t>棉21.7%粘胶2.7%氨纶</t>
    </r>
  </si>
  <si>
    <t>75.6%Cotton21.7%Rayon2.7%SP</t>
  </si>
  <si>
    <t>143-145</t>
  </si>
  <si>
    <t>SY26369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</si>
  <si>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精梳棉21%莱赛尔18%涤纶3%氨纶</t>
    </r>
  </si>
  <si>
    <t>58%Cotton21%Lyocell18%POLY3%SP</t>
  </si>
  <si>
    <r>
      <rPr>
        <sz val="10"/>
        <color theme="1"/>
        <rFont val="Calibri Light"/>
        <charset val="134"/>
      </rPr>
      <t xml:space="preserve">K1730 </t>
    </r>
    <r>
      <rPr>
        <sz val="10"/>
        <color theme="1"/>
        <rFont val="宋体"/>
        <charset val="134"/>
      </rPr>
      <t>香奈儿亮皮</t>
    </r>
  </si>
  <si>
    <t>SY26370</t>
  </si>
  <si>
    <t>0.8±0.05mm</t>
  </si>
  <si>
    <r>
      <rPr>
        <sz val="10"/>
        <color theme="1"/>
        <rFont val="Calibri Light"/>
        <charset val="134"/>
      </rPr>
      <t>K1667</t>
    </r>
    <r>
      <rPr>
        <sz val="10"/>
        <color theme="1"/>
        <rFont val="宋体"/>
        <charset val="134"/>
      </rPr>
      <t>梦幻西游</t>
    </r>
  </si>
  <si>
    <t>SY26371</t>
  </si>
  <si>
    <t>褶皱工艺35元</t>
  </si>
  <si>
    <t>J7182</t>
  </si>
  <si>
    <t>SY26372</t>
  </si>
  <si>
    <t>META</t>
  </si>
  <si>
    <r>
      <rPr>
        <sz val="10"/>
        <color theme="1"/>
        <rFont val="Calibri Light"/>
        <charset val="134"/>
      </rPr>
      <t>200D*400D V</t>
    </r>
    <r>
      <rPr>
        <sz val="10"/>
        <color theme="1"/>
        <rFont val="宋体"/>
        <charset val="134"/>
      </rPr>
      <t>字</t>
    </r>
  </si>
  <si>
    <t>SY26373</t>
  </si>
  <si>
    <r>
      <rPr>
        <sz val="10"/>
        <color theme="1"/>
        <rFont val="Calibri Light"/>
        <charset val="134"/>
      </rPr>
      <t>53%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47%</t>
    </r>
    <r>
      <rPr>
        <sz val="10"/>
        <color theme="1"/>
        <rFont val="宋体"/>
        <charset val="134"/>
      </rPr>
      <t>涤纶</t>
    </r>
  </si>
  <si>
    <t>53%NYLON43%POLY</t>
  </si>
  <si>
    <t>纯涤</t>
  </si>
  <si>
    <t>SY26374</t>
  </si>
  <si>
    <t>HB Garment</t>
  </si>
  <si>
    <r>
      <rPr>
        <sz val="10"/>
        <color theme="1"/>
        <rFont val="Calibri Light"/>
        <charset val="134"/>
      </rPr>
      <t>A936#80S</t>
    </r>
    <r>
      <rPr>
        <sz val="10"/>
        <color theme="1"/>
        <rFont val="宋体"/>
        <charset val="134"/>
      </rPr>
      <t>棉液氨双面</t>
    </r>
  </si>
  <si>
    <t>SY26375</t>
  </si>
  <si>
    <r>
      <rPr>
        <sz val="10"/>
        <color theme="1"/>
        <rFont val="Calibri Light"/>
        <charset val="134"/>
      </rPr>
      <t>937#100</t>
    </r>
    <r>
      <rPr>
        <sz val="10"/>
        <color theme="1"/>
        <rFont val="宋体"/>
        <charset val="134"/>
      </rPr>
      <t>支液氨匹马棉双面</t>
    </r>
  </si>
  <si>
    <t>SY26376</t>
  </si>
  <si>
    <t>100%匹马棉</t>
  </si>
  <si>
    <t>5m/kg</t>
  </si>
  <si>
    <r>
      <rPr>
        <sz val="10"/>
        <color theme="1"/>
        <rFont val="Calibri Light"/>
        <charset val="134"/>
      </rPr>
      <t>2458 1#/2458 A</t>
    </r>
    <r>
      <rPr>
        <sz val="10"/>
        <color theme="1"/>
        <rFont val="宋体"/>
        <charset val="134"/>
      </rPr>
      <t>版</t>
    </r>
  </si>
  <si>
    <t>SY26377</t>
  </si>
  <si>
    <r>
      <rPr>
        <sz val="10"/>
        <color theme="1"/>
        <rFont val="Calibri Light"/>
        <charset val="134"/>
      </rPr>
      <t>85.8%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14.2%</t>
    </r>
    <r>
      <rPr>
        <sz val="10"/>
        <color theme="1"/>
        <rFont val="宋体"/>
        <charset val="134"/>
      </rPr>
      <t>锦纶</t>
    </r>
  </si>
  <si>
    <r>
      <rPr>
        <sz val="10"/>
        <color theme="1"/>
        <rFont val="Calibri Light"/>
        <charset val="134"/>
      </rPr>
      <t>138</t>
    </r>
    <r>
      <rPr>
        <sz val="10"/>
        <color theme="1"/>
        <rFont val="宋体"/>
        <charset val="134"/>
      </rPr>
      <t>（4-28来样量154）</t>
    </r>
  </si>
  <si>
    <r>
      <rPr>
        <sz val="10"/>
        <color theme="1"/>
        <rFont val="宋体"/>
        <charset val="134"/>
      </rPr>
      <t>经</t>
    </r>
    <r>
      <rPr>
        <sz val="10"/>
        <color theme="1"/>
        <rFont val="Calibri Light"/>
        <charset val="134"/>
      </rPr>
      <t>150D/</t>
    </r>
    <r>
      <rPr>
        <sz val="10"/>
        <color theme="1"/>
        <rFont val="宋体"/>
        <charset val="134"/>
      </rPr>
      <t>纬</t>
    </r>
    <r>
      <rPr>
        <sz val="10"/>
        <color theme="1"/>
        <rFont val="Calibri Light"/>
        <charset val="134"/>
      </rPr>
      <t>150D+150D/140D/70D</t>
    </r>
  </si>
  <si>
    <t>2458 1#</t>
  </si>
  <si>
    <r>
      <rPr>
        <sz val="10"/>
        <color theme="1"/>
        <rFont val="Calibri Light"/>
        <charset val="134"/>
      </rPr>
      <t>2458 2#/2458 B</t>
    </r>
    <r>
      <rPr>
        <sz val="10"/>
        <color theme="1"/>
        <rFont val="宋体"/>
        <charset val="134"/>
      </rPr>
      <t>版</t>
    </r>
  </si>
  <si>
    <t>SY26378</t>
  </si>
  <si>
    <r>
      <rPr>
        <sz val="10"/>
        <color theme="1"/>
        <rFont val="Calibri Light"/>
        <charset val="134"/>
      </rPr>
      <t>66%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锦纶</t>
    </r>
  </si>
  <si>
    <r>
      <rPr>
        <sz val="10"/>
        <color theme="1"/>
        <rFont val="Calibri Light"/>
        <charset val="134"/>
      </rPr>
      <t>138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4-28</t>
    </r>
    <r>
      <rPr>
        <sz val="10"/>
        <color theme="1"/>
        <rFont val="宋体"/>
        <charset val="134"/>
      </rPr>
      <t>来样量</t>
    </r>
    <r>
      <rPr>
        <sz val="10"/>
        <color theme="1"/>
        <rFont val="Calibri Light"/>
        <charset val="134"/>
      </rPr>
      <t>144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</si>
  <si>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经</t>
    </r>
    <r>
      <rPr>
        <sz val="10"/>
        <color theme="1"/>
        <rFont val="Calibri Light"/>
        <charset val="134"/>
      </rPr>
      <t>150D/</t>
    </r>
    <r>
      <rPr>
        <sz val="10"/>
        <color theme="1"/>
        <rFont val="宋体"/>
        <charset val="134"/>
      </rPr>
      <t>纬</t>
    </r>
    <r>
      <rPr>
        <sz val="10"/>
        <color theme="1"/>
        <rFont val="Calibri Light"/>
        <charset val="134"/>
      </rPr>
      <t>140D+140D/140D/70D</t>
    </r>
  </si>
  <si>
    <t>2458 2#</t>
  </si>
  <si>
    <r>
      <rPr>
        <sz val="10"/>
        <color theme="1"/>
        <rFont val="Calibri Light"/>
        <charset val="134"/>
      </rPr>
      <t>2458-1 1#/2458-1 A</t>
    </r>
    <r>
      <rPr>
        <sz val="10"/>
        <color theme="1"/>
        <rFont val="宋体"/>
        <charset val="134"/>
      </rPr>
      <t>版</t>
    </r>
  </si>
  <si>
    <t>SY26379</t>
  </si>
  <si>
    <r>
      <rPr>
        <sz val="10"/>
        <color theme="1"/>
        <rFont val="Calibri Light"/>
        <charset val="134"/>
      </rPr>
      <t>82.1%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17.9%</t>
    </r>
    <r>
      <rPr>
        <sz val="10"/>
        <color theme="1"/>
        <rFont val="宋体"/>
        <charset val="134"/>
      </rPr>
      <t>锦纶</t>
    </r>
  </si>
  <si>
    <r>
      <rPr>
        <sz val="10"/>
        <color theme="1"/>
        <rFont val="Calibri Light"/>
        <charset val="134"/>
      </rPr>
      <t>138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4-28</t>
    </r>
    <r>
      <rPr>
        <sz val="10"/>
        <color theme="1"/>
        <rFont val="宋体"/>
        <charset val="134"/>
      </rPr>
      <t>来样量</t>
    </r>
    <r>
      <rPr>
        <sz val="10"/>
        <color theme="1"/>
        <rFont val="Calibri Light"/>
        <charset val="134"/>
      </rPr>
      <t>154</t>
    </r>
    <r>
      <rPr>
        <sz val="10"/>
        <color theme="1"/>
        <rFont val="宋体"/>
        <charset val="134"/>
      </rPr>
      <t>）</t>
    </r>
  </si>
  <si>
    <r>
      <rPr>
        <sz val="10"/>
        <color theme="1"/>
        <rFont val="宋体"/>
        <charset val="134"/>
      </rPr>
      <t>经</t>
    </r>
    <r>
      <rPr>
        <sz val="10"/>
        <color theme="1"/>
        <rFont val="Calibri Light"/>
        <charset val="134"/>
      </rPr>
      <t>150D/</t>
    </r>
    <r>
      <rPr>
        <sz val="10"/>
        <color theme="1"/>
        <rFont val="宋体"/>
        <charset val="134"/>
      </rPr>
      <t>纬</t>
    </r>
    <r>
      <rPr>
        <sz val="10"/>
        <color theme="1"/>
        <rFont val="Calibri Light"/>
        <charset val="134"/>
      </rPr>
      <t>140D+150D</t>
    </r>
  </si>
  <si>
    <t>2458-1 1#</t>
  </si>
  <si>
    <r>
      <rPr>
        <sz val="10"/>
        <color theme="1"/>
        <rFont val="Calibri Light"/>
        <charset val="134"/>
      </rPr>
      <t>2458-1 2#/2458-1 B</t>
    </r>
    <r>
      <rPr>
        <sz val="10"/>
        <color theme="1"/>
        <rFont val="宋体"/>
        <charset val="134"/>
      </rPr>
      <t>版</t>
    </r>
  </si>
  <si>
    <t>SY26380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</si>
  <si>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37%</t>
    </r>
    <r>
      <rPr>
        <sz val="10"/>
        <color theme="1"/>
        <rFont val="宋体"/>
        <charset val="134"/>
      </rPr>
      <t>锦纶</t>
    </r>
  </si>
  <si>
    <r>
      <rPr>
        <sz val="10"/>
        <color theme="1"/>
        <rFont val="Calibri Light"/>
        <charset val="134"/>
      </rPr>
      <t>138</t>
    </r>
    <r>
      <rPr>
        <sz val="10"/>
        <color theme="1"/>
        <rFont val="宋体"/>
        <charset val="134"/>
      </rPr>
      <t>（</t>
    </r>
    <r>
      <rPr>
        <sz val="10"/>
        <color theme="1"/>
        <rFont val="Calibri Light"/>
        <charset val="134"/>
      </rPr>
      <t>4-28</t>
    </r>
    <r>
      <rPr>
        <sz val="10"/>
        <color theme="1"/>
        <rFont val="宋体"/>
        <charset val="134"/>
      </rPr>
      <t>来样量</t>
    </r>
    <r>
      <rPr>
        <sz val="10"/>
        <color theme="1"/>
        <rFont val="Calibri Light"/>
        <charset val="134"/>
      </rPr>
      <t>148</t>
    </r>
    <r>
      <rPr>
        <sz val="10"/>
        <color theme="1"/>
        <rFont val="宋体"/>
        <charset val="134"/>
      </rPr>
      <t>）</t>
    </r>
  </si>
  <si>
    <t>2458-1 2#</t>
  </si>
  <si>
    <t>JASON</t>
  </si>
  <si>
    <r>
      <rPr>
        <sz val="10"/>
        <color theme="1"/>
        <rFont val="Calibri Light"/>
        <charset val="134"/>
      </rPr>
      <t>2628#</t>
    </r>
    <r>
      <rPr>
        <sz val="10"/>
        <color theme="1"/>
        <rFont val="宋体"/>
        <charset val="134"/>
      </rPr>
      <t>涤棉华夫格</t>
    </r>
  </si>
  <si>
    <t>SY26381</t>
  </si>
  <si>
    <t>65%涤纶 35%棉</t>
  </si>
  <si>
    <t>汇纺布业</t>
  </si>
  <si>
    <r>
      <rPr>
        <sz val="10"/>
        <color theme="1"/>
        <rFont val="Calibri Light"/>
        <charset val="134"/>
      </rPr>
      <t xml:space="preserve">H6368 </t>
    </r>
    <r>
      <rPr>
        <sz val="10"/>
        <color theme="1"/>
        <rFont val="宋体"/>
        <charset val="134"/>
      </rPr>
      <t>大G 诺塑棉</t>
    </r>
  </si>
  <si>
    <t>SY26382</t>
  </si>
  <si>
    <r>
      <rPr>
        <sz val="10"/>
        <color theme="1"/>
        <rFont val="Calibri Light"/>
        <charset val="134"/>
      </rPr>
      <t>59%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涤纶</t>
    </r>
  </si>
  <si>
    <t>宏富 尚品</t>
  </si>
  <si>
    <r>
      <rPr>
        <sz val="10"/>
        <color theme="1"/>
        <rFont val="Calibri Light"/>
        <charset val="134"/>
      </rPr>
      <t xml:space="preserve">H6369 </t>
    </r>
    <r>
      <rPr>
        <sz val="10"/>
        <color theme="1"/>
        <rFont val="宋体"/>
        <charset val="134"/>
      </rPr>
      <t>小G 迷尔格</t>
    </r>
  </si>
  <si>
    <t>SY26383</t>
  </si>
  <si>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>6%</t>
    </r>
    <r>
      <rPr>
        <sz val="10"/>
        <color theme="1"/>
        <rFont val="宋体"/>
        <charset val="134"/>
      </rPr>
      <t>氨纶</t>
    </r>
  </si>
  <si>
    <r>
      <rPr>
        <sz val="10"/>
        <color theme="1"/>
        <rFont val="Calibri Light"/>
        <charset val="134"/>
      </rPr>
      <t>2021#</t>
    </r>
    <r>
      <rPr>
        <sz val="10"/>
        <color theme="1"/>
        <rFont val="宋体"/>
        <charset val="134"/>
      </rPr>
      <t>华夫格</t>
    </r>
  </si>
  <si>
    <t>SY26384</t>
  </si>
  <si>
    <r>
      <rPr>
        <sz val="10"/>
        <color theme="1"/>
        <rFont val="Calibri Light"/>
        <charset val="134"/>
      </rPr>
      <t xml:space="preserve">2108 </t>
    </r>
    <r>
      <rPr>
        <sz val="10"/>
        <color theme="1"/>
        <rFont val="宋体"/>
        <charset val="134"/>
      </rPr>
      <t>华夫格</t>
    </r>
  </si>
  <si>
    <t>SY26385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</si>
  <si>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氨纶</t>
    </r>
  </si>
  <si>
    <t>62%POLY33%COTTON5%SP</t>
  </si>
  <si>
    <t>A20182</t>
  </si>
  <si>
    <t>SY26386</t>
  </si>
  <si>
    <t>100%纯棉</t>
  </si>
  <si>
    <t>新白马纺织</t>
  </si>
  <si>
    <r>
      <rPr>
        <sz val="10"/>
        <color theme="1"/>
        <rFont val="Calibri Light"/>
        <charset val="134"/>
      </rPr>
      <t>F7186#</t>
    </r>
    <r>
      <rPr>
        <sz val="10"/>
        <color theme="1"/>
        <rFont val="宋体"/>
        <charset val="134"/>
      </rPr>
      <t>华夫格</t>
    </r>
  </si>
  <si>
    <t>SY26387</t>
  </si>
  <si>
    <r>
      <rPr>
        <sz val="10"/>
        <color theme="1"/>
        <rFont val="Calibri Light"/>
        <charset val="134"/>
      </rPr>
      <t>2128#</t>
    </r>
    <r>
      <rPr>
        <sz val="10"/>
        <color theme="1"/>
        <rFont val="宋体"/>
        <charset val="134"/>
      </rPr>
      <t>纯棉华夫格</t>
    </r>
  </si>
  <si>
    <t>SY26388</t>
  </si>
  <si>
    <r>
      <rPr>
        <sz val="10"/>
        <color theme="1"/>
        <rFont val="Calibri Light"/>
        <charset val="134"/>
      </rPr>
      <t>6031#</t>
    </r>
    <r>
      <rPr>
        <sz val="10"/>
        <color theme="1"/>
        <rFont val="宋体"/>
        <charset val="134"/>
      </rPr>
      <t>小山崎</t>
    </r>
  </si>
  <si>
    <t>SY26389</t>
  </si>
  <si>
    <r>
      <rPr>
        <sz val="10"/>
        <color theme="1"/>
        <rFont val="Calibri Light"/>
        <charset val="134"/>
      </rPr>
      <t>88%</t>
    </r>
    <r>
      <rPr>
        <sz val="10"/>
        <color theme="1"/>
        <rFont val="宋体"/>
        <charset val="134"/>
      </rPr>
      <t>棉PTT12%</t>
    </r>
  </si>
  <si>
    <t>88%BCI COTTON12%PTT</t>
  </si>
  <si>
    <t>翔业针织</t>
  </si>
  <si>
    <t>2162#</t>
  </si>
  <si>
    <t>SY26390</t>
  </si>
  <si>
    <t>俊泰纺织</t>
  </si>
  <si>
    <t>2163#</t>
  </si>
  <si>
    <t>SY26391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</si>
  <si>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34%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氨纶</t>
    </r>
  </si>
  <si>
    <t>63%POLY34%COTTON3%SP</t>
  </si>
  <si>
    <t>2165#</t>
  </si>
  <si>
    <t>SY26392</t>
  </si>
  <si>
    <t>2166#</t>
  </si>
  <si>
    <t>SY26393</t>
  </si>
  <si>
    <t>2168#</t>
  </si>
  <si>
    <t>SY26394</t>
  </si>
  <si>
    <t>2169#</t>
  </si>
  <si>
    <t>SY26395</t>
  </si>
  <si>
    <r>
      <rPr>
        <sz val="10"/>
        <color theme="1"/>
        <rFont val="Calibri Light"/>
        <charset val="134"/>
      </rPr>
      <t xml:space="preserve">J7220  </t>
    </r>
    <r>
      <rPr>
        <sz val="10"/>
        <color theme="1"/>
        <rFont val="宋体"/>
        <charset val="134"/>
      </rPr>
      <t>东方树叶</t>
    </r>
  </si>
  <si>
    <t>SY26396</t>
  </si>
  <si>
    <t>J512</t>
  </si>
  <si>
    <t>SY26397</t>
  </si>
  <si>
    <t>J110</t>
  </si>
  <si>
    <t>SY26398</t>
  </si>
  <si>
    <t>J506A</t>
  </si>
  <si>
    <t>SY26399</t>
  </si>
  <si>
    <r>
      <rPr>
        <sz val="10"/>
        <color theme="1"/>
        <rFont val="Calibri Light"/>
        <charset val="134"/>
      </rPr>
      <t xml:space="preserve">K1655 </t>
    </r>
    <r>
      <rPr>
        <sz val="10"/>
        <color theme="1"/>
        <rFont val="宋体"/>
        <charset val="134"/>
      </rPr>
      <t>水无沙</t>
    </r>
  </si>
  <si>
    <t>SY26400</t>
  </si>
  <si>
    <t>K1700</t>
  </si>
  <si>
    <t>SY26401</t>
  </si>
  <si>
    <t>1.25±0.05mm</t>
  </si>
  <si>
    <t>K956</t>
  </si>
  <si>
    <t>SY26402</t>
  </si>
  <si>
    <t>K1716</t>
  </si>
  <si>
    <t>SY26403</t>
  </si>
  <si>
    <t>J9101</t>
  </si>
  <si>
    <t>SY26404</t>
  </si>
  <si>
    <t>J9115</t>
  </si>
  <si>
    <t>SY26405</t>
  </si>
  <si>
    <t>J7209</t>
  </si>
  <si>
    <t>SY26406</t>
  </si>
  <si>
    <t>J7187</t>
  </si>
  <si>
    <t>SY26407</t>
  </si>
  <si>
    <t>J323</t>
  </si>
  <si>
    <t>SY26408</t>
  </si>
  <si>
    <t>395#</t>
  </si>
  <si>
    <t>SY26409</t>
  </si>
  <si>
    <t>凯丰纺织</t>
  </si>
  <si>
    <t>398#</t>
  </si>
  <si>
    <t>SY26410</t>
  </si>
  <si>
    <t>397#</t>
  </si>
  <si>
    <t>SY26411</t>
  </si>
  <si>
    <t>399#</t>
  </si>
  <si>
    <t>SY26412</t>
  </si>
  <si>
    <t>396#</t>
  </si>
  <si>
    <t>SY26413</t>
  </si>
  <si>
    <t>压绉皮纹</t>
  </si>
  <si>
    <t>SY26414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</si>
  <si>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09</t>
    </r>
  </si>
  <si>
    <t>SY26415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</si>
  <si>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08</t>
    </r>
  </si>
  <si>
    <t>SY26416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</si>
  <si>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10</t>
    </r>
  </si>
  <si>
    <t>SY26417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</si>
  <si>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11</t>
    </r>
  </si>
  <si>
    <t>SY26418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</si>
  <si>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12</t>
    </r>
  </si>
  <si>
    <t>SY26419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</si>
  <si>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13</t>
    </r>
  </si>
  <si>
    <t>SY26420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</si>
  <si>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15</t>
    </r>
  </si>
  <si>
    <t>SY26421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</si>
  <si>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16</t>
    </r>
  </si>
  <si>
    <t>SY26422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</si>
  <si>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17</t>
    </r>
  </si>
  <si>
    <t>SY26423</t>
  </si>
  <si>
    <r>
      <rPr>
        <sz val="10"/>
        <color theme="1"/>
        <rFont val="宋体"/>
        <charset val="134"/>
      </rPr>
      <t>仿皮</t>
    </r>
    <r>
      <rPr>
        <sz val="10"/>
        <color theme="1"/>
        <rFont val="Calibri Light"/>
        <charset val="134"/>
      </rPr>
      <t>18</t>
    </r>
  </si>
  <si>
    <t>SY26424</t>
  </si>
  <si>
    <r>
      <rPr>
        <sz val="10"/>
        <color theme="1"/>
        <rFont val="Calibri Light"/>
        <charset val="134"/>
      </rPr>
      <t>388-</t>
    </r>
    <r>
      <rPr>
        <sz val="10"/>
        <color theme="1"/>
        <rFont val="宋体"/>
        <charset val="134"/>
      </rPr>
      <t>醋酸黄金缎</t>
    </r>
  </si>
  <si>
    <t>SY26425</t>
  </si>
  <si>
    <r>
      <rPr>
        <sz val="10"/>
        <color theme="1"/>
        <rFont val="Calibri Light"/>
        <charset val="134"/>
      </rPr>
      <t>867#</t>
    </r>
    <r>
      <rPr>
        <sz val="10"/>
        <color theme="1"/>
        <rFont val="宋体"/>
        <charset val="134"/>
      </rPr>
      <t>迪拜皱</t>
    </r>
  </si>
  <si>
    <t>SY26426</t>
  </si>
  <si>
    <t>晶晶纺织</t>
  </si>
  <si>
    <r>
      <rPr>
        <sz val="10"/>
        <color theme="1"/>
        <rFont val="Calibri Light"/>
        <charset val="134"/>
      </rPr>
      <t>859#</t>
    </r>
    <r>
      <rPr>
        <sz val="10"/>
        <color theme="1"/>
        <rFont val="宋体"/>
        <charset val="134"/>
      </rPr>
      <t>双面缎手抓花</t>
    </r>
  </si>
  <si>
    <t>SY26427</t>
  </si>
  <si>
    <t>气流醋酸双面皱</t>
  </si>
  <si>
    <t>SY26428</t>
  </si>
  <si>
    <t>钻石缎面皱</t>
  </si>
  <si>
    <t>SY26429</t>
  </si>
  <si>
    <t>醋酸黄金皱</t>
  </si>
  <si>
    <t>SY26430</t>
  </si>
  <si>
    <t>精品法兰皱</t>
  </si>
  <si>
    <t>SY26431</t>
  </si>
  <si>
    <t>SY26432</t>
  </si>
  <si>
    <t>蓝色样册</t>
  </si>
  <si>
    <t>蚂蚁皱</t>
  </si>
  <si>
    <t>SY26433</t>
  </si>
  <si>
    <t>弹力缎</t>
  </si>
  <si>
    <t>SY26434</t>
  </si>
  <si>
    <t>SY26435</t>
  </si>
  <si>
    <t>消光皱卡手抓花</t>
  </si>
  <si>
    <t>SY26436</t>
  </si>
  <si>
    <t>听说这家店的老板又帅又温柔</t>
  </si>
  <si>
    <t>单面麻手抓花</t>
  </si>
  <si>
    <t>SY26437</t>
  </si>
  <si>
    <t>海岛皱</t>
  </si>
  <si>
    <t>SY26438</t>
  </si>
  <si>
    <t>白色样册</t>
  </si>
  <si>
    <t>缎面顺纡皱</t>
  </si>
  <si>
    <t>SY26439</t>
  </si>
  <si>
    <t>塞尔维亚</t>
  </si>
  <si>
    <r>
      <rPr>
        <sz val="10"/>
        <color theme="1"/>
        <rFont val="Calibri Light"/>
        <charset val="134"/>
      </rPr>
      <t>180</t>
    </r>
    <r>
      <rPr>
        <sz val="10"/>
        <color theme="1"/>
        <rFont val="宋体"/>
        <charset val="134"/>
      </rPr>
      <t>仿真皮</t>
    </r>
  </si>
  <si>
    <t>SY26440</t>
  </si>
  <si>
    <r>
      <rPr>
        <sz val="10"/>
        <color theme="1"/>
        <rFont val="宋体"/>
        <charset val="134"/>
      </rPr>
      <t>面布：</t>
    </r>
    <r>
      <rPr>
        <sz val="10"/>
        <color theme="1"/>
        <rFont val="Calibri Light"/>
        <charset val="134"/>
      </rPr>
      <t xml:space="preserve">100%PU </t>
    </r>
    <r>
      <rPr>
        <sz val="10"/>
        <color theme="1"/>
        <rFont val="宋体"/>
        <charset val="134"/>
      </rPr>
      <t>底布：</t>
    </r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涤纶</t>
    </r>
  </si>
  <si>
    <r>
      <rPr>
        <sz val="10"/>
        <color theme="1"/>
        <rFont val="宋体"/>
        <charset val="134"/>
      </rPr>
      <t>面布：</t>
    </r>
    <r>
      <rPr>
        <sz val="10"/>
        <color theme="1"/>
        <rFont val="Calibri Light"/>
        <charset val="134"/>
      </rPr>
      <t xml:space="preserve">100%PU </t>
    </r>
    <r>
      <rPr>
        <sz val="10"/>
        <color theme="1"/>
        <rFont val="宋体"/>
        <charset val="134"/>
      </rPr>
      <t>底布：</t>
    </r>
    <r>
      <rPr>
        <sz val="10"/>
        <color theme="1"/>
        <rFont val="Calibri Light"/>
        <charset val="134"/>
      </rPr>
      <t>100%POLY</t>
    </r>
  </si>
  <si>
    <t>凯天宏皮革</t>
  </si>
  <si>
    <r>
      <rPr>
        <sz val="10"/>
        <color theme="1"/>
        <rFont val="Calibri Light"/>
        <charset val="134"/>
      </rPr>
      <t>18.6</t>
    </r>
    <r>
      <rPr>
        <sz val="10"/>
        <color theme="1"/>
        <rFont val="宋体"/>
        <charset val="134"/>
      </rPr>
      <t>不含税</t>
    </r>
  </si>
  <si>
    <t>孟加拉</t>
  </si>
  <si>
    <r>
      <rPr>
        <sz val="10"/>
        <color theme="1"/>
        <rFont val="Calibri Light"/>
        <charset val="134"/>
      </rPr>
      <t xml:space="preserve">X620# </t>
    </r>
    <r>
      <rPr>
        <sz val="10"/>
        <color theme="1"/>
        <rFont val="宋体"/>
        <charset val="134"/>
      </rPr>
      <t>棉麻色织布</t>
    </r>
  </si>
  <si>
    <t>SY26441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</si>
  <si>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亚麻</t>
    </r>
  </si>
  <si>
    <t>60%Cotton40%Linen</t>
  </si>
  <si>
    <t>鉴泽</t>
  </si>
  <si>
    <r>
      <rPr>
        <sz val="10"/>
        <color theme="1"/>
        <rFont val="Calibri Light"/>
        <charset val="134"/>
      </rPr>
      <t>25.5</t>
    </r>
    <r>
      <rPr>
        <sz val="10"/>
        <color theme="1"/>
        <rFont val="宋体"/>
        <charset val="134"/>
      </rPr>
      <t>不含税</t>
    </r>
  </si>
  <si>
    <t>X816</t>
  </si>
  <si>
    <t>SY26442</t>
  </si>
  <si>
    <t>棉汇麻品</t>
  </si>
  <si>
    <t>兆盈</t>
  </si>
  <si>
    <r>
      <rPr>
        <sz val="10"/>
        <color theme="1"/>
        <rFont val="Calibri Light"/>
        <charset val="134"/>
      </rPr>
      <t>420D</t>
    </r>
    <r>
      <rPr>
        <sz val="10"/>
        <color theme="1"/>
        <rFont val="宋体"/>
        <charset val="134"/>
      </rPr>
      <t>水松底</t>
    </r>
  </si>
  <si>
    <t>SY26443</t>
  </si>
  <si>
    <r>
      <rPr>
        <sz val="10"/>
        <color theme="1"/>
        <rFont val="Calibri Light"/>
        <charset val="134"/>
      </rPr>
      <t>100Dx200D</t>
    </r>
    <r>
      <rPr>
        <sz val="10"/>
        <color theme="1"/>
        <rFont val="宋体"/>
        <charset val="134"/>
      </rPr>
      <t>水松底</t>
    </r>
  </si>
  <si>
    <t>SY26444</t>
  </si>
  <si>
    <t>SY26445</t>
  </si>
  <si>
    <t>锦汇麻品</t>
  </si>
  <si>
    <t>46.5元/米</t>
  </si>
  <si>
    <t>SY26446</t>
  </si>
  <si>
    <t>58元/米</t>
  </si>
  <si>
    <t>SY26447</t>
  </si>
  <si>
    <r>
      <rPr>
        <sz val="10"/>
        <color theme="1"/>
        <rFont val="Calibri Light"/>
        <charset val="134"/>
      </rPr>
      <t>28%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57%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 15%</t>
    </r>
    <r>
      <rPr>
        <sz val="10"/>
        <color theme="1"/>
        <rFont val="宋体"/>
        <charset val="134"/>
      </rPr>
      <t>尼龙</t>
    </r>
  </si>
  <si>
    <t>28%POLY  57%R  15%NYLON</t>
  </si>
  <si>
    <t>品造时尚</t>
  </si>
  <si>
    <t>15元/米</t>
  </si>
  <si>
    <r>
      <rPr>
        <sz val="10"/>
        <color theme="1"/>
        <rFont val="Calibri Light"/>
        <charset val="134"/>
      </rPr>
      <t>12x12</t>
    </r>
    <r>
      <rPr>
        <sz val="10"/>
        <color theme="1"/>
        <rFont val="宋体"/>
        <charset val="134"/>
      </rPr>
      <t>后工艺</t>
    </r>
  </si>
  <si>
    <t>SY26448</t>
  </si>
  <si>
    <t>7864#</t>
  </si>
  <si>
    <t>SY26449</t>
  </si>
  <si>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68%</t>
    </r>
    <r>
      <rPr>
        <sz val="10"/>
        <color theme="1"/>
        <rFont val="宋体"/>
        <charset val="134"/>
      </rPr>
      <t>涤纶</t>
    </r>
  </si>
  <si>
    <t>32%NYLON 68%Recycle POLY</t>
  </si>
  <si>
    <r>
      <rPr>
        <sz val="10"/>
        <color theme="1"/>
        <rFont val="宋体"/>
        <charset val="134"/>
      </rPr>
      <t>亿龙纺织</t>
    </r>
    <r>
      <rPr>
        <sz val="10"/>
        <color theme="1"/>
        <rFont val="Calibri Light"/>
        <charset val="134"/>
      </rPr>
      <t xml:space="preserve"> </t>
    </r>
  </si>
  <si>
    <t>14元/米</t>
  </si>
  <si>
    <t>7012#</t>
  </si>
  <si>
    <t>SY26450</t>
  </si>
  <si>
    <r>
      <rPr>
        <sz val="10"/>
        <color theme="1"/>
        <rFont val="Calibri Light"/>
        <charset val="134"/>
      </rPr>
      <t>55% TEL 10%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 35%</t>
    </r>
    <r>
      <rPr>
        <sz val="10"/>
        <color theme="1"/>
        <rFont val="宋体"/>
        <charset val="134"/>
      </rPr>
      <t>尼龙</t>
    </r>
  </si>
  <si>
    <t>55%TEL  10%Liene 35%NYLON</t>
  </si>
  <si>
    <t>12元/米</t>
  </si>
  <si>
    <t>7852#</t>
  </si>
  <si>
    <t>SY26451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</si>
  <si>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</t>
    </r>
  </si>
  <si>
    <t>65%R 35%NYLON</t>
  </si>
  <si>
    <t>71181#</t>
  </si>
  <si>
    <t>SY26452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</si>
  <si>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涤纶</t>
    </r>
  </si>
  <si>
    <t>90%TEL 10%Recycle  POLY</t>
  </si>
  <si>
    <t>全品类织就时尚</t>
  </si>
  <si>
    <t>14.5元/米</t>
  </si>
  <si>
    <t>7152#</t>
  </si>
  <si>
    <t>SY26453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</si>
  <si>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锦纶</t>
    </r>
  </si>
  <si>
    <t>75%TEL 25%NYLON</t>
  </si>
  <si>
    <t>7151#</t>
  </si>
  <si>
    <t>SY26454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</si>
  <si>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15%T</t>
    </r>
  </si>
  <si>
    <t>13.5元/米</t>
  </si>
  <si>
    <t>7841#</t>
  </si>
  <si>
    <t>SY26455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</si>
  <si>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25%</t>
    </r>
    <r>
      <rPr>
        <sz val="10"/>
        <color theme="1"/>
        <rFont val="宋体"/>
        <charset val="134"/>
      </rPr>
      <t>尼龙</t>
    </r>
  </si>
  <si>
    <t>75%R 25%NYLON</t>
  </si>
  <si>
    <r>
      <rPr>
        <sz val="10"/>
        <color theme="1"/>
        <rFont val="Calibri Light"/>
        <charset val="134"/>
      </rPr>
      <t>7841</t>
    </r>
    <r>
      <rPr>
        <i/>
        <sz val="10"/>
        <color theme="1"/>
        <rFont val="Calibri Light"/>
        <charset val="134"/>
      </rPr>
      <t>#</t>
    </r>
  </si>
  <si>
    <t>12.5元/米</t>
  </si>
  <si>
    <r>
      <rPr>
        <sz val="10"/>
        <color theme="1"/>
        <rFont val="Calibri Light"/>
        <charset val="134"/>
      </rPr>
      <t>5132#</t>
    </r>
    <r>
      <rPr>
        <sz val="10"/>
        <color theme="1"/>
        <rFont val="宋体"/>
        <charset val="134"/>
      </rPr>
      <t>加厚免洗</t>
    </r>
    <r>
      <rPr>
        <sz val="10"/>
        <color theme="1"/>
        <rFont val="Calibri Light"/>
        <charset val="134"/>
      </rPr>
      <t>3/3</t>
    </r>
    <r>
      <rPr>
        <sz val="10"/>
        <color theme="1"/>
        <rFont val="宋体"/>
        <charset val="134"/>
      </rPr>
      <t>斜</t>
    </r>
  </si>
  <si>
    <t>SY26456</t>
  </si>
  <si>
    <t>骑兵斜酷丝绵</t>
  </si>
  <si>
    <t>SY26457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</si>
  <si>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酷丝棉</t>
    </r>
    <r>
      <rPr>
        <sz val="10"/>
        <color theme="1"/>
        <rFont val="Calibri Light"/>
        <charset val="134"/>
      </rPr>
      <t>30%T400</t>
    </r>
  </si>
  <si>
    <t>70%BCI COTTON30%T400</t>
  </si>
  <si>
    <r>
      <rPr>
        <sz val="10"/>
        <color theme="1"/>
        <rFont val="Calibri Light"/>
        <charset val="134"/>
      </rPr>
      <t>763#</t>
    </r>
    <r>
      <rPr>
        <sz val="10"/>
        <color theme="1"/>
        <rFont val="宋体"/>
        <charset val="134"/>
      </rPr>
      <t>乐丽丝双层</t>
    </r>
  </si>
  <si>
    <t>SY26458</t>
  </si>
  <si>
    <t>越美纺织</t>
  </si>
  <si>
    <r>
      <rPr>
        <sz val="10"/>
        <color theme="1"/>
        <rFont val="Calibri Light"/>
        <charset val="134"/>
      </rPr>
      <t>863#</t>
    </r>
    <r>
      <rPr>
        <sz val="10"/>
        <color theme="1"/>
        <rFont val="宋体"/>
        <charset val="134"/>
      </rPr>
      <t>双层马卡龙</t>
    </r>
  </si>
  <si>
    <t>SY26459</t>
  </si>
  <si>
    <r>
      <rPr>
        <sz val="10"/>
        <color theme="1"/>
        <rFont val="Calibri Light"/>
        <charset val="134"/>
      </rPr>
      <t>967#</t>
    </r>
    <r>
      <rPr>
        <sz val="10"/>
        <color theme="1"/>
        <rFont val="宋体"/>
        <charset val="134"/>
      </rPr>
      <t>加厚</t>
    </r>
    <r>
      <rPr>
        <sz val="10"/>
        <color theme="1"/>
        <rFont val="Calibri Light"/>
        <charset val="134"/>
      </rPr>
      <t>75D</t>
    </r>
    <r>
      <rPr>
        <sz val="10"/>
        <color theme="1"/>
        <rFont val="宋体"/>
        <charset val="134"/>
      </rPr>
      <t>双层</t>
    </r>
  </si>
  <si>
    <t>SY26460</t>
  </si>
  <si>
    <r>
      <rPr>
        <sz val="10"/>
        <color theme="1"/>
        <rFont val="Calibri Light"/>
        <charset val="134"/>
      </rPr>
      <t>979#</t>
    </r>
    <r>
      <rPr>
        <sz val="10"/>
        <color theme="1"/>
        <rFont val="宋体"/>
        <charset val="134"/>
      </rPr>
      <t>双层缎面</t>
    </r>
  </si>
  <si>
    <t>SY26461</t>
  </si>
  <si>
    <r>
      <rPr>
        <sz val="10"/>
        <color theme="1"/>
        <rFont val="Calibri Light"/>
        <charset val="134"/>
      </rPr>
      <t>5899#</t>
    </r>
    <r>
      <rPr>
        <sz val="10"/>
        <color theme="1"/>
        <rFont val="宋体"/>
        <charset val="134"/>
      </rPr>
      <t>双层高弹</t>
    </r>
  </si>
  <si>
    <t>SY26462</t>
  </si>
  <si>
    <t>天豪纺织</t>
  </si>
  <si>
    <r>
      <rPr>
        <sz val="10"/>
        <color theme="1"/>
        <rFont val="Calibri Light"/>
        <charset val="134"/>
      </rPr>
      <t>8100#</t>
    </r>
    <r>
      <rPr>
        <sz val="10"/>
        <color theme="1"/>
        <rFont val="宋体"/>
        <charset val="134"/>
      </rPr>
      <t>高品质孔雀斜</t>
    </r>
  </si>
  <si>
    <t>SY26463</t>
  </si>
  <si>
    <r>
      <rPr>
        <sz val="10"/>
        <color theme="1"/>
        <rFont val="Calibri Light"/>
        <charset val="134"/>
      </rPr>
      <t>8899#</t>
    </r>
    <r>
      <rPr>
        <sz val="10"/>
        <color theme="1"/>
        <rFont val="宋体"/>
        <charset val="134"/>
      </rPr>
      <t>特厚双层</t>
    </r>
  </si>
  <si>
    <t>SY26464</t>
  </si>
  <si>
    <r>
      <rPr>
        <sz val="10"/>
        <color theme="1"/>
        <rFont val="Calibri Light"/>
        <charset val="134"/>
      </rPr>
      <t xml:space="preserve">5138 </t>
    </r>
    <r>
      <rPr>
        <sz val="10"/>
        <color theme="1"/>
        <rFont val="宋体"/>
        <charset val="134"/>
      </rPr>
      <t>摩根丝</t>
    </r>
  </si>
  <si>
    <t>SY26465</t>
  </si>
  <si>
    <t>佰顺纺织</t>
  </si>
  <si>
    <r>
      <rPr>
        <sz val="10"/>
        <color theme="1"/>
        <rFont val="Calibri Light"/>
        <charset val="134"/>
      </rPr>
      <t>5052</t>
    </r>
    <r>
      <rPr>
        <sz val="10"/>
        <color theme="1"/>
        <rFont val="宋体"/>
        <charset val="134"/>
      </rPr>
      <t>孔雀斜</t>
    </r>
  </si>
  <si>
    <t>SY26466</t>
  </si>
  <si>
    <r>
      <rPr>
        <sz val="10"/>
        <color theme="1"/>
        <rFont val="Calibri Light"/>
        <charset val="134"/>
      </rPr>
      <t xml:space="preserve">5701 </t>
    </r>
    <r>
      <rPr>
        <sz val="10"/>
        <color theme="1"/>
        <rFont val="宋体"/>
        <charset val="134"/>
      </rPr>
      <t>加厚高弹双层</t>
    </r>
  </si>
  <si>
    <t>SY26467</t>
  </si>
  <si>
    <t>新旺纺织</t>
  </si>
  <si>
    <r>
      <rPr>
        <sz val="10"/>
        <color theme="1"/>
        <rFont val="Calibri Light"/>
        <charset val="134"/>
      </rPr>
      <t xml:space="preserve">6189 </t>
    </r>
    <r>
      <rPr>
        <sz val="10"/>
        <color theme="1"/>
        <rFont val="宋体"/>
        <charset val="134"/>
      </rPr>
      <t>加厚仿麻双色平纹</t>
    </r>
  </si>
  <si>
    <t>SY26468</t>
  </si>
  <si>
    <r>
      <rPr>
        <sz val="10"/>
        <color theme="1"/>
        <rFont val="Calibri Light"/>
        <charset val="134"/>
      </rPr>
      <t>5801 75D</t>
    </r>
    <r>
      <rPr>
        <sz val="10"/>
        <color theme="1"/>
        <rFont val="宋体"/>
        <charset val="134"/>
      </rPr>
      <t>双层四面弹</t>
    </r>
  </si>
  <si>
    <t>SY26469</t>
  </si>
  <si>
    <r>
      <rPr>
        <sz val="10"/>
        <color theme="1"/>
        <rFont val="Calibri Light"/>
        <charset val="134"/>
      </rPr>
      <t xml:space="preserve">6188  </t>
    </r>
    <r>
      <rPr>
        <sz val="10"/>
        <color theme="1"/>
        <rFont val="宋体"/>
        <charset val="134"/>
      </rPr>
      <t>乐丽丝</t>
    </r>
    <r>
      <rPr>
        <sz val="10"/>
        <color theme="1"/>
        <rFont val="Calibri Light"/>
        <charset val="134"/>
      </rPr>
      <t>3/3</t>
    </r>
    <r>
      <rPr>
        <sz val="10"/>
        <color theme="1"/>
        <rFont val="宋体"/>
        <charset val="134"/>
      </rPr>
      <t>斜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仿毛四面弹</t>
    </r>
  </si>
  <si>
    <t>SY26470</t>
  </si>
  <si>
    <r>
      <rPr>
        <sz val="10"/>
        <color theme="1"/>
        <rFont val="Calibri Light"/>
        <charset val="134"/>
      </rPr>
      <t xml:space="preserve">5901 </t>
    </r>
    <r>
      <rPr>
        <sz val="10"/>
        <color theme="1"/>
        <rFont val="宋体"/>
        <charset val="134"/>
      </rPr>
      <t>特厚双层</t>
    </r>
  </si>
  <si>
    <t>SY26471</t>
  </si>
  <si>
    <r>
      <rPr>
        <sz val="10"/>
        <color theme="1"/>
        <rFont val="Calibri Light"/>
        <charset val="134"/>
      </rPr>
      <t xml:space="preserve">6160 </t>
    </r>
    <r>
      <rPr>
        <sz val="10"/>
        <color theme="1"/>
        <rFont val="宋体"/>
        <charset val="134"/>
      </rPr>
      <t>高品质孔雀斜</t>
    </r>
  </si>
  <si>
    <t>SY26472</t>
  </si>
  <si>
    <r>
      <rPr>
        <sz val="10"/>
        <color theme="1"/>
        <rFont val="Calibri Light"/>
        <charset val="134"/>
      </rPr>
      <t xml:space="preserve">6166 </t>
    </r>
    <r>
      <rPr>
        <sz val="10"/>
        <color theme="1"/>
        <rFont val="宋体"/>
        <charset val="134"/>
      </rPr>
      <t>消光网纹</t>
    </r>
  </si>
  <si>
    <t>SY26473</t>
  </si>
  <si>
    <t>96%涤纶4%氨纶</t>
  </si>
  <si>
    <r>
      <rPr>
        <sz val="10"/>
        <color theme="1"/>
        <rFont val="Calibri Light"/>
        <charset val="134"/>
      </rPr>
      <t xml:space="preserve">6300-1 </t>
    </r>
    <r>
      <rPr>
        <sz val="10"/>
        <color theme="1"/>
        <rFont val="宋体"/>
        <charset val="134"/>
      </rPr>
      <t>英伦斜</t>
    </r>
  </si>
  <si>
    <t>SY26474</t>
  </si>
  <si>
    <t>乐丽丝玲珑麻</t>
  </si>
  <si>
    <t>SY26475</t>
  </si>
  <si>
    <t>红本</t>
  </si>
  <si>
    <t>中亚皱</t>
  </si>
  <si>
    <t>SY26476</t>
  </si>
  <si>
    <t>缎面千层皱（玉米皱）</t>
  </si>
  <si>
    <t>SY26477</t>
  </si>
  <si>
    <t>弹力玲珑麻</t>
  </si>
  <si>
    <t>SY26478</t>
  </si>
  <si>
    <r>
      <rPr>
        <sz val="10"/>
        <color theme="1"/>
        <rFont val="Calibri Light"/>
        <charset val="134"/>
      </rPr>
      <t>6133</t>
    </r>
    <r>
      <rPr>
        <sz val="10"/>
        <color theme="1"/>
        <rFont val="宋体"/>
        <charset val="134"/>
      </rPr>
      <t>乐丽丝</t>
    </r>
    <r>
      <rPr>
        <sz val="10"/>
        <color theme="1"/>
        <rFont val="Calibri Light"/>
        <charset val="134"/>
      </rPr>
      <t>3/3</t>
    </r>
    <r>
      <rPr>
        <sz val="10"/>
        <color theme="1"/>
        <rFont val="宋体"/>
        <charset val="134"/>
      </rPr>
      <t>斜四面弹</t>
    </r>
  </si>
  <si>
    <t>SY26479</t>
  </si>
  <si>
    <t>亮丝雪纺</t>
  </si>
  <si>
    <t>SY26480</t>
  </si>
  <si>
    <t>白本</t>
  </si>
  <si>
    <t>珊瑚花</t>
  </si>
  <si>
    <t>SY26481</t>
  </si>
  <si>
    <r>
      <rPr>
        <sz val="10"/>
        <color theme="1"/>
        <rFont val="Calibri Light"/>
        <charset val="134"/>
      </rPr>
      <t>1891-</t>
    </r>
    <r>
      <rPr>
        <sz val="10"/>
        <color theme="1"/>
        <rFont val="宋体"/>
        <charset val="134"/>
      </rPr>
      <t>亮丝横条</t>
    </r>
  </si>
  <si>
    <t>SY26482</t>
  </si>
  <si>
    <r>
      <rPr>
        <sz val="10"/>
        <color theme="1"/>
        <rFont val="Calibri Light"/>
        <charset val="134"/>
      </rPr>
      <t>8030#</t>
    </r>
    <r>
      <rPr>
        <sz val="10"/>
        <color theme="1"/>
        <rFont val="宋体"/>
        <charset val="134"/>
      </rPr>
      <t>炒色工艺</t>
    </r>
  </si>
  <si>
    <t>SY26483</t>
  </si>
  <si>
    <t>辉隆纺织</t>
  </si>
  <si>
    <r>
      <rPr>
        <sz val="10"/>
        <color theme="1"/>
        <rFont val="Calibri Light"/>
        <charset val="134"/>
      </rPr>
      <t>8101#</t>
    </r>
    <r>
      <rPr>
        <sz val="10"/>
        <color theme="1"/>
        <rFont val="宋体"/>
        <charset val="134"/>
      </rPr>
      <t>炒色工艺</t>
    </r>
  </si>
  <si>
    <t>SY26484</t>
  </si>
  <si>
    <r>
      <rPr>
        <sz val="10"/>
        <color theme="1"/>
        <rFont val="Calibri Light"/>
        <charset val="134"/>
      </rPr>
      <t>8116#</t>
    </r>
    <r>
      <rPr>
        <sz val="10"/>
        <color theme="1"/>
        <rFont val="宋体"/>
        <charset val="134"/>
      </rPr>
      <t>炒色工艺</t>
    </r>
  </si>
  <si>
    <t>SY26485</t>
  </si>
  <si>
    <r>
      <rPr>
        <sz val="10"/>
        <color theme="1"/>
        <rFont val="Calibri Light"/>
        <charset val="134"/>
      </rPr>
      <t>8117#</t>
    </r>
    <r>
      <rPr>
        <sz val="10"/>
        <color theme="1"/>
        <rFont val="宋体"/>
        <charset val="134"/>
      </rPr>
      <t>炒色工艺</t>
    </r>
  </si>
  <si>
    <t>SY26486</t>
  </si>
  <si>
    <r>
      <rPr>
        <sz val="10"/>
        <color theme="1"/>
        <rFont val="Calibri Light"/>
        <charset val="134"/>
      </rPr>
      <t>8109#</t>
    </r>
    <r>
      <rPr>
        <sz val="10"/>
        <color theme="1"/>
        <rFont val="宋体"/>
        <charset val="134"/>
      </rPr>
      <t>炒色工艺</t>
    </r>
  </si>
  <si>
    <t>SY26487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</si>
  <si>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锦纶</t>
    </r>
  </si>
  <si>
    <t>55%BCI COTTON45%NYLON</t>
  </si>
  <si>
    <r>
      <rPr>
        <sz val="10"/>
        <color theme="1"/>
        <rFont val="Calibri Light"/>
        <charset val="134"/>
      </rPr>
      <t>6014#</t>
    </r>
    <r>
      <rPr>
        <sz val="10"/>
        <color theme="1"/>
        <rFont val="宋体"/>
        <charset val="134"/>
      </rPr>
      <t>绣花炒色</t>
    </r>
  </si>
  <si>
    <t>SY26488</t>
  </si>
  <si>
    <r>
      <rPr>
        <sz val="10"/>
        <color theme="1"/>
        <rFont val="Calibri Light"/>
        <charset val="134"/>
      </rPr>
      <t>7026#</t>
    </r>
    <r>
      <rPr>
        <sz val="10"/>
        <color theme="1"/>
        <rFont val="宋体"/>
        <charset val="134"/>
      </rPr>
      <t>植绒炒色</t>
    </r>
  </si>
  <si>
    <t>SY26489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</si>
  <si>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锦</t>
    </r>
  </si>
  <si>
    <r>
      <rPr>
        <sz val="10"/>
        <color theme="1"/>
        <rFont val="Calibri Light"/>
        <charset val="134"/>
      </rPr>
      <t>7020#</t>
    </r>
    <r>
      <rPr>
        <sz val="10"/>
        <color theme="1"/>
        <rFont val="宋体"/>
        <charset val="134"/>
      </rPr>
      <t>亮丝炒色</t>
    </r>
  </si>
  <si>
    <t>SY26490</t>
  </si>
  <si>
    <r>
      <rPr>
        <sz val="10"/>
        <color theme="1"/>
        <rFont val="Calibri Light"/>
        <charset val="134"/>
      </rPr>
      <t>6002#</t>
    </r>
    <r>
      <rPr>
        <sz val="10"/>
        <color theme="1"/>
        <rFont val="宋体"/>
        <charset val="134"/>
      </rPr>
      <t>绣花炒色</t>
    </r>
  </si>
  <si>
    <t>SY26491</t>
  </si>
  <si>
    <r>
      <rPr>
        <sz val="10"/>
        <color theme="1"/>
        <rFont val="Calibri Light"/>
        <charset val="134"/>
      </rPr>
      <t>9002%</t>
    </r>
    <r>
      <rPr>
        <sz val="10"/>
        <color theme="1"/>
        <rFont val="宋体"/>
        <charset val="134"/>
      </rPr>
      <t>炒色工艺</t>
    </r>
  </si>
  <si>
    <t>SY26492</t>
  </si>
  <si>
    <r>
      <rPr>
        <sz val="10"/>
        <color theme="1"/>
        <rFont val="Calibri Light"/>
        <charset val="134"/>
      </rPr>
      <t>8040#</t>
    </r>
    <r>
      <rPr>
        <sz val="10"/>
        <color theme="1"/>
        <rFont val="宋体"/>
        <charset val="134"/>
      </rPr>
      <t>炒色工艺</t>
    </r>
  </si>
  <si>
    <t>SY26493</t>
  </si>
  <si>
    <r>
      <rPr>
        <sz val="10"/>
        <color theme="1"/>
        <rFont val="Calibri Light"/>
        <charset val="134"/>
      </rPr>
      <t>7043#</t>
    </r>
    <r>
      <rPr>
        <sz val="10"/>
        <color theme="1"/>
        <rFont val="宋体"/>
        <charset val="134"/>
      </rPr>
      <t>提花扎染</t>
    </r>
  </si>
  <si>
    <t>SY26494</t>
  </si>
  <si>
    <r>
      <rPr>
        <sz val="10"/>
        <color theme="1"/>
        <rFont val="Calibri Light"/>
        <charset val="134"/>
      </rPr>
      <t>8145#</t>
    </r>
    <r>
      <rPr>
        <sz val="10"/>
        <color theme="1"/>
        <rFont val="宋体"/>
        <charset val="134"/>
      </rPr>
      <t>炒色工艺</t>
    </r>
  </si>
  <si>
    <t>SY26495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</si>
  <si>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涤纶</t>
    </r>
  </si>
  <si>
    <t>50%Recycle POLY50%R</t>
  </si>
  <si>
    <r>
      <rPr>
        <sz val="10"/>
        <color theme="1"/>
        <rFont val="Calibri Light"/>
        <charset val="134"/>
      </rPr>
      <t>8020#</t>
    </r>
    <r>
      <rPr>
        <sz val="10"/>
        <color theme="1"/>
        <rFont val="宋体"/>
        <charset val="134"/>
      </rPr>
      <t>炒色工艺</t>
    </r>
  </si>
  <si>
    <t>SY26496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</si>
  <si>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人棉</t>
    </r>
  </si>
  <si>
    <t>60%Recycle POLY40%R</t>
  </si>
  <si>
    <r>
      <rPr>
        <sz val="10"/>
        <color theme="1"/>
        <rFont val="Calibri Light"/>
        <charset val="134"/>
      </rPr>
      <t>7004#</t>
    </r>
    <r>
      <rPr>
        <sz val="10"/>
        <color theme="1"/>
        <rFont val="宋体"/>
        <charset val="134"/>
      </rPr>
      <t>炒色提花</t>
    </r>
  </si>
  <si>
    <t>SY26497</t>
  </si>
  <si>
    <t>920#</t>
  </si>
  <si>
    <t>SY26498</t>
  </si>
  <si>
    <t>美高纺织</t>
  </si>
  <si>
    <t>9810#</t>
  </si>
  <si>
    <t>SY26499</t>
  </si>
  <si>
    <t>9829#</t>
  </si>
  <si>
    <t>SY26500</t>
  </si>
  <si>
    <t>100%AC</t>
  </si>
  <si>
    <t>9817#</t>
  </si>
  <si>
    <t>SY26501</t>
  </si>
  <si>
    <t>9806#</t>
  </si>
  <si>
    <t>SY26502</t>
  </si>
  <si>
    <t>9798#</t>
  </si>
  <si>
    <t>SY26503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</si>
  <si>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锦纶</t>
    </r>
  </si>
  <si>
    <t>85%TENCEL15%NYLON</t>
  </si>
  <si>
    <t>9812#</t>
  </si>
  <si>
    <t>SY26504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</si>
  <si>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17%</t>
    </r>
    <r>
      <rPr>
        <sz val="10"/>
        <color theme="1"/>
        <rFont val="宋体"/>
        <charset val="134"/>
      </rPr>
      <t>锦纶</t>
    </r>
  </si>
  <si>
    <t>83%BCI COTTON17%NYLON</t>
  </si>
  <si>
    <t>9813#</t>
  </si>
  <si>
    <t>SY26505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</si>
  <si>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丝铜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涤纶</t>
    </r>
  </si>
  <si>
    <t>9797#</t>
  </si>
  <si>
    <t>SY26506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</si>
  <si>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锦纶</t>
    </r>
  </si>
  <si>
    <t>YW C-31</t>
  </si>
  <si>
    <t>SY26507</t>
  </si>
  <si>
    <t>永旺布业</t>
  </si>
  <si>
    <t>YW C-38</t>
  </si>
  <si>
    <t>SY26508</t>
  </si>
  <si>
    <t>YW L-279</t>
  </si>
  <si>
    <t>SY26509</t>
  </si>
  <si>
    <r>
      <rPr>
        <sz val="10"/>
        <color theme="1"/>
        <rFont val="Calibri Light"/>
        <charset val="134"/>
      </rPr>
      <t>67%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11%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>7%</t>
    </r>
    <r>
      <rPr>
        <sz val="10"/>
        <color theme="1"/>
        <rFont val="宋体"/>
        <charset val="134"/>
      </rPr>
      <t>涤纶</t>
    </r>
  </si>
  <si>
    <t>YW L180</t>
  </si>
  <si>
    <t>SY26510</t>
  </si>
  <si>
    <r>
      <rPr>
        <sz val="10"/>
        <color theme="1"/>
        <rFont val="Calibri Light"/>
        <charset val="134"/>
      </rPr>
      <t>63%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12%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亚麻</t>
    </r>
  </si>
  <si>
    <t>YW C-52</t>
  </si>
  <si>
    <t>SY26511</t>
  </si>
  <si>
    <t>YW 19633</t>
  </si>
  <si>
    <t>SY26512</t>
  </si>
  <si>
    <r>
      <rPr>
        <sz val="10"/>
        <color theme="1"/>
        <rFont val="Calibri Light"/>
        <charset val="134"/>
      </rPr>
      <t>59%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36%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阳离子</t>
    </r>
  </si>
  <si>
    <t>超柔双面金鎏缎</t>
  </si>
  <si>
    <t>SY26513</t>
  </si>
  <si>
    <t>醋酸金銮缎（薄款）</t>
  </si>
  <si>
    <t>SY26514</t>
  </si>
  <si>
    <t>SY26515</t>
  </si>
  <si>
    <t>SY26516</t>
  </si>
  <si>
    <t>阳离子仿牛仔</t>
  </si>
  <si>
    <t>SY26517</t>
  </si>
  <si>
    <r>
      <rPr>
        <sz val="10"/>
        <color theme="1"/>
        <rFont val="Calibri Light"/>
        <charset val="134"/>
      </rPr>
      <t>78%</t>
    </r>
    <r>
      <rPr>
        <sz val="10"/>
        <color theme="1"/>
        <rFont val="宋体"/>
        <charset val="134"/>
      </rPr>
      <t>阳离子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2%</t>
    </r>
    <r>
      <rPr>
        <sz val="10"/>
        <color theme="1"/>
        <rFont val="宋体"/>
        <charset val="134"/>
      </rPr>
      <t>氨纶</t>
    </r>
  </si>
  <si>
    <t>粘锦双包竹节麻</t>
  </si>
  <si>
    <t>SY26518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</si>
  <si>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亚麻</t>
    </r>
  </si>
  <si>
    <t>82%R14%NYLON4%LINEN</t>
  </si>
  <si>
    <r>
      <rPr>
        <sz val="10"/>
        <color theme="1"/>
        <rFont val="宋体"/>
        <charset val="134"/>
      </rPr>
      <t>天丝麻</t>
    </r>
    <r>
      <rPr>
        <sz val="10"/>
        <color theme="1"/>
        <rFont val="Calibri Light"/>
        <charset val="134"/>
      </rPr>
      <t>2/4</t>
    </r>
    <r>
      <rPr>
        <sz val="10"/>
        <color theme="1"/>
        <rFont val="宋体"/>
        <charset val="134"/>
      </rPr>
      <t>斜（高密）</t>
    </r>
  </si>
  <si>
    <t>SY26519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</si>
  <si>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亚麻</t>
    </r>
  </si>
  <si>
    <r>
      <rPr>
        <sz val="10"/>
        <color theme="1"/>
        <rFont val="Calibri Light"/>
        <charset val="134"/>
      </rPr>
      <t>75%R20%NYLON5%</t>
    </r>
    <r>
      <rPr>
        <sz val="10"/>
        <color theme="1"/>
        <rFont val="宋体"/>
        <charset val="134"/>
      </rPr>
      <t>亚麻</t>
    </r>
  </si>
  <si>
    <t>乐丽丝双斜</t>
  </si>
  <si>
    <t>SY26520</t>
  </si>
  <si>
    <t>仿牛仔竹节</t>
  </si>
  <si>
    <t>SY26521</t>
  </si>
  <si>
    <r>
      <rPr>
        <sz val="10"/>
        <color theme="1"/>
        <rFont val="Calibri Light"/>
        <charset val="134"/>
      </rPr>
      <t>52%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18%</t>
    </r>
    <r>
      <rPr>
        <sz val="10"/>
        <color theme="1"/>
        <rFont val="宋体"/>
        <charset val="134"/>
      </rPr>
      <t>锦纶</t>
    </r>
  </si>
  <si>
    <t>52%R30%Recycle POLY18%NYLON</t>
  </si>
  <si>
    <t>YW19717</t>
  </si>
  <si>
    <t>SY26522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</si>
  <si>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  33% </t>
    </r>
    <r>
      <rPr>
        <sz val="10"/>
        <color theme="1"/>
        <rFont val="宋体"/>
        <charset val="134"/>
      </rPr>
      <t>聚脂钎维</t>
    </r>
  </si>
  <si>
    <t>55%R  33%POLY</t>
  </si>
  <si>
    <r>
      <rPr>
        <sz val="10"/>
        <color theme="1"/>
        <rFont val="宋体"/>
        <charset val="134"/>
      </rPr>
      <t>永旺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布业</t>
    </r>
  </si>
  <si>
    <t>YW19712</t>
  </si>
  <si>
    <t>SY26523</t>
  </si>
  <si>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 80%</t>
    </r>
    <r>
      <rPr>
        <sz val="10"/>
        <color theme="1"/>
        <rFont val="宋体"/>
        <charset val="134"/>
      </rPr>
      <t>天丝</t>
    </r>
  </si>
  <si>
    <t>20%NYLON   80%T</t>
  </si>
  <si>
    <t>YW26524</t>
  </si>
  <si>
    <t>SY26524</t>
  </si>
  <si>
    <t>YW19715</t>
  </si>
  <si>
    <t>S50748N</t>
  </si>
  <si>
    <t>SY26525</t>
  </si>
  <si>
    <r>
      <rPr>
        <sz val="10"/>
        <color theme="1"/>
        <rFont val="Calibri Light"/>
        <charset val="134"/>
      </rPr>
      <t>93%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 7%</t>
    </r>
    <r>
      <rPr>
        <sz val="10"/>
        <color theme="1"/>
        <rFont val="宋体"/>
        <charset val="134"/>
      </rPr>
      <t>氨纶</t>
    </r>
  </si>
  <si>
    <t>93%T  7%SP</t>
  </si>
  <si>
    <t>泽洋纺织</t>
  </si>
  <si>
    <t>J8470</t>
  </si>
  <si>
    <t>SY26526</t>
  </si>
  <si>
    <t>金沙</t>
  </si>
  <si>
    <t>SY26527</t>
  </si>
  <si>
    <t>炜昌纺织</t>
  </si>
  <si>
    <t>W3378</t>
  </si>
  <si>
    <t>SY26528</t>
  </si>
  <si>
    <t>A-43-510</t>
  </si>
  <si>
    <t>SY26529</t>
  </si>
  <si>
    <t>97%P  3%SP</t>
  </si>
  <si>
    <t>合胜纺织</t>
  </si>
  <si>
    <t>A-67-421</t>
  </si>
  <si>
    <t>SY26530</t>
  </si>
  <si>
    <t>K12746</t>
  </si>
  <si>
    <t>SY26531</t>
  </si>
  <si>
    <t>龙盛布业</t>
  </si>
  <si>
    <t>H10-3*</t>
  </si>
  <si>
    <t>SY26532</t>
  </si>
  <si>
    <t>SY26533</t>
  </si>
  <si>
    <t>M8098#</t>
  </si>
  <si>
    <t>SY26534</t>
  </si>
  <si>
    <t>时艺</t>
  </si>
  <si>
    <t>2085#</t>
  </si>
  <si>
    <t>SY26535</t>
  </si>
  <si>
    <t>新丰盈</t>
  </si>
  <si>
    <t>M8062#</t>
  </si>
  <si>
    <t>SY26536</t>
  </si>
  <si>
    <t>M8063#</t>
  </si>
  <si>
    <t>SY26537</t>
  </si>
  <si>
    <t>SY26538</t>
  </si>
  <si>
    <t>JXL25385</t>
  </si>
  <si>
    <t>SY26539</t>
  </si>
  <si>
    <t>嘉兴隆</t>
  </si>
  <si>
    <t>M8043#</t>
  </si>
  <si>
    <t>SY26540</t>
  </si>
  <si>
    <t>天丝牙签条</t>
  </si>
  <si>
    <t>SY26541</t>
  </si>
  <si>
    <t>新林智</t>
  </si>
  <si>
    <r>
      <rPr>
        <sz val="10"/>
        <color theme="1"/>
        <rFont val="Calibri Light"/>
        <charset val="134"/>
      </rPr>
      <t xml:space="preserve">JXL25210M </t>
    </r>
    <r>
      <rPr>
        <sz val="10"/>
        <color theme="1"/>
        <rFont val="宋体"/>
        <charset val="134"/>
      </rPr>
      <t>（天丝棉）</t>
    </r>
  </si>
  <si>
    <t>SY26542</t>
  </si>
  <si>
    <r>
      <rPr>
        <sz val="10"/>
        <color theme="1"/>
        <rFont val="宋体"/>
        <charset val="134"/>
      </rPr>
      <t>嘉兴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隆</t>
    </r>
  </si>
  <si>
    <r>
      <rPr>
        <sz val="10"/>
        <color theme="1"/>
        <rFont val="Calibri Light"/>
        <charset val="134"/>
      </rPr>
      <t>F33675-59 60</t>
    </r>
    <r>
      <rPr>
        <sz val="10"/>
        <color theme="1"/>
        <rFont val="宋体"/>
        <charset val="134"/>
      </rPr>
      <t>支全棉</t>
    </r>
  </si>
  <si>
    <t>SY26543</t>
  </si>
  <si>
    <r>
      <rPr>
        <sz val="10"/>
        <color theme="1"/>
        <rFont val="Calibri Light"/>
        <charset val="134"/>
      </rPr>
      <t>JXL25400(</t>
    </r>
    <r>
      <rPr>
        <sz val="10"/>
        <color theme="1"/>
        <rFont val="宋体"/>
        <charset val="134"/>
      </rPr>
      <t>仿醋酸）</t>
    </r>
  </si>
  <si>
    <t>SY26544</t>
  </si>
  <si>
    <r>
      <rPr>
        <sz val="10"/>
        <color theme="1"/>
        <rFont val="Calibri Light"/>
        <charset val="134"/>
      </rPr>
      <t>JXL25390(</t>
    </r>
    <r>
      <rPr>
        <sz val="10"/>
        <color theme="1"/>
        <rFont val="宋体"/>
        <charset val="134"/>
      </rPr>
      <t>龙凤锻）</t>
    </r>
  </si>
  <si>
    <t>SY26545</t>
  </si>
  <si>
    <r>
      <rPr>
        <sz val="10"/>
        <color theme="1"/>
        <rFont val="Calibri Light"/>
        <charset val="134"/>
      </rPr>
      <t xml:space="preserve">F33676-59 </t>
    </r>
    <r>
      <rPr>
        <sz val="10"/>
        <color theme="1"/>
        <rFont val="宋体"/>
        <charset val="134"/>
      </rPr>
      <t>（支全棉）</t>
    </r>
  </si>
  <si>
    <t>SY26546</t>
  </si>
  <si>
    <t>SM3515</t>
  </si>
  <si>
    <t>SY26547</t>
  </si>
  <si>
    <t>川沙</t>
  </si>
  <si>
    <t>290-3#</t>
  </si>
  <si>
    <t>SY26548</t>
  </si>
  <si>
    <t>金年丰纺织</t>
  </si>
  <si>
    <r>
      <rPr>
        <sz val="10"/>
        <color theme="1"/>
        <rFont val="Calibri Light"/>
        <charset val="134"/>
      </rPr>
      <t xml:space="preserve">JXL6625196  </t>
    </r>
    <r>
      <rPr>
        <sz val="10"/>
        <color theme="1"/>
        <rFont val="宋体"/>
        <charset val="134"/>
      </rPr>
      <t>提花条</t>
    </r>
    <r>
      <rPr>
        <sz val="10"/>
        <color theme="1"/>
        <rFont val="Calibri Light"/>
        <charset val="134"/>
      </rPr>
      <t>0.5cm</t>
    </r>
  </si>
  <si>
    <t>SY26549</t>
  </si>
  <si>
    <t>290-1#</t>
  </si>
  <si>
    <t>SY26550</t>
  </si>
  <si>
    <t>SY26551</t>
  </si>
  <si>
    <t>291-6#</t>
  </si>
  <si>
    <t>SY26552</t>
  </si>
  <si>
    <t>GKK11550</t>
  </si>
  <si>
    <t>SY26553</t>
  </si>
  <si>
    <t>龙运布行</t>
  </si>
  <si>
    <t>SY26554</t>
  </si>
  <si>
    <t xml:space="preserve">100%T </t>
  </si>
  <si>
    <t>·</t>
  </si>
  <si>
    <t>顺丰纺织</t>
  </si>
  <si>
    <t>A333</t>
  </si>
  <si>
    <t>SY26555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</si>
  <si>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40%</t>
    </r>
    <r>
      <rPr>
        <sz val="10"/>
        <color theme="1"/>
        <rFont val="宋体"/>
        <charset val="134"/>
      </rPr>
      <t>锦</t>
    </r>
  </si>
  <si>
    <t>60%COTTON  40%NYLON</t>
  </si>
  <si>
    <t>SY26556</t>
  </si>
  <si>
    <t>鑫磊纺织</t>
  </si>
  <si>
    <t>小米字花</t>
  </si>
  <si>
    <t>SY26557</t>
  </si>
  <si>
    <t>万米蕾丝</t>
  </si>
  <si>
    <t>ZX6705#</t>
  </si>
  <si>
    <t>SY26558</t>
  </si>
  <si>
    <t>壮鑫纺织</t>
  </si>
  <si>
    <t>SY26559</t>
  </si>
  <si>
    <t>仿棉</t>
  </si>
  <si>
    <t>ZX 6910</t>
  </si>
  <si>
    <t>SY26560</t>
  </si>
  <si>
    <t>ZX  6910</t>
  </si>
  <si>
    <t>TC51109#</t>
  </si>
  <si>
    <t>SY26561</t>
  </si>
  <si>
    <t>强盛行</t>
  </si>
  <si>
    <r>
      <rPr>
        <sz val="10"/>
        <color theme="1"/>
        <rFont val="宋体"/>
        <charset val="134"/>
      </rPr>
      <t>春夏主推</t>
    </r>
    <r>
      <rPr>
        <sz val="10"/>
        <color theme="1"/>
        <rFont val="Calibri Light"/>
        <charset val="134"/>
      </rPr>
      <t xml:space="preserve">  X441-5#</t>
    </r>
  </si>
  <si>
    <t>SY26562</t>
  </si>
  <si>
    <t>铭信纺织</t>
  </si>
  <si>
    <t>GF738</t>
  </si>
  <si>
    <t>SY26563</t>
  </si>
  <si>
    <t>ZF2602</t>
  </si>
  <si>
    <t>SY26564</t>
  </si>
  <si>
    <t>L615B</t>
  </si>
  <si>
    <t>SY26565</t>
  </si>
  <si>
    <t>皇泰纺织</t>
  </si>
  <si>
    <r>
      <rPr>
        <sz val="10"/>
        <color theme="1"/>
        <rFont val="宋体"/>
        <charset val="134"/>
      </rPr>
      <t>皱皱格</t>
    </r>
    <r>
      <rPr>
        <sz val="10"/>
        <color theme="1"/>
        <rFont val="Calibri Light"/>
        <charset val="134"/>
      </rPr>
      <t>-112</t>
    </r>
  </si>
  <si>
    <t>SY26566</t>
  </si>
  <si>
    <t>美尚纺</t>
  </si>
  <si>
    <t>1082-6</t>
  </si>
  <si>
    <t>SY26567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</si>
  <si>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50%</t>
    </r>
    <r>
      <rPr>
        <sz val="10"/>
        <color theme="1"/>
        <rFont val="宋体"/>
        <charset val="134"/>
      </rPr>
      <t>天丝</t>
    </r>
  </si>
  <si>
    <t>50%R 50%T</t>
  </si>
  <si>
    <t>华生纺织</t>
  </si>
  <si>
    <t>PEX0551</t>
  </si>
  <si>
    <t>SY26568</t>
  </si>
  <si>
    <t>强盛纺织</t>
  </si>
  <si>
    <t>JH886</t>
  </si>
  <si>
    <t>SY26569</t>
  </si>
  <si>
    <t>T576</t>
  </si>
  <si>
    <t>SY26570</t>
  </si>
  <si>
    <t>恒合鑫纺织</t>
  </si>
  <si>
    <t>168-297</t>
  </si>
  <si>
    <t>SY26571</t>
  </si>
  <si>
    <t>森旺纺织</t>
  </si>
  <si>
    <t>HG550/525</t>
  </si>
  <si>
    <t>SY26572</t>
  </si>
  <si>
    <r>
      <rPr>
        <sz val="10"/>
        <color theme="1"/>
        <rFont val="Calibri Light"/>
        <charset val="134"/>
      </rPr>
      <t>83%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 14%</t>
    </r>
    <r>
      <rPr>
        <sz val="10"/>
        <color theme="1"/>
        <rFont val="宋体"/>
        <charset val="134"/>
      </rPr>
      <t>银线</t>
    </r>
    <r>
      <rPr>
        <sz val="10"/>
        <color theme="1"/>
        <rFont val="Calibri Light"/>
        <charset val="134"/>
      </rPr>
      <t xml:space="preserve">  3%</t>
    </r>
    <r>
      <rPr>
        <sz val="10"/>
        <color theme="1"/>
        <rFont val="宋体"/>
        <charset val="134"/>
      </rPr>
      <t>氨纶</t>
    </r>
  </si>
  <si>
    <t>U SHOW</t>
  </si>
  <si>
    <t>U103#537</t>
  </si>
  <si>
    <t>SY26573</t>
  </si>
  <si>
    <t>梦幻枝梅</t>
  </si>
  <si>
    <t>SY26574</t>
  </si>
  <si>
    <r>
      <rPr>
        <sz val="10"/>
        <color theme="1"/>
        <rFont val="Calibri Light"/>
        <charset val="134"/>
      </rPr>
      <t>95%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5%</t>
    </r>
    <r>
      <rPr>
        <sz val="10"/>
        <color theme="1"/>
        <rFont val="宋体"/>
        <charset val="134"/>
      </rPr>
      <t>氨纶</t>
    </r>
  </si>
  <si>
    <t>95%P  5%SP</t>
  </si>
  <si>
    <t>扎染玫瑰影</t>
  </si>
  <si>
    <t>SY26575</t>
  </si>
  <si>
    <t>95%涤纶  5%氨纶</t>
  </si>
  <si>
    <r>
      <rPr>
        <sz val="10"/>
        <color theme="1"/>
        <rFont val="Calibri Light"/>
        <charset val="134"/>
      </rPr>
      <t>40D</t>
    </r>
    <r>
      <rPr>
        <sz val="10"/>
        <color theme="1"/>
        <rFont val="宋体"/>
        <charset val="134"/>
      </rPr>
      <t>网布印花</t>
    </r>
  </si>
  <si>
    <t>SY26576</t>
  </si>
  <si>
    <t>花满楼</t>
  </si>
  <si>
    <t>S42474</t>
  </si>
  <si>
    <t>SY26577</t>
  </si>
  <si>
    <t>派宝</t>
  </si>
  <si>
    <t>ZX6871#</t>
  </si>
  <si>
    <t>SY26578</t>
  </si>
  <si>
    <r>
      <rPr>
        <sz val="10"/>
        <color theme="1"/>
        <rFont val="Calibri Light"/>
        <charset val="134"/>
      </rPr>
      <t>KSH1091</t>
    </r>
    <r>
      <rPr>
        <sz val="10"/>
        <color theme="1"/>
        <rFont val="宋体"/>
        <charset val="134"/>
      </rPr>
      <t>云朵棉</t>
    </r>
  </si>
  <si>
    <t>SY26579</t>
  </si>
  <si>
    <r>
      <rPr>
        <sz val="10"/>
        <color theme="1"/>
        <rFont val="Calibri Light"/>
        <charset val="134"/>
      </rPr>
      <t>W806</t>
    </r>
    <r>
      <rPr>
        <sz val="10"/>
        <color theme="1"/>
        <rFont val="宋体"/>
        <charset val="134"/>
      </rPr>
      <t>印花</t>
    </r>
  </si>
  <si>
    <t>SY26580</t>
  </si>
  <si>
    <t>D311A</t>
  </si>
  <si>
    <t>SY26581</t>
  </si>
  <si>
    <r>
      <rPr>
        <sz val="10"/>
        <color theme="1"/>
        <rFont val="Calibri Light"/>
        <charset val="134"/>
      </rPr>
      <t>W808</t>
    </r>
    <r>
      <rPr>
        <sz val="10"/>
        <color theme="1"/>
        <rFont val="宋体"/>
        <charset val="134"/>
      </rPr>
      <t>印黄花</t>
    </r>
  </si>
  <si>
    <t>SY26582</t>
  </si>
  <si>
    <r>
      <rPr>
        <sz val="10"/>
        <color theme="1"/>
        <rFont val="Calibri Light"/>
        <charset val="134"/>
      </rPr>
      <t>W036</t>
    </r>
    <r>
      <rPr>
        <sz val="10"/>
        <color theme="1"/>
        <rFont val="宋体"/>
        <charset val="134"/>
      </rPr>
      <t>竹节兰花</t>
    </r>
  </si>
  <si>
    <t>SY26583</t>
  </si>
  <si>
    <t>SY26584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</si>
  <si>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麻</t>
    </r>
  </si>
  <si>
    <t>SY26585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</si>
  <si>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24%</t>
    </r>
    <r>
      <rPr>
        <sz val="10"/>
        <color theme="1"/>
        <rFont val="宋体"/>
        <charset val="134"/>
      </rPr>
      <t>尼龙</t>
    </r>
  </si>
  <si>
    <t>76%Recycle POLY24%NYLON</t>
  </si>
  <si>
    <t>SY26586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</si>
  <si>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亚麻</t>
    </r>
  </si>
  <si>
    <t>97%R3%LINEN</t>
  </si>
  <si>
    <t>H626</t>
  </si>
  <si>
    <t>SY26587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</si>
  <si>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锦</t>
    </r>
  </si>
  <si>
    <t>乐禾</t>
  </si>
  <si>
    <t>H643</t>
  </si>
  <si>
    <t>SY26588</t>
  </si>
  <si>
    <r>
      <rPr>
        <sz val="10"/>
        <color theme="1"/>
        <rFont val="Calibri Light"/>
        <charset val="134"/>
      </rPr>
      <t>53%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锦纶</t>
    </r>
  </si>
  <si>
    <t>53%Recycle POLY40%V4%LINEN3%NYLON</t>
  </si>
  <si>
    <t>H542</t>
  </si>
  <si>
    <t>SY26589</t>
  </si>
  <si>
    <r>
      <rPr>
        <sz val="10"/>
        <color theme="1"/>
        <rFont val="Calibri Light"/>
        <charset val="134"/>
      </rPr>
      <t>53%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4%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>3%</t>
    </r>
    <r>
      <rPr>
        <sz val="10"/>
        <color theme="1"/>
        <rFont val="宋体"/>
        <charset val="134"/>
      </rPr>
      <t>锦纶</t>
    </r>
  </si>
  <si>
    <t>H655</t>
  </si>
  <si>
    <t>SY26590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</si>
  <si>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棉</t>
    </r>
  </si>
  <si>
    <t>H628</t>
  </si>
  <si>
    <t>SY26591</t>
  </si>
  <si>
    <r>
      <rPr>
        <sz val="10"/>
        <color theme="1"/>
        <rFont val="Calibri Light"/>
        <charset val="134"/>
      </rPr>
      <t>60%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5%</t>
    </r>
    <r>
      <rPr>
        <sz val="10"/>
        <color theme="1"/>
        <rFont val="宋体"/>
        <charset val="134"/>
      </rPr>
      <t>锦纶</t>
    </r>
  </si>
  <si>
    <t>H804</t>
  </si>
  <si>
    <t>SY26592</t>
  </si>
  <si>
    <t>荣亨盛</t>
  </si>
  <si>
    <t>1069-8</t>
  </si>
  <si>
    <t>SY26593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</si>
  <si>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尼龙</t>
    </r>
  </si>
  <si>
    <t>65%R35%NYLON</t>
  </si>
  <si>
    <t>佳桦</t>
  </si>
  <si>
    <t>H3266</t>
  </si>
  <si>
    <t>SY26594</t>
  </si>
  <si>
    <t>万利达</t>
  </si>
  <si>
    <t>ZL1044</t>
  </si>
  <si>
    <t>SY26595</t>
  </si>
  <si>
    <t>ZL1027</t>
  </si>
  <si>
    <t>SY26596</t>
  </si>
  <si>
    <t>ZL1046</t>
  </si>
  <si>
    <t>SY26597</t>
  </si>
  <si>
    <t>雪纺发泡</t>
  </si>
  <si>
    <t>SY26598</t>
  </si>
  <si>
    <t>泽盛纺织</t>
  </si>
  <si>
    <t>海浪条发泡</t>
  </si>
  <si>
    <t>SY26599</t>
  </si>
  <si>
    <r>
      <rPr>
        <sz val="10"/>
        <color theme="1"/>
        <rFont val="Calibri Light"/>
        <charset val="134"/>
      </rPr>
      <t>2026</t>
    </r>
    <r>
      <rPr>
        <sz val="10"/>
        <color theme="1"/>
        <rFont val="宋体"/>
        <charset val="134"/>
      </rPr>
      <t>春夏新款：如发棉印花</t>
    </r>
    <r>
      <rPr>
        <sz val="10"/>
        <color theme="1"/>
        <rFont val="Calibri Light"/>
        <charset val="134"/>
      </rPr>
      <t xml:space="preserve"> 63#</t>
    </r>
  </si>
  <si>
    <t>SY26600</t>
  </si>
  <si>
    <r>
      <rPr>
        <sz val="10"/>
        <color theme="1"/>
        <rFont val="Calibri Light"/>
        <charset val="134"/>
      </rPr>
      <t>68%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锦纶</t>
    </r>
  </si>
  <si>
    <t>68%V32%NYLON</t>
  </si>
  <si>
    <t>利和 时尚集合店</t>
  </si>
  <si>
    <t>C-9026</t>
  </si>
  <si>
    <t>SY26601</t>
  </si>
  <si>
    <t>比撒列纺织</t>
  </si>
  <si>
    <t>D214</t>
  </si>
  <si>
    <t>SY26602</t>
  </si>
  <si>
    <t>启业纺织</t>
  </si>
  <si>
    <t>春季新款TS1782</t>
  </si>
  <si>
    <t>SY26603</t>
  </si>
  <si>
    <r>
      <rPr>
        <sz val="10"/>
        <color theme="1"/>
        <rFont val="Calibri Light"/>
        <charset val="134"/>
      </rPr>
      <t>92%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8%</t>
    </r>
    <r>
      <rPr>
        <sz val="10"/>
        <color theme="1"/>
        <rFont val="宋体"/>
        <charset val="134"/>
      </rPr>
      <t>锦纶</t>
    </r>
  </si>
  <si>
    <t>92%BCI COTTON8%NYLON</t>
  </si>
  <si>
    <t>桐森纺织</t>
  </si>
  <si>
    <t>F630</t>
  </si>
  <si>
    <t>SY26604</t>
  </si>
  <si>
    <r>
      <rPr>
        <sz val="10"/>
        <color theme="1"/>
        <rFont val="宋体"/>
        <charset val="134"/>
      </rPr>
      <t>方方</t>
    </r>
    <r>
      <rPr>
        <sz val="10"/>
        <color theme="1"/>
        <rFont val="Calibri Light"/>
        <charset val="134"/>
      </rPr>
      <t>.</t>
    </r>
    <r>
      <rPr>
        <sz val="10"/>
        <color theme="1"/>
        <rFont val="宋体"/>
        <charset val="134"/>
      </rPr>
      <t>佳顺</t>
    </r>
  </si>
  <si>
    <t>T065005#</t>
  </si>
  <si>
    <t>SY26605</t>
  </si>
  <si>
    <t>TT62596</t>
  </si>
  <si>
    <t>SY26606</t>
  </si>
  <si>
    <t>龙达布行</t>
  </si>
  <si>
    <t>SY26607</t>
  </si>
  <si>
    <t>SY26608</t>
  </si>
  <si>
    <t>SY26609</t>
  </si>
  <si>
    <t>F1873</t>
  </si>
  <si>
    <t>SY26610</t>
  </si>
  <si>
    <t>D-28</t>
  </si>
  <si>
    <t>SY26611</t>
  </si>
  <si>
    <t>迪睿</t>
  </si>
  <si>
    <t>MK4259</t>
  </si>
  <si>
    <t>SY26612</t>
  </si>
  <si>
    <t>T02</t>
  </si>
  <si>
    <t>SY26613</t>
  </si>
  <si>
    <t>韩艺美蕾丝</t>
  </si>
  <si>
    <t>A4811b#</t>
  </si>
  <si>
    <t>SY26614</t>
  </si>
  <si>
    <t>崇兴</t>
  </si>
  <si>
    <t>K1526#</t>
  </si>
  <si>
    <t>SY26615</t>
  </si>
  <si>
    <t>CX-403</t>
  </si>
  <si>
    <t>SY26616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</si>
  <si>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>15</t>
    </r>
    <r>
      <rPr>
        <sz val="10"/>
        <color theme="1"/>
        <rFont val="宋体"/>
        <charset val="134"/>
      </rPr>
      <t>麻</t>
    </r>
  </si>
  <si>
    <t>佳俊</t>
  </si>
  <si>
    <t>CX-392</t>
  </si>
  <si>
    <t>SY26617</t>
  </si>
  <si>
    <t>45%棉40%涤纶15麻</t>
  </si>
  <si>
    <t>银菱格 A055</t>
  </si>
  <si>
    <t>SY26618</t>
  </si>
  <si>
    <t>来米格 A307</t>
  </si>
  <si>
    <t>SY26619</t>
  </si>
  <si>
    <t>W10-79</t>
  </si>
  <si>
    <t>SY26620</t>
  </si>
  <si>
    <t>SY26621</t>
  </si>
  <si>
    <t>万信纺织</t>
  </si>
  <si>
    <t>F40230</t>
  </si>
  <si>
    <t>SY26622</t>
  </si>
  <si>
    <t>8-4660</t>
  </si>
  <si>
    <t>SY26623</t>
  </si>
  <si>
    <t>2-2025</t>
  </si>
  <si>
    <t>SY26624</t>
  </si>
  <si>
    <t>3-2950</t>
  </si>
  <si>
    <t>SY26625</t>
  </si>
  <si>
    <t>K10</t>
  </si>
  <si>
    <t>SY26626</t>
  </si>
  <si>
    <t>东泰嘉泊</t>
  </si>
  <si>
    <t>S384</t>
  </si>
  <si>
    <t>SY26627</t>
  </si>
  <si>
    <t>金亿纺织</t>
  </si>
  <si>
    <t>TS1598</t>
  </si>
  <si>
    <t>SY26628</t>
  </si>
  <si>
    <r>
      <rPr>
        <sz val="10"/>
        <color theme="1"/>
        <rFont val="宋体"/>
        <charset val="134"/>
      </rPr>
      <t>桃花皱</t>
    </r>
    <r>
      <rPr>
        <sz val="10"/>
        <color theme="1"/>
        <rFont val="Calibri Light"/>
        <charset val="134"/>
      </rPr>
      <t xml:space="preserve"> MTZ-217</t>
    </r>
  </si>
  <si>
    <t>SY26629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</si>
  <si>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15%</t>
    </r>
    <r>
      <rPr>
        <sz val="10"/>
        <color theme="1"/>
        <rFont val="宋体"/>
        <charset val="134"/>
      </rPr>
      <t>人棉</t>
    </r>
  </si>
  <si>
    <t>85%NYLON15%R</t>
  </si>
  <si>
    <t>雪花发泡</t>
  </si>
  <si>
    <t>SY26630</t>
  </si>
  <si>
    <t>泽兴纺织</t>
  </si>
  <si>
    <t>SY26631</t>
  </si>
  <si>
    <t>香云麻数码 XY-19028</t>
  </si>
  <si>
    <t>SY26632</t>
  </si>
  <si>
    <r>
      <rPr>
        <sz val="10"/>
        <color theme="1"/>
        <rFont val="Calibri Light"/>
        <charset val="134"/>
      </rPr>
      <t>76%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亚麻</t>
    </r>
  </si>
  <si>
    <t>富丽绉活性直喷 V22KB0036</t>
  </si>
  <si>
    <t>SY26633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</si>
  <si>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人造丝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人棉</t>
    </r>
  </si>
  <si>
    <r>
      <rPr>
        <sz val="10"/>
        <color theme="1"/>
        <rFont val="Calibri Light"/>
        <charset val="134"/>
      </rPr>
      <t xml:space="preserve">SC32263 </t>
    </r>
    <r>
      <rPr>
        <sz val="10"/>
        <color theme="1"/>
        <rFont val="宋体"/>
        <charset val="134"/>
      </rPr>
      <t>印花</t>
    </r>
  </si>
  <si>
    <t>SY26634</t>
  </si>
  <si>
    <t>新荣</t>
  </si>
  <si>
    <r>
      <rPr>
        <sz val="10"/>
        <color theme="1"/>
        <rFont val="Calibri Light"/>
        <charset val="134"/>
      </rPr>
      <t xml:space="preserve">SX0109 </t>
    </r>
    <r>
      <rPr>
        <sz val="10"/>
        <color theme="1"/>
        <rFont val="宋体"/>
        <charset val="134"/>
      </rPr>
      <t>印花</t>
    </r>
  </si>
  <si>
    <t>SY26635</t>
  </si>
  <si>
    <r>
      <rPr>
        <sz val="10"/>
        <color theme="1"/>
        <rFont val="Calibri Light"/>
        <charset val="134"/>
      </rPr>
      <t xml:space="preserve">SC32451 </t>
    </r>
    <r>
      <rPr>
        <sz val="10"/>
        <color theme="1"/>
        <rFont val="宋体"/>
        <charset val="134"/>
      </rPr>
      <t>全棉印花</t>
    </r>
  </si>
  <si>
    <t>SY26636</t>
  </si>
  <si>
    <r>
      <rPr>
        <sz val="10"/>
        <color theme="1"/>
        <rFont val="Calibri Light"/>
        <charset val="134"/>
      </rPr>
      <t xml:space="preserve">SA03130 </t>
    </r>
    <r>
      <rPr>
        <sz val="10"/>
        <color theme="1"/>
        <rFont val="宋体"/>
        <charset val="134"/>
      </rPr>
      <t>印花</t>
    </r>
  </si>
  <si>
    <t>SY26637</t>
  </si>
  <si>
    <r>
      <rPr>
        <sz val="10"/>
        <color theme="1"/>
        <rFont val="Calibri Light"/>
        <charset val="134"/>
      </rPr>
      <t xml:space="preserve">SA03139 </t>
    </r>
    <r>
      <rPr>
        <sz val="10"/>
        <color theme="1"/>
        <rFont val="宋体"/>
        <charset val="134"/>
      </rPr>
      <t>印花</t>
    </r>
  </si>
  <si>
    <t>SY26638</t>
  </si>
  <si>
    <t>SC06195</t>
  </si>
  <si>
    <t>SY26639</t>
  </si>
  <si>
    <t>SY26640</t>
  </si>
  <si>
    <t>建达纺织</t>
  </si>
  <si>
    <r>
      <rPr>
        <sz val="10"/>
        <color theme="1"/>
        <rFont val="Calibri Light"/>
        <charset val="134"/>
      </rPr>
      <t xml:space="preserve">A2-963  </t>
    </r>
    <r>
      <rPr>
        <sz val="10"/>
        <color theme="1"/>
        <rFont val="宋体"/>
        <charset val="134"/>
      </rPr>
      <t>底布树皮</t>
    </r>
  </si>
  <si>
    <t>SY26641</t>
  </si>
  <si>
    <t>合盛纺织</t>
  </si>
  <si>
    <t>D216</t>
  </si>
  <si>
    <t>SY26642</t>
  </si>
  <si>
    <t>JTT32597</t>
  </si>
  <si>
    <t>SY26643</t>
  </si>
  <si>
    <t>G62604</t>
  </si>
  <si>
    <t>SY26644</t>
  </si>
  <si>
    <t>G94602</t>
  </si>
  <si>
    <t>SY26645</t>
  </si>
  <si>
    <r>
      <rPr>
        <sz val="10"/>
        <color theme="1"/>
        <rFont val="Calibri Light"/>
        <charset val="134"/>
      </rPr>
      <t xml:space="preserve">A2-1398  </t>
    </r>
    <r>
      <rPr>
        <sz val="10"/>
        <color theme="1"/>
        <rFont val="宋体"/>
        <charset val="134"/>
      </rPr>
      <t>芙蓉烫根</t>
    </r>
  </si>
  <si>
    <t>SY26646</t>
  </si>
  <si>
    <t>SY26647</t>
  </si>
  <si>
    <t>SY26648</t>
  </si>
  <si>
    <t>SY26649</t>
  </si>
  <si>
    <t>SY26650</t>
  </si>
  <si>
    <t>SY26651</t>
  </si>
  <si>
    <t>SY26652</t>
  </si>
  <si>
    <t>SY26653</t>
  </si>
  <si>
    <t>SY26654</t>
  </si>
  <si>
    <t>SY26655</t>
  </si>
  <si>
    <t>SY26656</t>
  </si>
  <si>
    <t>SY26657</t>
  </si>
  <si>
    <t>SY26658</t>
  </si>
  <si>
    <t>SY26659</t>
  </si>
  <si>
    <t>SY26660</t>
  </si>
  <si>
    <t>SY26661</t>
  </si>
  <si>
    <t>SY26662</t>
  </si>
  <si>
    <t>SY26663</t>
  </si>
  <si>
    <t>SY26664</t>
  </si>
  <si>
    <t>SY26665</t>
  </si>
  <si>
    <t>SY26666</t>
  </si>
  <si>
    <t>SY26667</t>
  </si>
  <si>
    <t>SY26668</t>
  </si>
  <si>
    <t>SY26669</t>
  </si>
  <si>
    <t>SY26670</t>
  </si>
  <si>
    <t>F3347</t>
  </si>
  <si>
    <t>SY26671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</si>
  <si>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 xml:space="preserve"> 5%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 30%</t>
    </r>
    <r>
      <rPr>
        <sz val="10"/>
        <color theme="1"/>
        <rFont val="宋体"/>
        <charset val="134"/>
      </rPr>
      <t>锦纶</t>
    </r>
  </si>
  <si>
    <t>65%Rayon 30%NYLON  5%Linen</t>
  </si>
  <si>
    <r>
      <rPr>
        <sz val="10"/>
        <color theme="1"/>
        <rFont val="Calibri Light"/>
        <charset val="134"/>
      </rPr>
      <t>FGL404(</t>
    </r>
    <r>
      <rPr>
        <sz val="10"/>
        <color theme="1"/>
        <rFont val="宋体"/>
        <charset val="134"/>
      </rPr>
      <t>丝语轻弹）</t>
    </r>
  </si>
  <si>
    <t>SY26672</t>
  </si>
  <si>
    <t>锐志布业</t>
  </si>
  <si>
    <t>F3417</t>
  </si>
  <si>
    <t>SY26673</t>
  </si>
  <si>
    <t>85%R  15%NYLON</t>
  </si>
  <si>
    <t>F3341</t>
  </si>
  <si>
    <t>SY26674</t>
  </si>
  <si>
    <t>65%粘胶 5%麻  30%锦纶</t>
  </si>
  <si>
    <r>
      <rPr>
        <sz val="10"/>
        <color theme="1"/>
        <rFont val="Calibri Light"/>
        <charset val="134"/>
      </rPr>
      <t>Y6188</t>
    </r>
    <r>
      <rPr>
        <sz val="10"/>
        <color theme="1"/>
        <rFont val="宋体"/>
        <charset val="134"/>
      </rPr>
      <t>活性</t>
    </r>
  </si>
  <si>
    <t>SY26675</t>
  </si>
  <si>
    <t>FGL404(丝语轻弹）</t>
  </si>
  <si>
    <t>SY26676</t>
  </si>
  <si>
    <t>J597-1</t>
  </si>
  <si>
    <t>SY26677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</si>
  <si>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人棉</t>
    </r>
  </si>
  <si>
    <t>55%COTTON 45%R</t>
  </si>
  <si>
    <t>MAB85AEA11</t>
  </si>
  <si>
    <t>SY26678</t>
  </si>
  <si>
    <t>满庭芳</t>
  </si>
  <si>
    <t>Y2255</t>
  </si>
  <si>
    <t>SY26679</t>
  </si>
  <si>
    <t>欧耶</t>
  </si>
  <si>
    <t>G94535</t>
  </si>
  <si>
    <t>SY26680</t>
  </si>
  <si>
    <t>G92536</t>
  </si>
  <si>
    <t>SY26681</t>
  </si>
  <si>
    <t>G71609</t>
  </si>
  <si>
    <t>SY26682</t>
  </si>
  <si>
    <t>AM-1063</t>
  </si>
  <si>
    <t>SY26683</t>
  </si>
  <si>
    <t>一叶</t>
  </si>
  <si>
    <t>B113#</t>
  </si>
  <si>
    <t>SY26684</t>
  </si>
  <si>
    <r>
      <rPr>
        <sz val="10"/>
        <color theme="1"/>
        <rFont val="Calibri Light"/>
        <charset val="134"/>
      </rPr>
      <t>85%T  15%</t>
    </r>
    <r>
      <rPr>
        <sz val="10"/>
        <color theme="1"/>
        <rFont val="宋体"/>
        <charset val="134"/>
      </rPr>
      <t>锦纶</t>
    </r>
  </si>
  <si>
    <t>85%T 15%NYLON</t>
  </si>
  <si>
    <t>华邦纺织</t>
  </si>
  <si>
    <t>SY26685</t>
  </si>
  <si>
    <t>佳旺恒丰</t>
  </si>
  <si>
    <t>JNFA65</t>
  </si>
  <si>
    <t>SY26686</t>
  </si>
  <si>
    <t>JNFA29</t>
  </si>
  <si>
    <t>SY26687</t>
  </si>
  <si>
    <t>Y5101</t>
  </si>
  <si>
    <t>SY26688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</si>
  <si>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3%</t>
    </r>
    <r>
      <rPr>
        <sz val="10"/>
        <color theme="1"/>
        <rFont val="宋体"/>
        <charset val="134"/>
      </rPr>
      <t>氨纶</t>
    </r>
  </si>
  <si>
    <t>97%POLY 3%SP</t>
  </si>
  <si>
    <t>博业纺织</t>
  </si>
  <si>
    <t>JNFA91#</t>
  </si>
  <si>
    <t>SY26689</t>
  </si>
  <si>
    <t>JNFA26</t>
  </si>
  <si>
    <t>SY26690</t>
  </si>
  <si>
    <t>JNFA33</t>
  </si>
  <si>
    <t>SY26691</t>
  </si>
  <si>
    <r>
      <rPr>
        <sz val="10"/>
        <color theme="1"/>
        <rFont val="Calibri Light"/>
        <charset val="134"/>
      </rPr>
      <t>70831#(</t>
    </r>
    <r>
      <rPr>
        <sz val="10"/>
        <color theme="1"/>
        <rFont val="宋体"/>
        <charset val="134"/>
      </rPr>
      <t>千鸟格）</t>
    </r>
  </si>
  <si>
    <t>SY26692</t>
  </si>
  <si>
    <t>能泰.国泰纺织</t>
  </si>
  <si>
    <t>JNFA10</t>
  </si>
  <si>
    <t>SY26693</t>
  </si>
  <si>
    <t>70830#</t>
  </si>
  <si>
    <t>SY26694</t>
  </si>
  <si>
    <t>70803#</t>
  </si>
  <si>
    <t>708030#</t>
  </si>
  <si>
    <t>19755#</t>
  </si>
  <si>
    <t>SY26695</t>
  </si>
  <si>
    <t>长兴纺织</t>
  </si>
  <si>
    <r>
      <rPr>
        <sz val="10"/>
        <color theme="1"/>
        <rFont val="Calibri Light"/>
        <charset val="134"/>
      </rPr>
      <t>70832#</t>
    </r>
    <r>
      <rPr>
        <sz val="10"/>
        <color theme="1"/>
        <rFont val="宋体"/>
        <charset val="134"/>
      </rPr>
      <t>（小方格）</t>
    </r>
  </si>
  <si>
    <t>SY26696</t>
  </si>
  <si>
    <t>70832#</t>
  </si>
  <si>
    <t>SY26697</t>
  </si>
  <si>
    <r>
      <rPr>
        <sz val="10"/>
        <color theme="1"/>
        <rFont val="Calibri Light"/>
        <charset val="134"/>
      </rPr>
      <t>75%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 25%</t>
    </r>
    <r>
      <rPr>
        <sz val="10"/>
        <color theme="1"/>
        <rFont val="宋体"/>
        <charset val="134"/>
      </rPr>
      <t>仿醋酸</t>
    </r>
  </si>
  <si>
    <r>
      <rPr>
        <sz val="10"/>
        <color theme="1"/>
        <rFont val="Calibri Light"/>
        <charset val="134"/>
      </rPr>
      <t>75%T  25%</t>
    </r>
    <r>
      <rPr>
        <sz val="10"/>
        <color theme="1"/>
        <rFont val="宋体"/>
        <charset val="134"/>
      </rPr>
      <t>仿醋酸</t>
    </r>
  </si>
  <si>
    <t>强泰</t>
  </si>
  <si>
    <t>F10199</t>
  </si>
  <si>
    <t>SY26698</t>
  </si>
  <si>
    <r>
      <rPr>
        <sz val="10"/>
        <color theme="1"/>
        <rFont val="Calibri Light"/>
        <charset val="134"/>
      </rPr>
      <t>82%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18%</t>
    </r>
    <r>
      <rPr>
        <sz val="10"/>
        <color theme="1"/>
        <rFont val="宋体"/>
        <charset val="134"/>
      </rPr>
      <t>锦纶</t>
    </r>
  </si>
  <si>
    <t>82%R  18%NYLON</t>
  </si>
  <si>
    <r>
      <rPr>
        <sz val="10"/>
        <color theme="1"/>
        <rFont val="Calibri Light"/>
        <charset val="134"/>
      </rPr>
      <t>k15-49(</t>
    </r>
    <r>
      <rPr>
        <sz val="10"/>
        <color theme="1"/>
        <rFont val="宋体"/>
        <charset val="134"/>
      </rPr>
      <t>栀叶花）</t>
    </r>
  </si>
  <si>
    <t>SY26699</t>
  </si>
  <si>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</t>
    </r>
    <r>
      <rPr>
        <sz val="10"/>
        <color theme="1"/>
        <rFont val="宋体"/>
        <charset val="134"/>
      </rPr>
      <t>人棉</t>
    </r>
  </si>
  <si>
    <t>尚翔布业</t>
  </si>
  <si>
    <r>
      <rPr>
        <sz val="10"/>
        <color theme="1"/>
        <rFont val="Calibri Light"/>
        <charset val="134"/>
      </rPr>
      <t>1824#</t>
    </r>
    <r>
      <rPr>
        <sz val="10"/>
        <color theme="1"/>
        <rFont val="宋体"/>
        <charset val="134"/>
      </rPr>
      <t>（剪花系列）</t>
    </r>
  </si>
  <si>
    <t>SY26700</t>
  </si>
  <si>
    <t>大发纺织</t>
  </si>
  <si>
    <t>9726-16</t>
  </si>
  <si>
    <t>SY26701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</si>
  <si>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聚酯纤维</t>
    </r>
    <r>
      <rPr>
        <sz val="10"/>
        <color theme="1"/>
        <rFont val="Calibri Light"/>
        <charset val="134"/>
      </rPr>
      <t xml:space="preserve"> 35%</t>
    </r>
    <r>
      <rPr>
        <sz val="10"/>
        <color theme="1"/>
        <rFont val="宋体"/>
        <charset val="134"/>
      </rPr>
      <t>人棉</t>
    </r>
  </si>
  <si>
    <t>65%POLY  35%R</t>
  </si>
  <si>
    <r>
      <rPr>
        <sz val="10"/>
        <color theme="1"/>
        <rFont val="Calibri Light"/>
        <charset val="134"/>
      </rPr>
      <t>21</t>
    </r>
    <r>
      <rPr>
        <sz val="10"/>
        <color theme="1"/>
        <rFont val="宋体"/>
        <charset val="134"/>
      </rPr>
      <t>支弹力竹节</t>
    </r>
  </si>
  <si>
    <t>SY26702</t>
  </si>
  <si>
    <t>90%人棉 10%氨纶</t>
  </si>
  <si>
    <t>90%R  10%SP</t>
  </si>
  <si>
    <t>2138#</t>
  </si>
  <si>
    <t>SY26703</t>
  </si>
  <si>
    <r>
      <rPr>
        <sz val="10"/>
        <color theme="1"/>
        <rFont val="Calibri Light"/>
        <charset val="134"/>
      </rPr>
      <t>37.9%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24.3%</t>
    </r>
    <r>
      <rPr>
        <sz val="10"/>
        <color theme="1"/>
        <rFont val="宋体"/>
        <charset val="134"/>
      </rPr>
      <t>粘纤</t>
    </r>
    <r>
      <rPr>
        <sz val="10"/>
        <color theme="1"/>
        <rFont val="Calibri Light"/>
        <charset val="134"/>
      </rPr>
      <t xml:space="preserve">  22.4%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9.5%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5.9%</t>
    </r>
    <r>
      <rPr>
        <sz val="10"/>
        <color theme="1"/>
        <rFont val="宋体"/>
        <charset val="134"/>
      </rPr>
      <t>亚麻</t>
    </r>
  </si>
  <si>
    <t>鼎轩纺织</t>
  </si>
  <si>
    <t>MS-1928#</t>
  </si>
  <si>
    <t>SY26704</t>
  </si>
  <si>
    <r>
      <rPr>
        <sz val="10"/>
        <color theme="1"/>
        <rFont val="Calibri Light"/>
        <charset val="134"/>
      </rPr>
      <t>21%</t>
    </r>
    <r>
      <rPr>
        <sz val="10"/>
        <color theme="1"/>
        <rFont val="宋体"/>
        <charset val="134"/>
      </rPr>
      <t>尼龙</t>
    </r>
    <r>
      <rPr>
        <sz val="10"/>
        <color theme="1"/>
        <rFont val="Calibri Light"/>
        <charset val="134"/>
      </rPr>
      <t xml:space="preserve"> 67%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12%</t>
    </r>
    <r>
      <rPr>
        <sz val="10"/>
        <color theme="1"/>
        <rFont val="宋体"/>
        <charset val="134"/>
      </rPr>
      <t>麻</t>
    </r>
  </si>
  <si>
    <t>21%NYLON  67%R 12%Linen</t>
  </si>
  <si>
    <t>2156#</t>
  </si>
  <si>
    <t>SY26705</t>
  </si>
  <si>
    <r>
      <rPr>
        <sz val="10"/>
        <color theme="1"/>
        <rFont val="Calibri Light"/>
        <charset val="134"/>
      </rPr>
      <t>79%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14.5%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6.5%</t>
    </r>
    <r>
      <rPr>
        <sz val="10"/>
        <color theme="1"/>
        <rFont val="宋体"/>
        <charset val="134"/>
      </rPr>
      <t>麻</t>
    </r>
  </si>
  <si>
    <t>79%T 14.5%P  6.5%Linen</t>
  </si>
  <si>
    <t>2141#</t>
  </si>
  <si>
    <t>SY26706</t>
  </si>
  <si>
    <r>
      <rPr>
        <sz val="10"/>
        <color theme="1"/>
        <rFont val="Calibri Light"/>
        <charset val="134"/>
      </rPr>
      <t>72%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  19%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9%</t>
    </r>
    <r>
      <rPr>
        <sz val="10"/>
        <color theme="1"/>
        <rFont val="宋体"/>
        <charset val="134"/>
      </rPr>
      <t>醋酸纤维</t>
    </r>
  </si>
  <si>
    <t xml:space="preserve">72%T  19%Lyocell </t>
  </si>
  <si>
    <t>F2714</t>
  </si>
  <si>
    <t>SY26707</t>
  </si>
  <si>
    <t>达成纺织</t>
  </si>
  <si>
    <t>F1989-1</t>
  </si>
  <si>
    <t>SY26708</t>
  </si>
  <si>
    <r>
      <rPr>
        <sz val="10"/>
        <color theme="1"/>
        <rFont val="Calibri Light"/>
        <charset val="134"/>
      </rPr>
      <t>97%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3%</t>
    </r>
    <r>
      <rPr>
        <sz val="10"/>
        <color theme="1"/>
        <rFont val="宋体"/>
        <charset val="134"/>
      </rPr>
      <t>氨纶</t>
    </r>
  </si>
  <si>
    <t>T2301</t>
  </si>
  <si>
    <t>SY26709</t>
  </si>
  <si>
    <r>
      <rPr>
        <sz val="10"/>
        <color theme="1"/>
        <rFont val="宋体"/>
        <charset val="134"/>
      </rPr>
      <t>花时尚</t>
    </r>
    <r>
      <rPr>
        <sz val="10"/>
        <color theme="1"/>
        <rFont val="Calibri Light"/>
        <charset val="134"/>
      </rPr>
      <t xml:space="preserve"> </t>
    </r>
    <r>
      <rPr>
        <sz val="10"/>
        <color theme="1"/>
        <rFont val="宋体"/>
        <charset val="134"/>
      </rPr>
      <t>依时尚纺织</t>
    </r>
  </si>
  <si>
    <r>
      <rPr>
        <sz val="10"/>
        <color theme="1"/>
        <rFont val="Calibri Light"/>
        <charset val="134"/>
      </rPr>
      <t>1421#</t>
    </r>
    <r>
      <rPr>
        <sz val="10"/>
        <color theme="1"/>
        <rFont val="宋体"/>
        <charset val="134"/>
      </rPr>
      <t>春夏新品</t>
    </r>
  </si>
  <si>
    <t>SY26710</t>
  </si>
  <si>
    <r>
      <rPr>
        <sz val="10"/>
        <color theme="1"/>
        <rFont val="Calibri Light"/>
        <charset val="134"/>
      </rPr>
      <t>1830#</t>
    </r>
    <r>
      <rPr>
        <sz val="10"/>
        <color theme="1"/>
        <rFont val="宋体"/>
        <charset val="134"/>
      </rPr>
      <t>剪花新品</t>
    </r>
  </si>
  <si>
    <t>SY26711</t>
  </si>
  <si>
    <t>S1012#</t>
  </si>
  <si>
    <t>SY26712</t>
  </si>
  <si>
    <t>A F24</t>
  </si>
  <si>
    <t>SY26713</t>
  </si>
  <si>
    <t>60%COTTON 40%P</t>
  </si>
  <si>
    <t>F2437</t>
  </si>
  <si>
    <t>SY26714</t>
  </si>
  <si>
    <t>97%涤纶  3%氨纶</t>
  </si>
  <si>
    <t>SY26715</t>
  </si>
  <si>
    <r>
      <rPr>
        <sz val="10"/>
        <color theme="1"/>
        <rFont val="Calibri Light"/>
        <charset val="134"/>
      </rPr>
      <t>HS</t>
    </r>
    <r>
      <rPr>
        <sz val="10"/>
        <color theme="1"/>
        <rFont val="宋体"/>
        <charset val="134"/>
      </rPr>
      <t>细斜仿超棉（</t>
    </r>
    <r>
      <rPr>
        <sz val="10"/>
        <color theme="1"/>
        <rFont val="Calibri Light"/>
        <charset val="134"/>
      </rPr>
      <t>T8</t>
    </r>
    <r>
      <rPr>
        <sz val="10"/>
        <color theme="1"/>
        <rFont val="宋体"/>
        <charset val="134"/>
      </rPr>
      <t>仿棉</t>
    </r>
    <r>
      <rPr>
        <sz val="10"/>
        <color theme="1"/>
        <rFont val="Calibri Light"/>
        <charset val="134"/>
      </rPr>
      <t>2/2</t>
    </r>
    <r>
      <rPr>
        <sz val="10"/>
        <color theme="1"/>
        <rFont val="宋体"/>
        <charset val="134"/>
      </rPr>
      <t>斜）</t>
    </r>
  </si>
  <si>
    <t>SY26716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</si>
  <si>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玉米高纤维</t>
    </r>
  </si>
  <si>
    <t>何氏布业</t>
  </si>
  <si>
    <t>2001A</t>
  </si>
  <si>
    <t>SY26717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</si>
  <si>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莱赛尔天丝</t>
    </r>
  </si>
  <si>
    <t>33869#</t>
  </si>
  <si>
    <t>SY26718</t>
  </si>
  <si>
    <t>100%Lyocell</t>
  </si>
  <si>
    <t>长正亨</t>
  </si>
  <si>
    <t>A5183-1#</t>
  </si>
  <si>
    <t>SY26719</t>
  </si>
  <si>
    <r>
      <rPr>
        <sz val="10"/>
        <color theme="1"/>
        <rFont val="Calibri Light"/>
        <charset val="134"/>
      </rPr>
      <t>2026</t>
    </r>
    <r>
      <rPr>
        <sz val="10"/>
        <color theme="1"/>
        <rFont val="宋体"/>
        <charset val="134"/>
      </rPr>
      <t>年春夏新韩版：琉璃条</t>
    </r>
    <r>
      <rPr>
        <sz val="10"/>
        <color theme="1"/>
        <rFont val="Calibri Light"/>
        <charset val="134"/>
      </rPr>
      <t>1067#</t>
    </r>
  </si>
  <si>
    <t>SY26720</t>
  </si>
  <si>
    <r>
      <rPr>
        <sz val="10"/>
        <color theme="1"/>
        <rFont val="Calibri Light"/>
        <charset val="134"/>
      </rPr>
      <t>50%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24%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26%</t>
    </r>
    <r>
      <rPr>
        <sz val="10"/>
        <color theme="1"/>
        <rFont val="宋体"/>
        <charset val="134"/>
      </rPr>
      <t>锦</t>
    </r>
  </si>
  <si>
    <t>50%Lyocell 24%P 26%NYLON</t>
  </si>
  <si>
    <t>利和时尚集合店</t>
  </si>
  <si>
    <r>
      <rPr>
        <sz val="10"/>
        <color theme="1"/>
        <rFont val="Calibri Light"/>
        <charset val="134"/>
      </rPr>
      <t>2626</t>
    </r>
    <r>
      <rPr>
        <sz val="10"/>
        <color theme="1"/>
        <rFont val="宋体"/>
        <charset val="134"/>
      </rPr>
      <t>年新款主推：星予棉</t>
    </r>
    <r>
      <rPr>
        <sz val="10"/>
        <color theme="1"/>
        <rFont val="Calibri Light"/>
        <charset val="134"/>
      </rPr>
      <t>146#</t>
    </r>
  </si>
  <si>
    <t>SY26721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</si>
  <si>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 20%</t>
    </r>
    <r>
      <rPr>
        <sz val="10"/>
        <color theme="1"/>
        <rFont val="宋体"/>
        <charset val="134"/>
      </rPr>
      <t>锦纶</t>
    </r>
  </si>
  <si>
    <t>80%R  20%NYLON</t>
  </si>
  <si>
    <r>
      <rPr>
        <sz val="10"/>
        <color theme="1"/>
        <rFont val="Calibri Light"/>
        <charset val="134"/>
      </rPr>
      <t>008#</t>
    </r>
    <r>
      <rPr>
        <sz val="10"/>
        <color theme="1"/>
        <rFont val="宋体"/>
        <charset val="134"/>
      </rPr>
      <t>洗水</t>
    </r>
  </si>
  <si>
    <t>SY26722</t>
  </si>
  <si>
    <t>新桦盛纺织</t>
  </si>
  <si>
    <t>D2011</t>
  </si>
  <si>
    <t>SY26723</t>
  </si>
  <si>
    <t>90%T  10%P</t>
  </si>
  <si>
    <t>广顺纺织</t>
  </si>
  <si>
    <t>2026年新品：大米条1364#</t>
  </si>
  <si>
    <t>SY26724</t>
  </si>
  <si>
    <r>
      <rPr>
        <sz val="10"/>
        <color theme="1"/>
        <rFont val="Calibri Light"/>
        <charset val="134"/>
      </rPr>
      <t>62%</t>
    </r>
    <r>
      <rPr>
        <sz val="10"/>
        <color theme="1"/>
        <rFont val="宋体"/>
        <charset val="134"/>
      </rPr>
      <t>莱赛尔</t>
    </r>
    <r>
      <rPr>
        <sz val="10"/>
        <color theme="1"/>
        <rFont val="Calibri Light"/>
        <charset val="134"/>
      </rPr>
      <t xml:space="preserve">  21%</t>
    </r>
    <r>
      <rPr>
        <sz val="10"/>
        <color theme="1"/>
        <rFont val="宋体"/>
        <charset val="134"/>
      </rPr>
      <t>锦</t>
    </r>
    <r>
      <rPr>
        <sz val="10"/>
        <color theme="1"/>
        <rFont val="Calibri Light"/>
        <charset val="134"/>
      </rPr>
      <t xml:space="preserve">  17%</t>
    </r>
  </si>
  <si>
    <t>62%Lyocell  21%NYLON 17%</t>
  </si>
  <si>
    <t>8187#</t>
  </si>
  <si>
    <t>SY26725</t>
  </si>
  <si>
    <r>
      <rPr>
        <sz val="10"/>
        <color theme="1"/>
        <rFont val="Calibri Light"/>
        <charset val="134"/>
      </rPr>
      <t>27%</t>
    </r>
    <r>
      <rPr>
        <sz val="10"/>
        <color theme="1"/>
        <rFont val="宋体"/>
        <charset val="134"/>
      </rPr>
      <t>人棉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麻天丝</t>
    </r>
    <r>
      <rPr>
        <sz val="10"/>
        <color theme="1"/>
        <rFont val="Calibri Light"/>
        <charset val="134"/>
      </rPr>
      <t xml:space="preserve"> 43%</t>
    </r>
    <r>
      <rPr>
        <sz val="10"/>
        <color theme="1"/>
        <rFont val="宋体"/>
        <charset val="134"/>
      </rPr>
      <t>天丝</t>
    </r>
  </si>
  <si>
    <t>宋亿时尚</t>
  </si>
  <si>
    <t>Y3846EAA3</t>
  </si>
  <si>
    <t>SY26726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</si>
  <si>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氨纶</t>
    </r>
  </si>
  <si>
    <t>90%T  10%SP</t>
  </si>
  <si>
    <t>RJ-6-31#</t>
  </si>
  <si>
    <t>SY26727</t>
  </si>
  <si>
    <t>1005P</t>
  </si>
  <si>
    <t>瑞峰全品类布料馆</t>
  </si>
  <si>
    <t>D764</t>
  </si>
  <si>
    <t>SY26728</t>
  </si>
  <si>
    <t>恒河鑫纺织</t>
  </si>
  <si>
    <r>
      <rPr>
        <sz val="10"/>
        <color theme="1"/>
        <rFont val="宋体"/>
        <charset val="134"/>
      </rPr>
      <t>香云麻数码</t>
    </r>
    <r>
      <rPr>
        <sz val="10"/>
        <color theme="1"/>
        <rFont val="Calibri Light"/>
        <charset val="134"/>
      </rPr>
      <t xml:space="preserve"> XY-19035</t>
    </r>
  </si>
  <si>
    <t>SY26729</t>
  </si>
  <si>
    <r>
      <rPr>
        <sz val="10"/>
        <color theme="1"/>
        <rFont val="Calibri Light"/>
        <charset val="134"/>
      </rPr>
      <t>14%</t>
    </r>
    <r>
      <rPr>
        <sz val="10"/>
        <color theme="1"/>
        <rFont val="宋体"/>
        <charset val="134"/>
      </rPr>
      <t>锦纶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亚麻</t>
    </r>
    <r>
      <rPr>
        <sz val="10"/>
        <color theme="1"/>
        <rFont val="Calibri Light"/>
        <charset val="134"/>
      </rPr>
      <t xml:space="preserve"> 76%</t>
    </r>
    <r>
      <rPr>
        <sz val="10"/>
        <color theme="1"/>
        <rFont val="宋体"/>
        <charset val="134"/>
      </rPr>
      <t>天丝</t>
    </r>
  </si>
  <si>
    <t>14%NYLON  10%Linen 76%T</t>
  </si>
  <si>
    <t>SY26730</t>
  </si>
  <si>
    <t>GK94613</t>
  </si>
  <si>
    <t>SY26731</t>
  </si>
  <si>
    <t>龙云布行</t>
  </si>
  <si>
    <r>
      <rPr>
        <sz val="10"/>
        <color theme="1"/>
        <rFont val="Calibri Light"/>
        <charset val="134"/>
      </rPr>
      <t>S</t>
    </r>
    <r>
      <rPr>
        <sz val="10"/>
        <color theme="1"/>
        <rFont val="宋体"/>
        <charset val="134"/>
      </rPr>
      <t>天丝活性优</t>
    </r>
    <r>
      <rPr>
        <sz val="10"/>
        <color theme="1"/>
        <rFont val="Calibri Light"/>
        <charset val="134"/>
      </rPr>
      <t>L LZ23N41174</t>
    </r>
  </si>
  <si>
    <t>SY26732</t>
  </si>
  <si>
    <r>
      <rPr>
        <sz val="10"/>
        <color theme="1"/>
        <rFont val="Calibri Light"/>
        <charset val="134"/>
      </rPr>
      <t>80%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20%</t>
    </r>
    <r>
      <rPr>
        <sz val="10"/>
        <color theme="1"/>
        <rFont val="宋体"/>
        <charset val="134"/>
      </rPr>
      <t>聚酯纤维</t>
    </r>
  </si>
  <si>
    <t>80%T  20%POLY</t>
  </si>
  <si>
    <t>H1867#</t>
  </si>
  <si>
    <t>SY26733</t>
  </si>
  <si>
    <t>100%涤论</t>
  </si>
  <si>
    <t>喜柚</t>
  </si>
  <si>
    <r>
      <rPr>
        <sz val="10"/>
        <color theme="1"/>
        <rFont val="Calibri Light"/>
        <charset val="134"/>
      </rPr>
      <t>A2-1299</t>
    </r>
    <r>
      <rPr>
        <sz val="10"/>
        <color theme="1"/>
        <rFont val="宋体"/>
        <charset val="134"/>
      </rPr>
      <t>（雪烫银）</t>
    </r>
  </si>
  <si>
    <t>SY26734</t>
  </si>
  <si>
    <t>和胜纺织</t>
  </si>
  <si>
    <r>
      <rPr>
        <sz val="10"/>
        <color theme="1"/>
        <rFont val="Calibri Light"/>
        <charset val="134"/>
      </rPr>
      <t>SC32379(</t>
    </r>
    <r>
      <rPr>
        <sz val="10"/>
        <color theme="1"/>
        <rFont val="宋体"/>
        <charset val="134"/>
      </rPr>
      <t>全棉印花）</t>
    </r>
  </si>
  <si>
    <t>SY26735</t>
  </si>
  <si>
    <t>YF3304</t>
  </si>
  <si>
    <t>SY26736</t>
  </si>
  <si>
    <t>宏骏纺织</t>
  </si>
  <si>
    <r>
      <rPr>
        <sz val="10"/>
        <color theme="1"/>
        <rFont val="Calibri Light"/>
        <charset val="134"/>
      </rPr>
      <t>SC32377(</t>
    </r>
    <r>
      <rPr>
        <sz val="10"/>
        <color theme="1"/>
        <rFont val="宋体"/>
        <charset val="134"/>
      </rPr>
      <t>印花）</t>
    </r>
  </si>
  <si>
    <t>SY26737</t>
  </si>
  <si>
    <t>H6214</t>
  </si>
  <si>
    <t>SY26738</t>
  </si>
  <si>
    <r>
      <rPr>
        <sz val="10"/>
        <color theme="1"/>
        <rFont val="宋体"/>
        <charset val="134"/>
      </rPr>
      <t>树皮绉活性优</t>
    </r>
    <r>
      <rPr>
        <sz val="10"/>
        <color theme="1"/>
        <rFont val="Calibri Light"/>
        <charset val="134"/>
      </rPr>
      <t xml:space="preserve">L </t>
    </r>
    <r>
      <rPr>
        <sz val="10"/>
        <color theme="1"/>
        <rFont val="宋体"/>
        <charset val="134"/>
      </rPr>
      <t>（LZ23N490071)</t>
    </r>
  </si>
  <si>
    <t>SY26739</t>
  </si>
  <si>
    <r>
      <rPr>
        <sz val="10"/>
        <color theme="1"/>
        <rFont val="宋体"/>
        <charset val="134"/>
      </rPr>
      <t>89%人棉</t>
    </r>
    <r>
      <rPr>
        <sz val="10"/>
        <color theme="1"/>
        <rFont val="Calibri Light"/>
        <charset val="134"/>
      </rPr>
      <t xml:space="preserve">  11%</t>
    </r>
    <r>
      <rPr>
        <sz val="10"/>
        <color theme="1"/>
        <rFont val="宋体"/>
        <charset val="134"/>
      </rPr>
      <t>锦纶</t>
    </r>
  </si>
  <si>
    <t>89%R  11%NYLON</t>
  </si>
  <si>
    <t>季季发布业</t>
  </si>
  <si>
    <t>4-1747</t>
  </si>
  <si>
    <t>SY26740</t>
  </si>
  <si>
    <t>Mx102-3EAA3</t>
  </si>
  <si>
    <t>SY26741</t>
  </si>
  <si>
    <r>
      <rPr>
        <sz val="10"/>
        <color theme="1"/>
        <rFont val="Calibri Light"/>
        <charset val="134"/>
      </rPr>
      <t>90%</t>
    </r>
    <r>
      <rPr>
        <sz val="10"/>
        <color theme="1"/>
        <rFont val="宋体"/>
        <charset val="134"/>
      </rPr>
      <t>天丝</t>
    </r>
    <r>
      <rPr>
        <sz val="10"/>
        <color theme="1"/>
        <rFont val="Calibri Light"/>
        <charset val="134"/>
      </rPr>
      <t xml:space="preserve">  10%</t>
    </r>
    <r>
      <rPr>
        <sz val="10"/>
        <color theme="1"/>
        <rFont val="宋体"/>
        <charset val="134"/>
      </rPr>
      <t>氨纶</t>
    </r>
  </si>
  <si>
    <t>H1870#</t>
  </si>
  <si>
    <t>SY26742</t>
  </si>
  <si>
    <t>D213</t>
  </si>
  <si>
    <t>SY26743</t>
  </si>
  <si>
    <t>Y3755AEA11</t>
  </si>
  <si>
    <t>SY26744</t>
  </si>
  <si>
    <t>F20376</t>
  </si>
  <si>
    <t>SY26745</t>
  </si>
  <si>
    <t>W1028</t>
  </si>
  <si>
    <t>SY26746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</si>
  <si>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锦纶</t>
    </r>
  </si>
  <si>
    <t>55%COTTON  45%NYLON</t>
  </si>
  <si>
    <t>SY26747</t>
  </si>
  <si>
    <r>
      <rPr>
        <sz val="10"/>
        <color theme="1"/>
        <rFont val="Calibri Light"/>
        <charset val="134"/>
      </rPr>
      <t>32%</t>
    </r>
    <r>
      <rPr>
        <sz val="10"/>
        <color theme="1"/>
        <rFont val="宋体"/>
        <charset val="134"/>
      </rPr>
      <t>莫代尔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人丝</t>
    </r>
    <r>
      <rPr>
        <sz val="10"/>
        <color theme="1"/>
        <rFont val="Calibri Light"/>
        <charset val="134"/>
      </rPr>
      <t xml:space="preserve"> 23%</t>
    </r>
    <r>
      <rPr>
        <sz val="10"/>
        <color theme="1"/>
        <rFont val="宋体"/>
        <charset val="134"/>
      </rPr>
      <t>醋酸</t>
    </r>
    <r>
      <rPr>
        <sz val="10"/>
        <color theme="1"/>
        <rFont val="Calibri Light"/>
        <charset val="134"/>
      </rPr>
      <t xml:space="preserve"> 15%</t>
    </r>
    <r>
      <rPr>
        <sz val="10"/>
        <color theme="1"/>
        <rFont val="宋体"/>
        <charset val="134"/>
      </rPr>
      <t>涤纶</t>
    </r>
  </si>
  <si>
    <t>优米纺织</t>
  </si>
  <si>
    <t>YAA001EAA3</t>
  </si>
  <si>
    <t>SY26748</t>
  </si>
  <si>
    <t>90%天丝  10%氨纶</t>
  </si>
  <si>
    <t>A1029</t>
  </si>
  <si>
    <t>SY26749</t>
  </si>
  <si>
    <t>华达成纺织</t>
  </si>
  <si>
    <t>A1030</t>
  </si>
  <si>
    <t>SY26750</t>
  </si>
  <si>
    <t>XH2#FG  2510530-1/-3</t>
  </si>
  <si>
    <t>SY26751</t>
  </si>
  <si>
    <r>
      <rPr>
        <sz val="10"/>
        <color theme="1"/>
        <rFont val="宋体"/>
        <charset val="134"/>
      </rPr>
      <t>春季新款</t>
    </r>
    <r>
      <rPr>
        <sz val="10"/>
        <color theme="1"/>
        <rFont val="Calibri Light"/>
        <charset val="134"/>
      </rPr>
      <t>TTS1768</t>
    </r>
  </si>
  <si>
    <t>SY26752</t>
  </si>
  <si>
    <t>85%T   15%P</t>
  </si>
  <si>
    <r>
      <rPr>
        <sz val="10"/>
        <color theme="1"/>
        <rFont val="宋体"/>
        <charset val="134"/>
      </rPr>
      <t>春夏主推</t>
    </r>
    <r>
      <rPr>
        <sz val="10"/>
        <color theme="1"/>
        <rFont val="Calibri Light"/>
        <charset val="134"/>
      </rPr>
      <t xml:space="preserve">  X398-5#</t>
    </r>
  </si>
  <si>
    <t>SY26753</t>
  </si>
  <si>
    <t>W058</t>
  </si>
  <si>
    <t>SY26754</t>
  </si>
  <si>
    <t>大志纺织</t>
  </si>
  <si>
    <r>
      <rPr>
        <sz val="10"/>
        <color theme="1"/>
        <rFont val="Calibri Light"/>
        <charset val="134"/>
      </rPr>
      <t>A6160-1</t>
    </r>
    <r>
      <rPr>
        <i/>
        <sz val="10"/>
        <color theme="1"/>
        <rFont val="Calibri Light"/>
        <charset val="134"/>
      </rPr>
      <t>#</t>
    </r>
  </si>
  <si>
    <t>SY26755</t>
  </si>
  <si>
    <r>
      <rPr>
        <sz val="10"/>
        <color theme="1"/>
        <rFont val="Calibri Light"/>
        <charset val="134"/>
      </rPr>
      <t>55%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45%</t>
    </r>
    <r>
      <rPr>
        <sz val="10"/>
        <color theme="1"/>
        <rFont val="宋体"/>
        <charset val="134"/>
      </rPr>
      <t>锦纶</t>
    </r>
  </si>
  <si>
    <t>55%P  45%NYLON</t>
  </si>
  <si>
    <t>A8326#</t>
  </si>
  <si>
    <t>SY26756</t>
  </si>
  <si>
    <t>A5200#</t>
  </si>
  <si>
    <t>SY26757</t>
  </si>
  <si>
    <t>SQ-3299</t>
  </si>
  <si>
    <t>SY26758</t>
  </si>
  <si>
    <t>SQ-3316</t>
  </si>
  <si>
    <t>SY26759</t>
  </si>
  <si>
    <t>涤纶半光</t>
  </si>
  <si>
    <t>SY26760</t>
  </si>
  <si>
    <r>
      <rPr>
        <sz val="10"/>
        <color theme="1"/>
        <rFont val="Calibri Light"/>
        <charset val="134"/>
      </rPr>
      <t>89%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11%</t>
    </r>
    <r>
      <rPr>
        <sz val="10"/>
        <color theme="1"/>
        <rFont val="宋体"/>
        <charset val="134"/>
      </rPr>
      <t>氨纶</t>
    </r>
  </si>
  <si>
    <t>89%P  11%SP</t>
  </si>
  <si>
    <t>光胜纺织</t>
  </si>
  <si>
    <t>SY26761</t>
  </si>
  <si>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 xml:space="preserve"> 70%</t>
    </r>
    <r>
      <rPr>
        <sz val="10"/>
        <color theme="1"/>
        <rFont val="宋体"/>
        <charset val="134"/>
      </rPr>
      <t>棉</t>
    </r>
  </si>
  <si>
    <t>30%Linen  70%COTTON</t>
  </si>
  <si>
    <t>SY26762</t>
  </si>
  <si>
    <r>
      <rPr>
        <sz val="10"/>
        <color theme="1"/>
        <rFont val="Calibri Light"/>
        <charset val="134"/>
      </rPr>
      <t>1018#21S</t>
    </r>
    <r>
      <rPr>
        <sz val="10"/>
        <color theme="1"/>
        <rFont val="宋体"/>
        <charset val="134"/>
      </rPr>
      <t>爽棉平纹</t>
    </r>
  </si>
  <si>
    <t>SY26763</t>
  </si>
  <si>
    <t>沣泰布行</t>
  </si>
  <si>
    <t>乐丽斯双斜</t>
  </si>
  <si>
    <t>SY26764</t>
  </si>
  <si>
    <t>95%天丝 5%氨纶</t>
  </si>
  <si>
    <t>95%T  5%SP</t>
  </si>
  <si>
    <t>SY26765</t>
  </si>
  <si>
    <t>SY26766</t>
  </si>
  <si>
    <t>A2-1400</t>
  </si>
  <si>
    <t>SY26767</t>
  </si>
  <si>
    <t>SY26768</t>
  </si>
  <si>
    <t>30%亚麻 70%粘胶</t>
  </si>
  <si>
    <t>30%Linen 70%Rayon</t>
  </si>
  <si>
    <t>FS-428#</t>
  </si>
  <si>
    <t>SY26769</t>
  </si>
  <si>
    <t>富盛</t>
  </si>
  <si>
    <t>SY26770</t>
  </si>
  <si>
    <r>
      <rPr>
        <sz val="10"/>
        <color theme="1"/>
        <rFont val="Calibri Light"/>
        <charset val="134"/>
      </rPr>
      <t>65%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35%</t>
    </r>
    <r>
      <rPr>
        <sz val="10"/>
        <color theme="1"/>
        <rFont val="宋体"/>
        <charset val="134"/>
      </rPr>
      <t>麻</t>
    </r>
  </si>
  <si>
    <t>65%BCI COTTON35%LINEN</t>
  </si>
  <si>
    <t>LX-314</t>
  </si>
  <si>
    <t>SY26771</t>
  </si>
  <si>
    <t>C216A</t>
  </si>
  <si>
    <t>SY26772</t>
  </si>
  <si>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45%</t>
    </r>
    <r>
      <rPr>
        <sz val="10"/>
        <color theme="1"/>
        <rFont val="宋体"/>
        <charset val="134"/>
      </rPr>
      <t>麻</t>
    </r>
    <r>
      <rPr>
        <sz val="10"/>
        <color theme="1"/>
        <rFont val="Calibri Light"/>
        <charset val="134"/>
      </rPr>
      <t>10%</t>
    </r>
    <r>
      <rPr>
        <sz val="10"/>
        <color theme="1"/>
        <rFont val="宋体"/>
        <charset val="134"/>
      </rPr>
      <t>涤纶</t>
    </r>
  </si>
  <si>
    <t>45%BCI COTTON45%LINEN10%POLY</t>
  </si>
  <si>
    <t>8812-vv</t>
  </si>
  <si>
    <t>SY26773</t>
  </si>
  <si>
    <t>Y3756AAEA11</t>
  </si>
  <si>
    <t>SY26774</t>
  </si>
  <si>
    <t>A-686</t>
  </si>
  <si>
    <t>SY26775</t>
  </si>
  <si>
    <t>S3772</t>
  </si>
  <si>
    <t>SY26776</t>
  </si>
  <si>
    <t>CX-266</t>
  </si>
  <si>
    <t>SY26777</t>
  </si>
  <si>
    <r>
      <rPr>
        <sz val="10"/>
        <color theme="1"/>
        <rFont val="Calibri Light"/>
        <charset val="134"/>
      </rPr>
      <t>A8192(</t>
    </r>
    <r>
      <rPr>
        <sz val="10"/>
        <color theme="1"/>
        <rFont val="宋体"/>
        <charset val="134"/>
      </rPr>
      <t>超厚冬款）</t>
    </r>
  </si>
  <si>
    <t>SY26778</t>
  </si>
  <si>
    <t>龙兴牛仔纺织</t>
  </si>
  <si>
    <t>A8288</t>
  </si>
  <si>
    <t>SY26779</t>
  </si>
  <si>
    <t>9571#</t>
  </si>
  <si>
    <t>SY26780</t>
  </si>
  <si>
    <t>昌发布行</t>
  </si>
  <si>
    <t>CYJ606</t>
  </si>
  <si>
    <t>SY26781</t>
  </si>
  <si>
    <t>创域牛仔</t>
  </si>
  <si>
    <r>
      <rPr>
        <sz val="10"/>
        <color theme="1"/>
        <rFont val="宋体"/>
        <charset val="134"/>
      </rPr>
      <t>无弹牛仔</t>
    </r>
    <r>
      <rPr>
        <sz val="10"/>
        <color theme="1"/>
        <rFont val="Calibri Light"/>
        <charset val="134"/>
      </rPr>
      <t xml:space="preserve"> A-1376#</t>
    </r>
  </si>
  <si>
    <t>SY26782</t>
  </si>
  <si>
    <t>华溢纺织</t>
  </si>
  <si>
    <t>CY52323</t>
  </si>
  <si>
    <t>SY26783</t>
  </si>
  <si>
    <r>
      <rPr>
        <sz val="10"/>
        <color theme="1"/>
        <rFont val="Calibri Light"/>
        <charset val="134"/>
      </rPr>
      <t>770AA</t>
    </r>
    <r>
      <rPr>
        <sz val="10"/>
        <color theme="1"/>
        <rFont val="宋体"/>
        <charset val="134"/>
      </rPr>
      <t>兰胚</t>
    </r>
  </si>
  <si>
    <t>SY26784</t>
  </si>
  <si>
    <t>德利牛仔</t>
  </si>
  <si>
    <t>F-7797</t>
  </si>
  <si>
    <t>SY26785</t>
  </si>
  <si>
    <r>
      <rPr>
        <sz val="10"/>
        <color theme="1"/>
        <rFont val="Calibri Light"/>
        <charset val="134"/>
      </rPr>
      <t>58%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30%</t>
    </r>
    <r>
      <rPr>
        <sz val="10"/>
        <color theme="1"/>
        <rFont val="宋体"/>
        <charset val="134"/>
      </rPr>
      <t>再生纤维</t>
    </r>
    <r>
      <rPr>
        <sz val="10"/>
        <color theme="1"/>
        <rFont val="Calibri Light"/>
        <charset val="134"/>
      </rPr>
      <t xml:space="preserve">  12%</t>
    </r>
    <r>
      <rPr>
        <sz val="10"/>
        <color theme="1"/>
        <rFont val="宋体"/>
        <charset val="134"/>
      </rPr>
      <t>素纤维</t>
    </r>
  </si>
  <si>
    <t>佳锋牛仔</t>
  </si>
  <si>
    <t>F-7717</t>
  </si>
  <si>
    <t>SY26786</t>
  </si>
  <si>
    <t>80%COTTON  20%P</t>
  </si>
  <si>
    <t>F-85201</t>
  </si>
  <si>
    <t>SY26787</t>
  </si>
  <si>
    <r>
      <rPr>
        <sz val="10"/>
        <color theme="1"/>
        <rFont val="Calibri Light"/>
        <charset val="134"/>
      </rPr>
      <t>85%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 xml:space="preserve"> 10%</t>
    </r>
    <r>
      <rPr>
        <sz val="10"/>
        <color theme="1"/>
        <rFont val="宋体"/>
        <charset val="134"/>
      </rPr>
      <t>涤纶</t>
    </r>
    <r>
      <rPr>
        <sz val="10"/>
        <color theme="1"/>
        <rFont val="Calibri Light"/>
        <charset val="134"/>
      </rPr>
      <t xml:space="preserve">  5%</t>
    </r>
    <r>
      <rPr>
        <sz val="10"/>
        <color theme="1"/>
        <rFont val="宋体"/>
        <charset val="134"/>
      </rPr>
      <t>粘纤</t>
    </r>
  </si>
  <si>
    <t>85%COTTON 10%P 5%Lyocell</t>
  </si>
  <si>
    <t>140-04#</t>
  </si>
  <si>
    <t>SY26788</t>
  </si>
  <si>
    <t>恒鑫牛仔</t>
  </si>
  <si>
    <r>
      <rPr>
        <sz val="10"/>
        <color theme="1"/>
        <rFont val="宋体"/>
        <charset val="134"/>
      </rPr>
      <t>麻棉活性直喷</t>
    </r>
    <r>
      <rPr>
        <sz val="10"/>
        <color theme="1"/>
        <rFont val="Calibri Light"/>
        <charset val="134"/>
      </rPr>
      <t xml:space="preserve"> AH149</t>
    </r>
  </si>
  <si>
    <t>SY26789</t>
  </si>
  <si>
    <t>100%麻棉</t>
  </si>
  <si>
    <r>
      <rPr>
        <sz val="10"/>
        <color theme="1"/>
        <rFont val="宋体"/>
        <charset val="134"/>
      </rPr>
      <t>麻棉活直喷</t>
    </r>
    <r>
      <rPr>
        <sz val="10"/>
        <color theme="1"/>
        <rFont val="Calibri Light"/>
        <charset val="134"/>
      </rPr>
      <t xml:space="preserve"> AH138</t>
    </r>
  </si>
  <si>
    <t>SY26790</t>
  </si>
  <si>
    <r>
      <rPr>
        <sz val="10"/>
        <color theme="1"/>
        <rFont val="Calibri Light"/>
        <charset val="134"/>
      </rPr>
      <t>100%</t>
    </r>
    <r>
      <rPr>
        <sz val="10"/>
        <color theme="1"/>
        <rFont val="宋体"/>
        <charset val="134"/>
      </rPr>
      <t>麻棉</t>
    </r>
  </si>
  <si>
    <t>A148</t>
  </si>
  <si>
    <t>SY26791</t>
  </si>
  <si>
    <t>宏俊纺织</t>
  </si>
  <si>
    <t>5572#</t>
  </si>
  <si>
    <t>SY26792</t>
  </si>
  <si>
    <t>宏雅纺织</t>
  </si>
  <si>
    <t>03704</t>
  </si>
  <si>
    <t>SY26793</t>
  </si>
  <si>
    <t>万达骏</t>
  </si>
  <si>
    <t>SY26794</t>
  </si>
  <si>
    <t>洪盛纺织</t>
  </si>
  <si>
    <t>5278#</t>
  </si>
  <si>
    <t>SY26795</t>
  </si>
  <si>
    <t>5715#</t>
  </si>
  <si>
    <t>SY26796</t>
  </si>
  <si>
    <t>5585#</t>
  </si>
  <si>
    <t>SY26797</t>
  </si>
  <si>
    <t>0021#</t>
  </si>
  <si>
    <t>SY26798</t>
  </si>
  <si>
    <t>5660#</t>
  </si>
  <si>
    <t>SY26799</t>
  </si>
  <si>
    <t>SY26800</t>
  </si>
  <si>
    <t>粤旺纺织</t>
  </si>
  <si>
    <t>5432#</t>
  </si>
  <si>
    <t>SY26801</t>
  </si>
  <si>
    <r>
      <rPr>
        <sz val="10"/>
        <color theme="1"/>
        <rFont val="Calibri Light"/>
        <charset val="134"/>
      </rPr>
      <t>1110</t>
    </r>
    <r>
      <rPr>
        <sz val="10"/>
        <color theme="1"/>
        <rFont val="宋体"/>
        <charset val="134"/>
      </rPr>
      <t>全工艺</t>
    </r>
    <r>
      <rPr>
        <sz val="10"/>
        <color theme="1"/>
        <rFont val="Calibri Light"/>
        <charset val="134"/>
      </rPr>
      <t>-</t>
    </r>
    <r>
      <rPr>
        <sz val="10"/>
        <color theme="1"/>
        <rFont val="宋体"/>
        <charset val="134"/>
      </rPr>
      <t>玫瑰花</t>
    </r>
  </si>
  <si>
    <t>SY26802</t>
  </si>
  <si>
    <t>吉兴布行</t>
  </si>
  <si>
    <t>SY26803</t>
  </si>
  <si>
    <t>SY26804</t>
  </si>
  <si>
    <t>SY26805</t>
  </si>
  <si>
    <r>
      <rPr>
        <sz val="10"/>
        <color theme="1"/>
        <rFont val="Calibri Light"/>
        <charset val="134"/>
      </rPr>
      <t>Y-0873(</t>
    </r>
    <r>
      <rPr>
        <sz val="10"/>
        <color theme="1"/>
        <rFont val="宋体"/>
        <charset val="134"/>
      </rPr>
      <t>无弹洗）</t>
    </r>
  </si>
  <si>
    <t>SY26806</t>
  </si>
  <si>
    <t>汇雅纺织</t>
  </si>
  <si>
    <t>SY26807</t>
  </si>
  <si>
    <t>SY26808</t>
  </si>
  <si>
    <t>CX-410</t>
  </si>
  <si>
    <t>SY26809</t>
  </si>
  <si>
    <t>CX-184</t>
  </si>
  <si>
    <t>SY26810</t>
  </si>
  <si>
    <r>
      <rPr>
        <sz val="10"/>
        <color theme="1"/>
        <rFont val="Calibri Light"/>
        <charset val="134"/>
      </rPr>
      <t xml:space="preserve">J2105# </t>
    </r>
    <r>
      <rPr>
        <sz val="10"/>
        <color theme="1"/>
        <rFont val="宋体"/>
        <charset val="134"/>
      </rPr>
      <t>亚麻棉</t>
    </r>
  </si>
  <si>
    <t>SY26811</t>
  </si>
  <si>
    <r>
      <rPr>
        <sz val="10"/>
        <color theme="1"/>
        <rFont val="Calibri Light"/>
        <charset val="134"/>
      </rPr>
      <t>70%</t>
    </r>
    <r>
      <rPr>
        <sz val="10"/>
        <color theme="1"/>
        <rFont val="宋体"/>
        <charset val="134"/>
      </rPr>
      <t>棉</t>
    </r>
    <r>
      <rPr>
        <sz val="10"/>
        <color theme="1"/>
        <rFont val="Calibri Light"/>
        <charset val="134"/>
      </rPr>
      <t>30%</t>
    </r>
    <r>
      <rPr>
        <sz val="10"/>
        <color theme="1"/>
        <rFont val="宋体"/>
        <charset val="134"/>
      </rPr>
      <t>亚麻</t>
    </r>
  </si>
  <si>
    <t>70%COTTON30%LINEN</t>
  </si>
  <si>
    <t>J2105#</t>
  </si>
  <si>
    <r>
      <rPr>
        <sz val="10"/>
        <color theme="1"/>
        <rFont val="Calibri Light"/>
        <charset val="134"/>
      </rPr>
      <t>24.5</t>
    </r>
    <r>
      <rPr>
        <sz val="10"/>
        <color theme="1"/>
        <rFont val="宋体"/>
        <charset val="134"/>
      </rPr>
      <t>不含税</t>
    </r>
  </si>
  <si>
    <r>
      <rPr>
        <sz val="10"/>
        <color theme="1"/>
        <rFont val="Calibri Light"/>
        <charset val="134"/>
      </rPr>
      <t xml:space="preserve">H16126# </t>
    </r>
    <r>
      <rPr>
        <sz val="10"/>
        <color theme="1"/>
        <rFont val="宋体"/>
        <charset val="134"/>
      </rPr>
      <t>仿牛仔</t>
    </r>
  </si>
  <si>
    <t>SY26812</t>
  </si>
  <si>
    <t>60%COTTON40%LINEN</t>
  </si>
  <si>
    <t>H16126#</t>
  </si>
  <si>
    <t>50不含税</t>
  </si>
  <si>
    <t>180仿真皮</t>
  </si>
  <si>
    <t>SY26813</t>
  </si>
  <si>
    <t>骄阳</t>
  </si>
  <si>
    <t>SY26814</t>
  </si>
  <si>
    <t>霏雨</t>
  </si>
  <si>
    <t>SY26815</t>
  </si>
  <si>
    <t>霜晓</t>
  </si>
  <si>
    <t>SY26816</t>
  </si>
  <si>
    <t>0.9mm</t>
  </si>
  <si>
    <t>KTH-129</t>
  </si>
  <si>
    <t>SY26817</t>
  </si>
  <si>
    <t>KTH-173</t>
  </si>
  <si>
    <t>SY26818</t>
  </si>
  <si>
    <t>0.75mm</t>
  </si>
  <si>
    <r>
      <rPr>
        <sz val="10"/>
        <color theme="1"/>
        <rFont val="宋体"/>
        <charset val="134"/>
      </rPr>
      <t>羊纹</t>
    </r>
    <r>
      <rPr>
        <sz val="10"/>
        <color theme="1"/>
        <rFont val="Calibri Light"/>
        <charset val="134"/>
      </rPr>
      <t>A</t>
    </r>
    <r>
      <rPr>
        <sz val="10"/>
        <color theme="1"/>
        <rFont val="宋体"/>
        <charset val="134"/>
      </rPr>
      <t>版</t>
    </r>
  </si>
  <si>
    <t>SY26819</t>
  </si>
  <si>
    <t>0.65mm</t>
  </si>
  <si>
    <t>星月-油蜡皮</t>
  </si>
  <si>
    <t>SY26820</t>
  </si>
  <si>
    <r>
      <rPr>
        <sz val="10"/>
        <color theme="1"/>
        <rFont val="Calibri Light"/>
        <charset val="134"/>
      </rPr>
      <t>546#210</t>
    </r>
    <r>
      <rPr>
        <sz val="10"/>
        <color theme="1"/>
        <rFont val="宋体"/>
        <charset val="134"/>
      </rPr>
      <t>克皱皱条</t>
    </r>
  </si>
  <si>
    <t>SY26821</t>
  </si>
  <si>
    <t>XSS</t>
  </si>
  <si>
    <r>
      <rPr>
        <sz val="10"/>
        <color theme="1"/>
        <rFont val="Calibri Light"/>
        <charset val="134"/>
      </rPr>
      <t>547#210</t>
    </r>
    <r>
      <rPr>
        <sz val="10"/>
        <color theme="1"/>
        <rFont val="宋体"/>
        <charset val="134"/>
      </rPr>
      <t>克茶心皱</t>
    </r>
  </si>
  <si>
    <t>SY26822</t>
  </si>
  <si>
    <r>
      <rPr>
        <sz val="10"/>
        <color theme="1"/>
        <rFont val="Calibri Light"/>
        <charset val="134"/>
      </rPr>
      <t>545#160</t>
    </r>
    <r>
      <rPr>
        <sz val="10"/>
        <color theme="1"/>
        <rFont val="宋体"/>
        <charset val="134"/>
      </rPr>
      <t>克葵花皱</t>
    </r>
  </si>
  <si>
    <t>SY26823</t>
  </si>
  <si>
    <r>
      <rPr>
        <sz val="10"/>
        <color theme="1"/>
        <rFont val="Calibri Light"/>
        <charset val="134"/>
      </rPr>
      <t>543#170</t>
    </r>
    <r>
      <rPr>
        <sz val="10"/>
        <color theme="1"/>
        <rFont val="宋体"/>
        <charset val="134"/>
      </rPr>
      <t>克韩系花瓣皱</t>
    </r>
  </si>
  <si>
    <t>SY26824</t>
  </si>
  <si>
    <r>
      <rPr>
        <sz val="10"/>
        <color theme="1"/>
        <rFont val="Calibri Light"/>
        <charset val="134"/>
      </rPr>
      <t>541#240</t>
    </r>
    <r>
      <rPr>
        <sz val="10"/>
        <color theme="1"/>
        <rFont val="宋体"/>
        <charset val="134"/>
      </rPr>
      <t>韩系颗粒皱</t>
    </r>
  </si>
  <si>
    <t>SY26825</t>
  </si>
  <si>
    <r>
      <rPr>
        <sz val="10"/>
        <color theme="1"/>
        <rFont val="Calibri Light"/>
        <charset val="134"/>
      </rPr>
      <t>539#200</t>
    </r>
    <r>
      <rPr>
        <sz val="10"/>
        <color theme="1"/>
        <rFont val="宋体"/>
        <charset val="134"/>
      </rPr>
      <t>克大波浪</t>
    </r>
  </si>
  <si>
    <t>SY26826</t>
  </si>
  <si>
    <r>
      <rPr>
        <sz val="10"/>
        <color theme="1"/>
        <rFont val="Calibri Light"/>
        <charset val="134"/>
      </rPr>
      <t>538#160g</t>
    </r>
    <r>
      <rPr>
        <sz val="10"/>
        <color theme="1"/>
        <rFont val="宋体"/>
        <charset val="134"/>
      </rPr>
      <t>月亮皱</t>
    </r>
  </si>
  <si>
    <t>SY26827</t>
  </si>
  <si>
    <r>
      <rPr>
        <sz val="10"/>
        <color theme="1"/>
        <rFont val="Calibri Light"/>
        <charset val="134"/>
      </rPr>
      <t>5517#200</t>
    </r>
    <r>
      <rPr>
        <sz val="10"/>
        <color theme="1"/>
        <rFont val="宋体"/>
        <charset val="134"/>
      </rPr>
      <t>克粒粒皱</t>
    </r>
  </si>
  <si>
    <t>SY26828</t>
  </si>
  <si>
    <r>
      <rPr>
        <sz val="10"/>
        <color theme="1"/>
        <rFont val="Calibri Light"/>
        <charset val="134"/>
      </rPr>
      <t>5516#190</t>
    </r>
    <r>
      <rPr>
        <sz val="10"/>
        <color theme="1"/>
        <rFont val="宋体"/>
        <charset val="134"/>
      </rPr>
      <t>克豆干皱</t>
    </r>
  </si>
  <si>
    <t>SY26829</t>
  </si>
  <si>
    <r>
      <rPr>
        <sz val="10"/>
        <color theme="1"/>
        <rFont val="Calibri Light"/>
        <charset val="134"/>
      </rPr>
      <t>5515#200</t>
    </r>
    <r>
      <rPr>
        <sz val="10"/>
        <color theme="1"/>
        <rFont val="宋体"/>
        <charset val="134"/>
      </rPr>
      <t>克扭条皱</t>
    </r>
  </si>
  <si>
    <t>SY26830</t>
  </si>
  <si>
    <r>
      <rPr>
        <sz val="10"/>
        <color theme="1"/>
        <rFont val="Calibri Light"/>
        <charset val="134"/>
      </rPr>
      <t>5514#200</t>
    </r>
    <r>
      <rPr>
        <sz val="10"/>
        <color theme="1"/>
        <rFont val="宋体"/>
        <charset val="134"/>
      </rPr>
      <t>克奶油皱</t>
    </r>
  </si>
  <si>
    <t>SY26831</t>
  </si>
  <si>
    <r>
      <rPr>
        <sz val="10"/>
        <color theme="1"/>
        <rFont val="Calibri Light"/>
        <charset val="134"/>
      </rPr>
      <t>5513#210</t>
    </r>
    <r>
      <rPr>
        <sz val="10"/>
        <color theme="1"/>
        <rFont val="宋体"/>
        <charset val="134"/>
      </rPr>
      <t>克双曲皱</t>
    </r>
  </si>
  <si>
    <t>SY26832</t>
  </si>
  <si>
    <r>
      <rPr>
        <sz val="10"/>
        <color theme="1"/>
        <rFont val="Calibri Light"/>
        <charset val="134"/>
      </rPr>
      <t>5512#200</t>
    </r>
    <r>
      <rPr>
        <sz val="10"/>
        <color theme="1"/>
        <rFont val="宋体"/>
        <charset val="134"/>
      </rPr>
      <t>克皱花条</t>
    </r>
  </si>
  <si>
    <t>SY26833</t>
  </si>
  <si>
    <r>
      <rPr>
        <sz val="10"/>
        <color theme="1"/>
        <rFont val="Calibri Light"/>
        <charset val="134"/>
      </rPr>
      <t>5511#160</t>
    </r>
    <r>
      <rPr>
        <sz val="10"/>
        <color theme="1"/>
        <rFont val="宋体"/>
        <charset val="134"/>
      </rPr>
      <t>克穗花条</t>
    </r>
  </si>
  <si>
    <t>SY26834</t>
  </si>
  <si>
    <r>
      <rPr>
        <sz val="10"/>
        <color theme="1"/>
        <rFont val="Calibri Light"/>
        <charset val="134"/>
      </rPr>
      <t>5510#160</t>
    </r>
    <r>
      <rPr>
        <sz val="10"/>
        <color theme="1"/>
        <rFont val="宋体"/>
        <charset val="134"/>
      </rPr>
      <t>克鱼鳞皱</t>
    </r>
  </si>
  <si>
    <t>SY26835</t>
  </si>
  <si>
    <r>
      <rPr>
        <sz val="10"/>
        <color theme="1"/>
        <rFont val="Calibri Light"/>
        <charset val="134"/>
      </rPr>
      <t>5527#220</t>
    </r>
    <r>
      <rPr>
        <sz val="10"/>
        <color theme="1"/>
        <rFont val="宋体"/>
        <charset val="134"/>
      </rPr>
      <t>克菱角皱</t>
    </r>
  </si>
  <si>
    <t>SY26836</t>
  </si>
  <si>
    <r>
      <rPr>
        <sz val="10"/>
        <color theme="1"/>
        <rFont val="Calibri Light"/>
        <charset val="134"/>
      </rPr>
      <t>5528#190</t>
    </r>
    <r>
      <rPr>
        <sz val="10"/>
        <color theme="1"/>
        <rFont val="宋体"/>
        <charset val="134"/>
      </rPr>
      <t>克泡芙点</t>
    </r>
  </si>
  <si>
    <t>SY26837</t>
  </si>
  <si>
    <r>
      <rPr>
        <sz val="10"/>
        <color theme="1"/>
        <rFont val="Calibri Light"/>
        <charset val="134"/>
      </rPr>
      <t>5529#220</t>
    </r>
    <r>
      <rPr>
        <sz val="10"/>
        <color theme="1"/>
        <rFont val="宋体"/>
        <charset val="134"/>
      </rPr>
      <t>克双孔皱</t>
    </r>
  </si>
  <si>
    <t>SY26838</t>
  </si>
  <si>
    <r>
      <rPr>
        <sz val="10"/>
        <color theme="1"/>
        <rFont val="Calibri Light"/>
        <charset val="134"/>
      </rPr>
      <t>5530#160</t>
    </r>
    <r>
      <rPr>
        <sz val="10"/>
        <color theme="1"/>
        <rFont val="宋体"/>
        <charset val="134"/>
      </rPr>
      <t>克田格皱</t>
    </r>
  </si>
  <si>
    <t>SY26839</t>
  </si>
  <si>
    <r>
      <rPr>
        <sz val="10"/>
        <color theme="1"/>
        <rFont val="Calibri Light"/>
        <charset val="134"/>
      </rPr>
      <t>5535#180</t>
    </r>
    <r>
      <rPr>
        <sz val="10"/>
        <color theme="1"/>
        <rFont val="宋体"/>
        <charset val="134"/>
      </rPr>
      <t>克剪花皱</t>
    </r>
  </si>
  <si>
    <t>SY26840</t>
  </si>
  <si>
    <r>
      <rPr>
        <sz val="10"/>
        <color theme="1"/>
        <rFont val="Calibri Light"/>
        <charset val="134"/>
      </rPr>
      <t>5536#160</t>
    </r>
    <r>
      <rPr>
        <sz val="10"/>
        <color theme="1"/>
        <rFont val="宋体"/>
        <charset val="134"/>
      </rPr>
      <t>克镂空珠</t>
    </r>
  </si>
  <si>
    <t>SY26841</t>
  </si>
  <si>
    <r>
      <rPr>
        <sz val="10"/>
        <color theme="1"/>
        <rFont val="Calibri Light"/>
        <charset val="134"/>
      </rPr>
      <t>5537#170</t>
    </r>
    <r>
      <rPr>
        <sz val="10"/>
        <color theme="1"/>
        <rFont val="宋体"/>
        <charset val="134"/>
      </rPr>
      <t>克湾曲条</t>
    </r>
  </si>
  <si>
    <t>SY26842</t>
  </si>
  <si>
    <r>
      <rPr>
        <sz val="10"/>
        <color theme="1"/>
        <rFont val="Calibri Light"/>
        <charset val="134"/>
      </rPr>
      <t>5525#180</t>
    </r>
    <r>
      <rPr>
        <sz val="10"/>
        <color theme="1"/>
        <rFont val="宋体"/>
        <charset val="134"/>
      </rPr>
      <t>克棉条皱</t>
    </r>
  </si>
  <si>
    <t>SY26843</t>
  </si>
  <si>
    <r>
      <rPr>
        <sz val="10"/>
        <color theme="1"/>
        <rFont val="Calibri Light"/>
        <charset val="134"/>
      </rPr>
      <t>509#180</t>
    </r>
    <r>
      <rPr>
        <sz val="10"/>
        <color theme="1"/>
        <rFont val="宋体"/>
        <charset val="134"/>
      </rPr>
      <t>克双截棍</t>
    </r>
  </si>
  <si>
    <t>SY26844</t>
  </si>
  <si>
    <r>
      <rPr>
        <sz val="10"/>
        <color theme="1"/>
        <rFont val="Calibri Light"/>
        <charset val="134"/>
      </rPr>
      <t>510#170</t>
    </r>
    <r>
      <rPr>
        <sz val="10"/>
        <color theme="1"/>
        <rFont val="宋体"/>
        <charset val="134"/>
      </rPr>
      <t>克百褶布</t>
    </r>
  </si>
  <si>
    <t>SY26845</t>
  </si>
  <si>
    <r>
      <rPr>
        <sz val="10"/>
        <color theme="1"/>
        <rFont val="Calibri Light"/>
        <charset val="134"/>
      </rPr>
      <t>534#220</t>
    </r>
    <r>
      <rPr>
        <sz val="10"/>
        <color theme="1"/>
        <rFont val="宋体"/>
        <charset val="134"/>
      </rPr>
      <t>克牛百叶</t>
    </r>
  </si>
  <si>
    <t>SY26846</t>
  </si>
  <si>
    <r>
      <rPr>
        <sz val="10"/>
        <color theme="1"/>
        <rFont val="Calibri Light"/>
        <charset val="134"/>
      </rPr>
      <t>535#130</t>
    </r>
    <r>
      <rPr>
        <sz val="10"/>
        <color theme="1"/>
        <rFont val="宋体"/>
        <charset val="134"/>
      </rPr>
      <t>克泡沫皱</t>
    </r>
  </si>
  <si>
    <t>SY26847</t>
  </si>
  <si>
    <r>
      <rPr>
        <sz val="10"/>
        <color theme="1"/>
        <rFont val="Calibri Light"/>
        <charset val="134"/>
      </rPr>
      <t>536#220</t>
    </r>
    <r>
      <rPr>
        <sz val="10"/>
        <color theme="1"/>
        <rFont val="宋体"/>
        <charset val="134"/>
      </rPr>
      <t>克潮牌玉米粒</t>
    </r>
  </si>
  <si>
    <t>SY26848</t>
  </si>
  <si>
    <r>
      <rPr>
        <sz val="10"/>
        <color theme="1"/>
        <rFont val="Calibri Light"/>
        <charset val="134"/>
      </rPr>
      <t>537#170</t>
    </r>
    <r>
      <rPr>
        <sz val="10"/>
        <color theme="1"/>
        <rFont val="宋体"/>
        <charset val="134"/>
      </rPr>
      <t>克菠萝皱</t>
    </r>
  </si>
  <si>
    <t>SY26849</t>
  </si>
  <si>
    <r>
      <rPr>
        <sz val="10"/>
        <color theme="1"/>
        <rFont val="Calibri Light"/>
        <charset val="134"/>
      </rPr>
      <t>548#180</t>
    </r>
    <r>
      <rPr>
        <sz val="10"/>
        <color theme="1"/>
        <rFont val="宋体"/>
        <charset val="134"/>
      </rPr>
      <t>克银丝皱</t>
    </r>
  </si>
  <si>
    <t>SY26850</t>
  </si>
  <si>
    <r>
      <rPr>
        <sz val="10"/>
        <color theme="1"/>
        <rFont val="Calibri Light"/>
        <charset val="134"/>
      </rPr>
      <t>549#190</t>
    </r>
    <r>
      <rPr>
        <sz val="10"/>
        <color theme="1"/>
        <rFont val="宋体"/>
        <charset val="134"/>
      </rPr>
      <t>克梅花皱</t>
    </r>
  </si>
  <si>
    <t>SY26851</t>
  </si>
  <si>
    <r>
      <rPr>
        <sz val="10"/>
        <color theme="1"/>
        <rFont val="Calibri Light"/>
        <charset val="134"/>
      </rPr>
      <t>550#230</t>
    </r>
    <r>
      <rPr>
        <sz val="10"/>
        <color theme="1"/>
        <rFont val="宋体"/>
        <charset val="134"/>
      </rPr>
      <t>克大角皱</t>
    </r>
  </si>
  <si>
    <t>SY26852</t>
  </si>
  <si>
    <r>
      <rPr>
        <sz val="10"/>
        <color theme="1"/>
        <rFont val="Calibri Light"/>
        <charset val="134"/>
      </rPr>
      <t>563#200</t>
    </r>
    <r>
      <rPr>
        <sz val="10"/>
        <color theme="1"/>
        <rFont val="宋体"/>
        <charset val="134"/>
      </rPr>
      <t>克罗马皱</t>
    </r>
  </si>
  <si>
    <t>SY26853</t>
  </si>
  <si>
    <r>
      <rPr>
        <sz val="10"/>
        <color theme="1"/>
        <rFont val="Calibri Light"/>
        <charset val="134"/>
      </rPr>
      <t>564#200</t>
    </r>
    <r>
      <rPr>
        <sz val="10"/>
        <color theme="1"/>
        <rFont val="宋体"/>
        <charset val="134"/>
      </rPr>
      <t>克格竹皱</t>
    </r>
  </si>
  <si>
    <t>SY26854</t>
  </si>
  <si>
    <r>
      <rPr>
        <sz val="10"/>
        <color theme="1"/>
        <rFont val="Calibri Light"/>
        <charset val="134"/>
      </rPr>
      <t>5501#190</t>
    </r>
    <r>
      <rPr>
        <sz val="10"/>
        <color theme="1"/>
        <rFont val="宋体"/>
        <charset val="134"/>
      </rPr>
      <t>克珠条皱</t>
    </r>
  </si>
  <si>
    <t>SY26855</t>
  </si>
  <si>
    <r>
      <rPr>
        <sz val="10"/>
        <color theme="1"/>
        <rFont val="Calibri Light"/>
        <charset val="134"/>
      </rPr>
      <t>533#200</t>
    </r>
    <r>
      <rPr>
        <sz val="10"/>
        <color theme="1"/>
        <rFont val="宋体"/>
        <charset val="134"/>
      </rPr>
      <t>克镂空水波纹</t>
    </r>
  </si>
  <si>
    <t>SY26856</t>
  </si>
  <si>
    <r>
      <rPr>
        <sz val="10"/>
        <color theme="1"/>
        <rFont val="Calibri Light"/>
        <charset val="134"/>
      </rPr>
      <t>532#170</t>
    </r>
    <r>
      <rPr>
        <sz val="10"/>
        <color theme="1"/>
        <rFont val="宋体"/>
        <charset val="134"/>
      </rPr>
      <t>克复古绣花圆形</t>
    </r>
  </si>
  <si>
    <t>SY26857</t>
  </si>
  <si>
    <r>
      <rPr>
        <sz val="10"/>
        <color theme="1"/>
        <rFont val="Calibri Light"/>
        <charset val="134"/>
      </rPr>
      <t>531#220</t>
    </r>
    <r>
      <rPr>
        <sz val="10"/>
        <color theme="1"/>
        <rFont val="宋体"/>
        <charset val="134"/>
      </rPr>
      <t>克爆款W皱</t>
    </r>
  </si>
  <si>
    <t>SY26858</t>
  </si>
  <si>
    <r>
      <rPr>
        <sz val="10"/>
        <color theme="1"/>
        <rFont val="Calibri Light"/>
        <charset val="134"/>
      </rPr>
      <t>529#170</t>
    </r>
    <r>
      <rPr>
        <sz val="10"/>
        <color theme="1"/>
        <rFont val="宋体"/>
        <charset val="134"/>
      </rPr>
      <t>克复古绣花菱形</t>
    </r>
  </si>
  <si>
    <t>SY26859</t>
  </si>
  <si>
    <r>
      <rPr>
        <sz val="10"/>
        <color theme="1"/>
        <rFont val="Calibri Light"/>
        <charset val="134"/>
      </rPr>
      <t>528#170</t>
    </r>
    <r>
      <rPr>
        <sz val="10"/>
        <color theme="1"/>
        <rFont val="宋体"/>
        <charset val="134"/>
      </rPr>
      <t>克泡芙棉皱</t>
    </r>
  </si>
  <si>
    <t>SY26860</t>
  </si>
  <si>
    <r>
      <rPr>
        <sz val="10"/>
        <color theme="1"/>
        <rFont val="Calibri Light"/>
        <charset val="134"/>
      </rPr>
      <t>513#160</t>
    </r>
    <r>
      <rPr>
        <sz val="10"/>
        <color theme="1"/>
        <rFont val="宋体"/>
        <charset val="134"/>
      </rPr>
      <t>克皱布泡泡</t>
    </r>
  </si>
  <si>
    <t>SY26861</t>
  </si>
  <si>
    <r>
      <rPr>
        <sz val="10"/>
        <color theme="1"/>
        <rFont val="Calibri Light"/>
        <charset val="134"/>
      </rPr>
      <t>512#130</t>
    </r>
    <r>
      <rPr>
        <sz val="10"/>
        <color theme="1"/>
        <rFont val="宋体"/>
        <charset val="134"/>
      </rPr>
      <t>克灯笼皱</t>
    </r>
  </si>
  <si>
    <t>SY26862</t>
  </si>
  <si>
    <r>
      <rPr>
        <sz val="10"/>
        <color theme="1"/>
        <rFont val="Calibri Light"/>
        <charset val="134"/>
      </rPr>
      <t>505#190</t>
    </r>
    <r>
      <rPr>
        <sz val="10"/>
        <color theme="1"/>
        <rFont val="宋体"/>
        <charset val="134"/>
      </rPr>
      <t>克花袖格皱</t>
    </r>
  </si>
  <si>
    <t>SY26863</t>
  </si>
  <si>
    <r>
      <rPr>
        <sz val="10"/>
        <color theme="1"/>
        <rFont val="Calibri Light"/>
        <charset val="134"/>
      </rPr>
      <t>504#180</t>
    </r>
    <r>
      <rPr>
        <sz val="10"/>
        <color theme="1"/>
        <rFont val="宋体"/>
        <charset val="134"/>
      </rPr>
      <t>克水波皱</t>
    </r>
  </si>
  <si>
    <t>SY26864</t>
  </si>
  <si>
    <r>
      <rPr>
        <sz val="10"/>
        <color theme="1"/>
        <rFont val="Calibri Light"/>
        <charset val="134"/>
      </rPr>
      <t>502#160</t>
    </r>
    <r>
      <rPr>
        <sz val="10"/>
        <color theme="1"/>
        <rFont val="宋体"/>
        <charset val="134"/>
      </rPr>
      <t>克千层皱</t>
    </r>
  </si>
  <si>
    <t>SY26865</t>
  </si>
  <si>
    <r>
      <rPr>
        <sz val="10"/>
        <color theme="1"/>
        <rFont val="Calibri Light"/>
        <charset val="134"/>
      </rPr>
      <t>501#220</t>
    </r>
    <r>
      <rPr>
        <sz val="10"/>
        <color theme="1"/>
        <rFont val="宋体"/>
        <charset val="134"/>
      </rPr>
      <t>克奔波皱</t>
    </r>
  </si>
  <si>
    <t>SY26866</t>
  </si>
  <si>
    <r>
      <rPr>
        <sz val="10"/>
        <color theme="1"/>
        <rFont val="Calibri Light"/>
        <charset val="134"/>
      </rPr>
      <t>507#180</t>
    </r>
    <r>
      <rPr>
        <sz val="10"/>
        <color theme="1"/>
        <rFont val="宋体"/>
        <charset val="134"/>
      </rPr>
      <t>克梯格皱</t>
    </r>
  </si>
  <si>
    <t>SY26867</t>
  </si>
  <si>
    <r>
      <rPr>
        <sz val="10"/>
        <color theme="1"/>
        <rFont val="Calibri Light"/>
        <charset val="134"/>
      </rPr>
      <t>506#130</t>
    </r>
    <r>
      <rPr>
        <sz val="10"/>
        <color theme="1"/>
        <rFont val="宋体"/>
        <charset val="134"/>
      </rPr>
      <t>克树皮皱</t>
    </r>
  </si>
  <si>
    <t>SY26868</t>
  </si>
  <si>
    <r>
      <rPr>
        <sz val="10"/>
        <color theme="1"/>
        <rFont val="Calibri Light"/>
        <charset val="134"/>
      </rPr>
      <t>508#180</t>
    </r>
    <r>
      <rPr>
        <sz val="10"/>
        <color theme="1"/>
        <rFont val="宋体"/>
        <charset val="134"/>
      </rPr>
      <t>克三角皱</t>
    </r>
  </si>
  <si>
    <t>SY26869</t>
  </si>
  <si>
    <r>
      <rPr>
        <sz val="10"/>
        <color theme="1"/>
        <rFont val="Calibri Light"/>
        <charset val="134"/>
      </rPr>
      <t>5502#200</t>
    </r>
    <r>
      <rPr>
        <sz val="10"/>
        <color theme="1"/>
        <rFont val="宋体"/>
        <charset val="134"/>
      </rPr>
      <t>克泡粒皱</t>
    </r>
  </si>
  <si>
    <t>SY26870</t>
  </si>
  <si>
    <r>
      <rPr>
        <sz val="10"/>
        <color theme="1"/>
        <rFont val="Calibri Light"/>
        <charset val="134"/>
      </rPr>
      <t>5503#180</t>
    </r>
    <r>
      <rPr>
        <sz val="10"/>
        <color theme="1"/>
        <rFont val="宋体"/>
        <charset val="134"/>
      </rPr>
      <t>克峰窝皱</t>
    </r>
  </si>
  <si>
    <t>SY26871</t>
  </si>
  <si>
    <r>
      <rPr>
        <sz val="10"/>
        <color theme="1"/>
        <rFont val="Calibri Light"/>
        <charset val="134"/>
      </rPr>
      <t>5504#200</t>
    </r>
    <r>
      <rPr>
        <sz val="10"/>
        <color theme="1"/>
        <rFont val="宋体"/>
        <charset val="134"/>
      </rPr>
      <t>克荷花皱</t>
    </r>
  </si>
  <si>
    <t>SY26872</t>
  </si>
  <si>
    <r>
      <rPr>
        <sz val="10"/>
        <color theme="1"/>
        <rFont val="Calibri Light"/>
        <charset val="134"/>
      </rPr>
      <t>5505#170</t>
    </r>
    <r>
      <rPr>
        <sz val="10"/>
        <color theme="1"/>
        <rFont val="宋体"/>
        <charset val="134"/>
      </rPr>
      <t>克双层皱</t>
    </r>
  </si>
  <si>
    <t>SY26873</t>
  </si>
  <si>
    <r>
      <rPr>
        <sz val="10"/>
        <color theme="1"/>
        <rFont val="Calibri Light"/>
        <charset val="134"/>
      </rPr>
      <t>5506#160</t>
    </r>
    <r>
      <rPr>
        <sz val="10"/>
        <color theme="1"/>
        <rFont val="宋体"/>
        <charset val="134"/>
      </rPr>
      <t>克网格皱</t>
    </r>
  </si>
  <si>
    <t>SY26874</t>
  </si>
  <si>
    <r>
      <rPr>
        <sz val="10"/>
        <color theme="1"/>
        <rFont val="Calibri Light"/>
        <charset val="134"/>
      </rPr>
      <t>5507#200</t>
    </r>
    <r>
      <rPr>
        <sz val="10"/>
        <color theme="1"/>
        <rFont val="宋体"/>
        <charset val="134"/>
      </rPr>
      <t>克镂空条</t>
    </r>
  </si>
  <si>
    <t>SY26875</t>
  </si>
  <si>
    <r>
      <rPr>
        <sz val="10"/>
        <color theme="1"/>
        <rFont val="Calibri Light"/>
        <charset val="134"/>
      </rPr>
      <t>5508#160</t>
    </r>
    <r>
      <rPr>
        <sz val="10"/>
        <color theme="1"/>
        <rFont val="宋体"/>
        <charset val="134"/>
      </rPr>
      <t>克小皱条</t>
    </r>
  </si>
  <si>
    <t>SY26876</t>
  </si>
  <si>
    <r>
      <rPr>
        <sz val="10"/>
        <color theme="1"/>
        <rFont val="Calibri Light"/>
        <charset val="134"/>
      </rPr>
      <t>5509#200</t>
    </r>
    <r>
      <rPr>
        <sz val="10"/>
        <color theme="1"/>
        <rFont val="宋体"/>
        <charset val="134"/>
      </rPr>
      <t>克蛇纹皱</t>
    </r>
  </si>
  <si>
    <t>SY26877</t>
  </si>
  <si>
    <r>
      <rPr>
        <sz val="10"/>
        <color theme="1"/>
        <rFont val="Calibri Light"/>
        <charset val="134"/>
      </rPr>
      <t>5522#200</t>
    </r>
    <r>
      <rPr>
        <sz val="10"/>
        <color theme="1"/>
        <rFont val="宋体"/>
        <charset val="134"/>
      </rPr>
      <t>克黑丝荷花皱</t>
    </r>
  </si>
  <si>
    <t>SY26878</t>
  </si>
  <si>
    <r>
      <rPr>
        <sz val="10"/>
        <color theme="1"/>
        <rFont val="Calibri Light"/>
        <charset val="134"/>
      </rPr>
      <t>5521#200</t>
    </r>
    <r>
      <rPr>
        <sz val="10"/>
        <color theme="1"/>
        <rFont val="宋体"/>
        <charset val="134"/>
      </rPr>
      <t>克玲珑条</t>
    </r>
  </si>
  <si>
    <t>SY26879</t>
  </si>
  <si>
    <r>
      <rPr>
        <sz val="10"/>
        <color theme="1"/>
        <rFont val="Calibri Light"/>
        <charset val="134"/>
      </rPr>
      <t>5520#190</t>
    </r>
    <r>
      <rPr>
        <sz val="10"/>
        <color theme="1"/>
        <rFont val="宋体"/>
        <charset val="134"/>
      </rPr>
      <t>克海浪泡泡</t>
    </r>
  </si>
  <si>
    <t>SY26880</t>
  </si>
  <si>
    <r>
      <rPr>
        <sz val="10"/>
        <color theme="1"/>
        <rFont val="Calibri Light"/>
        <charset val="134"/>
      </rPr>
      <t>5518#160</t>
    </r>
    <r>
      <rPr>
        <sz val="10"/>
        <color theme="1"/>
        <rFont val="宋体"/>
        <charset val="134"/>
      </rPr>
      <t>克鱼泡泡</t>
    </r>
  </si>
  <si>
    <t>SY26881</t>
  </si>
  <si>
    <r>
      <rPr>
        <sz val="10"/>
        <color theme="1"/>
        <rFont val="Calibri Light"/>
        <charset val="134"/>
      </rPr>
      <t>515#170</t>
    </r>
    <r>
      <rPr>
        <sz val="10"/>
        <color theme="1"/>
        <rFont val="宋体"/>
        <charset val="134"/>
      </rPr>
      <t>克竹节皱</t>
    </r>
  </si>
  <si>
    <t>SY26882</t>
  </si>
  <si>
    <r>
      <rPr>
        <sz val="10"/>
        <color theme="1"/>
        <rFont val="Calibri Light"/>
        <charset val="134"/>
      </rPr>
      <t>514#200</t>
    </r>
    <r>
      <rPr>
        <sz val="10"/>
        <color theme="1"/>
        <rFont val="宋体"/>
        <charset val="134"/>
      </rPr>
      <t>克曲条皱</t>
    </r>
  </si>
  <si>
    <t>SY26883</t>
  </si>
  <si>
    <r>
      <rPr>
        <sz val="10"/>
        <color theme="1"/>
        <rFont val="Calibri Light"/>
        <charset val="134"/>
      </rPr>
      <t>519#180</t>
    </r>
    <r>
      <rPr>
        <sz val="10"/>
        <color theme="1"/>
        <rFont val="宋体"/>
        <charset val="134"/>
      </rPr>
      <t>克云霄皱</t>
    </r>
  </si>
  <si>
    <t>SY26884</t>
  </si>
  <si>
    <r>
      <rPr>
        <sz val="10"/>
        <color theme="1"/>
        <rFont val="Calibri Light"/>
        <charset val="134"/>
      </rPr>
      <t>517#190</t>
    </r>
    <r>
      <rPr>
        <sz val="10"/>
        <color theme="1"/>
        <rFont val="宋体"/>
        <charset val="134"/>
      </rPr>
      <t>克大泡泡皱</t>
    </r>
  </si>
  <si>
    <t>SY26885</t>
  </si>
  <si>
    <r>
      <rPr>
        <sz val="10"/>
        <color theme="1"/>
        <rFont val="Calibri Light"/>
        <charset val="134"/>
      </rPr>
      <t>516#185</t>
    </r>
    <r>
      <rPr>
        <sz val="10"/>
        <color theme="1"/>
        <rFont val="宋体"/>
        <charset val="134"/>
      </rPr>
      <t>克楼梯皱</t>
    </r>
  </si>
  <si>
    <t>SY26886</t>
  </si>
  <si>
    <r>
      <rPr>
        <sz val="10"/>
        <color theme="1"/>
        <rFont val="Calibri Light"/>
        <charset val="134"/>
      </rPr>
      <t>524#180</t>
    </r>
    <r>
      <rPr>
        <sz val="10"/>
        <color theme="1"/>
        <rFont val="宋体"/>
        <charset val="134"/>
      </rPr>
      <t>克三条皱</t>
    </r>
  </si>
  <si>
    <t>SY26887</t>
  </si>
  <si>
    <r>
      <rPr>
        <sz val="10"/>
        <color theme="1"/>
        <rFont val="Calibri Light"/>
        <charset val="134"/>
      </rPr>
      <t>525#180</t>
    </r>
    <r>
      <rPr>
        <sz val="10"/>
        <color theme="1"/>
        <rFont val="宋体"/>
        <charset val="134"/>
      </rPr>
      <t>克圆珠皱</t>
    </r>
  </si>
  <si>
    <t>SY26888</t>
  </si>
  <si>
    <r>
      <rPr>
        <sz val="10"/>
        <color theme="1"/>
        <rFont val="Calibri Light"/>
        <charset val="134"/>
      </rPr>
      <t>526#180</t>
    </r>
    <r>
      <rPr>
        <sz val="10"/>
        <color theme="1"/>
        <rFont val="宋体"/>
        <charset val="134"/>
      </rPr>
      <t>克镂空条</t>
    </r>
  </si>
  <si>
    <t>SY26889</t>
  </si>
  <si>
    <r>
      <rPr>
        <sz val="10"/>
        <color theme="1"/>
        <rFont val="Calibri Light"/>
        <charset val="134"/>
      </rPr>
      <t>523#190</t>
    </r>
    <r>
      <rPr>
        <sz val="10"/>
        <color theme="1"/>
        <rFont val="宋体"/>
        <charset val="134"/>
      </rPr>
      <t>克双色香风</t>
    </r>
  </si>
  <si>
    <t>SY26890</t>
  </si>
  <si>
    <r>
      <rPr>
        <sz val="10"/>
        <color theme="1"/>
        <rFont val="Calibri Light"/>
        <charset val="134"/>
      </rPr>
      <t>522#200</t>
    </r>
    <r>
      <rPr>
        <sz val="10"/>
        <color theme="1"/>
        <rFont val="宋体"/>
        <charset val="134"/>
      </rPr>
      <t>克双条皱</t>
    </r>
  </si>
  <si>
    <t>SY26891</t>
  </si>
  <si>
    <r>
      <rPr>
        <sz val="10"/>
        <color theme="1"/>
        <rFont val="Calibri Light"/>
        <charset val="134"/>
      </rPr>
      <t>521#250</t>
    </r>
    <r>
      <rPr>
        <sz val="10"/>
        <color theme="1"/>
        <rFont val="宋体"/>
        <charset val="134"/>
      </rPr>
      <t>克花千骨</t>
    </r>
  </si>
  <si>
    <t>SY26892</t>
  </si>
  <si>
    <r>
      <rPr>
        <sz val="10"/>
        <color theme="1"/>
        <rFont val="Calibri Light"/>
        <charset val="134"/>
      </rPr>
      <t>5526#160</t>
    </r>
    <r>
      <rPr>
        <sz val="10"/>
        <color theme="1"/>
        <rFont val="宋体"/>
        <charset val="134"/>
      </rPr>
      <t>克洞洞皱</t>
    </r>
  </si>
  <si>
    <t>SY26893</t>
  </si>
  <si>
    <r>
      <rPr>
        <sz val="10"/>
        <color theme="1"/>
        <rFont val="Calibri Light"/>
        <charset val="134"/>
      </rPr>
      <t>511#160</t>
    </r>
    <r>
      <rPr>
        <sz val="10"/>
        <color theme="1"/>
        <rFont val="宋体"/>
        <charset val="134"/>
      </rPr>
      <t>克镂空皱</t>
    </r>
  </si>
  <si>
    <t>SY26894</t>
  </si>
  <si>
    <r>
      <rPr>
        <sz val="10"/>
        <color theme="1"/>
        <rFont val="Calibri Light"/>
        <charset val="134"/>
      </rPr>
      <t>5534#220</t>
    </r>
    <r>
      <rPr>
        <sz val="10"/>
        <color theme="1"/>
        <rFont val="宋体"/>
        <charset val="134"/>
      </rPr>
      <t>克毛球皱</t>
    </r>
  </si>
  <si>
    <t>SY26895</t>
  </si>
  <si>
    <r>
      <rPr>
        <sz val="10"/>
        <color theme="1"/>
        <rFont val="Calibri Light"/>
        <charset val="134"/>
      </rPr>
      <t>5523#190</t>
    </r>
    <r>
      <rPr>
        <sz val="10"/>
        <color theme="1"/>
        <rFont val="宋体"/>
        <charset val="134"/>
      </rPr>
      <t>克横纹镂空</t>
    </r>
  </si>
  <si>
    <t>SY26896</t>
  </si>
  <si>
    <r>
      <rPr>
        <sz val="10"/>
        <color theme="1"/>
        <rFont val="Calibri Light"/>
        <charset val="134"/>
      </rPr>
      <t>518#250</t>
    </r>
    <r>
      <rPr>
        <sz val="10"/>
        <color theme="1"/>
        <rFont val="宋体"/>
        <charset val="134"/>
      </rPr>
      <t>克提花小方格</t>
    </r>
  </si>
  <si>
    <t>SY26897</t>
  </si>
  <si>
    <t>2MN024</t>
  </si>
  <si>
    <t>SY261078</t>
  </si>
  <si>
    <r>
      <t>80%</t>
    </r>
    <r>
      <rPr>
        <sz val="10"/>
        <color theme="1"/>
        <rFont val="宋体"/>
        <charset val="134"/>
      </rPr>
      <t>粘胶</t>
    </r>
    <r>
      <rPr>
        <sz val="10"/>
        <color theme="1"/>
        <rFont val="Calibri Light"/>
        <charset val="134"/>
      </rPr>
      <t>20%</t>
    </r>
    <r>
      <rPr>
        <sz val="10"/>
        <color theme="1"/>
        <rFont val="宋体"/>
        <charset val="134"/>
      </rPr>
      <t>亚麻</t>
    </r>
  </si>
  <si>
    <t>SY261079</t>
  </si>
  <si>
    <t>SY261080</t>
  </si>
  <si>
    <t>SY261081</t>
  </si>
  <si>
    <t>SY261082</t>
  </si>
  <si>
    <t>SY261083</t>
  </si>
  <si>
    <t>SY261084</t>
  </si>
  <si>
    <t>SY261085</t>
  </si>
  <si>
    <t>SY261086</t>
  </si>
  <si>
    <t>SY261087</t>
  </si>
  <si>
    <t>SY261088</t>
  </si>
  <si>
    <t>SY261089</t>
  </si>
  <si>
    <t>SY261090</t>
  </si>
  <si>
    <t>SY261091</t>
  </si>
  <si>
    <t>SY261092</t>
  </si>
  <si>
    <t>SY261093</t>
  </si>
  <si>
    <t>SY261094</t>
  </si>
  <si>
    <t>SY261095</t>
  </si>
  <si>
    <t>SY261096</t>
  </si>
  <si>
    <t>SY261097</t>
  </si>
  <si>
    <t>SY261098</t>
  </si>
  <si>
    <t>SY261099</t>
  </si>
  <si>
    <t>SY261100</t>
  </si>
  <si>
    <t>SY261101</t>
  </si>
  <si>
    <t>SY261102</t>
  </si>
  <si>
    <t>SY261103</t>
  </si>
  <si>
    <t>SY261104</t>
  </si>
  <si>
    <t>SY261105</t>
  </si>
  <si>
    <t>SY261106</t>
  </si>
  <si>
    <r>
      <rPr>
        <b/>
        <sz val="18"/>
        <rFont val="宋体"/>
        <charset val="134"/>
      </rPr>
      <t>信兴隆化纤厂加工别代码一览表</t>
    </r>
    <r>
      <rPr>
        <b/>
        <sz val="18"/>
        <rFont val="Calibri Light"/>
        <charset val="134"/>
      </rPr>
      <t xml:space="preserve"> </t>
    </r>
    <r>
      <rPr>
        <b/>
        <sz val="18"/>
        <rFont val="宋体"/>
        <charset val="134"/>
      </rPr>
      <t>（新表）</t>
    </r>
  </si>
  <si>
    <r>
      <rPr>
        <sz val="16"/>
        <rFont val="宋体"/>
        <charset val="134"/>
      </rPr>
      <t>栏位</t>
    </r>
  </si>
  <si>
    <r>
      <rPr>
        <sz val="16"/>
        <rFont val="宋体"/>
        <charset val="134"/>
      </rPr>
      <t>项目</t>
    </r>
  </si>
  <si>
    <r>
      <rPr>
        <sz val="16"/>
        <rFont val="宋体"/>
        <charset val="134"/>
      </rPr>
      <t>染色</t>
    </r>
  </si>
  <si>
    <r>
      <rPr>
        <sz val="16"/>
        <rFont val="宋体"/>
        <charset val="134"/>
      </rPr>
      <t>胶类</t>
    </r>
  </si>
  <si>
    <r>
      <rPr>
        <sz val="16"/>
        <rFont val="宋体"/>
        <charset val="134"/>
      </rPr>
      <t>防水度</t>
    </r>
  </si>
  <si>
    <r>
      <rPr>
        <sz val="16"/>
        <rFont val="宋体"/>
        <charset val="134"/>
      </rPr>
      <t>透湿度</t>
    </r>
  </si>
  <si>
    <r>
      <rPr>
        <sz val="16"/>
        <rFont val="宋体"/>
        <charset val="134"/>
      </rPr>
      <t>泼水度</t>
    </r>
  </si>
  <si>
    <r>
      <rPr>
        <sz val="16"/>
        <rFont val="宋体"/>
        <charset val="134"/>
      </rPr>
      <t>功能</t>
    </r>
  </si>
  <si>
    <r>
      <rPr>
        <sz val="16"/>
        <rFont val="宋体"/>
        <charset val="134"/>
      </rPr>
      <t>压光</t>
    </r>
    <r>
      <rPr>
        <sz val="16"/>
        <rFont val="Calibri Light"/>
        <charset val="134"/>
      </rPr>
      <t>/</t>
    </r>
    <r>
      <rPr>
        <sz val="16"/>
        <rFont val="宋体"/>
        <charset val="134"/>
      </rPr>
      <t>特殊加工</t>
    </r>
  </si>
  <si>
    <r>
      <rPr>
        <sz val="16"/>
        <rFont val="宋体"/>
        <charset val="134"/>
      </rPr>
      <t>代号</t>
    </r>
  </si>
  <si>
    <r>
      <rPr>
        <sz val="16"/>
        <rFont val="宋体"/>
        <charset val="134"/>
      </rPr>
      <t>说明</t>
    </r>
  </si>
  <si>
    <t>O</t>
  </si>
  <si>
    <r>
      <rPr>
        <sz val="16"/>
        <rFont val="宋体"/>
        <charset val="134"/>
      </rPr>
      <t>无染色</t>
    </r>
  </si>
  <si>
    <r>
      <rPr>
        <sz val="16"/>
        <rFont val="宋体"/>
        <charset val="134"/>
      </rPr>
      <t>无上胶</t>
    </r>
  </si>
  <si>
    <r>
      <rPr>
        <sz val="16"/>
        <rFont val="宋体"/>
        <charset val="134"/>
      </rPr>
      <t>无水压</t>
    </r>
  </si>
  <si>
    <r>
      <rPr>
        <sz val="16"/>
        <rFont val="宋体"/>
        <charset val="134"/>
      </rPr>
      <t>无透湿度</t>
    </r>
  </si>
  <si>
    <r>
      <rPr>
        <sz val="16"/>
        <rFont val="宋体"/>
        <charset val="134"/>
      </rPr>
      <t>无泼水</t>
    </r>
  </si>
  <si>
    <r>
      <rPr>
        <sz val="16"/>
        <rFont val="宋体"/>
        <charset val="134"/>
      </rPr>
      <t>无功能</t>
    </r>
    <r>
      <rPr>
        <sz val="16"/>
        <rFont val="Calibri Light"/>
        <charset val="134"/>
      </rPr>
      <t xml:space="preserve"> </t>
    </r>
  </si>
  <si>
    <t>A</t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</si>
  <si>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感温膜</t>
    </r>
  </si>
  <si>
    <r>
      <rPr>
        <sz val="16"/>
        <rFont val="宋体"/>
        <charset val="134"/>
      </rPr>
      <t>新表</t>
    </r>
  </si>
  <si>
    <r>
      <rPr>
        <sz val="16"/>
        <rFont val="宋体"/>
        <charset val="134"/>
      </rPr>
      <t>磨毛染色</t>
    </r>
  </si>
  <si>
    <r>
      <rPr>
        <sz val="16"/>
        <rFont val="宋体"/>
        <charset val="134"/>
      </rPr>
      <t>压克力透明胶</t>
    </r>
  </si>
  <si>
    <t>1~9</t>
  </si>
  <si>
    <r>
      <rPr>
        <sz val="16"/>
        <rFont val="Calibri Light"/>
        <charset val="134"/>
      </rPr>
      <t>100~900mmH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</si>
  <si>
    <t>1000 G/M2.D</t>
  </si>
  <si>
    <t>S</t>
  </si>
  <si>
    <r>
      <rPr>
        <sz val="16"/>
        <color theme="1"/>
        <rFont val="宋体"/>
        <charset val="134"/>
      </rPr>
      <t>一般定型</t>
    </r>
  </si>
  <si>
    <t>F</t>
  </si>
  <si>
    <r>
      <rPr>
        <sz val="16"/>
        <rFont val="宋体"/>
        <charset val="134"/>
      </rPr>
      <t>阻燃</t>
    </r>
  </si>
  <si>
    <t>B</t>
  </si>
  <si>
    <r>
      <rPr>
        <sz val="16"/>
        <rFont val="宋体"/>
        <charset val="134"/>
      </rPr>
      <t>双面压光</t>
    </r>
  </si>
  <si>
    <r>
      <rPr>
        <sz val="16"/>
        <rFont val="Calibri Light"/>
        <charset val="134"/>
      </rPr>
      <t xml:space="preserve">Beam </t>
    </r>
    <r>
      <rPr>
        <sz val="16"/>
        <rFont val="宋体"/>
        <charset val="134"/>
      </rPr>
      <t>染色</t>
    </r>
  </si>
  <si>
    <r>
      <rPr>
        <sz val="16"/>
        <rFont val="宋体"/>
        <charset val="134"/>
      </rPr>
      <t>水性</t>
    </r>
    <r>
      <rPr>
        <sz val="16"/>
        <rFont val="Calibri Light"/>
        <charset val="134"/>
      </rPr>
      <t>AC</t>
    </r>
    <r>
      <rPr>
        <sz val="16"/>
        <rFont val="宋体"/>
        <charset val="134"/>
      </rPr>
      <t>透明胶</t>
    </r>
  </si>
  <si>
    <r>
      <rPr>
        <sz val="16"/>
        <rFont val="Calibri Light"/>
        <charset val="134"/>
      </rPr>
      <t>1000mmH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</si>
  <si>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2000 G/M2.D</t>
  </si>
  <si>
    <t>T</t>
  </si>
  <si>
    <r>
      <rPr>
        <sz val="16"/>
        <color theme="1"/>
        <rFont val="宋体"/>
        <charset val="134"/>
      </rPr>
      <t>柔软定型</t>
    </r>
  </si>
  <si>
    <r>
      <rPr>
        <sz val="16"/>
        <rFont val="Calibri Light"/>
        <charset val="134"/>
      </rPr>
      <t>UV CUT</t>
    </r>
    <r>
      <rPr>
        <sz val="16"/>
        <rFont val="宋体"/>
        <charset val="134"/>
      </rPr>
      <t>加工</t>
    </r>
  </si>
  <si>
    <r>
      <rPr>
        <sz val="16"/>
        <rFont val="宋体"/>
        <charset val="134"/>
      </rPr>
      <t>压皱</t>
    </r>
  </si>
  <si>
    <t>C</t>
  </si>
  <si>
    <r>
      <rPr>
        <sz val="16"/>
        <rFont val="宋体"/>
        <charset val="134"/>
      </rPr>
      <t>抗氯染色</t>
    </r>
  </si>
  <si>
    <r>
      <rPr>
        <sz val="16"/>
        <rFont val="宋体"/>
        <charset val="134"/>
      </rPr>
      <t>压克力白胶</t>
    </r>
  </si>
  <si>
    <r>
      <rPr>
        <sz val="16"/>
        <rFont val="Calibri Light"/>
        <charset val="134"/>
      </rPr>
      <t>1500mmH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</si>
  <si>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3000 G/M2.D</t>
  </si>
  <si>
    <t>R</t>
  </si>
  <si>
    <r>
      <rPr>
        <sz val="16"/>
        <rFont val="Calibri Light"/>
        <charset val="134"/>
      </rPr>
      <t>C8</t>
    </r>
    <r>
      <rPr>
        <sz val="16"/>
        <rFont val="宋体"/>
        <charset val="134"/>
      </rPr>
      <t>防水</t>
    </r>
    <r>
      <rPr>
        <sz val="16"/>
        <rFont val="Calibri Light"/>
        <charset val="134"/>
      </rPr>
      <t>(50-60</t>
    </r>
    <r>
      <rPr>
        <sz val="16"/>
        <rFont val="宋体"/>
        <charset val="134"/>
      </rPr>
      <t>分）</t>
    </r>
  </si>
  <si>
    <t>抗静电</t>
  </si>
  <si>
    <t>D</t>
  </si>
  <si>
    <r>
      <rPr>
        <sz val="16"/>
        <rFont val="宋体"/>
        <charset val="134"/>
      </rPr>
      <t>防绒压光</t>
    </r>
  </si>
  <si>
    <r>
      <rPr>
        <sz val="16"/>
        <rFont val="宋体"/>
        <charset val="134"/>
      </rPr>
      <t>荧光漂白</t>
    </r>
  </si>
  <si>
    <r>
      <rPr>
        <sz val="16"/>
        <rFont val="宋体"/>
        <charset val="134"/>
      </rPr>
      <t>水性</t>
    </r>
    <r>
      <rPr>
        <sz val="16"/>
        <rFont val="Calibri Light"/>
        <charset val="134"/>
      </rPr>
      <t>AC</t>
    </r>
    <r>
      <rPr>
        <sz val="16"/>
        <rFont val="宋体"/>
        <charset val="134"/>
      </rPr>
      <t>白胶</t>
    </r>
  </si>
  <si>
    <r>
      <rPr>
        <sz val="16"/>
        <rFont val="Calibri Light"/>
        <charset val="134"/>
      </rPr>
      <t>2000mmH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</si>
  <si>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4000 G/M2.D</t>
  </si>
  <si>
    <r>
      <rPr>
        <sz val="16"/>
        <rFont val="Calibri Light"/>
        <charset val="134"/>
      </rPr>
      <t>C8</t>
    </r>
    <r>
      <rPr>
        <sz val="16"/>
        <rFont val="宋体"/>
        <charset val="134"/>
      </rPr>
      <t>防水</t>
    </r>
    <r>
      <rPr>
        <sz val="16"/>
        <rFont val="Calibri Light"/>
        <charset val="134"/>
      </rPr>
      <t>3</t>
    </r>
    <r>
      <rPr>
        <sz val="16"/>
        <rFont val="宋体"/>
        <charset val="134"/>
      </rPr>
      <t>级</t>
    </r>
    <r>
      <rPr>
        <sz val="16"/>
        <rFont val="Calibri Light"/>
        <charset val="134"/>
      </rPr>
      <t>(70-80</t>
    </r>
    <r>
      <rPr>
        <sz val="16"/>
        <rFont val="宋体"/>
        <charset val="134"/>
      </rPr>
      <t>分</t>
    </r>
    <r>
      <rPr>
        <sz val="16"/>
        <rFont val="Calibri Light"/>
        <charset val="134"/>
      </rPr>
      <t>)</t>
    </r>
  </si>
  <si>
    <r>
      <rPr>
        <sz val="16"/>
        <rFont val="宋体"/>
        <charset val="134"/>
      </rPr>
      <t>抗菌防臭加工</t>
    </r>
  </si>
  <si>
    <t>E</t>
  </si>
  <si>
    <r>
      <rPr>
        <sz val="16"/>
        <rFont val="宋体"/>
        <charset val="134"/>
      </rPr>
      <t>压花</t>
    </r>
  </si>
  <si>
    <r>
      <rPr>
        <sz val="16"/>
        <rFont val="宋体"/>
        <charset val="134"/>
      </rPr>
      <t>涤纶本白印花</t>
    </r>
  </si>
  <si>
    <r>
      <rPr>
        <sz val="16"/>
        <rFont val="宋体"/>
        <charset val="134"/>
      </rPr>
      <t>水性</t>
    </r>
    <r>
      <rPr>
        <sz val="16"/>
        <rFont val="Calibri Light"/>
        <charset val="134"/>
      </rPr>
      <t>PU</t>
    </r>
    <r>
      <rPr>
        <sz val="16"/>
        <rFont val="宋体"/>
        <charset val="134"/>
      </rPr>
      <t>透明胶</t>
    </r>
  </si>
  <si>
    <r>
      <rPr>
        <sz val="16"/>
        <rFont val="Calibri Light"/>
        <charset val="134"/>
      </rPr>
      <t>3000mmH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</si>
  <si>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5000 G/M2.D</t>
  </si>
  <si>
    <t>N</t>
  </si>
  <si>
    <r>
      <rPr>
        <sz val="16"/>
        <rFont val="Calibri Light"/>
        <charset val="134"/>
      </rPr>
      <t>C8</t>
    </r>
    <r>
      <rPr>
        <sz val="16"/>
        <rFont val="宋体"/>
        <charset val="134"/>
      </rPr>
      <t>超泼水、三防及含吊牌</t>
    </r>
  </si>
  <si>
    <r>
      <rPr>
        <sz val="16"/>
        <rFont val="宋体"/>
        <charset val="134"/>
      </rPr>
      <t>消光</t>
    </r>
  </si>
  <si>
    <r>
      <rPr>
        <sz val="16"/>
        <rFont val="宋体"/>
        <charset val="134"/>
      </rPr>
      <t>铁牛印花（滚涂印花）</t>
    </r>
  </si>
  <si>
    <r>
      <rPr>
        <sz val="16"/>
        <rFont val="宋体"/>
        <charset val="134"/>
      </rPr>
      <t>磨毛抗氯染色</t>
    </r>
  </si>
  <si>
    <r>
      <rPr>
        <sz val="16"/>
        <rFont val="宋体"/>
        <charset val="134"/>
      </rPr>
      <t>防火</t>
    </r>
    <r>
      <rPr>
        <sz val="16"/>
        <rFont val="Calibri Light"/>
        <charset val="134"/>
      </rPr>
      <t>(PU)</t>
    </r>
  </si>
  <si>
    <r>
      <rPr>
        <sz val="16"/>
        <rFont val="Calibri Light"/>
        <charset val="134"/>
      </rPr>
      <t>5000mmH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</si>
  <si>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6000 G/M2.D</t>
  </si>
  <si>
    <r>
      <rPr>
        <sz val="16"/>
        <rFont val="Calibri Light"/>
        <charset val="134"/>
      </rPr>
      <t>C8</t>
    </r>
    <r>
      <rPr>
        <sz val="16"/>
        <rFont val="宋体"/>
        <charset val="134"/>
      </rPr>
      <t>防水</t>
    </r>
    <r>
      <rPr>
        <sz val="16"/>
        <rFont val="Calibri Light"/>
        <charset val="134"/>
      </rPr>
      <t>4</t>
    </r>
    <r>
      <rPr>
        <sz val="16"/>
        <rFont val="宋体"/>
        <charset val="134"/>
      </rPr>
      <t>级</t>
    </r>
  </si>
  <si>
    <t>G</t>
  </si>
  <si>
    <r>
      <rPr>
        <sz val="16"/>
        <rFont val="宋体"/>
        <charset val="134"/>
      </rPr>
      <t>吸湿排汗</t>
    </r>
  </si>
  <si>
    <t>K</t>
  </si>
  <si>
    <r>
      <rPr>
        <sz val="16"/>
        <rFont val="宋体"/>
        <charset val="134"/>
      </rPr>
      <t>正面硅胶</t>
    </r>
    <r>
      <rPr>
        <sz val="16"/>
        <rFont val="Calibri Light"/>
        <charset val="134"/>
      </rPr>
      <t>,</t>
    </r>
    <r>
      <rPr>
        <sz val="16"/>
        <rFont val="宋体"/>
        <charset val="134"/>
      </rPr>
      <t>另一面不压光</t>
    </r>
    <r>
      <rPr>
        <sz val="16"/>
        <rFont val="Calibri Light"/>
        <charset val="134"/>
      </rPr>
      <t>PU</t>
    </r>
    <r>
      <rPr>
        <sz val="16"/>
        <rFont val="宋体"/>
        <charset val="134"/>
      </rPr>
      <t>涂层</t>
    </r>
  </si>
  <si>
    <r>
      <rPr>
        <sz val="16"/>
        <rFont val="宋体"/>
        <charset val="134"/>
      </rPr>
      <t>吸湿排汗染色</t>
    </r>
  </si>
  <si>
    <t>I</t>
  </si>
  <si>
    <t>离型纸转贴</t>
  </si>
  <si>
    <r>
      <rPr>
        <sz val="16"/>
        <rFont val="Calibri Light"/>
        <charset val="134"/>
      </rPr>
      <t>10000mmH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</si>
  <si>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7000 G/M2.D</t>
  </si>
  <si>
    <r>
      <rPr>
        <sz val="16"/>
        <rFont val="Calibri Light"/>
        <charset val="134"/>
      </rPr>
      <t>C8</t>
    </r>
    <r>
      <rPr>
        <sz val="16"/>
        <rFont val="宋体"/>
        <charset val="134"/>
      </rPr>
      <t>三防加工及无吊牌耐洗</t>
    </r>
    <r>
      <rPr>
        <sz val="16"/>
        <rFont val="Calibri Light"/>
        <charset val="134"/>
      </rPr>
      <t>3-5</t>
    </r>
    <r>
      <rPr>
        <sz val="16"/>
        <rFont val="宋体"/>
        <charset val="134"/>
      </rPr>
      <t>次</t>
    </r>
  </si>
  <si>
    <r>
      <rPr>
        <sz val="16"/>
        <rFont val="宋体"/>
        <charset val="134"/>
      </rPr>
      <t>吸湿排汗易去污</t>
    </r>
  </si>
  <si>
    <t>L</t>
  </si>
  <si>
    <r>
      <rPr>
        <sz val="16"/>
        <rFont val="宋体"/>
        <charset val="134"/>
      </rPr>
      <t>一般压光</t>
    </r>
  </si>
  <si>
    <t>J</t>
  </si>
  <si>
    <r>
      <rPr>
        <sz val="16"/>
        <rFont val="Calibri Light"/>
        <charset val="134"/>
      </rPr>
      <t>JG</t>
    </r>
    <r>
      <rPr>
        <sz val="16"/>
        <rFont val="宋体"/>
        <charset val="134"/>
      </rPr>
      <t>染色</t>
    </r>
  </si>
  <si>
    <r>
      <rPr>
        <sz val="16"/>
        <rFont val="宋体"/>
        <charset val="134"/>
      </rPr>
      <t>珠光胶</t>
    </r>
  </si>
  <si>
    <r>
      <rPr>
        <sz val="16"/>
        <rFont val="Calibri Light"/>
        <charset val="134"/>
      </rPr>
      <t>8000mmH2O</t>
    </r>
    <r>
      <rPr>
        <sz val="16"/>
        <rFont val="宋体"/>
        <charset val="134"/>
      </rPr>
      <t>↑</t>
    </r>
  </si>
  <si>
    <t>8000 G/M2.D</t>
  </si>
  <si>
    <r>
      <rPr>
        <sz val="16"/>
        <rFont val="Calibri Light"/>
        <charset val="134"/>
      </rPr>
      <t>C8</t>
    </r>
    <r>
      <rPr>
        <sz val="16"/>
        <rFont val="宋体"/>
        <charset val="134"/>
      </rPr>
      <t>三防无吊牌耐洗</t>
    </r>
    <r>
      <rPr>
        <sz val="16"/>
        <rFont val="Calibri Light"/>
        <charset val="134"/>
      </rPr>
      <t>10</t>
    </r>
    <r>
      <rPr>
        <sz val="16"/>
        <rFont val="宋体"/>
        <charset val="134"/>
      </rPr>
      <t>次</t>
    </r>
  </si>
  <si>
    <r>
      <rPr>
        <sz val="16"/>
        <rFont val="宋体"/>
        <charset val="134"/>
      </rPr>
      <t>易去污</t>
    </r>
  </si>
  <si>
    <r>
      <rPr>
        <sz val="16"/>
        <rFont val="宋体"/>
        <charset val="134"/>
      </rPr>
      <t>不经压光</t>
    </r>
  </si>
  <si>
    <r>
      <rPr>
        <sz val="16"/>
        <rFont val="Calibri Light"/>
        <charset val="134"/>
      </rPr>
      <t>RP</t>
    </r>
    <r>
      <rPr>
        <sz val="16"/>
        <rFont val="宋体"/>
        <charset val="134"/>
      </rPr>
      <t>染皱染色</t>
    </r>
  </si>
  <si>
    <t>H</t>
  </si>
  <si>
    <r>
      <rPr>
        <sz val="16"/>
        <rFont val="Calibri Light"/>
        <charset val="134"/>
      </rPr>
      <t>20000mmH</t>
    </r>
    <r>
      <rPr>
        <vertAlign val="subscript"/>
        <sz val="16"/>
        <rFont val="Calibri Light"/>
        <charset val="134"/>
      </rPr>
      <t>2</t>
    </r>
    <r>
      <rPr>
        <sz val="16"/>
        <rFont val="Calibri Light"/>
        <charset val="134"/>
      </rPr>
      <t>O</t>
    </r>
    <r>
      <rPr>
        <sz val="16"/>
        <rFont val="宋体"/>
        <charset val="134"/>
      </rPr>
      <t>↑</t>
    </r>
  </si>
  <si>
    <t>9000 G/M2.D</t>
  </si>
  <si>
    <t>X</t>
  </si>
  <si>
    <r>
      <rPr>
        <sz val="16"/>
        <rFont val="Calibri Light"/>
        <charset val="134"/>
      </rPr>
      <t>C6</t>
    </r>
    <r>
      <rPr>
        <sz val="16"/>
        <rFont val="宋体"/>
        <charset val="134"/>
      </rPr>
      <t>防水</t>
    </r>
    <r>
      <rPr>
        <sz val="16"/>
        <rFont val="Calibri Light"/>
        <charset val="134"/>
      </rPr>
      <t>(50-60</t>
    </r>
    <r>
      <rPr>
        <sz val="16"/>
        <rFont val="宋体"/>
        <charset val="134"/>
      </rPr>
      <t>分）</t>
    </r>
  </si>
  <si>
    <t>Y</t>
  </si>
  <si>
    <r>
      <rPr>
        <sz val="16"/>
        <rFont val="宋体"/>
        <charset val="134"/>
      </rPr>
      <t>抗黄变定型</t>
    </r>
  </si>
  <si>
    <t>P</t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</si>
  <si>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微多孔膜</t>
    </r>
  </si>
  <si>
    <r>
      <rPr>
        <sz val="16"/>
        <rFont val="Calibri Light"/>
        <charset val="134"/>
      </rPr>
      <t>RP</t>
    </r>
    <r>
      <rPr>
        <sz val="16"/>
        <rFont val="宋体"/>
        <charset val="134"/>
      </rPr>
      <t>染色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</si>
  <si>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色胶</t>
    </r>
  </si>
  <si>
    <t>10000 G/M2.D</t>
  </si>
  <si>
    <r>
      <rPr>
        <sz val="16"/>
        <rFont val="Calibri Light"/>
        <charset val="134"/>
      </rPr>
      <t>C6</t>
    </r>
    <r>
      <rPr>
        <sz val="16"/>
        <rFont val="宋体"/>
        <charset val="134"/>
      </rPr>
      <t>防水</t>
    </r>
    <r>
      <rPr>
        <sz val="16"/>
        <rFont val="Calibri Light"/>
        <charset val="134"/>
      </rPr>
      <t>3</t>
    </r>
    <r>
      <rPr>
        <sz val="16"/>
        <rFont val="宋体"/>
        <charset val="134"/>
      </rPr>
      <t>级</t>
    </r>
    <r>
      <rPr>
        <sz val="16"/>
        <rFont val="Calibri Light"/>
        <charset val="134"/>
      </rPr>
      <t>(70-80</t>
    </r>
    <r>
      <rPr>
        <sz val="16"/>
        <rFont val="宋体"/>
        <charset val="134"/>
      </rPr>
      <t>分</t>
    </r>
    <r>
      <rPr>
        <sz val="16"/>
        <rFont val="Calibri Light"/>
        <charset val="134"/>
      </rPr>
      <t>)</t>
    </r>
  </si>
  <si>
    <r>
      <rPr>
        <sz val="16"/>
        <rFont val="宋体"/>
        <charset val="134"/>
      </rPr>
      <t>防蚊助剂</t>
    </r>
  </si>
  <si>
    <r>
      <rPr>
        <sz val="16"/>
        <rFont val="宋体"/>
        <charset val="134"/>
      </rPr>
      <t>压光面做面</t>
    </r>
  </si>
  <si>
    <r>
      <rPr>
        <sz val="16"/>
        <rFont val="宋体"/>
        <charset val="134"/>
      </rPr>
      <t>抗黄变染色</t>
    </r>
  </si>
  <si>
    <t>M</t>
  </si>
  <si>
    <r>
      <rPr>
        <sz val="16"/>
        <rFont val="宋体"/>
        <charset val="134"/>
      </rPr>
      <t>远红外线透湿胶</t>
    </r>
  </si>
  <si>
    <t>15000 G/M2.D</t>
  </si>
  <si>
    <r>
      <rPr>
        <sz val="16"/>
        <rFont val="Calibri Light"/>
        <charset val="134"/>
      </rPr>
      <t>C6</t>
    </r>
    <r>
      <rPr>
        <sz val="16"/>
        <rFont val="宋体"/>
        <charset val="134"/>
      </rPr>
      <t>防水</t>
    </r>
    <r>
      <rPr>
        <sz val="16"/>
        <rFont val="Calibri Light"/>
        <charset val="134"/>
      </rPr>
      <t>4</t>
    </r>
    <r>
      <rPr>
        <sz val="16"/>
        <rFont val="宋体"/>
        <charset val="134"/>
      </rPr>
      <t>级</t>
    </r>
  </si>
  <si>
    <r>
      <rPr>
        <sz val="16"/>
        <rFont val="宋体"/>
        <charset val="134"/>
      </rPr>
      <t>吸湿速干</t>
    </r>
  </si>
  <si>
    <r>
      <rPr>
        <sz val="16"/>
        <rFont val="宋体"/>
        <charset val="134"/>
      </rPr>
      <t>正面硅胶</t>
    </r>
    <r>
      <rPr>
        <sz val="16"/>
        <rFont val="Calibri Light"/>
        <charset val="134"/>
      </rPr>
      <t>,</t>
    </r>
    <r>
      <rPr>
        <sz val="16"/>
        <rFont val="宋体"/>
        <charset val="134"/>
      </rPr>
      <t>另一面压光加</t>
    </r>
    <r>
      <rPr>
        <sz val="16"/>
        <rFont val="Calibri Light"/>
        <charset val="134"/>
      </rPr>
      <t>PU</t>
    </r>
    <r>
      <rPr>
        <sz val="16"/>
        <rFont val="宋体"/>
        <charset val="134"/>
      </rPr>
      <t>涂层</t>
    </r>
  </si>
  <si>
    <t>抗菌染色</t>
  </si>
  <si>
    <r>
      <rPr>
        <sz val="16"/>
        <rFont val="Calibri Light"/>
        <charset val="134"/>
      </rPr>
      <t xml:space="preserve">PU </t>
    </r>
    <r>
      <rPr>
        <sz val="16"/>
        <rFont val="宋体"/>
        <charset val="134"/>
      </rPr>
      <t>印花膜</t>
    </r>
  </si>
  <si>
    <t>20000 G/M2.D</t>
  </si>
  <si>
    <t>U</t>
  </si>
  <si>
    <r>
      <rPr>
        <sz val="16"/>
        <rFont val="Calibri Light"/>
        <charset val="134"/>
      </rPr>
      <t>C6</t>
    </r>
    <r>
      <rPr>
        <sz val="16"/>
        <rFont val="宋体"/>
        <charset val="134"/>
      </rPr>
      <t>三防加工及无吊牌耐洗</t>
    </r>
    <r>
      <rPr>
        <sz val="16"/>
        <rFont val="Calibri Light"/>
        <charset val="134"/>
      </rPr>
      <t>3-5</t>
    </r>
    <r>
      <rPr>
        <sz val="16"/>
        <rFont val="宋体"/>
        <charset val="134"/>
      </rPr>
      <t>次</t>
    </r>
  </si>
  <si>
    <r>
      <rPr>
        <sz val="16"/>
        <rFont val="宋体"/>
        <charset val="134"/>
      </rPr>
      <t>抗花粉整理</t>
    </r>
  </si>
  <si>
    <t>防绒贴条</t>
  </si>
  <si>
    <r>
      <rPr>
        <sz val="16"/>
        <rFont val="宋体"/>
        <charset val="134"/>
      </rPr>
      <t>抗紫外染色</t>
    </r>
  </si>
  <si>
    <t>Silicone coating</t>
  </si>
  <si>
    <t>V</t>
  </si>
  <si>
    <r>
      <rPr>
        <sz val="16"/>
        <rFont val="Calibri Light"/>
        <charset val="134"/>
      </rPr>
      <t>C6</t>
    </r>
    <r>
      <rPr>
        <sz val="16"/>
        <rFont val="宋体"/>
        <charset val="134"/>
      </rPr>
      <t>三防无吊牌耐洗</t>
    </r>
    <r>
      <rPr>
        <sz val="16"/>
        <rFont val="Calibri Light"/>
        <charset val="134"/>
      </rPr>
      <t>10</t>
    </r>
    <r>
      <rPr>
        <sz val="16"/>
        <rFont val="宋体"/>
        <charset val="134"/>
      </rPr>
      <t>次</t>
    </r>
  </si>
  <si>
    <r>
      <rPr>
        <sz val="16"/>
        <rFont val="宋体"/>
        <charset val="134"/>
      </rPr>
      <t>树脂</t>
    </r>
  </si>
  <si>
    <t>离型纸转贴作面</t>
  </si>
  <si>
    <r>
      <rPr>
        <sz val="16"/>
        <rFont val="宋体"/>
        <charset val="134"/>
      </rPr>
      <t>染底纸印花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</si>
  <si>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透湿白胶</t>
    </r>
  </si>
  <si>
    <t>W</t>
  </si>
  <si>
    <r>
      <rPr>
        <sz val="16"/>
        <rFont val="Calibri Light"/>
        <charset val="134"/>
      </rPr>
      <t>C6</t>
    </r>
    <r>
      <rPr>
        <sz val="16"/>
        <rFont val="宋体"/>
        <charset val="134"/>
      </rPr>
      <t>超泼水、三防及含吊牌</t>
    </r>
  </si>
  <si>
    <t>胶原蛋白</t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</si>
  <si>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转移远红外线保温印花膜</t>
    </r>
  </si>
  <si>
    <r>
      <rPr>
        <sz val="16"/>
        <rFont val="宋体"/>
        <charset val="134"/>
      </rPr>
      <t>磨毛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吸湿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</si>
  <si>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透明胶</t>
    </r>
  </si>
  <si>
    <r>
      <rPr>
        <sz val="16"/>
        <rFont val="宋体"/>
        <charset val="134"/>
      </rPr>
      <t>无氟防水</t>
    </r>
    <r>
      <rPr>
        <sz val="16"/>
        <rFont val="Calibri Light"/>
        <charset val="134"/>
      </rPr>
      <t>(50-60</t>
    </r>
    <r>
      <rPr>
        <sz val="16"/>
        <rFont val="宋体"/>
        <charset val="134"/>
      </rPr>
      <t>分）</t>
    </r>
  </si>
  <si>
    <t>芳香</t>
  </si>
  <si>
    <r>
      <rPr>
        <sz val="16"/>
        <rFont val="宋体"/>
        <charset val="134"/>
      </rPr>
      <t>激光冲孔</t>
    </r>
  </si>
  <si>
    <r>
      <rPr>
        <sz val="16"/>
        <rFont val="宋体"/>
        <charset val="134"/>
      </rPr>
      <t>尼龙印花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</si>
  <si>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透明透湿胶</t>
    </r>
  </si>
  <si>
    <r>
      <rPr>
        <sz val="16"/>
        <rFont val="宋体"/>
        <charset val="134"/>
      </rPr>
      <t>无氟防水</t>
    </r>
    <r>
      <rPr>
        <sz val="16"/>
        <rFont val="Calibri Light"/>
        <charset val="134"/>
      </rPr>
      <t>3</t>
    </r>
    <r>
      <rPr>
        <sz val="16"/>
        <rFont val="宋体"/>
        <charset val="134"/>
      </rPr>
      <t>级</t>
    </r>
    <r>
      <rPr>
        <sz val="16"/>
        <rFont val="Calibri Light"/>
        <charset val="134"/>
      </rPr>
      <t>(70-80</t>
    </r>
    <r>
      <rPr>
        <sz val="16"/>
        <rFont val="宋体"/>
        <charset val="134"/>
      </rPr>
      <t>分</t>
    </r>
    <r>
      <rPr>
        <sz val="16"/>
        <rFont val="Calibri Light"/>
        <charset val="134"/>
      </rPr>
      <t>)</t>
    </r>
  </si>
  <si>
    <t>抗菌防霉</t>
  </si>
  <si>
    <r>
      <rPr>
        <sz val="16"/>
        <rFont val="宋体"/>
        <charset val="134"/>
      </rPr>
      <t>烫金工艺</t>
    </r>
  </si>
  <si>
    <r>
      <rPr>
        <sz val="16"/>
        <rFont val="宋体"/>
        <charset val="134"/>
      </rPr>
      <t>拉毛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印花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</si>
  <si>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白胶</t>
    </r>
  </si>
  <si>
    <r>
      <rPr>
        <sz val="16"/>
        <rFont val="宋体"/>
        <charset val="134"/>
      </rPr>
      <t>无氟防水</t>
    </r>
    <r>
      <rPr>
        <sz val="16"/>
        <rFont val="Calibri Light"/>
        <charset val="134"/>
      </rPr>
      <t>4</t>
    </r>
    <r>
      <rPr>
        <sz val="16"/>
        <rFont val="宋体"/>
        <charset val="134"/>
      </rPr>
      <t>级</t>
    </r>
  </si>
  <si>
    <t>UPF+吸湿排汗</t>
  </si>
  <si>
    <t>针织贴合</t>
  </si>
  <si>
    <r>
      <rPr>
        <sz val="16"/>
        <rFont val="宋体"/>
        <charset val="134"/>
      </rPr>
      <t>冷转移印花</t>
    </r>
  </si>
  <si>
    <t>Q</t>
  </si>
  <si>
    <r>
      <rPr>
        <sz val="16"/>
        <rFont val="Calibri Light"/>
        <charset val="134"/>
      </rPr>
      <t>A/C</t>
    </r>
    <r>
      <rPr>
        <sz val="16"/>
        <rFont val="宋体"/>
        <charset val="134"/>
      </rPr>
      <t>透明强力胶</t>
    </r>
  </si>
  <si>
    <r>
      <rPr>
        <sz val="16"/>
        <rFont val="宋体"/>
        <charset val="134"/>
      </rPr>
      <t>无氟防水鲁道夫吊牌</t>
    </r>
  </si>
  <si>
    <t>抗病毒</t>
  </si>
  <si>
    <r>
      <rPr>
        <sz val="16"/>
        <rFont val="宋体"/>
        <charset val="134"/>
      </rPr>
      <t>海绵复合</t>
    </r>
  </si>
  <si>
    <t>Z</t>
  </si>
  <si>
    <r>
      <rPr>
        <sz val="16"/>
        <rFont val="宋体"/>
        <charset val="134"/>
      </rPr>
      <t>抓绒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</si>
  <si>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蜡感胶</t>
    </r>
  </si>
  <si>
    <r>
      <rPr>
        <sz val="16"/>
        <rFont val="宋体"/>
        <charset val="134"/>
      </rPr>
      <t>无氟防水</t>
    </r>
    <r>
      <rPr>
        <sz val="16"/>
        <rFont val="Calibri Light"/>
        <charset val="134"/>
      </rPr>
      <t>3M</t>
    </r>
    <r>
      <rPr>
        <sz val="16"/>
        <rFont val="宋体"/>
        <charset val="134"/>
      </rPr>
      <t>吊牌</t>
    </r>
  </si>
  <si>
    <t>凉感</t>
  </si>
  <si>
    <r>
      <rPr>
        <sz val="16"/>
        <rFont val="宋体"/>
        <charset val="134"/>
      </rPr>
      <t>摇粒绒贴合</t>
    </r>
  </si>
  <si>
    <r>
      <rPr>
        <sz val="16"/>
        <rFont val="宋体"/>
        <charset val="134"/>
      </rPr>
      <t>单上胶</t>
    </r>
  </si>
  <si>
    <r>
      <rPr>
        <sz val="16"/>
        <rFont val="宋体"/>
        <charset val="134"/>
      </rPr>
      <t>水性</t>
    </r>
    <r>
      <rPr>
        <sz val="16"/>
        <rFont val="Calibri Light"/>
        <charset val="134"/>
      </rPr>
      <t>AC</t>
    </r>
    <r>
      <rPr>
        <sz val="16"/>
        <rFont val="宋体"/>
        <charset val="134"/>
      </rPr>
      <t>色胶</t>
    </r>
  </si>
  <si>
    <r>
      <rPr>
        <sz val="16"/>
        <rFont val="宋体"/>
        <charset val="134"/>
      </rPr>
      <t>无氟防水</t>
    </r>
    <r>
      <rPr>
        <sz val="16"/>
        <rFont val="Calibri Light"/>
        <charset val="134"/>
      </rPr>
      <t>R3</t>
    </r>
    <r>
      <rPr>
        <sz val="16"/>
        <rFont val="宋体"/>
        <charset val="134"/>
      </rPr>
      <t>杜邦吊牌</t>
    </r>
  </si>
  <si>
    <t>温控</t>
  </si>
  <si>
    <r>
      <rPr>
        <sz val="16"/>
        <rFont val="宋体"/>
        <charset val="134"/>
      </rPr>
      <t>涂层复合不压光</t>
    </r>
  </si>
  <si>
    <t>重压光染皱</t>
  </si>
  <si>
    <r>
      <rPr>
        <sz val="16"/>
        <rFont val="宋体"/>
        <charset val="134"/>
      </rPr>
      <t>微多孔湿法透湿白胶</t>
    </r>
  </si>
  <si>
    <r>
      <rPr>
        <sz val="16"/>
        <color rgb="FFFF0000"/>
        <rFont val="Calibri Light"/>
        <charset val="134"/>
      </rPr>
      <t>C6</t>
    </r>
    <r>
      <rPr>
        <sz val="16"/>
        <color rgb="FFFF0000"/>
        <rFont val="宋体"/>
        <charset val="134"/>
      </rPr>
      <t>三防无吊牌耐洗20次</t>
    </r>
  </si>
  <si>
    <r>
      <rPr>
        <sz val="16"/>
        <rFont val="宋体"/>
        <charset val="134"/>
      </rPr>
      <t>膜二层复合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压光</t>
    </r>
  </si>
  <si>
    <r>
      <rPr>
        <sz val="16"/>
        <rFont val="宋体"/>
        <charset val="134"/>
      </rPr>
      <t>微多孔干法透湿白胶</t>
    </r>
  </si>
  <si>
    <r>
      <rPr>
        <sz val="16"/>
        <color rgb="FFFF0000"/>
        <rFont val="Calibri Light"/>
        <charset val="134"/>
      </rPr>
      <t>C0</t>
    </r>
    <r>
      <rPr>
        <sz val="16"/>
        <color rgb="FFFF0000"/>
        <rFont val="宋体"/>
        <charset val="134"/>
      </rPr>
      <t>三防无吊牌耐洗</t>
    </r>
    <r>
      <rPr>
        <sz val="16"/>
        <color rgb="FFFF0000"/>
        <rFont val="Calibri Light"/>
        <charset val="134"/>
      </rPr>
      <t>10</t>
    </r>
    <r>
      <rPr>
        <sz val="16"/>
        <color rgb="FFFF0000"/>
        <rFont val="宋体"/>
        <charset val="134"/>
      </rPr>
      <t>次</t>
    </r>
  </si>
  <si>
    <r>
      <rPr>
        <sz val="16"/>
        <rFont val="宋体"/>
        <charset val="134"/>
      </rPr>
      <t>膜二层复合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不压光</t>
    </r>
  </si>
  <si>
    <r>
      <rPr>
        <sz val="16"/>
        <rFont val="宋体"/>
        <charset val="134"/>
      </rPr>
      <t>肤感胶</t>
    </r>
  </si>
  <si>
    <r>
      <rPr>
        <sz val="16"/>
        <rFont val="宋体"/>
        <charset val="134"/>
      </rPr>
      <t>膜三层复合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压光</t>
    </r>
  </si>
  <si>
    <r>
      <rPr>
        <sz val="16"/>
        <rFont val="Calibri Light"/>
        <charset val="134"/>
      </rPr>
      <t>TPU</t>
    </r>
    <r>
      <rPr>
        <sz val="16"/>
        <rFont val="宋体"/>
        <charset val="134"/>
      </rPr>
      <t>透湿透明膜</t>
    </r>
  </si>
  <si>
    <r>
      <rPr>
        <sz val="16"/>
        <rFont val="宋体"/>
        <charset val="134"/>
      </rPr>
      <t>膜三层复合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不压光</t>
    </r>
  </si>
  <si>
    <r>
      <rPr>
        <sz val="16"/>
        <rFont val="Calibri Light"/>
        <charset val="134"/>
      </rPr>
      <t>TPU</t>
    </r>
    <r>
      <rPr>
        <sz val="16"/>
        <rFont val="宋体"/>
        <charset val="134"/>
      </rPr>
      <t>透湿白色膜</t>
    </r>
  </si>
  <si>
    <r>
      <rPr>
        <sz val="16"/>
        <rFont val="宋体"/>
        <charset val="134"/>
      </rPr>
      <t>梭织布贴合</t>
    </r>
  </si>
  <si>
    <r>
      <rPr>
        <sz val="16"/>
        <rFont val="Calibri Light"/>
        <charset val="134"/>
      </rPr>
      <t>TPU</t>
    </r>
    <r>
      <rPr>
        <sz val="16"/>
        <rFont val="宋体"/>
        <charset val="134"/>
      </rPr>
      <t>透湿白色雾面膜</t>
    </r>
  </si>
  <si>
    <r>
      <rPr>
        <sz val="16"/>
        <rFont val="宋体"/>
        <charset val="134"/>
      </rPr>
      <t>超声波绗棉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无纺布</t>
    </r>
  </si>
  <si>
    <r>
      <rPr>
        <sz val="16"/>
        <rFont val="Calibri Light"/>
        <charset val="134"/>
      </rPr>
      <t>TPU</t>
    </r>
    <r>
      <rPr>
        <sz val="16"/>
        <rFont val="宋体"/>
        <charset val="134"/>
      </rPr>
      <t>透湿雾面膜</t>
    </r>
  </si>
  <si>
    <r>
      <rPr>
        <sz val="16"/>
        <rFont val="宋体"/>
        <charset val="134"/>
      </rPr>
      <t>缝线压花</t>
    </r>
    <r>
      <rPr>
        <sz val="16"/>
        <rFont val="Calibri Light"/>
        <charset val="134"/>
      </rPr>
      <t>+</t>
    </r>
    <r>
      <rPr>
        <sz val="16"/>
        <rFont val="宋体"/>
        <charset val="134"/>
      </rPr>
      <t>无纺布</t>
    </r>
  </si>
  <si>
    <r>
      <rPr>
        <sz val="16"/>
        <rFont val="Calibri Light"/>
        <charset val="134"/>
      </rPr>
      <t>TPU</t>
    </r>
    <r>
      <rPr>
        <sz val="16"/>
        <rFont val="宋体"/>
        <charset val="134"/>
      </rPr>
      <t>透湿印花膜</t>
    </r>
  </si>
  <si>
    <r>
      <rPr>
        <sz val="16"/>
        <color rgb="FF000000"/>
        <rFont val="宋体"/>
        <charset val="134"/>
      </rPr>
      <t>镭射贴膜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</si>
  <si>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透湿透明膜</t>
    </r>
  </si>
  <si>
    <r>
      <rPr>
        <sz val="16"/>
        <color rgb="FF000000"/>
        <rFont val="Calibri Light"/>
        <charset val="134"/>
      </rPr>
      <t>EVA</t>
    </r>
    <r>
      <rPr>
        <sz val="16"/>
        <color rgb="FF000000"/>
        <rFont val="宋体"/>
        <charset val="134"/>
      </rPr>
      <t>复合</t>
    </r>
  </si>
  <si>
    <r>
      <rPr>
        <sz val="16"/>
        <rFont val="Calibri Light"/>
        <charset val="134"/>
      </rPr>
      <t>PU</t>
    </r>
    <r>
      <rPr>
        <sz val="16"/>
        <rFont val="宋体"/>
        <charset val="134"/>
      </rPr>
      <t>透湿白色膜</t>
    </r>
  </si>
  <si>
    <r>
      <rPr>
        <sz val="16"/>
        <color rgb="FF000000"/>
        <rFont val="Calibri Light"/>
        <charset val="134"/>
      </rPr>
      <t>PVC</t>
    </r>
    <r>
      <rPr>
        <sz val="16"/>
        <color rgb="FF000000"/>
        <rFont val="宋体"/>
        <charset val="134"/>
      </rPr>
      <t>复合</t>
    </r>
  </si>
  <si>
    <r>
      <rPr>
        <sz val="16"/>
        <rFont val="Calibri Light"/>
        <charset val="134"/>
      </rPr>
      <t>PTFE</t>
    </r>
    <r>
      <rPr>
        <sz val="16"/>
        <rFont val="宋体"/>
        <charset val="134"/>
      </rPr>
      <t>透湿白色膜</t>
    </r>
  </si>
  <si>
    <r>
      <rPr>
        <sz val="16"/>
        <color rgb="FF000000"/>
        <rFont val="Calibri Light"/>
        <charset val="134"/>
      </rPr>
      <t>TPU</t>
    </r>
    <r>
      <rPr>
        <sz val="16"/>
        <color rgb="FF000000"/>
        <rFont val="宋体"/>
        <charset val="134"/>
      </rPr>
      <t>重贴作面</t>
    </r>
  </si>
  <si>
    <r>
      <rPr>
        <sz val="16"/>
        <rFont val="宋体"/>
        <charset val="134"/>
      </rPr>
      <t>反光材料</t>
    </r>
  </si>
  <si>
    <t>热熔膜</t>
  </si>
  <si>
    <r>
      <rPr>
        <sz val="16"/>
        <rFont val="宋体"/>
        <charset val="134"/>
      </rPr>
      <t>透明发热胶</t>
    </r>
  </si>
  <si>
    <r>
      <rPr>
        <sz val="16"/>
        <color rgb="FF000000"/>
        <rFont val="宋体"/>
        <charset val="134"/>
      </rPr>
      <t>压花</t>
    </r>
    <r>
      <rPr>
        <sz val="16"/>
        <color rgb="FF000000"/>
        <rFont val="Calibri Light"/>
        <charset val="134"/>
      </rPr>
      <t>+</t>
    </r>
    <r>
      <rPr>
        <sz val="16"/>
        <color rgb="FF000000"/>
        <rFont val="宋体"/>
        <charset val="134"/>
      </rPr>
      <t>针织复合</t>
    </r>
  </si>
  <si>
    <t>a</t>
  </si>
  <si>
    <r>
      <rPr>
        <sz val="16"/>
        <rFont val="宋体"/>
        <charset val="134"/>
      </rPr>
      <t>温感色胶</t>
    </r>
  </si>
  <si>
    <r>
      <rPr>
        <sz val="16"/>
        <rFont val="SimSun"/>
        <charset val="134"/>
      </rPr>
      <t>石墨烯</t>
    </r>
    <r>
      <rPr>
        <sz val="16"/>
        <rFont val="Calibri Light"/>
        <charset val="134"/>
      </rPr>
      <t>PU</t>
    </r>
    <r>
      <rPr>
        <sz val="16"/>
        <rFont val="SimSun"/>
        <charset val="134"/>
      </rPr>
      <t>高透膜</t>
    </r>
  </si>
  <si>
    <t>b</t>
  </si>
  <si>
    <r>
      <rPr>
        <sz val="16"/>
        <rFont val="Calibri Light"/>
        <charset val="134"/>
      </rPr>
      <t>TPU</t>
    </r>
    <r>
      <rPr>
        <sz val="16"/>
        <rFont val="宋体"/>
        <charset val="134"/>
      </rPr>
      <t>透湿导电印花膜</t>
    </r>
  </si>
  <si>
    <t>夜光膜</t>
  </si>
  <si>
    <t>c</t>
  </si>
  <si>
    <t>烫银PU膜</t>
  </si>
  <si>
    <t xml:space="preserve">c </t>
  </si>
  <si>
    <t>发热膜</t>
  </si>
  <si>
    <t>d</t>
  </si>
  <si>
    <t>黑色TPU膜</t>
  </si>
  <si>
    <r>
      <rPr>
        <sz val="16"/>
        <rFont val="宋体"/>
        <charset val="134"/>
      </rPr>
      <t>O</t>
    </r>
    <r>
      <rPr>
        <sz val="16"/>
        <rFont val="宋体"/>
        <charset val="134"/>
      </rPr>
      <t>PP膜</t>
    </r>
  </si>
  <si>
    <t>e</t>
  </si>
  <si>
    <t>PU透气膜</t>
  </si>
  <si>
    <t>刷毛</t>
  </si>
  <si>
    <r>
      <rPr>
        <sz val="18"/>
        <color indexed="10"/>
        <rFont val="Calibri Light"/>
        <charset val="134"/>
      </rPr>
      <t>1</t>
    </r>
    <r>
      <rPr>
        <sz val="18"/>
        <color indexed="10"/>
        <rFont val="宋体"/>
        <charset val="134"/>
      </rPr>
      <t>、目前此代号对应</t>
    </r>
    <r>
      <rPr>
        <sz val="18"/>
        <color indexed="10"/>
        <rFont val="Calibri Light"/>
        <charset val="134"/>
      </rPr>
      <t>MP014</t>
    </r>
    <r>
      <rPr>
        <sz val="18"/>
        <color indexed="10"/>
        <rFont val="宋体"/>
        <charset val="134"/>
      </rPr>
      <t>渐变功能胶，以后若是增加颜色按照珠光渐变功能胶的色号编列。</t>
    </r>
  </si>
  <si>
    <r>
      <rPr>
        <sz val="18"/>
        <color indexed="10"/>
        <rFont val="Calibri Light"/>
        <charset val="134"/>
      </rPr>
      <t>2</t>
    </r>
    <r>
      <rPr>
        <sz val="18"/>
        <color indexed="10"/>
        <rFont val="宋体"/>
        <charset val="134"/>
      </rPr>
      <t>、对于</t>
    </r>
    <r>
      <rPr>
        <sz val="18"/>
        <color indexed="10"/>
        <rFont val="Calibri Light"/>
        <charset val="134"/>
      </rPr>
      <t>MP001</t>
    </r>
    <r>
      <rPr>
        <sz val="18"/>
        <color indexed="10"/>
        <rFont val="宋体"/>
        <charset val="134"/>
      </rPr>
      <t>渐变不透底四个色用</t>
    </r>
    <r>
      <rPr>
        <sz val="18"/>
        <color indexed="10"/>
        <rFont val="Calibri Light"/>
        <charset val="134"/>
      </rPr>
      <t>1#</t>
    </r>
    <r>
      <rPr>
        <sz val="18"/>
        <color indexed="10"/>
        <rFont val="宋体"/>
        <charset val="134"/>
      </rPr>
      <t>、</t>
    </r>
    <r>
      <rPr>
        <sz val="18"/>
        <color indexed="10"/>
        <rFont val="Calibri Light"/>
        <charset val="134"/>
      </rPr>
      <t>2#</t>
    </r>
    <r>
      <rPr>
        <sz val="18"/>
        <color indexed="10"/>
        <rFont val="宋体"/>
        <charset val="134"/>
      </rPr>
      <t>、</t>
    </r>
    <r>
      <rPr>
        <sz val="18"/>
        <color indexed="10"/>
        <rFont val="Calibri Light"/>
        <charset val="134"/>
      </rPr>
      <t>3#</t>
    </r>
    <r>
      <rPr>
        <sz val="18"/>
        <color indexed="10"/>
        <rFont val="宋体"/>
        <charset val="134"/>
      </rPr>
      <t>、</t>
    </r>
    <r>
      <rPr>
        <sz val="18"/>
        <color indexed="10"/>
        <rFont val="Calibri Light"/>
        <charset val="134"/>
      </rPr>
      <t>4#</t>
    </r>
    <r>
      <rPr>
        <sz val="18"/>
        <color indexed="10"/>
        <rFont val="宋体"/>
        <charset val="134"/>
      </rPr>
      <t>代号，后续有增加花型以此类推。</t>
    </r>
  </si>
  <si>
    <r>
      <rPr>
        <sz val="18"/>
        <color indexed="10"/>
        <rFont val="Calibri Light"/>
        <charset val="134"/>
      </rPr>
      <t>3</t>
    </r>
    <r>
      <rPr>
        <sz val="18"/>
        <color indexed="10"/>
        <rFont val="宋体"/>
        <charset val="134"/>
      </rPr>
      <t>、标黄色是广州增加的代码</t>
    </r>
  </si>
  <si>
    <t>信兴隆棉类产品加工别代码一览表</t>
  </si>
  <si>
    <t>栏位</t>
  </si>
  <si>
    <t>项目</t>
  </si>
  <si>
    <t>染色</t>
  </si>
  <si>
    <t>手感、毛感整理</t>
  </si>
  <si>
    <t>泼水度</t>
  </si>
  <si>
    <t>定型功能</t>
  </si>
  <si>
    <t>胶类</t>
  </si>
  <si>
    <t>代号</t>
  </si>
  <si>
    <t>说明</t>
  </si>
  <si>
    <t>前处理不染色</t>
  </si>
  <si>
    <t>无整理</t>
  </si>
  <si>
    <t>无泼水</t>
  </si>
  <si>
    <r>
      <rPr>
        <sz val="9"/>
        <rFont val="宋体"/>
        <charset val="134"/>
      </rPr>
      <t>无功能</t>
    </r>
    <r>
      <rPr>
        <sz val="9"/>
        <rFont val="Times New Roman"/>
        <charset val="134"/>
      </rPr>
      <t xml:space="preserve"> </t>
    </r>
  </si>
  <si>
    <t>无上胶</t>
  </si>
  <si>
    <t>普染/NORMAL FINISHING</t>
  </si>
  <si>
    <t>磨毛/MICRO SAND</t>
  </si>
  <si>
    <t>低度泼水(50°-70°)/LOW W/R</t>
  </si>
  <si>
    <t>阻燃定型/ FLAME RETARDANT</t>
  </si>
  <si>
    <t>压克力透明胶/A/C COATING</t>
  </si>
  <si>
    <t>洗褪/FADING AWAY</t>
  </si>
  <si>
    <t>碳素磨毛/CARBON SUEDE</t>
  </si>
  <si>
    <t>泼水定型(80°以上)/ W/R</t>
  </si>
  <si>
    <t>抗紫外线/UV CUT</t>
  </si>
  <si>
    <t>水性AC透明胶/ WATER BASE A/C COATING</t>
  </si>
  <si>
    <t>冷染/COLD PAD-BATCH DYEING</t>
  </si>
  <si>
    <t>抓剪毛/RAISING&amp;SHEARING</t>
  </si>
  <si>
    <t>柔软定型/ SOFT FINISHING</t>
  </si>
  <si>
    <t>抗静电加工/ ANTI-STATIC</t>
  </si>
  <si>
    <t>压克力色胶/A/C COLOR COATING</t>
  </si>
  <si>
    <t>染底印花/DYEING &amp; PRINTING</t>
  </si>
  <si>
    <t>磨花/PATTERN SUEDE</t>
  </si>
  <si>
    <t>泼水柔软定型/ SOFT &amp; W/R FINISHING</t>
  </si>
  <si>
    <t>抗菌防臭加工/ANTI-MICROBES</t>
  </si>
  <si>
    <t>水性PU透明胶/ WATER BASE PU COATING</t>
  </si>
  <si>
    <t>本白印花/PRINTING</t>
  </si>
  <si>
    <t>仿天丝/SILKY TOUCH</t>
  </si>
  <si>
    <t>树脂定型/ RESIN FINISHING</t>
  </si>
  <si>
    <t>三防加工/W/R &amp; O/R &amp; S/R</t>
  </si>
  <si>
    <t>防火(PU)/FLAME RETARDANT PU COATING</t>
  </si>
  <si>
    <t>双面印花/BOTH SIDES PRINTING</t>
  </si>
  <si>
    <t>磨毛+仿天丝/MICRO SAND &amp; SILKY TOUCH</t>
  </si>
  <si>
    <t>泼水树脂/ RESINATE &amp; W/R</t>
  </si>
  <si>
    <t>易去污/ S/R</t>
  </si>
  <si>
    <t>针织拉绒复合</t>
  </si>
  <si>
    <t>洗褪印花/FADING AWAY &amp; PRINTING</t>
  </si>
  <si>
    <t>碳磨+仿天丝/MICRO SAND &amp; SILKY TOUCH</t>
  </si>
  <si>
    <t>超泼水定型/ W/R &amp; O/R</t>
  </si>
  <si>
    <t>抗黄变定型/ ANTI-YELLOWING</t>
  </si>
  <si>
    <t xml:space="preserve">PU色胶(蜡感胶)/ PU COLOR COATING( WAX COATING) </t>
  </si>
  <si>
    <t>冷染印花/COLD PAD-BATCH DYEING &amp; PRINTING</t>
  </si>
  <si>
    <t>加强泼水/ ENHANCE W/R</t>
  </si>
  <si>
    <t>抛松整理（特柔）/AIRO FINISH</t>
  </si>
  <si>
    <t>硅胶/SIlICONE COATING</t>
  </si>
  <si>
    <t>拔印/DISCHARGE PRINTING</t>
  </si>
  <si>
    <t>PU透湿色胶/PU COLOR COATING</t>
  </si>
  <si>
    <t>烫金/BRONZING</t>
  </si>
  <si>
    <t>PU透明胶/PU COATING</t>
  </si>
  <si>
    <t>PU透明透湿胶/ PU BREATHABLE COATING</t>
  </si>
  <si>
    <t>油墨胶/ CARBON COATING</t>
  </si>
  <si>
    <t>水性AC色胶/ WATER BASE A/C  COLOR COATING</t>
  </si>
  <si>
    <t>水性PU色胶/ WATER BASE PU COLOR COATING</t>
  </si>
  <si>
    <t>水性PU白胶/ WATER BASE PU MILKY COATING</t>
  </si>
  <si>
    <t>纸感胶PAPER TOUCHA</t>
  </si>
  <si>
    <t xml:space="preserve">亮光胶    </t>
  </si>
  <si>
    <t>PU皮感胶</t>
  </si>
  <si>
    <t>龟裂胶CHAP COATING</t>
  </si>
  <si>
    <t>TEFLON(10次)</t>
  </si>
  <si>
    <t>毛感胶</t>
  </si>
  <si>
    <t>仿记忆胶SHAPE MEMORY COATING</t>
  </si>
  <si>
    <t xml:space="preserve">M </t>
  </si>
  <si>
    <t>兴隆纺半光功能性胶 LONGTEXTILE SD FINISHING</t>
  </si>
  <si>
    <t xml:space="preserve">N </t>
  </si>
  <si>
    <t>兴隆纺消光功能性胶 LONGTEXTILE FD FINISHING</t>
  </si>
  <si>
    <t>肤感胶</t>
  </si>
  <si>
    <t>复合二层/2-LAYER LAMINATION</t>
  </si>
  <si>
    <t>复合三层/ 3-LAYER LAMINATION</t>
  </si>
  <si>
    <t>昇奕隆布种命名（布种编号）规则</t>
  </si>
  <si>
    <t>更新日期：</t>
  </si>
  <si>
    <t>命名规则：</t>
  </si>
  <si>
    <t>1：主要以SY+年份+数字从小到大编号，例如SY26001-SY261001-SY2610001等</t>
  </si>
  <si>
    <t>2：鉴于很多产品现货为主，现货色卡有些同底布不同纹路或者加工整理等情况，会出现后缀情况，例如SY26268-3,SY26268-185,SY26269-293-3,其中-3，-185，-293-3是代表其在SY26268/SY26269色卡内的色号或者色卡内的品质代号。</t>
  </si>
  <si>
    <t>3：后续有遇到新的问题将持续完善编号规则</t>
  </si>
  <si>
    <t>昇奕隆编号表</t>
  </si>
  <si>
    <r>
      <rPr>
        <sz val="10"/>
        <color theme="1"/>
        <rFont val="宋体"/>
        <charset val="134"/>
      </rPr>
      <t>成品信息</t>
    </r>
  </si>
  <si>
    <r>
      <rPr>
        <sz val="10"/>
        <color theme="1"/>
        <rFont val="宋体"/>
        <charset val="134"/>
      </rPr>
      <t>（年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日）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</si>
  <si>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业务员</t>
    </r>
    <r>
      <rPr>
        <sz val="10"/>
        <color theme="1"/>
        <rFont val="Arial"/>
        <charset val="134"/>
      </rPr>
      <t xml:space="preserve">
Owner</t>
    </r>
  </si>
  <si>
    <r>
      <rPr>
        <sz val="10"/>
        <color theme="1"/>
        <rFont val="宋体"/>
        <charset val="134"/>
      </rPr>
      <t>客户</t>
    </r>
    <r>
      <rPr>
        <sz val="10"/>
        <color theme="1"/>
        <rFont val="Arial"/>
        <charset val="134"/>
      </rPr>
      <t xml:space="preserve">
Customer</t>
    </r>
  </si>
  <si>
    <r>
      <rPr>
        <sz val="10"/>
        <rFont val="宋体"/>
        <charset val="134"/>
      </rPr>
      <t>布种编号</t>
    </r>
    <r>
      <rPr>
        <sz val="10"/>
        <rFont val="Arial"/>
        <charset val="134"/>
      </rPr>
      <t xml:space="preserve">
#Base</t>
    </r>
  </si>
  <si>
    <r>
      <rPr>
        <sz val="10"/>
        <color theme="1"/>
        <rFont val="宋体"/>
        <charset val="134"/>
      </rPr>
      <t>材料名称</t>
    </r>
    <r>
      <rPr>
        <sz val="10"/>
        <color theme="1"/>
        <rFont val="Arial"/>
        <charset val="134"/>
      </rPr>
      <t xml:space="preserve">
Name</t>
    </r>
  </si>
  <si>
    <r>
      <rPr>
        <sz val="10"/>
        <rFont val="宋体"/>
        <charset val="134"/>
      </rPr>
      <t>成份（中文</t>
    </r>
    <r>
      <rPr>
        <sz val="10"/>
        <rFont val="Arial"/>
        <charset val="134"/>
      </rPr>
      <t>)
Composition</t>
    </r>
  </si>
  <si>
    <r>
      <rPr>
        <sz val="10"/>
        <color rgb="FFFF0000"/>
        <rFont val="Arial"/>
        <charset val="134"/>
      </rPr>
      <t>*</t>
    </r>
    <r>
      <rPr>
        <sz val="10"/>
        <rFont val="宋体"/>
        <charset val="134"/>
      </rPr>
      <t>成份（英文）</t>
    </r>
    <r>
      <rPr>
        <sz val="10"/>
        <rFont val="Arial"/>
        <charset val="134"/>
      </rPr>
      <t xml:space="preserve">
Composition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</si>
  <si>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Arial"/>
        <charset val="134"/>
      </rPr>
      <t>SPECIFICATION/</t>
    </r>
    <r>
      <rPr>
        <sz val="10"/>
        <color theme="1"/>
        <rFont val="宋体"/>
        <charset val="134"/>
      </rPr>
      <t>规格</t>
    </r>
    <r>
      <rPr>
        <sz val="10"/>
        <color theme="1"/>
        <rFont val="Arial"/>
        <charset val="134"/>
      </rPr>
      <t xml:space="preserve">
</t>
    </r>
    <r>
      <rPr>
        <sz val="10"/>
        <color theme="1"/>
        <rFont val="宋体"/>
        <charset val="134"/>
      </rPr>
      <t>（经纱支</t>
    </r>
    <r>
      <rPr>
        <sz val="10"/>
        <color theme="1"/>
        <rFont val="Arial"/>
        <charset val="134"/>
      </rPr>
      <t>x</t>
    </r>
    <r>
      <rPr>
        <sz val="10"/>
        <color theme="1"/>
        <rFont val="宋体"/>
        <charset val="134"/>
      </rPr>
      <t>纬纱支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经密度</t>
    </r>
    <r>
      <rPr>
        <sz val="10"/>
        <color theme="1"/>
        <rFont val="Arial"/>
        <charset val="134"/>
      </rPr>
      <t>x</t>
    </r>
    <r>
      <rPr>
        <sz val="10"/>
        <color theme="1"/>
        <rFont val="宋体"/>
        <charset val="134"/>
      </rPr>
      <t>纬密度）</t>
    </r>
  </si>
  <si>
    <r>
      <rPr>
        <sz val="10"/>
        <color theme="1"/>
        <rFont val="宋体"/>
        <charset val="134"/>
      </rPr>
      <t>全部加工工艺（中文）</t>
    </r>
    <r>
      <rPr>
        <sz val="10"/>
        <color theme="1"/>
        <rFont val="Arial"/>
        <charset val="134"/>
      </rPr>
      <t xml:space="preserve">
Processes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</si>
  <si>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全部加工工艺（英文）</t>
    </r>
    <r>
      <rPr>
        <sz val="10"/>
        <color theme="1"/>
        <rFont val="Arial"/>
        <charset val="134"/>
      </rPr>
      <t xml:space="preserve">
Processes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</si>
  <si>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可裁门幅</t>
    </r>
    <r>
      <rPr>
        <sz val="10"/>
        <color theme="1"/>
        <rFont val="Arial"/>
        <charset val="134"/>
      </rPr>
      <t xml:space="preserve">
Width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</si>
  <si>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克重</t>
    </r>
    <r>
      <rPr>
        <sz val="10"/>
        <color theme="1"/>
        <rFont val="Arial"/>
        <charset val="134"/>
      </rPr>
      <t>GSM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</si>
  <si>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厚度</t>
    </r>
    <r>
      <rPr>
        <sz val="10"/>
        <color theme="1"/>
        <rFont val="Arial"/>
        <charset val="134"/>
      </rPr>
      <t>mm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</si>
  <si>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胚布厂</t>
    </r>
    <r>
      <rPr>
        <sz val="10"/>
        <color theme="1"/>
        <rFont val="Arial"/>
        <charset val="134"/>
      </rPr>
      <t xml:space="preserve">
Greige mill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</si>
  <si>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胚布厂胚布编码</t>
    </r>
    <r>
      <rPr>
        <sz val="10"/>
        <color theme="1"/>
        <rFont val="Arial"/>
        <charset val="134"/>
      </rPr>
      <t xml:space="preserve">
Greige #article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</si>
  <si>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胚布采购价格</t>
    </r>
    <r>
      <rPr>
        <sz val="10"/>
        <color theme="1"/>
        <rFont val="Arial"/>
        <charset val="134"/>
      </rPr>
      <t>RMB/M</t>
    </r>
  </si>
  <si>
    <r>
      <rPr>
        <sz val="10"/>
        <rFont val="Arial"/>
        <charset val="134"/>
      </rPr>
      <t>*</t>
    </r>
    <r>
      <rPr>
        <sz val="10"/>
        <rFont val="宋体"/>
        <charset val="134"/>
      </rPr>
      <t>材料成品</t>
    </r>
    <r>
      <rPr>
        <sz val="10"/>
        <color theme="1"/>
        <rFont val="宋体"/>
        <charset val="134"/>
      </rPr>
      <t>厂（供应商）</t>
    </r>
    <r>
      <rPr>
        <sz val="10"/>
        <color theme="1"/>
        <rFont val="Arial"/>
        <charset val="134"/>
      </rPr>
      <t xml:space="preserve">
FG mill</t>
    </r>
  </si>
  <si>
    <r>
      <rPr>
        <sz val="10"/>
        <color rgb="FFFF0000"/>
        <rFont val="Arial"/>
        <charset val="134"/>
      </rPr>
      <t>*</t>
    </r>
    <r>
      <rPr>
        <sz val="10"/>
        <rFont val="宋体"/>
        <charset val="134"/>
      </rPr>
      <t>成品厂材料编码</t>
    </r>
    <r>
      <rPr>
        <sz val="10"/>
        <rFont val="Arial"/>
        <charset val="134"/>
      </rPr>
      <t xml:space="preserve">
FG #article</t>
    </r>
  </si>
  <si>
    <r>
      <rPr>
        <sz val="10"/>
        <color rgb="FFFF0000"/>
        <rFont val="Arial"/>
        <charset val="134"/>
      </rPr>
      <t>*</t>
    </r>
    <r>
      <rPr>
        <sz val="10"/>
        <rFont val="宋体"/>
        <charset val="134"/>
      </rPr>
      <t>成品采购</t>
    </r>
    <r>
      <rPr>
        <sz val="10"/>
        <color theme="1"/>
        <rFont val="宋体"/>
        <charset val="134"/>
      </rPr>
      <t>价格</t>
    </r>
    <r>
      <rPr>
        <sz val="10"/>
        <color theme="1"/>
        <rFont val="Arial"/>
        <charset val="134"/>
      </rPr>
      <t>RMB/M</t>
    </r>
  </si>
  <si>
    <r>
      <rPr>
        <sz val="10"/>
        <rFont val="Arial"/>
        <charset val="134"/>
      </rPr>
      <t xml:space="preserve">YDGE MOQ/Bulk MOQ
</t>
    </r>
    <r>
      <rPr>
        <sz val="10"/>
        <rFont val="宋体"/>
        <charset val="134"/>
      </rPr>
      <t>成品码样</t>
    </r>
    <r>
      <rPr>
        <sz val="10"/>
        <rFont val="Arial"/>
        <charset val="134"/>
      </rPr>
      <t>MOQ/</t>
    </r>
    <r>
      <rPr>
        <sz val="10"/>
        <rFont val="宋体"/>
        <charset val="134"/>
      </rPr>
      <t>成品大货</t>
    </r>
    <r>
      <rPr>
        <sz val="10"/>
        <rFont val="Arial"/>
        <charset val="134"/>
      </rPr>
      <t>MOQ</t>
    </r>
  </si>
  <si>
    <r>
      <rPr>
        <sz val="10"/>
        <rFont val="Arial"/>
        <charset val="134"/>
      </rPr>
      <t xml:space="preserve">YDGE L/T/Bulk L/T
</t>
    </r>
    <r>
      <rPr>
        <sz val="10"/>
        <rFont val="宋体"/>
        <charset val="134"/>
      </rPr>
      <t>成品码样货期</t>
    </r>
    <r>
      <rPr>
        <sz val="10"/>
        <rFont val="Arial"/>
        <charset val="134"/>
      </rPr>
      <t>/</t>
    </r>
    <r>
      <rPr>
        <sz val="10"/>
        <rFont val="宋体"/>
        <charset val="134"/>
      </rPr>
      <t>成品大货货期</t>
    </r>
  </si>
  <si>
    <r>
      <rPr>
        <sz val="10"/>
        <rFont val="Arial"/>
        <charset val="134"/>
      </rPr>
      <t xml:space="preserve">YDGE Surcharge/Bulk Surcharge
</t>
    </r>
    <r>
      <rPr>
        <sz val="10"/>
        <rFont val="宋体"/>
        <charset val="134"/>
      </rPr>
      <t>成品码样费用</t>
    </r>
    <r>
      <rPr>
        <sz val="10"/>
        <rFont val="Arial"/>
        <charset val="134"/>
      </rPr>
      <t>/</t>
    </r>
    <r>
      <rPr>
        <sz val="10"/>
        <rFont val="宋体"/>
        <charset val="134"/>
      </rPr>
      <t>成品大货费用</t>
    </r>
  </si>
  <si>
    <r>
      <rPr>
        <sz val="10"/>
        <rFont val="Arial"/>
        <charset val="134"/>
      </rPr>
      <t xml:space="preserve">Stock available
</t>
    </r>
    <r>
      <rPr>
        <sz val="10"/>
        <rFont val="宋体"/>
        <charset val="134"/>
      </rPr>
      <t>成品是否有库存</t>
    </r>
  </si>
  <si>
    <r>
      <rPr>
        <sz val="10"/>
        <color rgb="FFFF0000"/>
        <rFont val="Arial"/>
        <charset val="134"/>
      </rPr>
      <t>*</t>
    </r>
    <r>
      <rPr>
        <sz val="10"/>
        <color theme="1"/>
        <rFont val="宋体"/>
        <charset val="134"/>
      </rPr>
      <t>开发日期</t>
    </r>
    <r>
      <rPr>
        <sz val="10"/>
        <color theme="1"/>
        <rFont val="Arial"/>
        <charset val="134"/>
      </rPr>
      <t xml:space="preserve">
Creative Date</t>
    </r>
  </si>
  <si>
    <r>
      <rPr>
        <sz val="10"/>
        <color theme="1"/>
        <rFont val="宋体"/>
        <charset val="134"/>
      </rPr>
      <t>塑胶类</t>
    </r>
  </si>
  <si>
    <r>
      <rPr>
        <sz val="10"/>
        <rFont val="宋体"/>
        <charset val="134"/>
      </rPr>
      <t>价格</t>
    </r>
    <r>
      <rPr>
        <sz val="10"/>
        <rFont val="Arial"/>
        <charset val="134"/>
      </rPr>
      <t xml:space="preserve"> Price</t>
    </r>
  </si>
  <si>
    <r>
      <rPr>
        <sz val="10"/>
        <color theme="1"/>
        <rFont val="宋体"/>
        <charset val="134"/>
      </rPr>
      <t>报价日期</t>
    </r>
    <r>
      <rPr>
        <sz val="10"/>
        <color theme="1"/>
        <rFont val="Arial"/>
        <charset val="134"/>
      </rPr>
      <t xml:space="preserve"> Date
</t>
    </r>
    <r>
      <rPr>
        <sz val="10"/>
        <color theme="1"/>
        <rFont val="宋体"/>
        <charset val="134"/>
      </rPr>
      <t>年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月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日</t>
    </r>
  </si>
  <si>
    <r>
      <rPr>
        <sz val="10"/>
        <rFont val="Arial"/>
        <charset val="134"/>
      </rPr>
      <t xml:space="preserve">YDGE MOQ/Bulk MOQ
</t>
    </r>
    <r>
      <rPr>
        <sz val="10"/>
        <rFont val="宋体"/>
        <charset val="134"/>
      </rPr>
      <t>胚布码样</t>
    </r>
    <r>
      <rPr>
        <sz val="10"/>
        <rFont val="Arial"/>
        <charset val="134"/>
      </rPr>
      <t>MOQ/</t>
    </r>
    <r>
      <rPr>
        <sz val="10"/>
        <rFont val="宋体"/>
        <charset val="134"/>
      </rPr>
      <t>胚布大货</t>
    </r>
    <r>
      <rPr>
        <sz val="10"/>
        <rFont val="Arial"/>
        <charset val="134"/>
      </rPr>
      <t>MOQ</t>
    </r>
  </si>
  <si>
    <r>
      <rPr>
        <sz val="10"/>
        <rFont val="Arial"/>
        <charset val="134"/>
      </rPr>
      <t xml:space="preserve">YDGE L/T/Bulk L/T
</t>
    </r>
    <r>
      <rPr>
        <sz val="10"/>
        <rFont val="宋体"/>
        <charset val="134"/>
      </rPr>
      <t>胚布码样货期</t>
    </r>
    <r>
      <rPr>
        <sz val="10"/>
        <rFont val="Arial"/>
        <charset val="134"/>
      </rPr>
      <t>/</t>
    </r>
    <r>
      <rPr>
        <sz val="10"/>
        <rFont val="宋体"/>
        <charset val="134"/>
      </rPr>
      <t>胚布大货货期</t>
    </r>
  </si>
  <si>
    <r>
      <rPr>
        <sz val="10"/>
        <rFont val="Arial"/>
        <charset val="134"/>
      </rPr>
      <t xml:space="preserve">YDGE Surcharge/Bulk Surcharge
</t>
    </r>
    <r>
      <rPr>
        <sz val="10"/>
        <rFont val="宋体"/>
        <charset val="134"/>
      </rPr>
      <t>胚布码样费用</t>
    </r>
    <r>
      <rPr>
        <sz val="10"/>
        <rFont val="Arial"/>
        <charset val="134"/>
      </rPr>
      <t>/</t>
    </r>
    <r>
      <rPr>
        <sz val="10"/>
        <rFont val="宋体"/>
        <charset val="134"/>
      </rPr>
      <t>胚布大货费用</t>
    </r>
  </si>
  <si>
    <r>
      <rPr>
        <sz val="10"/>
        <rFont val="Arial"/>
        <charset val="134"/>
      </rPr>
      <t xml:space="preserve">Stock available
</t>
    </r>
    <r>
      <rPr>
        <sz val="10"/>
        <rFont val="宋体"/>
        <charset val="134"/>
      </rPr>
      <t>胚布是否有库存</t>
    </r>
  </si>
  <si>
    <t>中普/茂迪</t>
  </si>
  <si>
    <t>SYL25001 / SYL20250927-5</t>
  </si>
  <si>
    <t>灰黑舞龙布</t>
  </si>
  <si>
    <t>600D*600D</t>
  </si>
  <si>
    <t>染泼+PU透明胶</t>
  </si>
  <si>
    <t>P/D+W/R+PU COATING</t>
  </si>
  <si>
    <t>乾元</t>
  </si>
  <si>
    <t>SYL25002</t>
  </si>
  <si>
    <t>加捻弹力色丁</t>
  </si>
  <si>
    <t>93%尼龙7%氨纶</t>
  </si>
  <si>
    <t>93%NYLON 7%SP</t>
  </si>
  <si>
    <t>50D*50D+20D</t>
  </si>
  <si>
    <t>SYL25003</t>
  </si>
  <si>
    <t>2/2斜纹</t>
  </si>
  <si>
    <t>150D*16S  0.37MM</t>
  </si>
  <si>
    <t>和记</t>
  </si>
  <si>
    <t>JP172 1#</t>
  </si>
  <si>
    <t>SYL25004</t>
  </si>
  <si>
    <t>600D涤纶牛津格子布</t>
  </si>
  <si>
    <t>SYL25005</t>
  </si>
  <si>
    <t>300D涤纶牛津平格</t>
  </si>
  <si>
    <t>300D*300D</t>
  </si>
  <si>
    <t>SYL25006</t>
  </si>
  <si>
    <t xml:space="preserve">150D*10S  </t>
  </si>
  <si>
    <t>JP172-1</t>
  </si>
  <si>
    <t>SYL25007</t>
  </si>
  <si>
    <t>乐丽丝</t>
  </si>
  <si>
    <t>世贸</t>
  </si>
  <si>
    <t>第二套</t>
  </si>
  <si>
    <t>SYL25008</t>
  </si>
  <si>
    <t>阳涤</t>
  </si>
  <si>
    <t>第三套</t>
  </si>
  <si>
    <t>SYL25009</t>
  </si>
  <si>
    <t>YCQ3085AU-D</t>
  </si>
  <si>
    <t>100%TPU</t>
  </si>
  <si>
    <t>0.5±0.02mm</t>
  </si>
  <si>
    <t>福建佳南</t>
  </si>
  <si>
    <t>SYL25010</t>
  </si>
  <si>
    <t>MKN63235</t>
  </si>
  <si>
    <t>0.5±0.05mm</t>
  </si>
  <si>
    <t>广州明可</t>
  </si>
  <si>
    <t>28/Y</t>
  </si>
  <si>
    <t>50/300Y</t>
  </si>
  <si>
    <t>20/30天</t>
  </si>
  <si>
    <t>150美元/颜色</t>
  </si>
  <si>
    <t>SYL25011</t>
  </si>
  <si>
    <t>MKN63236</t>
  </si>
  <si>
    <t>100%TPU（90A)</t>
  </si>
  <si>
    <t>32/Y</t>
  </si>
  <si>
    <t>SYL25012</t>
  </si>
  <si>
    <t>100D双层粗斜四面弹</t>
  </si>
  <si>
    <t>100D+40D*100D+40D</t>
  </si>
  <si>
    <t>FMG251029-4</t>
  </si>
  <si>
    <t>8.5（胚布价）</t>
  </si>
  <si>
    <t>SYL25013</t>
  </si>
  <si>
    <t>TR直贡尼四面弹</t>
  </si>
  <si>
    <t>76%POLY20%Rayon4%SP</t>
  </si>
  <si>
    <t>32S+40D*150D+40D</t>
  </si>
  <si>
    <t>FMG251029-2</t>
  </si>
  <si>
    <t>10（胚布价）</t>
  </si>
  <si>
    <t>SYL25014</t>
  </si>
  <si>
    <t>300*150复合丝变斜四面弹</t>
  </si>
  <si>
    <t>93%POLY7%SP</t>
  </si>
  <si>
    <t>300D+40D*150D+40D</t>
  </si>
  <si>
    <t>FMG251029-1</t>
  </si>
  <si>
    <t>7.4（胚布价）</t>
  </si>
  <si>
    <t>SYL25015</t>
  </si>
  <si>
    <t>300D复合丝变斜四面弹</t>
  </si>
  <si>
    <t>300D+40D*300D+40D</t>
  </si>
  <si>
    <t>FMG251029-3</t>
  </si>
  <si>
    <t>SYL25016</t>
  </si>
  <si>
    <t>卓总提供</t>
  </si>
  <si>
    <t>SYL25017</t>
  </si>
  <si>
    <t>MKN63215</t>
  </si>
  <si>
    <t>52"</t>
  </si>
  <si>
    <t>明可</t>
  </si>
  <si>
    <t>28.5/码（含税含运）</t>
  </si>
  <si>
    <t>SYL25018</t>
  </si>
  <si>
    <t>文字D三层大提花</t>
  </si>
  <si>
    <t>100D*150D+300D+150/40D</t>
  </si>
  <si>
    <t>FMG251024-10</t>
  </si>
  <si>
    <t>11.8（胚布价）</t>
  </si>
  <si>
    <t>SYL25019</t>
  </si>
  <si>
    <t>闪电纹三层大提花</t>
  </si>
  <si>
    <t>FMG251024-9</t>
  </si>
  <si>
    <t>11.6（胚布价）</t>
  </si>
  <si>
    <t>SYL25020</t>
  </si>
  <si>
    <t>玄武甲三层大提花</t>
  </si>
  <si>
    <t>FMG251024-8</t>
  </si>
  <si>
    <t>SYL25021</t>
  </si>
  <si>
    <t>龙鳞盾色织大提花</t>
  </si>
  <si>
    <t>100D*75D</t>
  </si>
  <si>
    <t>Y/D</t>
  </si>
  <si>
    <t>FMG251024-7</t>
  </si>
  <si>
    <t>14（胚布价）</t>
  </si>
  <si>
    <t>SYL25022</t>
  </si>
  <si>
    <t>万疆大提花</t>
  </si>
  <si>
    <t>FMG251024-2</t>
  </si>
  <si>
    <t>8（胚布价）</t>
  </si>
  <si>
    <t>SYL25023</t>
  </si>
  <si>
    <t>黑绿色织提花3#丛林</t>
  </si>
  <si>
    <t>75D*150D</t>
  </si>
  <si>
    <t>FMG251024-6</t>
  </si>
  <si>
    <t>13.8（胚布价）</t>
  </si>
  <si>
    <t>SYL25024</t>
  </si>
  <si>
    <t>黑丝色织1#罗纹</t>
  </si>
  <si>
    <t>FMG251024-4</t>
  </si>
  <si>
    <t>SYL25025</t>
  </si>
  <si>
    <t>金丝万花色织大提花</t>
  </si>
  <si>
    <t>150D*150D+300D+金丝</t>
  </si>
  <si>
    <t>FMG251024-3</t>
  </si>
  <si>
    <t>20（胚布价）</t>
  </si>
  <si>
    <t>优步</t>
  </si>
  <si>
    <t>SYL25026</t>
  </si>
  <si>
    <t>T8酷丝绵登山布</t>
  </si>
  <si>
    <t>40S*150D+150D</t>
  </si>
  <si>
    <t>运邦-浙江日月梭</t>
  </si>
  <si>
    <t>SYL20251105-005</t>
  </si>
  <si>
    <t>SYL25027</t>
  </si>
  <si>
    <t>1050D尼龙拷杜拉</t>
  </si>
  <si>
    <t>1050D</t>
  </si>
  <si>
    <t>SYL20251105-001</t>
  </si>
  <si>
    <t>光瑞</t>
  </si>
  <si>
    <t>SYL25028</t>
  </si>
  <si>
    <t>75D加密平桃</t>
  </si>
  <si>
    <t>SYL20251110-5</t>
  </si>
  <si>
    <t>SYL25029</t>
  </si>
  <si>
    <t>2/2斜氨纶加厚</t>
  </si>
  <si>
    <t>150D*600D+70D</t>
  </si>
  <si>
    <t>JP172SP-1</t>
  </si>
  <si>
    <t>SYL25030</t>
  </si>
  <si>
    <t>考杜拉四面弹</t>
  </si>
  <si>
    <t>86%尼龙考杜拉 11%氨纶</t>
  </si>
  <si>
    <t>(70D+40D)*(70D+40D)+250D/175T*150T</t>
  </si>
  <si>
    <t>SYL25031</t>
  </si>
  <si>
    <t>双色布</t>
  </si>
  <si>
    <t>100D*150D+150D+150D+75D</t>
  </si>
  <si>
    <t>JP182</t>
  </si>
  <si>
    <t>SYL25032</t>
  </si>
  <si>
    <t>SYL25033</t>
  </si>
  <si>
    <r>
      <rPr>
        <sz val="11"/>
        <color rgb="FF000000"/>
        <rFont val="Tahoma"/>
        <charset val="134"/>
      </rPr>
      <t>500D</t>
    </r>
    <r>
      <rPr>
        <sz val="11"/>
        <color rgb="FF000000"/>
        <rFont val="宋体"/>
        <charset val="134"/>
      </rPr>
      <t>牛津布</t>
    </r>
  </si>
  <si>
    <t>SYL25034</t>
  </si>
  <si>
    <r>
      <rPr>
        <sz val="11"/>
        <color rgb="FF000000"/>
        <rFont val="Tahoma"/>
        <charset val="134"/>
      </rPr>
      <t>420D</t>
    </r>
    <r>
      <rPr>
        <sz val="11"/>
        <color rgb="FF000000"/>
        <rFont val="宋体"/>
        <charset val="134"/>
      </rPr>
      <t>尼龙</t>
    </r>
    <r>
      <rPr>
        <sz val="11"/>
        <color rgb="FF000000"/>
        <rFont val="Tahoma"/>
        <charset val="134"/>
      </rPr>
      <t>100T</t>
    </r>
  </si>
  <si>
    <t>SYL25035</t>
  </si>
  <si>
    <t>尼龙塔丝隆牛津PU明一刀</t>
  </si>
  <si>
    <t>SYL25036</t>
  </si>
  <si>
    <r>
      <rPr>
        <sz val="11"/>
        <color rgb="FF000000"/>
        <rFont val="Tahoma"/>
        <charset val="134"/>
      </rPr>
      <t>420D</t>
    </r>
    <r>
      <rPr>
        <sz val="11"/>
        <color rgb="FF000000"/>
        <rFont val="宋体"/>
        <charset val="134"/>
      </rPr>
      <t>加密</t>
    </r>
  </si>
  <si>
    <t>兆兴</t>
  </si>
  <si>
    <t>ZX-3013</t>
  </si>
  <si>
    <r>
      <rPr>
        <sz val="11"/>
        <color rgb="FF000000"/>
        <rFont val="Tahoma"/>
        <charset val="134"/>
      </rPr>
      <t>100</t>
    </r>
    <r>
      <rPr>
        <sz val="11"/>
        <color rgb="FF000000"/>
        <rFont val="宋体"/>
        <charset val="134"/>
      </rPr>
      <t>码以下，</t>
    </r>
    <r>
      <rPr>
        <sz val="11"/>
        <color rgb="FF000000"/>
        <rFont val="Tahoma"/>
        <charset val="134"/>
      </rPr>
      <t>+</t>
    </r>
    <r>
      <rPr>
        <sz val="11"/>
        <color rgb="FF000000"/>
        <rFont val="宋体"/>
        <charset val="134"/>
      </rPr>
      <t>开剪费</t>
    </r>
    <r>
      <rPr>
        <sz val="11"/>
        <color rgb="FF000000"/>
        <rFont val="Tahoma"/>
        <charset val="134"/>
      </rPr>
      <t>1</t>
    </r>
    <r>
      <rPr>
        <sz val="11"/>
        <color rgb="FF000000"/>
        <rFont val="宋体"/>
        <charset val="134"/>
      </rPr>
      <t>元</t>
    </r>
  </si>
  <si>
    <t>SYL25037</t>
  </si>
  <si>
    <r>
      <rPr>
        <sz val="11"/>
        <color rgb="FF000000"/>
        <rFont val="Tahoma"/>
        <charset val="134"/>
      </rPr>
      <t>500D</t>
    </r>
    <r>
      <rPr>
        <sz val="11"/>
        <color rgb="FF000000"/>
        <rFont val="宋体"/>
        <charset val="134"/>
      </rPr>
      <t>可提拉</t>
    </r>
  </si>
  <si>
    <t>ZX-5003</t>
  </si>
  <si>
    <t>SYL25038</t>
  </si>
  <si>
    <r>
      <rPr>
        <sz val="11"/>
        <color rgb="FF000000"/>
        <rFont val="Tahoma"/>
        <charset val="134"/>
      </rPr>
      <t>DS3978</t>
    </r>
    <r>
      <rPr>
        <sz val="11"/>
        <color rgb="FF000000"/>
        <rFont val="宋体"/>
        <charset val="134"/>
      </rPr>
      <t>改牛仔风格</t>
    </r>
  </si>
  <si>
    <t>JP187</t>
  </si>
  <si>
    <t>仁和智能</t>
  </si>
  <si>
    <t>SYL25039</t>
  </si>
  <si>
    <r>
      <rPr>
        <sz val="11"/>
        <color rgb="FF000000"/>
        <rFont val="Tahoma"/>
        <charset val="134"/>
      </rPr>
      <t>210T</t>
    </r>
    <r>
      <rPr>
        <sz val="11"/>
        <color rgb="FF000000"/>
        <rFont val="宋体"/>
        <charset val="134"/>
      </rPr>
      <t>尼丝纺PU透</t>
    </r>
  </si>
  <si>
    <t>匠运</t>
  </si>
  <si>
    <t>SYL25040</t>
  </si>
  <si>
    <t>C10210帆布</t>
  </si>
  <si>
    <t>10S/2*10S/42T*38T</t>
  </si>
  <si>
    <t>染泼</t>
  </si>
  <si>
    <t>SYL20251227-01</t>
  </si>
  <si>
    <t>SYL25041</t>
  </si>
  <si>
    <t>C212107240帆布</t>
  </si>
  <si>
    <t>21S/2*10S/72T*40T</t>
  </si>
  <si>
    <t>SYL20251227-02</t>
  </si>
  <si>
    <t>SYL25042</t>
  </si>
  <si>
    <t>310T尼丝纺涂PA</t>
  </si>
  <si>
    <t>SYL20251224-01</t>
  </si>
  <si>
    <t>女真</t>
  </si>
  <si>
    <t>SYL26001</t>
  </si>
  <si>
    <t>190T平桃</t>
  </si>
  <si>
    <t>SYL20250926-4</t>
  </si>
  <si>
    <t>SYL26002</t>
  </si>
  <si>
    <t>涤纶针织布</t>
  </si>
  <si>
    <t>SYL20251110-3</t>
  </si>
  <si>
    <t>SYL26003</t>
  </si>
  <si>
    <t>600D低弹牛津布</t>
  </si>
  <si>
    <t>SYL20260120-1</t>
  </si>
  <si>
    <t>SYL26004</t>
  </si>
  <si>
    <t>织带</t>
  </si>
  <si>
    <t>百事得</t>
  </si>
  <si>
    <t>安克</t>
  </si>
  <si>
    <t>SYL26005</t>
  </si>
  <si>
    <t>85%人棉 15%亚麻</t>
  </si>
  <si>
    <t>85%Rayon 14%Linen 1%SP</t>
  </si>
  <si>
    <t>湖南杰新</t>
  </si>
  <si>
    <t>SYL26006-1</t>
  </si>
  <si>
    <t>黑丝尼龙小人字</t>
  </si>
  <si>
    <t>FM260507-1#</t>
  </si>
  <si>
    <t>SYL26007</t>
  </si>
  <si>
    <t>DS2448</t>
  </si>
  <si>
    <t>26.4/米含税</t>
  </si>
  <si>
    <t>SYL26006-2</t>
  </si>
  <si>
    <t>黑丝尼龙大人字</t>
  </si>
  <si>
    <t>FM260507-2#</t>
  </si>
  <si>
    <t>日期</t>
  </si>
  <si>
    <t>加工厂</t>
  </si>
  <si>
    <t>布种编号</t>
  </si>
  <si>
    <t>供应商</t>
  </si>
  <si>
    <t>编号</t>
  </si>
  <si>
    <t>颜色</t>
  </si>
  <si>
    <t>数量</t>
  </si>
  <si>
    <t>单位</t>
  </si>
  <si>
    <t>实际出货数量</t>
  </si>
  <si>
    <t>出货日期</t>
  </si>
  <si>
    <t>销售价</t>
  </si>
  <si>
    <t>销售金额</t>
  </si>
  <si>
    <t>付款方式</t>
  </si>
  <si>
    <t>报价</t>
  </si>
  <si>
    <t>采购价</t>
  </si>
  <si>
    <t>采购金额</t>
  </si>
  <si>
    <t>备注</t>
  </si>
  <si>
    <t>对账</t>
  </si>
  <si>
    <t>圣德</t>
  </si>
  <si>
    <t>15#</t>
  </si>
  <si>
    <t>米</t>
  </si>
  <si>
    <t>微信</t>
  </si>
  <si>
    <t>已对账</t>
  </si>
  <si>
    <t>D&amp;J</t>
  </si>
  <si>
    <t>32#</t>
  </si>
  <si>
    <t>乐力</t>
  </si>
  <si>
    <t>AB2364</t>
  </si>
  <si>
    <t>B364</t>
  </si>
  <si>
    <t>白色</t>
  </si>
  <si>
    <t>91#</t>
  </si>
  <si>
    <t>5#</t>
  </si>
  <si>
    <t>万泰</t>
  </si>
  <si>
    <t>无锡美盛</t>
  </si>
  <si>
    <t>4#米黄色</t>
  </si>
  <si>
    <t>1#白色</t>
  </si>
  <si>
    <t>4#咖色</t>
  </si>
  <si>
    <t>6#黑白</t>
  </si>
  <si>
    <t>扑喜</t>
  </si>
  <si>
    <t>倍德</t>
  </si>
  <si>
    <t>1#黑色</t>
  </si>
  <si>
    <t>64#土黄色</t>
  </si>
  <si>
    <t>3#米白色</t>
  </si>
  <si>
    <t>杰登</t>
  </si>
  <si>
    <t>支付宝</t>
  </si>
  <si>
    <t>51#淡蓝色</t>
  </si>
  <si>
    <t>53#棕色</t>
  </si>
  <si>
    <t>43#黄油色</t>
  </si>
  <si>
    <t>三佰</t>
  </si>
  <si>
    <t>2#</t>
  </si>
  <si>
    <t>2#杏色</t>
  </si>
  <si>
    <t>9#</t>
  </si>
  <si>
    <t>2#黑色</t>
  </si>
  <si>
    <t>#42</t>
  </si>
  <si>
    <t>2#白色</t>
  </si>
  <si>
    <t>154#黑色</t>
  </si>
  <si>
    <t>20#巧克力色</t>
  </si>
  <si>
    <t>黑色</t>
  </si>
  <si>
    <t>米白色</t>
  </si>
  <si>
    <t>98#深绿色</t>
  </si>
  <si>
    <r>
      <rPr>
        <sz val="11"/>
        <rFont val="宋体"/>
        <charset val="134"/>
      </rPr>
      <t>120#</t>
    </r>
    <r>
      <rPr>
        <sz val="11"/>
        <color theme="1"/>
        <rFont val="宋体"/>
        <charset val="134"/>
      </rPr>
      <t>米白</t>
    </r>
  </si>
  <si>
    <t>16#酒红色</t>
  </si>
  <si>
    <t>9#棕色</t>
  </si>
  <si>
    <t>30#黑色</t>
  </si>
  <si>
    <t>76#</t>
  </si>
  <si>
    <t>118#</t>
  </si>
  <si>
    <t>本白</t>
  </si>
  <si>
    <t>21#藏青&amp;白色</t>
  </si>
  <si>
    <t>布小帮</t>
  </si>
  <si>
    <t>巧克力野花</t>
  </si>
  <si>
    <t>顺亚印花</t>
  </si>
  <si>
    <t>褐色</t>
  </si>
  <si>
    <t>V字型印花</t>
  </si>
  <si>
    <t>杏色</t>
  </si>
  <si>
    <t>1#米白色</t>
  </si>
  <si>
    <t>16#灰色</t>
  </si>
  <si>
    <t>5#米白</t>
  </si>
  <si>
    <t>22#白色</t>
  </si>
  <si>
    <t>81#朱古力色</t>
  </si>
  <si>
    <t>115#米白</t>
  </si>
  <si>
    <t>108#黑色</t>
  </si>
  <si>
    <t>85#墨绿</t>
  </si>
  <si>
    <t>21#黑色</t>
  </si>
  <si>
    <t>20#橄榄绿</t>
  </si>
  <si>
    <t>妮裳</t>
  </si>
  <si>
    <t>16#</t>
  </si>
  <si>
    <t>1#</t>
  </si>
  <si>
    <t>米白</t>
  </si>
  <si>
    <t>22#灰色</t>
  </si>
  <si>
    <t>越安</t>
  </si>
  <si>
    <t>99#</t>
  </si>
  <si>
    <t>深棕色</t>
  </si>
  <si>
    <t>21#褐色</t>
  </si>
  <si>
    <t>62#橄榄绿</t>
  </si>
  <si>
    <t>48#深蓝色</t>
  </si>
  <si>
    <t>51#绿色</t>
  </si>
  <si>
    <t>版布数量不够，补货</t>
  </si>
  <si>
    <t>锦兰</t>
  </si>
  <si>
    <t>33#</t>
  </si>
  <si>
    <t>72#</t>
  </si>
  <si>
    <t>6#红色/白条纹</t>
  </si>
  <si>
    <t>17#蓝色/白条纹</t>
  </si>
  <si>
    <t>13#褐色/白条纹</t>
  </si>
  <si>
    <t>30#蓝色</t>
  </si>
  <si>
    <t>2#米白色</t>
  </si>
  <si>
    <t>121#灰色</t>
  </si>
  <si>
    <t>25#卡其</t>
  </si>
  <si>
    <t>31#棕色</t>
  </si>
  <si>
    <t>28#酒红色</t>
  </si>
  <si>
    <t>家棋服饰</t>
  </si>
  <si>
    <t>正恒</t>
  </si>
  <si>
    <t>橙爱</t>
  </si>
  <si>
    <t>60#</t>
  </si>
  <si>
    <t>夜色</t>
  </si>
  <si>
    <t>37#</t>
  </si>
  <si>
    <t>18#</t>
  </si>
  <si>
    <t>27#</t>
  </si>
  <si>
    <t>25#</t>
  </si>
  <si>
    <t>61#杏色</t>
  </si>
  <si>
    <t>深灰色</t>
  </si>
  <si>
    <t>2#本白色</t>
  </si>
  <si>
    <t>7#</t>
  </si>
  <si>
    <t>3#</t>
  </si>
  <si>
    <t>66#米白色</t>
  </si>
  <si>
    <t>61#灰绿色</t>
  </si>
  <si>
    <t>79#红色</t>
  </si>
  <si>
    <t>102#酒红色</t>
  </si>
  <si>
    <t>29#褐色</t>
  </si>
  <si>
    <t>2025/12/10对账到这里</t>
  </si>
  <si>
    <t>151#</t>
  </si>
  <si>
    <t>67#酒红色</t>
  </si>
  <si>
    <t>PACL005印花</t>
  </si>
  <si>
    <t>39#巧克力色</t>
  </si>
  <si>
    <t>18#棕色</t>
  </si>
  <si>
    <t>41#酒红色</t>
  </si>
  <si>
    <t>14#粉色</t>
  </si>
  <si>
    <t>50#黑色</t>
  </si>
  <si>
    <t>38#香槟色</t>
  </si>
  <si>
    <t>1#黑白条</t>
  </si>
  <si>
    <t>8#绿杏条</t>
  </si>
  <si>
    <t>灰格</t>
  </si>
  <si>
    <t>三佰-夜色</t>
  </si>
  <si>
    <t>118#酒红色</t>
  </si>
  <si>
    <t>27#红棕色</t>
  </si>
  <si>
    <t>31#</t>
  </si>
  <si>
    <t>米色</t>
  </si>
  <si>
    <t>26#酒红色</t>
  </si>
  <si>
    <t>三佰-妮裳</t>
  </si>
  <si>
    <t>三佰-俊雅</t>
  </si>
  <si>
    <t>34#巧克力</t>
  </si>
  <si>
    <t>波点印花</t>
  </si>
  <si>
    <t>25#深棕色</t>
  </si>
  <si>
    <t>韦欣-蔡生</t>
  </si>
  <si>
    <t>112#蓝色</t>
  </si>
  <si>
    <t>慧帆服饰</t>
  </si>
  <si>
    <t>4#</t>
  </si>
  <si>
    <t>D&amp;J-爽爽</t>
  </si>
  <si>
    <t>D&amp;J-潇潇</t>
  </si>
  <si>
    <t>89#朱古力色</t>
  </si>
  <si>
    <t>40#粉色</t>
  </si>
  <si>
    <t>126#绿色</t>
  </si>
  <si>
    <t>32#浅黄</t>
  </si>
  <si>
    <t>夜色-芝芝</t>
  </si>
  <si>
    <t>70#粉色</t>
  </si>
  <si>
    <t>130#黄油色</t>
  </si>
  <si>
    <t>15#淡蓝色</t>
  </si>
  <si>
    <t>9#绿色</t>
  </si>
  <si>
    <t>17#橄榄绿</t>
  </si>
  <si>
    <t>33#咖色</t>
  </si>
  <si>
    <t>36#</t>
  </si>
  <si>
    <t>3#黑色</t>
  </si>
  <si>
    <t>订单号</t>
  </si>
  <si>
    <t>款号</t>
  </si>
  <si>
    <t>是否需要证书</t>
  </si>
  <si>
    <t>证书类型</t>
  </si>
  <si>
    <t>最迟开证时间</t>
  </si>
  <si>
    <t>实际开证时间</t>
  </si>
  <si>
    <t>XXL2507001</t>
  </si>
  <si>
    <t>现金+TC</t>
  </si>
  <si>
    <t>待出证书</t>
  </si>
  <si>
    <t>XXL2507002</t>
  </si>
  <si>
    <t>35#绿色</t>
  </si>
  <si>
    <t>现金转账</t>
  </si>
  <si>
    <t>SYL-SD2508001</t>
  </si>
  <si>
    <t>韦欣</t>
  </si>
  <si>
    <t>发票+BCI</t>
  </si>
  <si>
    <t>开票+BCI证书</t>
  </si>
  <si>
    <t>白底咖兰花</t>
  </si>
  <si>
    <t>现金</t>
  </si>
  <si>
    <t>韦恩</t>
  </si>
  <si>
    <t>退109米，补发90米，19*14.4=273.6元待后续订单抵扣，开票+BCI证书</t>
  </si>
  <si>
    <t>5#浅绿色&amp;白色</t>
  </si>
  <si>
    <t>发票</t>
  </si>
  <si>
    <t>待开票 布小帮</t>
  </si>
  <si>
    <t>#21藏青&amp;白色</t>
  </si>
  <si>
    <t>发票+TC</t>
  </si>
  <si>
    <t>32#黄色</t>
  </si>
  <si>
    <t>77#蓝色</t>
  </si>
  <si>
    <t>开票+证书</t>
  </si>
  <si>
    <t>9#淡紫色</t>
  </si>
  <si>
    <t>不需要开票/证书</t>
  </si>
  <si>
    <t>TUS0358-A</t>
  </si>
  <si>
    <t>开票+TC</t>
  </si>
  <si>
    <t>TUS0287-A</t>
  </si>
  <si>
    <t>TUS0303-A</t>
  </si>
  <si>
    <t>TUS0316-A</t>
  </si>
  <si>
    <t>TUS0358-B</t>
  </si>
  <si>
    <t>117#浅兰色</t>
  </si>
  <si>
    <t>TUS0480-A</t>
  </si>
  <si>
    <t>TUS0287-B</t>
  </si>
  <si>
    <t>TUS0316-B</t>
  </si>
  <si>
    <t>91#米黄色</t>
  </si>
  <si>
    <t>TUS0315-A</t>
  </si>
  <si>
    <t>85#墨绿色</t>
  </si>
  <si>
    <t>TUS0480-B</t>
  </si>
  <si>
    <t>TUS0322-A/1390</t>
  </si>
  <si>
    <t>WACA001297</t>
  </si>
  <si>
    <t>CAL0223-A</t>
  </si>
  <si>
    <t>63#白色</t>
  </si>
  <si>
    <t>58#巧克力色</t>
  </si>
  <si>
    <t>4#柠檬黄</t>
  </si>
  <si>
    <t>136#奶白色</t>
  </si>
  <si>
    <t>14#浅粉色</t>
  </si>
  <si>
    <t>15#灰蓝色</t>
  </si>
  <si>
    <t>7#石头色</t>
  </si>
  <si>
    <t>原出货216米退回，重新出220米</t>
  </si>
  <si>
    <t>TFA0221</t>
  </si>
  <si>
    <t>9#黑色</t>
  </si>
  <si>
    <t>韦欣-小助</t>
  </si>
  <si>
    <t>TFA0220</t>
  </si>
  <si>
    <t>31#黑色</t>
  </si>
  <si>
    <t>28#巧克力色</t>
  </si>
  <si>
    <t>2#奶油黄</t>
  </si>
  <si>
    <t>短码20米，已扣损</t>
  </si>
  <si>
    <t>三佰-正恒</t>
  </si>
  <si>
    <t>22#黑色</t>
  </si>
  <si>
    <t>现金+BCI</t>
  </si>
  <si>
    <t>已出货</t>
  </si>
  <si>
    <t>#248酒红色</t>
  </si>
  <si>
    <t>韦欣-怡鑫</t>
  </si>
  <si>
    <t>2026/1/11反馈2025/12/16出货有一支148米布边异常要退货
2026/1/12重新出货164米，多出的16米付现金</t>
  </si>
  <si>
    <t>38#咖色</t>
  </si>
  <si>
    <t>已寄大货样</t>
  </si>
  <si>
    <t>TUS0345</t>
  </si>
  <si>
    <t>61#草绿色</t>
  </si>
  <si>
    <t>TUS0346</t>
  </si>
  <si>
    <t>2025/12/29 脏污/抽纱 扣损8米</t>
  </si>
  <si>
    <t>已批大货样</t>
  </si>
  <si>
    <t>40#</t>
  </si>
  <si>
    <t>已确认</t>
  </si>
  <si>
    <t>DAW9687</t>
  </si>
  <si>
    <t>DAW9688</t>
  </si>
  <si>
    <t>DAW9686</t>
  </si>
  <si>
    <t>120#棕色</t>
  </si>
  <si>
    <t>KAT17833</t>
  </si>
  <si>
    <t>WAAT003173</t>
  </si>
  <si>
    <t>13#白/咖条纹</t>
  </si>
  <si>
    <t>KAT17843</t>
  </si>
  <si>
    <t>WAAT003174</t>
  </si>
  <si>
    <t>KAT17834</t>
  </si>
  <si>
    <t>WAAT003211</t>
  </si>
  <si>
    <t>4#白/红条纹</t>
  </si>
  <si>
    <t>26#白/宝蓝条纹</t>
  </si>
  <si>
    <t>WAAT003175</t>
  </si>
  <si>
    <t>KAT17841</t>
  </si>
  <si>
    <t>7#酒红色</t>
  </si>
  <si>
    <t>WAAT003177</t>
  </si>
  <si>
    <t>KAT17827</t>
  </si>
  <si>
    <t>WAAT003178</t>
  </si>
  <si>
    <t>KAT17826</t>
  </si>
  <si>
    <t>WAAT003176</t>
  </si>
  <si>
    <t>KAT17825</t>
  </si>
  <si>
    <t>17#大白色</t>
  </si>
  <si>
    <t>WATQTM022/WATQTM022C</t>
  </si>
  <si>
    <t>WAAT003060</t>
  </si>
  <si>
    <t>WATQTM030</t>
  </si>
  <si>
    <t>WAAT003075</t>
  </si>
  <si>
    <t>WATQTM025</t>
  </si>
  <si>
    <t>WACY000971</t>
  </si>
  <si>
    <t>WAT21389C</t>
  </si>
  <si>
    <t>15#巧克力色</t>
  </si>
  <si>
    <t>CHA0128</t>
  </si>
  <si>
    <t>15#米杏色</t>
  </si>
  <si>
    <t>5#蓝色</t>
  </si>
  <si>
    <t>TUS0348</t>
  </si>
  <si>
    <t>102#酒红</t>
  </si>
  <si>
    <t>#18棕色</t>
  </si>
  <si>
    <t>未出货</t>
  </si>
  <si>
    <t>#16灰色</t>
  </si>
  <si>
    <t>#5米黄色</t>
  </si>
  <si>
    <t>WADA002452/WADA002453/WADA002454/WADA002456</t>
  </si>
  <si>
    <t>DAW9803/DAW9804/DAW9805/DAW9807</t>
  </si>
  <si>
    <t>本白/印花底布</t>
  </si>
  <si>
    <t>DAW8486-A</t>
  </si>
  <si>
    <t>50#紫色</t>
  </si>
  <si>
    <t>韦恩-华之兴</t>
  </si>
  <si>
    <t>V字形印花</t>
  </si>
  <si>
    <t>1/5已确认大货样</t>
  </si>
  <si>
    <t>14#石板色</t>
  </si>
  <si>
    <t>1/7重新寄出大货样</t>
  </si>
  <si>
    <t>韦恩-小华</t>
  </si>
  <si>
    <t>TUS0502</t>
  </si>
  <si>
    <t>112#</t>
  </si>
  <si>
    <t>45#黑色</t>
  </si>
  <si>
    <t>39#巧克力</t>
  </si>
  <si>
    <t>42#</t>
  </si>
  <si>
    <t>PCAL003印花</t>
  </si>
  <si>
    <t>底布不够，待确认MOQ</t>
  </si>
  <si>
    <t>CAL0354</t>
  </si>
  <si>
    <t>PCAL005印花</t>
  </si>
  <si>
    <t>CAL0355</t>
  </si>
  <si>
    <t>41#棕色</t>
  </si>
  <si>
    <t>25#紫色</t>
  </si>
  <si>
    <t>PTFA006印花</t>
  </si>
  <si>
    <t>32#蓝色</t>
  </si>
  <si>
    <t>98#墨绿</t>
  </si>
  <si>
    <t>Tfa0343</t>
  </si>
  <si>
    <t>29#</t>
  </si>
  <si>
    <t>1/3已确认大货样</t>
  </si>
  <si>
    <t>Tfa0342</t>
  </si>
  <si>
    <t>96#酒红</t>
  </si>
  <si>
    <t>80#绿色</t>
  </si>
  <si>
    <t>1/7更新色号，数量</t>
  </si>
  <si>
    <t>1/6确认大货样</t>
  </si>
  <si>
    <t>56#酒红色</t>
  </si>
  <si>
    <t>汇恩，1/6重新寄大货样</t>
  </si>
  <si>
    <t>118#米杏色</t>
  </si>
  <si>
    <t>D&amp;J-小华</t>
  </si>
  <si>
    <t>DAW9827</t>
  </si>
  <si>
    <t>1/5确认大货样</t>
  </si>
  <si>
    <t>41#</t>
  </si>
  <si>
    <t>CHA0124</t>
  </si>
  <si>
    <t>1/5寄大货样</t>
  </si>
  <si>
    <t>184#蓝色</t>
  </si>
  <si>
    <t>WAT21717、WAT21719</t>
  </si>
  <si>
    <t>45#咖色</t>
  </si>
  <si>
    <t>WAT21721</t>
  </si>
  <si>
    <t>100#米色</t>
  </si>
  <si>
    <t>WAT21722</t>
  </si>
  <si>
    <t>55#黑色</t>
  </si>
  <si>
    <t>WADA002503</t>
  </si>
  <si>
    <t>DAW9811</t>
  </si>
  <si>
    <t>WADA002493</t>
  </si>
  <si>
    <t>9#淡黄色</t>
  </si>
  <si>
    <t>WADA002494</t>
  </si>
  <si>
    <t>DAW9812</t>
  </si>
  <si>
    <t>120#咖色</t>
  </si>
  <si>
    <t>WADA002495</t>
  </si>
  <si>
    <t>DAW9813</t>
  </si>
  <si>
    <t>WADA002497</t>
  </si>
  <si>
    <t>DAW9846</t>
  </si>
  <si>
    <t>21#粉色</t>
  </si>
  <si>
    <t>KAT17834C</t>
  </si>
  <si>
    <t>1#白/黑条纹</t>
  </si>
  <si>
    <t>KAT17826C</t>
  </si>
  <si>
    <t>WAATO03427
WAATO03433</t>
  </si>
  <si>
    <t>KAT17835
KAT17836</t>
  </si>
  <si>
    <t>WAATO03427
WAATO03433
WAATO03476</t>
  </si>
  <si>
    <t>KAT17835
KAT17836
KAT16090</t>
  </si>
  <si>
    <t>102#巧克力色</t>
  </si>
  <si>
    <t>WAATO03427</t>
  </si>
  <si>
    <t>KAT17835</t>
  </si>
  <si>
    <t>WAATO03433</t>
  </si>
  <si>
    <t>KAT17836</t>
  </si>
  <si>
    <t>105#灰蓝色</t>
  </si>
  <si>
    <t>WAATO03476</t>
  </si>
  <si>
    <t>KAT16090</t>
  </si>
  <si>
    <t>122#宝蓝色</t>
  </si>
  <si>
    <t>27#酒红色</t>
  </si>
  <si>
    <t>订单类型</t>
  </si>
  <si>
    <t>金额</t>
  </si>
  <si>
    <t>XXL</t>
  </si>
  <si>
    <t>留底</t>
  </si>
  <si>
    <t>70#</t>
  </si>
  <si>
    <t>华强纺织</t>
  </si>
  <si>
    <t>8265-1</t>
  </si>
  <si>
    <t>38#</t>
  </si>
  <si>
    <t>59#</t>
  </si>
  <si>
    <t>137#</t>
  </si>
  <si>
    <t>114#</t>
  </si>
  <si>
    <t>韦恩纺织</t>
  </si>
  <si>
    <t>W3168</t>
  </si>
  <si>
    <t>100#黑色</t>
  </si>
  <si>
    <t>Cheryl调样</t>
  </si>
  <si>
    <t>印花打样</t>
  </si>
  <si>
    <t>福泰里布</t>
  </si>
  <si>
    <t>高密油丁</t>
  </si>
  <si>
    <t>红色</t>
  </si>
  <si>
    <t>校服</t>
  </si>
  <si>
    <t>大货样</t>
  </si>
  <si>
    <t>异常样寄Ricky</t>
  </si>
  <si>
    <t>数码直喷册子</t>
  </si>
  <si>
    <t>寄Ricky</t>
  </si>
  <si>
    <t>多剪14米版布</t>
  </si>
  <si>
    <t>半漂</t>
  </si>
  <si>
    <t>高牢度健康布</t>
  </si>
  <si>
    <t>30#</t>
  </si>
  <si>
    <t>张总</t>
  </si>
  <si>
    <t>春盛布业</t>
  </si>
  <si>
    <t>066</t>
  </si>
  <si>
    <t>剪版地址</t>
  </si>
  <si>
    <t>大货地址</t>
  </si>
  <si>
    <t>东莞市虎门镇虎门寨振华路东下四巷53号6楼   刘小姐  15917680929</t>
  </si>
  <si>
    <r>
      <rPr>
        <sz val="11"/>
        <color rgb="FF000000"/>
        <rFont val="宋体"/>
        <charset val="134"/>
      </rPr>
      <t>送鸿洲酒店充电站停车场</t>
    </r>
    <r>
      <rPr>
        <sz val="11"/>
        <color rgb="FF000000"/>
        <rFont val="Tahoma"/>
        <charset val="134"/>
      </rPr>
      <t xml:space="preserve"> 13509807206</t>
    </r>
    <r>
      <rPr>
        <sz val="11"/>
        <color rgb="FF000000"/>
        <rFont val="宋体"/>
        <charset val="134"/>
      </rPr>
      <t>老刘车队收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送</t>
    </r>
    <r>
      <rPr>
        <sz val="11"/>
        <color rgb="FF000000"/>
        <rFont val="Tahoma"/>
        <charset val="134"/>
      </rPr>
      <t xml:space="preserve">
</t>
    </r>
    <r>
      <rPr>
        <sz val="11"/>
        <color rgb="FF000000"/>
        <rFont val="宋体"/>
        <charset val="134"/>
      </rPr>
      <t>虎门寨振华路东下四巷</t>
    </r>
    <r>
      <rPr>
        <sz val="11"/>
        <color rgb="FF000000"/>
        <rFont val="Tahoma"/>
        <charset val="134"/>
      </rPr>
      <t>53</t>
    </r>
    <r>
      <rPr>
        <sz val="11"/>
        <color rgb="FF000000"/>
        <rFont val="宋体"/>
        <charset val="134"/>
      </rPr>
      <t>号六楼</t>
    </r>
    <r>
      <rPr>
        <sz val="11"/>
        <color rgb="FF000000"/>
        <rFont val="Tahoma"/>
        <charset val="134"/>
      </rPr>
      <t xml:space="preserve">   </t>
    </r>
    <r>
      <rPr>
        <sz val="11"/>
        <color rgb="FF000000"/>
        <rFont val="宋体"/>
        <charset val="134"/>
      </rPr>
      <t>杰登服饰</t>
    </r>
    <r>
      <rPr>
        <sz val="11"/>
        <color rgb="FF000000"/>
        <rFont val="Tahoma"/>
        <charset val="134"/>
      </rPr>
      <t xml:space="preserve">  18829907161  </t>
    </r>
    <r>
      <rPr>
        <sz val="11"/>
        <color rgb="FF000000"/>
        <rFont val="宋体"/>
        <charset val="134"/>
      </rPr>
      <t>徐小姐</t>
    </r>
  </si>
  <si>
    <r>
      <rPr>
        <sz val="11"/>
        <color rgb="FF000000"/>
        <rFont val="宋体"/>
        <charset val="134"/>
      </rPr>
      <t>大货布面要贴标签，标签上要有昇奕隆</t>
    </r>
    <r>
      <rPr>
        <sz val="11"/>
        <color rgb="FF000000"/>
        <rFont val="Tahoma"/>
        <charset val="134"/>
      </rPr>
      <t>/</t>
    </r>
    <r>
      <rPr>
        <sz val="11"/>
        <color rgb="FF000000"/>
        <rFont val="宋体"/>
        <charset val="134"/>
      </rPr>
      <t>布种品名信息</t>
    </r>
  </si>
  <si>
    <r>
      <rPr>
        <sz val="11"/>
        <color rgb="FF000000"/>
        <rFont val="宋体"/>
        <charset val="134"/>
      </rPr>
      <t>广州市番禺区洛浦街西三村开发东路</t>
    </r>
    <r>
      <rPr>
        <sz val="11"/>
        <color rgb="FF000000"/>
        <rFont val="Tahoma"/>
        <charset val="134"/>
      </rPr>
      <t>3</t>
    </r>
    <r>
      <rPr>
        <sz val="11"/>
        <color rgb="FF000000"/>
        <rFont val="宋体"/>
        <charset val="134"/>
      </rPr>
      <t>号达新工业园</t>
    </r>
    <r>
      <rPr>
        <sz val="11"/>
        <color rgb="FF000000"/>
        <rFont val="Tahoma"/>
        <charset val="134"/>
      </rPr>
      <t>C</t>
    </r>
    <r>
      <rPr>
        <sz val="11"/>
        <color rgb="FF000000"/>
        <rFont val="宋体"/>
        <charset val="134"/>
      </rPr>
      <t>栋中梯五层</t>
    </r>
    <r>
      <rPr>
        <sz val="11"/>
        <color rgb="FF000000"/>
        <rFont val="Tahoma"/>
        <charset val="134"/>
      </rPr>
      <t xml:space="preserve">504-505 </t>
    </r>
    <r>
      <rPr>
        <sz val="11"/>
        <color rgb="FF000000"/>
        <rFont val="宋体"/>
        <charset val="134"/>
      </rPr>
      <t>刘小姐</t>
    </r>
    <r>
      <rPr>
        <sz val="11"/>
        <color rgb="FF000000"/>
        <rFont val="Tahoma"/>
        <charset val="134"/>
      </rPr>
      <t>15915701761</t>
    </r>
  </si>
  <si>
    <r>
      <rPr>
        <sz val="11"/>
        <color rgb="FF000000"/>
        <rFont val="宋体"/>
        <charset val="134"/>
      </rPr>
      <t>送亮发纺织 广州市海珠区逸景路银岭三期C1206A档 苏珊贝绸刘小姐的货。下午</t>
    </r>
    <r>
      <rPr>
        <sz val="11"/>
        <color rgb="FF000000"/>
        <rFont val="Tahoma"/>
        <charset val="134"/>
      </rPr>
      <t>1</t>
    </r>
    <r>
      <rPr>
        <sz val="11"/>
        <color rgb="FF000000"/>
        <rFont val="宋体"/>
        <charset val="134"/>
      </rPr>
      <t>点到</t>
    </r>
    <r>
      <rPr>
        <sz val="11"/>
        <color rgb="FF000000"/>
        <rFont val="Tahoma"/>
        <charset val="134"/>
      </rPr>
      <t>5</t>
    </r>
    <r>
      <rPr>
        <sz val="11"/>
        <color rgb="FF000000"/>
        <rFont val="宋体"/>
        <charset val="134"/>
      </rPr>
      <t>点</t>
    </r>
  </si>
  <si>
    <t>广州市番禺区积光工业园1栋四楼，蔡生13544390809</t>
  </si>
  <si>
    <r>
      <rPr>
        <sz val="11"/>
        <color rgb="FF000000"/>
        <rFont val="宋体"/>
        <charset val="134"/>
      </rPr>
      <t>飞龙物流鸿洲充电桩停车场出口</t>
    </r>
    <r>
      <rPr>
        <sz val="11"/>
        <color rgb="FF000000"/>
        <rFont val="Tahoma"/>
        <charset val="134"/>
      </rPr>
      <t>B62</t>
    </r>
    <r>
      <rPr>
        <sz val="11"/>
        <color rgb="FF000000"/>
        <rFont val="宋体"/>
        <charset val="134"/>
      </rPr>
      <t>一</t>
    </r>
    <r>
      <rPr>
        <sz val="11"/>
        <color rgb="FF000000"/>
        <rFont val="Tahoma"/>
        <charset val="134"/>
      </rPr>
      <t>B63</t>
    </r>
    <r>
      <rPr>
        <sz val="11"/>
        <color rgb="FF000000"/>
        <rFont val="宋体"/>
        <charset val="134"/>
      </rPr>
      <t>号，</t>
    </r>
    <r>
      <rPr>
        <sz val="11"/>
        <color rgb="FF000000"/>
        <rFont val="Tahoma"/>
        <charset val="134"/>
      </rPr>
      <t>13538795909</t>
    </r>
    <r>
      <rPr>
        <sz val="11"/>
        <color rgb="FF000000"/>
        <rFont val="宋体"/>
        <charset val="134"/>
      </rPr>
      <t>蒋生，收货人：韦欣蔡生</t>
    </r>
    <r>
      <rPr>
        <sz val="11"/>
        <color rgb="FF000000"/>
        <rFont val="Tahoma"/>
        <charset val="134"/>
      </rPr>
      <t>13544390809</t>
    </r>
  </si>
  <si>
    <t>海珠区赤沙南便基横街广州晨恩服饰2楼—泰丰制衣厂—小助收13068801544</t>
  </si>
  <si>
    <t>老崔车队13002018168-鸿州充电站21位—收货-赤沙小助</t>
  </si>
  <si>
    <t>东莞市虎门镇威远大道230号熙曜楼4楼
《东莞市圣德服饰有限公司》
收件人：汤德新：13829221076</t>
  </si>
  <si>
    <r>
      <rPr>
        <sz val="11"/>
        <color rgb="FF000000"/>
        <rFont val="宋体"/>
        <charset val="134"/>
      </rPr>
      <t>《珠江轻纺城：</t>
    </r>
    <r>
      <rPr>
        <sz val="11"/>
        <color rgb="FF000000"/>
        <rFont val="Tahoma"/>
        <charset val="134"/>
      </rPr>
      <t>D</t>
    </r>
    <r>
      <rPr>
        <sz val="11"/>
        <color rgb="FF000000"/>
        <rFont val="宋体"/>
        <charset val="134"/>
      </rPr>
      <t>区广州酒家对面》</t>
    </r>
    <r>
      <rPr>
        <sz val="11"/>
        <color rgb="FF000000"/>
        <rFont val="Tahoma"/>
        <charset val="134"/>
      </rPr>
      <t xml:space="preserve">
</t>
    </r>
    <r>
      <rPr>
        <sz val="11"/>
        <color rgb="FF000000"/>
        <rFont val="宋体"/>
        <charset val="134"/>
      </rPr>
      <t>老刘车队</t>
    </r>
    <r>
      <rPr>
        <sz val="11"/>
        <color rgb="FF000000"/>
        <rFont val="Tahoma"/>
        <charset val="134"/>
      </rPr>
      <t>13509807206</t>
    </r>
    <r>
      <rPr>
        <sz val="11"/>
        <color rgb="FF000000"/>
        <rFont val="宋体"/>
        <charset val="134"/>
      </rPr>
      <t>：</t>
    </r>
    <r>
      <rPr>
        <sz val="11"/>
        <color rgb="FF000000"/>
        <rFont val="Tahoma"/>
        <charset val="134"/>
      </rPr>
      <t xml:space="preserve">
</t>
    </r>
    <r>
      <rPr>
        <sz val="11"/>
        <color rgb="FF000000"/>
        <rFont val="宋体"/>
        <charset val="134"/>
      </rPr>
      <t>写上：汤生</t>
    </r>
    <r>
      <rPr>
        <sz val="11"/>
        <color rgb="FF000000"/>
        <rFont val="Tahoma"/>
        <charset val="134"/>
      </rPr>
      <t>13829221076</t>
    </r>
  </si>
  <si>
    <r>
      <rPr>
        <sz val="11"/>
        <color rgb="FF000000"/>
        <rFont val="宋体"/>
        <charset val="134"/>
      </rPr>
      <t>韦恩集团</t>
    </r>
    <r>
      <rPr>
        <sz val="11"/>
        <color rgb="FF000000"/>
        <rFont val="Tahoma"/>
        <charset val="134"/>
      </rPr>
      <t xml:space="preserve">  </t>
    </r>
    <r>
      <rPr>
        <sz val="11"/>
        <color rgb="FF000000"/>
        <rFont val="宋体"/>
        <charset val="134"/>
      </rPr>
      <t>广州市番禺区石碁镇亚运大道</t>
    </r>
    <r>
      <rPr>
        <sz val="11"/>
        <color rgb="FF000000"/>
        <rFont val="Tahoma"/>
        <charset val="134"/>
      </rPr>
      <t>895</t>
    </r>
    <r>
      <rPr>
        <sz val="11"/>
        <color rgb="FF000000"/>
        <rFont val="宋体"/>
        <charset val="134"/>
      </rPr>
      <t>号合劲嘉福创新城</t>
    </r>
    <r>
      <rPr>
        <sz val="11"/>
        <color rgb="FF000000"/>
        <rFont val="Tahoma"/>
        <charset val="134"/>
      </rPr>
      <t>6</t>
    </r>
    <r>
      <rPr>
        <sz val="11"/>
        <color rgb="FF000000"/>
        <rFont val="宋体"/>
        <charset val="134"/>
      </rPr>
      <t>号楼（</t>
    </r>
    <r>
      <rPr>
        <sz val="11"/>
        <color rgb="FF000000"/>
        <rFont val="Tahoma"/>
        <charset val="134"/>
      </rPr>
      <t>F</t>
    </r>
    <r>
      <rPr>
        <sz val="11"/>
        <color rgb="FF000000"/>
        <rFont val="宋体"/>
        <charset val="134"/>
      </rPr>
      <t>栋）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ahoma"/>
        <charset val="134"/>
      </rPr>
      <t>1</t>
    </r>
    <r>
      <rPr>
        <sz val="11"/>
        <color rgb="FF000000"/>
        <rFont val="宋体"/>
        <charset val="134"/>
      </rPr>
      <t>楼）</t>
    </r>
    <r>
      <rPr>
        <sz val="11"/>
        <color rgb="FF000000"/>
        <rFont val="Tahoma"/>
        <charset val="134"/>
      </rPr>
      <t xml:space="preserve"> 13622255651</t>
    </r>
    <r>
      <rPr>
        <sz val="11"/>
        <color rgb="FF000000"/>
        <rFont val="宋体"/>
        <charset val="134"/>
      </rPr>
      <t>彩琼</t>
    </r>
  </si>
  <si>
    <r>
      <rPr>
        <sz val="11"/>
        <color rgb="FF000000"/>
        <rFont val="宋体"/>
        <charset val="134"/>
      </rPr>
      <t>田田</t>
    </r>
    <r>
      <rPr>
        <sz val="11"/>
        <color rgb="FF000000"/>
        <rFont val="Tahoma"/>
        <charset val="134"/>
      </rPr>
      <t xml:space="preserve"> 18677947720  </t>
    </r>
    <r>
      <rPr>
        <sz val="11"/>
        <color rgb="FF000000"/>
        <rFont val="宋体"/>
        <charset val="134"/>
      </rPr>
      <t>广东省佛山市南海区海北大道</t>
    </r>
    <r>
      <rPr>
        <sz val="11"/>
        <color rgb="FF000000"/>
        <rFont val="Tahoma"/>
        <charset val="134"/>
      </rPr>
      <t>129</t>
    </r>
    <r>
      <rPr>
        <sz val="11"/>
        <color rgb="FF000000"/>
        <rFont val="宋体"/>
        <charset val="134"/>
      </rPr>
      <t>号三楼（加油站对面，广磊石材工程部隔壁楼三楼</t>
    </r>
  </si>
  <si>
    <r>
      <rPr>
        <sz val="11"/>
        <color rgb="FF000000"/>
        <rFont val="宋体"/>
        <charset val="134"/>
      </rPr>
      <t>送佛山阿强货运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中大国际轻纺城</t>
    </r>
    <r>
      <rPr>
        <sz val="11"/>
        <color rgb="FF000000"/>
        <rFont val="Tahoma"/>
        <charset val="134"/>
      </rPr>
      <t>B</t>
    </r>
    <r>
      <rPr>
        <sz val="11"/>
        <color rgb="FF000000"/>
        <rFont val="宋体"/>
        <charset val="134"/>
      </rPr>
      <t>区</t>
    </r>
    <r>
      <rPr>
        <sz val="11"/>
        <color rgb="FF000000"/>
        <rFont val="Tahoma"/>
        <charset val="134"/>
      </rPr>
      <t>08</t>
    </r>
    <r>
      <rPr>
        <sz val="11"/>
        <color rgb="FF000000"/>
        <rFont val="宋体"/>
        <charset val="134"/>
      </rPr>
      <t>号车位</t>
    </r>
    <r>
      <rPr>
        <sz val="11"/>
        <color rgb="FF000000"/>
        <rFont val="Tahoma"/>
        <charset val="134"/>
      </rPr>
      <t xml:space="preserve"> 15876555680  </t>
    </r>
    <r>
      <rPr>
        <sz val="11"/>
        <color rgb="FF000000"/>
        <rFont val="宋体"/>
        <charset val="134"/>
      </rPr>
      <t>万泰服饰 傅生 18588578221</t>
    </r>
  </si>
  <si>
    <t>对账单需要随货一起出</t>
  </si>
  <si>
    <r>
      <rPr>
        <sz val="11"/>
        <color rgb="FF000000"/>
        <rFont val="宋体"/>
        <charset val="134"/>
      </rPr>
      <t>广东省深圳市宝安区沙井街道后亭第二工业区福新创客大厦</t>
    </r>
    <r>
      <rPr>
        <sz val="11"/>
        <color rgb="FF000000"/>
        <rFont val="Tahoma"/>
        <charset val="134"/>
      </rPr>
      <t>C</t>
    </r>
    <r>
      <rPr>
        <sz val="11"/>
        <color rgb="FF000000"/>
        <rFont val="宋体"/>
        <charset val="134"/>
      </rPr>
      <t>座</t>
    </r>
    <r>
      <rPr>
        <sz val="11"/>
        <color rgb="FF000000"/>
        <rFont val="Tahoma"/>
        <charset val="134"/>
      </rPr>
      <t>2</t>
    </r>
    <r>
      <rPr>
        <sz val="11"/>
        <color rgb="FF000000"/>
        <rFont val="宋体"/>
        <charset val="134"/>
      </rPr>
      <t>楼</t>
    </r>
    <r>
      <rPr>
        <sz val="11"/>
        <color rgb="FF000000"/>
        <rFont val="Tahoma"/>
        <charset val="134"/>
      </rPr>
      <t xml:space="preserve">  </t>
    </r>
    <r>
      <rPr>
        <sz val="11"/>
        <color rgb="FF000000"/>
        <rFont val="宋体"/>
        <charset val="134"/>
      </rPr>
      <t xml:space="preserve">深圳三佰服装有限公司 </t>
    </r>
    <r>
      <rPr>
        <sz val="11"/>
        <color rgb="FF000000"/>
        <rFont val="Tahoma"/>
        <charset val="134"/>
      </rPr>
      <t>Yannis 18218567292</t>
    </r>
  </si>
  <si>
    <r>
      <rPr>
        <sz val="11"/>
        <color rgb="FF000000"/>
        <rFont val="宋体"/>
        <charset val="134"/>
      </rPr>
      <t>三佰</t>
    </r>
    <r>
      <rPr>
        <sz val="11"/>
        <color rgb="FF000000"/>
        <rFont val="Tahoma"/>
        <charset val="134"/>
      </rPr>
      <t>-</t>
    </r>
    <r>
      <rPr>
        <sz val="11"/>
        <color rgb="FF000000"/>
        <rFont val="宋体"/>
        <charset val="134"/>
      </rPr>
      <t>夜色</t>
    </r>
  </si>
  <si>
    <r>
      <rPr>
        <sz val="11"/>
        <color rgb="FF000000"/>
        <rFont val="宋体"/>
        <charset val="134"/>
      </rPr>
      <t>东莞市虎门镇永勤工业区</t>
    </r>
    <r>
      <rPr>
        <sz val="11"/>
        <color rgb="FF000000"/>
        <rFont val="Tahoma"/>
        <charset val="134"/>
      </rPr>
      <t>D</t>
    </r>
    <r>
      <rPr>
        <sz val="11"/>
        <color rgb="FF000000"/>
        <rFont val="宋体"/>
        <charset val="134"/>
      </rPr>
      <t>栋</t>
    </r>
    <r>
      <rPr>
        <sz val="11"/>
        <color rgb="FF000000"/>
        <rFont val="Tahoma"/>
        <charset val="134"/>
      </rPr>
      <t>3</t>
    </r>
    <r>
      <rPr>
        <sz val="11"/>
        <color rgb="FF000000"/>
        <rFont val="宋体"/>
        <charset val="134"/>
      </rPr>
      <t>楼夜色服饰</t>
    </r>
    <r>
      <rPr>
        <sz val="11"/>
        <color rgb="FF000000"/>
        <rFont val="Tahoma"/>
        <charset val="134"/>
      </rPr>
      <t xml:space="preserve">
</t>
    </r>
    <r>
      <rPr>
        <sz val="11"/>
        <color rgb="FF000000"/>
        <rFont val="宋体"/>
        <charset val="134"/>
      </rPr>
      <t>芝芝</t>
    </r>
    <r>
      <rPr>
        <sz val="11"/>
        <color rgb="FF000000"/>
        <rFont val="Tahoma"/>
        <charset val="134"/>
      </rPr>
      <t>13268697803</t>
    </r>
  </si>
  <si>
    <r>
      <rPr>
        <sz val="11"/>
        <color rgb="FF000000"/>
        <rFont val="宋体"/>
        <charset val="134"/>
      </rPr>
      <t>三佰</t>
    </r>
    <r>
      <rPr>
        <sz val="11"/>
        <color rgb="FF000000"/>
        <rFont val="Tahoma"/>
        <charset val="134"/>
      </rPr>
      <t>-</t>
    </r>
    <r>
      <rPr>
        <sz val="11"/>
        <color rgb="FF000000"/>
        <rFont val="宋体"/>
        <charset val="134"/>
      </rPr>
      <t>正恒</t>
    </r>
  </si>
  <si>
    <r>
      <rPr>
        <sz val="11"/>
        <color rgb="FF000000"/>
        <rFont val="宋体"/>
        <charset val="134"/>
      </rPr>
      <t>付小姐</t>
    </r>
    <r>
      <rPr>
        <sz val="11"/>
        <color rgb="FF000000"/>
        <rFont val="Tahoma"/>
        <charset val="134"/>
      </rPr>
      <t xml:space="preserve"> 18002881313 </t>
    </r>
    <r>
      <rPr>
        <sz val="11"/>
        <color rgb="FF000000"/>
        <rFont val="宋体"/>
        <charset val="134"/>
      </rPr>
      <t>正恒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广东省东莞市虎门镇博头宝丽印刷厂</t>
    </r>
    <r>
      <rPr>
        <sz val="11"/>
        <color rgb="FF000000"/>
        <rFont val="Tahoma"/>
        <charset val="134"/>
      </rPr>
      <t>A</t>
    </r>
    <r>
      <rPr>
        <sz val="11"/>
        <color rgb="FF000000"/>
        <rFont val="宋体"/>
        <charset val="134"/>
      </rPr>
      <t>栋</t>
    </r>
    <r>
      <rPr>
        <sz val="11"/>
        <color rgb="FF000000"/>
        <rFont val="Tahoma"/>
        <charset val="134"/>
      </rPr>
      <t>4</t>
    </r>
    <r>
      <rPr>
        <sz val="11"/>
        <color rgb="FF000000"/>
        <rFont val="宋体"/>
        <charset val="134"/>
      </rPr>
      <t>楼正恒服饰</t>
    </r>
  </si>
  <si>
    <r>
      <rPr>
        <sz val="11"/>
        <color rgb="FF000000"/>
        <rFont val="宋体"/>
        <charset val="134"/>
      </rPr>
      <t>三佰</t>
    </r>
    <r>
      <rPr>
        <sz val="11"/>
        <color rgb="FF000000"/>
        <rFont val="Tahoma"/>
        <charset val="134"/>
      </rPr>
      <t>-</t>
    </r>
    <r>
      <rPr>
        <sz val="11"/>
        <color rgb="FF000000"/>
        <rFont val="宋体"/>
        <charset val="134"/>
      </rPr>
      <t>妮裳</t>
    </r>
  </si>
  <si>
    <r>
      <rPr>
        <sz val="11"/>
        <color rgb="FF000000"/>
        <rFont val="宋体"/>
        <charset val="134"/>
      </rPr>
      <t>虎门镇镇口第二工业区顺成产业园</t>
    </r>
    <r>
      <rPr>
        <sz val="11"/>
        <color rgb="FF000000"/>
        <rFont val="Tahoma"/>
        <charset val="134"/>
      </rPr>
      <t>A</t>
    </r>
    <r>
      <rPr>
        <sz val="11"/>
        <color rgb="FF000000"/>
        <rFont val="宋体"/>
        <charset val="134"/>
      </rPr>
      <t>栋</t>
    </r>
    <r>
      <rPr>
        <sz val="11"/>
        <color rgb="FF000000"/>
        <rFont val="Tahoma"/>
        <charset val="134"/>
      </rPr>
      <t>3</t>
    </r>
    <r>
      <rPr>
        <sz val="11"/>
        <color rgb="FF000000"/>
        <rFont val="宋体"/>
        <charset val="134"/>
      </rPr>
      <t>楼财务室</t>
    </r>
    <r>
      <rPr>
        <sz val="11"/>
        <color rgb="FF000000"/>
        <rFont val="Tahoma"/>
        <charset val="134"/>
      </rPr>
      <t xml:space="preserve">  </t>
    </r>
    <r>
      <rPr>
        <sz val="11"/>
        <color rgb="FF000000"/>
        <rFont val="宋体"/>
        <charset val="134"/>
      </rPr>
      <t>飞飞，</t>
    </r>
    <r>
      <rPr>
        <sz val="11"/>
        <color rgb="FF000000"/>
        <rFont val="Tahoma"/>
        <charset val="134"/>
      </rPr>
      <t>15817384767</t>
    </r>
  </si>
  <si>
    <r>
      <rPr>
        <sz val="11"/>
        <color rgb="FF000000"/>
        <rFont val="宋体"/>
        <charset val="134"/>
      </rPr>
      <t>广州市花都区狮岭镇狮岭皮革城四期南广场</t>
    </r>
    <r>
      <rPr>
        <sz val="11"/>
        <color rgb="FF000000"/>
        <rFont val="Tahoma"/>
        <charset val="134"/>
      </rPr>
      <t>7</t>
    </r>
    <r>
      <rPr>
        <sz val="11"/>
        <color rgb="FF000000"/>
        <rFont val="宋体"/>
        <charset val="134"/>
      </rPr>
      <t>到</t>
    </r>
    <r>
      <rPr>
        <sz val="11"/>
        <color rgb="FF000000"/>
        <rFont val="Tahoma"/>
        <charset val="134"/>
      </rPr>
      <t>9</t>
    </r>
    <r>
      <rPr>
        <sz val="11"/>
        <color rgb="FF000000"/>
        <rFont val="宋体"/>
        <charset val="134"/>
      </rPr>
      <t>号海粤物流，</t>
    </r>
    <r>
      <rPr>
        <sz val="11"/>
        <color rgb="FF000000"/>
        <rFont val="Tahoma"/>
        <charset val="134"/>
      </rPr>
      <t>4555</t>
    </r>
    <r>
      <rPr>
        <sz val="11"/>
        <color rgb="FF000000"/>
        <rFont val="宋体"/>
        <charset val="134"/>
      </rPr>
      <t>收，</t>
    </r>
    <r>
      <rPr>
        <sz val="11"/>
        <color rgb="FF000000"/>
        <rFont val="Tahoma"/>
        <charset val="134"/>
      </rPr>
      <t>14758359976(PHUONG THAO 0835.942.886</t>
    </r>
  </si>
  <si>
    <r>
      <rPr>
        <sz val="11"/>
        <color rgb="FF000000"/>
        <rFont val="宋体"/>
        <charset val="134"/>
      </rPr>
      <t>东莞市虎门镇家棋服饰有限公司，虎门镇太新路六街</t>
    </r>
    <r>
      <rPr>
        <sz val="11"/>
        <color rgb="FF000000"/>
        <rFont val="Tahoma"/>
        <charset val="134"/>
      </rPr>
      <t>2</t>
    </r>
    <r>
      <rPr>
        <sz val="11"/>
        <color rgb="FF000000"/>
        <rFont val="宋体"/>
        <charset val="134"/>
      </rPr>
      <t xml:space="preserve">号一楼 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黄莹</t>
    </r>
    <r>
      <rPr>
        <sz val="11"/>
        <color rgb="FF000000"/>
        <rFont val="Tahoma"/>
        <charset val="134"/>
      </rPr>
      <t>13532450641</t>
    </r>
  </si>
  <si>
    <r>
      <rPr>
        <sz val="11"/>
        <color rgb="FF000000"/>
        <rFont val="宋体"/>
        <charset val="134"/>
      </rPr>
      <t>上海市宝山区城银路</t>
    </r>
    <r>
      <rPr>
        <sz val="11"/>
        <color rgb="FF000000"/>
        <rFont val="Tahoma"/>
        <charset val="134"/>
      </rPr>
      <t>555</t>
    </r>
    <r>
      <rPr>
        <sz val="11"/>
        <color rgb="FF000000"/>
        <rFont val="宋体"/>
        <charset val="134"/>
      </rPr>
      <t>弄绿地领海</t>
    </r>
    <r>
      <rPr>
        <sz val="11"/>
        <color rgb="FF000000"/>
        <rFont val="Tahoma"/>
        <charset val="134"/>
      </rPr>
      <t>7</t>
    </r>
    <r>
      <rPr>
        <sz val="11"/>
        <color rgb="FF000000"/>
        <rFont val="宋体"/>
        <charset val="134"/>
      </rPr>
      <t>号楼</t>
    </r>
    <r>
      <rPr>
        <sz val="11"/>
        <color rgb="FF000000"/>
        <rFont val="Tahoma"/>
        <charset val="134"/>
      </rPr>
      <t>202</t>
    </r>
    <r>
      <rPr>
        <sz val="11"/>
        <color rgb="FF000000"/>
        <rFont val="宋体"/>
        <charset val="134"/>
      </rPr>
      <t xml:space="preserve"> 扑喜商贸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单正亚</t>
    </r>
    <r>
      <rPr>
        <sz val="11"/>
        <color rgb="FF000000"/>
        <rFont val="Tahoma"/>
        <charset val="134"/>
      </rPr>
      <t xml:space="preserve"> 13917266991</t>
    </r>
  </si>
  <si>
    <t>广州橙爱</t>
  </si>
  <si>
    <r>
      <rPr>
        <sz val="11"/>
        <color rgb="FF000000"/>
        <rFont val="宋体"/>
        <charset val="134"/>
      </rPr>
      <t>广东省广州市番禺区南村镇南光路永顺大厦一楼，小宇</t>
    </r>
    <r>
      <rPr>
        <sz val="11"/>
        <color rgb="FF000000"/>
        <rFont val="Tahoma"/>
        <charset val="134"/>
      </rPr>
      <t>13112523551</t>
    </r>
  </si>
  <si>
    <t>版布地址是橙爱的印花厂</t>
  </si>
  <si>
    <r>
      <rPr>
        <sz val="11"/>
        <color rgb="FF000000"/>
        <rFont val="宋体"/>
        <charset val="134"/>
      </rPr>
      <t>汕头市龙湖区经发大厦</t>
    </r>
    <r>
      <rPr>
        <sz val="11"/>
        <color rgb="FF000000"/>
        <rFont val="Tahoma"/>
        <charset val="134"/>
      </rPr>
      <t>B</t>
    </r>
    <r>
      <rPr>
        <sz val="11"/>
        <color rgb="FF000000"/>
        <rFont val="宋体"/>
        <charset val="134"/>
      </rPr>
      <t>座</t>
    </r>
    <r>
      <rPr>
        <sz val="11"/>
        <color rgb="FF000000"/>
        <rFont val="Tahoma"/>
        <charset val="134"/>
      </rPr>
      <t>8</t>
    </r>
    <r>
      <rPr>
        <sz val="11"/>
        <color rgb="FF000000"/>
        <rFont val="宋体"/>
        <charset val="134"/>
      </rPr>
      <t>楼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汕头佳音服装有限公司，吕晓璇</t>
    </r>
    <r>
      <rPr>
        <sz val="11"/>
        <color rgb="FF000000"/>
        <rFont val="Tahoma"/>
        <charset val="134"/>
      </rPr>
      <t xml:space="preserve">  15817902354</t>
    </r>
  </si>
  <si>
    <t>依斯高</t>
  </si>
  <si>
    <r>
      <rPr>
        <sz val="11"/>
        <color rgb="FF000000"/>
        <rFont val="宋体"/>
        <charset val="134"/>
      </rPr>
      <t>广州市越秀区沿江中路</t>
    </r>
    <r>
      <rPr>
        <sz val="11"/>
        <color rgb="FF000000"/>
        <rFont val="Tahoma"/>
        <charset val="134"/>
      </rPr>
      <t>299</t>
    </r>
    <r>
      <rPr>
        <sz val="11"/>
        <color rgb="FF000000"/>
        <rFont val="宋体"/>
        <charset val="134"/>
      </rPr>
      <t>号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银海大厦</t>
    </r>
    <r>
      <rPr>
        <sz val="11"/>
        <color rgb="FF000000"/>
        <rFont val="Tahoma"/>
        <charset val="134"/>
      </rPr>
      <t>19</t>
    </r>
    <r>
      <rPr>
        <sz val="11"/>
        <color rgb="FF000000"/>
        <rFont val="宋体"/>
        <charset val="134"/>
      </rPr>
      <t>楼</t>
    </r>
    <r>
      <rPr>
        <sz val="11"/>
        <color rgb="FF000000"/>
        <rFont val="Tahoma"/>
        <charset val="134"/>
      </rPr>
      <t xml:space="preserve"> </t>
    </r>
    <r>
      <rPr>
        <sz val="11"/>
        <color rgb="FF000000"/>
        <rFont val="宋体"/>
        <charset val="134"/>
      </rPr>
      <t>依斯高贸易公司</t>
    </r>
    <r>
      <rPr>
        <sz val="11"/>
        <color rgb="FF000000"/>
        <rFont val="Tahoma"/>
        <charset val="134"/>
      </rPr>
      <t xml:space="preserve"> SANDY </t>
    </r>
    <r>
      <rPr>
        <sz val="11"/>
        <color rgb="FF000000"/>
        <rFont val="宋体"/>
        <charset val="134"/>
      </rPr>
      <t>黄小姐</t>
    </r>
    <r>
      <rPr>
        <sz val="11"/>
        <color rgb="FF000000"/>
        <rFont val="Tahoma"/>
        <charset val="134"/>
      </rPr>
      <t xml:space="preserve"> 020-66842111</t>
    </r>
    <r>
      <rPr>
        <sz val="11"/>
        <color rgb="FF000000"/>
        <rFont val="宋体"/>
        <charset val="134"/>
      </rPr>
      <t>（内线</t>
    </r>
    <r>
      <rPr>
        <sz val="11"/>
        <color rgb="FF000000"/>
        <rFont val="Tahoma"/>
        <charset val="134"/>
      </rPr>
      <t>64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</si>
  <si>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广州花都区铁山河西路</t>
    </r>
    <r>
      <rPr>
        <sz val="11"/>
        <color rgb="FF000000"/>
        <rFont val="Tahoma"/>
        <charset val="134"/>
      </rPr>
      <t>301</t>
    </r>
    <r>
      <rPr>
        <sz val="11"/>
        <color rgb="FF000000"/>
        <rFont val="宋体"/>
        <charset val="134"/>
      </rPr>
      <t>厂房</t>
    </r>
    <r>
      <rPr>
        <sz val="11"/>
        <color rgb="FF000000"/>
        <rFont val="Tahoma"/>
        <charset val="134"/>
      </rPr>
      <t>19899193025</t>
    </r>
    <r>
      <rPr>
        <sz val="11"/>
        <color rgb="FF000000"/>
        <rFont val="宋体"/>
        <charset val="134"/>
      </rPr>
      <t>丘丽珠</t>
    </r>
  </si>
  <si>
    <r>
      <rPr>
        <sz val="11"/>
        <color rgb="FF000000"/>
        <rFont val="宋体"/>
        <charset val="134"/>
      </rPr>
      <t>佛山市南海区大沥镇盐步河西陆东工业区德启创意园</t>
    </r>
    <r>
      <rPr>
        <sz val="11"/>
        <color rgb="FF000000"/>
        <rFont val="Tahoma"/>
        <charset val="134"/>
      </rPr>
      <t>C</t>
    </r>
    <r>
      <rPr>
        <sz val="11"/>
        <color rgb="FF000000"/>
        <rFont val="宋体"/>
        <charset val="134"/>
      </rPr>
      <t>座</t>
    </r>
    <r>
      <rPr>
        <sz val="11"/>
        <color rgb="FF000000"/>
        <rFont val="Tahoma"/>
        <charset val="134"/>
      </rPr>
      <t>4</t>
    </r>
    <r>
      <rPr>
        <sz val="11"/>
        <color rgb="FF000000"/>
        <rFont val="宋体"/>
        <charset val="134"/>
      </rPr>
      <t>楼</t>
    </r>
    <r>
      <rPr>
        <sz val="11"/>
        <color rgb="FF000000"/>
        <rFont val="Tahoma"/>
        <charset val="134"/>
      </rPr>
      <t xml:space="preserve">  
</t>
    </r>
    <r>
      <rPr>
        <sz val="11"/>
        <color rgb="FF000000"/>
        <rFont val="宋体"/>
        <charset val="134"/>
      </rPr>
      <t>慧帆服饰</t>
    </r>
    <r>
      <rPr>
        <sz val="11"/>
        <color rgb="FF000000"/>
        <rFont val="Tahoma"/>
        <charset val="134"/>
      </rPr>
      <t xml:space="preserve">
(</t>
    </r>
    <r>
      <rPr>
        <sz val="11"/>
        <color rgb="FF000000"/>
        <rFont val="宋体"/>
        <charset val="134"/>
      </rPr>
      <t>采购部</t>
    </r>
    <r>
      <rPr>
        <sz val="11"/>
        <color rgb="FF000000"/>
        <rFont val="Tahoma"/>
        <charset val="134"/>
      </rPr>
      <t xml:space="preserve">) </t>
    </r>
    <r>
      <rPr>
        <sz val="11"/>
        <color rgb="FF000000"/>
        <rFont val="宋体"/>
        <charset val="134"/>
      </rPr>
      <t>陈小菲</t>
    </r>
    <r>
      <rPr>
        <sz val="11"/>
        <color rgb="FF000000"/>
        <rFont val="Tahoma"/>
        <charset val="134"/>
      </rPr>
      <t>17322661281</t>
    </r>
  </si>
  <si>
    <t>是</t>
  </si>
  <si>
    <t>N/A</t>
  </si>
  <si>
    <t>否</t>
  </si>
  <si>
    <r>
      <rPr>
        <sz val="11"/>
        <color rgb="FF000000"/>
        <rFont val="Tahoma"/>
        <charset val="134"/>
      </rPr>
      <t>GRS</t>
    </r>
    <r>
      <rPr>
        <sz val="11"/>
        <color rgb="FF000000"/>
        <rFont val="宋体"/>
        <charset val="134"/>
      </rPr>
      <t>证书</t>
    </r>
  </si>
  <si>
    <r>
      <rPr>
        <sz val="11"/>
        <color rgb="FF000000"/>
        <rFont val="Tahoma"/>
        <charset val="134"/>
      </rPr>
      <t>BCI</t>
    </r>
    <r>
      <rPr>
        <sz val="11"/>
        <color rgb="FF000000"/>
        <rFont val="宋体"/>
        <charset val="134"/>
      </rPr>
      <t>证书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</si>
</sst>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\$#,##0\ ;\(\$#,##0\)"/>
    <numFmt numFmtId="178" formatCode="&quot;$&quot;#,##0;[Red]\-&quot;$&quot;#,##0"/>
    <numFmt numFmtId="179" formatCode="&quot;$&quot;#,##0.00;[Red]\-&quot;$&quot;#,##0.00"/>
    <numFmt numFmtId="180" formatCode="_ * #,##0_ ;_ * &quot;\&quot;&quot;\&quot;&quot;\&quot;&quot;\&quot;&quot;\&quot;&quot;\&quot;\-#,##0_ ;_ * &quot;-&quot;_ ;_ @_ "/>
    <numFmt numFmtId="181" formatCode="&quot;\&quot;#,##0;[Red]&quot;\&quot;&quot;\&quot;\-#,##0"/>
    <numFmt numFmtId="182" formatCode="&quot;\&quot;#,##0.00;[Red]&quot;\&quot;&quot;\&quot;&quot;\&quot;&quot;\&quot;&quot;\&quot;&quot;\&quot;\-#,##0.00"/>
    <numFmt numFmtId="183" formatCode="&quot;\&quot;#,##0.00;[Red]&quot;\&quot;\-#,##0.00"/>
    <numFmt numFmtId="184" formatCode="&quot;\&quot;#,##0;[Red]&quot;\&quot;\-#,##0"/>
    <numFmt numFmtId="185" formatCode="yyyy/m/d;@"/>
    <numFmt numFmtId="186" formatCode="&quot;￥&quot;#,##0.00_);[Red]\(&quot;￥&quot;#,##0.00\)"/>
    <numFmt numFmtId="187" formatCode="0_);[Red]\(0\)"/>
    <numFmt numFmtId="188" formatCode="0.00_);[Red]\(0.00\)"/>
    <numFmt numFmtId="189" formatCode="[$$-409]#,##0.00"/>
    <numFmt numFmtId="190" formatCode="0.0_ "/>
  </numFmts>
  <fonts count="119">
    <font>
      <sz val="11"/>
      <color indexed="8"/>
      <name val="Tahoma"/>
      <charset val="134"/>
    </font>
    <font>
      <sz val="11"/>
      <color rgb="FF000000"/>
      <name val="宋体"/>
      <charset val="134"/>
    </font>
    <font>
      <sz val="11"/>
      <color rgb="FF000000"/>
      <name val="Tahoma"/>
      <charset val="134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6"/>
      <color theme="1"/>
      <name val="微软雅黑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b/>
      <sz val="11"/>
      <color rgb="FF000000"/>
      <name val="微软雅黑"/>
      <charset val="134"/>
    </font>
    <font>
      <b/>
      <sz val="10"/>
      <name val="微软雅黑"/>
      <charset val="134"/>
    </font>
    <font>
      <sz val="11"/>
      <color indexed="8"/>
      <name val="微软雅黑"/>
      <charset val="134"/>
    </font>
    <font>
      <sz val="11"/>
      <color rgb="FF000000"/>
      <name val="微软雅黑"/>
      <charset val="134"/>
    </font>
    <font>
      <b/>
      <sz val="16"/>
      <color indexed="1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name val="Times New Roman"/>
      <charset val="134"/>
    </font>
    <font>
      <sz val="9"/>
      <color indexed="10"/>
      <name val="宋体"/>
      <charset val="134"/>
    </font>
    <font>
      <b/>
      <sz val="11"/>
      <name val="宋体"/>
      <charset val="134"/>
    </font>
    <font>
      <sz val="11"/>
      <color indexed="10"/>
      <name val="Times New Roman"/>
      <charset val="134"/>
    </font>
    <font>
      <sz val="16"/>
      <name val="Calibri Light"/>
      <charset val="134"/>
    </font>
    <font>
      <sz val="18"/>
      <name val="Calibri Light"/>
      <charset val="134"/>
    </font>
    <font>
      <sz val="11"/>
      <color indexed="8"/>
      <name val="Calibri Light"/>
      <charset val="134"/>
    </font>
    <font>
      <b/>
      <sz val="18"/>
      <name val="Calibri Light"/>
      <charset val="134"/>
    </font>
    <font>
      <sz val="16"/>
      <color rgb="FFFF0000"/>
      <name val="宋体"/>
      <charset val="134"/>
    </font>
    <font>
      <sz val="16"/>
      <name val="宋体"/>
      <charset val="134"/>
    </font>
    <font>
      <b/>
      <sz val="16"/>
      <color rgb="FFFF0000"/>
      <name val="Calibri Light"/>
      <charset val="134"/>
    </font>
    <font>
      <b/>
      <sz val="16"/>
      <color rgb="FFFF0000"/>
      <name val="宋体"/>
      <charset val="134"/>
    </font>
    <font>
      <sz val="16"/>
      <name val="宋体"/>
      <charset val="134"/>
      <scheme val="minor"/>
    </font>
    <font>
      <sz val="16"/>
      <color rgb="FFFF0000"/>
      <name val="Calibri Light"/>
      <charset val="134"/>
    </font>
    <font>
      <sz val="16"/>
      <name val="Times New Roman"/>
      <charset val="134"/>
    </font>
    <font>
      <sz val="16"/>
      <color rgb="FF000000"/>
      <name val="Calibri Light"/>
      <charset val="134"/>
    </font>
    <font>
      <sz val="16"/>
      <color rgb="FFFF0000"/>
      <name val="Times New Roman"/>
      <charset val="134"/>
    </font>
    <font>
      <sz val="18"/>
      <color indexed="10"/>
      <name val="Calibri Light"/>
      <charset val="134"/>
    </font>
    <font>
      <sz val="18"/>
      <name val="宋体"/>
      <charset val="134"/>
    </font>
    <font>
      <sz val="10"/>
      <color rgb="FFFF0000"/>
      <name val="Calibri Light"/>
      <charset val="134"/>
    </font>
    <font>
      <sz val="11"/>
      <color theme="1"/>
      <name val="Calibri Light"/>
      <charset val="134"/>
    </font>
    <font>
      <strike/>
      <sz val="10"/>
      <color theme="1"/>
      <name val="宋体"/>
      <charset val="134"/>
    </font>
    <font>
      <sz val="10"/>
      <color theme="1"/>
      <name val="Calibri Light"/>
      <charset val="134"/>
    </font>
    <font>
      <b/>
      <sz val="10"/>
      <name val="Calibri Light"/>
      <charset val="134"/>
    </font>
    <font>
      <b/>
      <sz val="10"/>
      <color theme="1"/>
      <name val="Calibri Light"/>
      <charset val="134"/>
    </font>
    <font>
      <sz val="10"/>
      <name val="Calibri Light"/>
      <charset val="134"/>
    </font>
    <font>
      <sz val="10"/>
      <color theme="1"/>
      <name val="宋体"/>
      <charset val="134"/>
    </font>
    <font>
      <sz val="10"/>
      <color rgb="FF000000"/>
      <name val="Calibri Light"/>
      <charset val="134"/>
    </font>
    <font>
      <sz val="11"/>
      <name val="Calibri Light"/>
      <charset val="134"/>
    </font>
    <font>
      <sz val="10"/>
      <color rgb="FFFF0000"/>
      <name val="宋体"/>
      <charset val="134"/>
    </font>
    <font>
      <sz val="11"/>
      <color rgb="FFFF0000"/>
      <name val="Calibri Light"/>
      <charset val="134"/>
    </font>
    <font>
      <sz val="11"/>
      <color rgb="FF000000"/>
      <name val="Calibri Light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.5"/>
      <color rgb="FF353535"/>
      <name val="宋体"/>
      <charset val="134"/>
      <scheme val="major"/>
    </font>
    <font>
      <strike/>
      <sz val="10"/>
      <name val="宋体"/>
      <charset val="134"/>
    </font>
    <font>
      <strike/>
      <sz val="11"/>
      <name val="宋体"/>
      <charset val="134"/>
    </font>
    <font>
      <sz val="10"/>
      <name val="Microsoft YaHei"/>
      <charset val="134"/>
    </font>
    <font>
      <sz val="12"/>
      <name val="Microsoft YaHei"/>
      <charset val="134"/>
    </font>
    <font>
      <sz val="11"/>
      <name val="Microsoft YaHei"/>
      <charset val="134"/>
    </font>
    <font>
      <sz val="12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10"/>
      <color rgb="FF9C0006"/>
      <name val="Calibri Light"/>
      <charset val="134"/>
    </font>
    <font>
      <b/>
      <sz val="10"/>
      <color rgb="FFFF0000"/>
      <name val="宋体"/>
      <charset val="134"/>
    </font>
    <font>
      <sz val="9"/>
      <color theme="1"/>
      <name val="微软雅黑"/>
      <charset val="134"/>
    </font>
    <font>
      <sz val="8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¹UAAA¼"/>
      <charset val="134"/>
    </font>
    <font>
      <sz val="8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sz val="10"/>
      <name val="MS Sans Serif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4"/>
      <name val="뼻뮝"/>
      <charset val="134"/>
    </font>
    <font>
      <sz val="12"/>
      <name val="Times New Roman"/>
      <charset val="134"/>
    </font>
    <font>
      <sz val="12"/>
      <name val="뼻뮝"/>
      <charset val="134"/>
    </font>
    <font>
      <sz val="12"/>
      <name val="바탕체"/>
      <charset val="129"/>
    </font>
    <font>
      <sz val="10"/>
      <name val="굴림체"/>
      <charset val="134"/>
    </font>
    <font>
      <sz val="18"/>
      <color indexed="10"/>
      <name val="宋体"/>
      <charset val="134"/>
    </font>
    <font>
      <sz val="9"/>
      <name val="Times New Roman"/>
      <charset val="134"/>
    </font>
    <font>
      <sz val="16"/>
      <name val="SimSun"/>
      <charset val="134"/>
    </font>
    <font>
      <sz val="10"/>
      <name val="微软雅黑"/>
      <charset val="134"/>
    </font>
    <font>
      <sz val="16"/>
      <color rgb="FF000000"/>
      <name val="宋体"/>
      <charset val="134"/>
    </font>
    <font>
      <sz val="11"/>
      <color theme="1"/>
      <name val="宋体"/>
      <charset val="134"/>
    </font>
    <font>
      <vertAlign val="subscript"/>
      <sz val="16"/>
      <name val="Calibri Light"/>
      <charset val="134"/>
    </font>
    <font>
      <sz val="10"/>
      <color rgb="FF000000"/>
      <name val="宋体"/>
      <charset val="134"/>
    </font>
    <font>
      <sz val="11"/>
      <color rgb="FFFF0000"/>
      <name val="微软雅黑"/>
      <charset val="134"/>
    </font>
    <font>
      <sz val="16"/>
      <color theme="1"/>
      <name val="宋体"/>
      <charset val="134"/>
    </font>
    <font>
      <b/>
      <sz val="10"/>
      <name val="宋体"/>
      <charset val="134"/>
    </font>
    <font>
      <i/>
      <sz val="10"/>
      <color theme="1"/>
      <name val="Calibri Light"/>
      <charset val="134"/>
    </font>
    <font>
      <b/>
      <sz val="18"/>
      <name val="宋体"/>
      <charset val="134"/>
    </font>
    <font>
      <sz val="11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862514114810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80452894680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8075807977538"/>
        <bgColor indexed="64"/>
      </patternFill>
    </fill>
    <fill>
      <patternFill patternType="solid">
        <fgColor theme="0" tint="-0.148106326487014"/>
        <bgColor indexed="64"/>
      </patternFill>
    </fill>
    <fill>
      <patternFill patternType="solid">
        <fgColor theme="7" tint="0.39960936307870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89">
    <xf numFmtId="176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3" fillId="18" borderId="12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0" borderId="13" applyNumberFormat="0" applyFill="0" applyAlignment="0" applyProtection="0">
      <alignment vertical="center"/>
    </xf>
    <xf numFmtId="0" fontId="77" fillId="0" borderId="13" applyNumberFormat="0" applyFill="0" applyAlignment="0" applyProtection="0">
      <alignment vertical="center"/>
    </xf>
    <xf numFmtId="0" fontId="78" fillId="0" borderId="1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19" borderId="15" applyNumberFormat="0" applyAlignment="0" applyProtection="0">
      <alignment vertical="center"/>
    </xf>
    <xf numFmtId="0" fontId="80" fillId="20" borderId="16" applyNumberFormat="0" applyAlignment="0" applyProtection="0">
      <alignment vertical="center"/>
    </xf>
    <xf numFmtId="0" fontId="81" fillId="20" borderId="15" applyNumberFormat="0" applyAlignment="0" applyProtection="0">
      <alignment vertical="center"/>
    </xf>
    <xf numFmtId="0" fontId="82" fillId="21" borderId="17" applyNumberFormat="0" applyAlignment="0" applyProtection="0">
      <alignment vertical="center"/>
    </xf>
    <xf numFmtId="0" fontId="83" fillId="0" borderId="18" applyNumberFormat="0" applyFill="0" applyAlignment="0" applyProtection="0">
      <alignment vertical="center"/>
    </xf>
    <xf numFmtId="0" fontId="84" fillId="0" borderId="19" applyNumberFormat="0" applyFill="0" applyAlignment="0" applyProtection="0">
      <alignment vertical="center"/>
    </xf>
    <xf numFmtId="0" fontId="85" fillId="22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89" fillId="26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89" fillId="30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89" fillId="34" borderId="0" applyNumberFormat="0" applyBorder="0" applyAlignment="0" applyProtection="0">
      <alignment vertical="center"/>
    </xf>
    <xf numFmtId="0" fontId="88" fillId="35" borderId="0" applyNumberFormat="0" applyBorder="0" applyAlignment="0" applyProtection="0">
      <alignment vertical="center"/>
    </xf>
    <xf numFmtId="0" fontId="88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88" fillId="39" borderId="0" applyNumberFormat="0" applyBorder="0" applyAlignment="0" applyProtection="0">
      <alignment vertical="center"/>
    </xf>
    <xf numFmtId="0" fontId="88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88" fillId="43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9" fillId="44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8" fillId="45" borderId="0" applyNumberFormat="0" applyBorder="0" applyAlignment="0" applyProtection="0">
      <alignment vertical="center"/>
    </xf>
    <xf numFmtId="176" fontId="90" fillId="0" borderId="0" applyFont="0" applyFill="0" applyBorder="0" applyAlignment="0" applyProtection="0"/>
    <xf numFmtId="176" fontId="90" fillId="0" borderId="0"/>
    <xf numFmtId="176" fontId="4" fillId="0" borderId="0" applyNumberFormat="0" applyFill="0" applyBorder="0" applyAlignment="0" applyProtection="0"/>
    <xf numFmtId="3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38" fontId="91" fillId="46" borderId="0" applyNumberFormat="0" applyBorder="0" applyAlignment="0" applyProtection="0"/>
    <xf numFmtId="176" fontId="92" fillId="0" borderId="0" applyNumberFormat="0" applyFill="0" applyBorder="0" applyAlignment="0" applyProtection="0"/>
    <xf numFmtId="176" fontId="93" fillId="0" borderId="0" applyNumberFormat="0" applyFill="0" applyBorder="0" applyAlignment="0" applyProtection="0"/>
    <xf numFmtId="10" fontId="91" fillId="47" borderId="1" applyNumberFormat="0" applyBorder="0" applyAlignment="0" applyProtection="0"/>
    <xf numFmtId="38" fontId="94" fillId="0" borderId="0" applyFont="0" applyFill="0" applyBorder="0" applyAlignment="0" applyProtection="0"/>
    <xf numFmtId="40" fontId="94" fillId="0" borderId="0" applyFont="0" applyFill="0" applyBorder="0" applyAlignment="0" applyProtection="0"/>
    <xf numFmtId="178" fontId="94" fillId="0" borderId="0" applyFont="0" applyFill="0" applyBorder="0" applyAlignment="0" applyProtection="0"/>
    <xf numFmtId="179" fontId="94" fillId="0" borderId="0" applyFont="0" applyFill="0" applyBorder="0" applyAlignment="0" applyProtection="0"/>
    <xf numFmtId="180" fontId="14" fillId="0" borderId="0"/>
    <xf numFmtId="9" fontId="94" fillId="0" borderId="20" applyNumberFormat="0" applyBorder="0"/>
    <xf numFmtId="176" fontId="14" fillId="0" borderId="21" applyNumberFormat="0" applyFont="0" applyFill="0" applyAlignment="0" applyProtection="0"/>
    <xf numFmtId="0" fontId="20" fillId="0" borderId="0"/>
    <xf numFmtId="176" fontId="20" fillId="0" borderId="0"/>
    <xf numFmtId="176" fontId="95" fillId="0" borderId="0"/>
    <xf numFmtId="176" fontId="20" fillId="0" borderId="0"/>
    <xf numFmtId="176" fontId="96" fillId="0" borderId="0">
      <alignment vertical="center"/>
    </xf>
    <xf numFmtId="176" fontId="3" fillId="0" borderId="0">
      <alignment vertical="center"/>
    </xf>
    <xf numFmtId="176" fontId="14" fillId="0" borderId="0"/>
    <xf numFmtId="176" fontId="3" fillId="0" borderId="0"/>
    <xf numFmtId="176" fontId="96" fillId="0" borderId="0"/>
    <xf numFmtId="176" fontId="20" fillId="0" borderId="0"/>
    <xf numFmtId="0" fontId="97" fillId="48" borderId="0">
      <alignment vertical="center"/>
    </xf>
    <xf numFmtId="40" fontId="98" fillId="0" borderId="0" applyFont="0" applyFill="0" applyBorder="0" applyAlignment="0" applyProtection="0"/>
    <xf numFmtId="38" fontId="98" fillId="0" borderId="0" applyFont="0" applyFill="0" applyBorder="0" applyAlignment="0" applyProtection="0"/>
    <xf numFmtId="176" fontId="99" fillId="0" borderId="0"/>
    <xf numFmtId="176" fontId="98" fillId="0" borderId="0" applyFont="0" applyFill="0" applyBorder="0" applyAlignment="0" applyProtection="0"/>
    <xf numFmtId="10" fontId="14" fillId="0" borderId="0" applyFont="0" applyFill="0" applyBorder="0" applyAlignment="0" applyProtection="0"/>
    <xf numFmtId="176" fontId="100" fillId="0" borderId="0"/>
    <xf numFmtId="181" fontId="14" fillId="0" borderId="0" applyFont="0" applyFill="0" applyBorder="0" applyAlignment="0" applyProtection="0"/>
    <xf numFmtId="182" fontId="14" fillId="0" borderId="0" applyFont="0" applyFill="0" applyBorder="0" applyAlignment="0" applyProtection="0"/>
    <xf numFmtId="183" fontId="101" fillId="0" borderId="0" applyFont="0" applyFill="0" applyBorder="0" applyAlignment="0" applyProtection="0"/>
    <xf numFmtId="184" fontId="101" fillId="0" borderId="0" applyFont="0" applyFill="0" applyBorder="0" applyAlignment="0" applyProtection="0"/>
    <xf numFmtId="176" fontId="102" fillId="0" borderId="0"/>
  </cellStyleXfs>
  <cellXfs count="270">
    <xf numFmtId="176" fontId="0" fillId="0" borderId="0" xfId="0"/>
    <xf numFmtId="176" fontId="1" fillId="0" borderId="0" xfId="0" applyFont="1"/>
    <xf numFmtId="176" fontId="2" fillId="0" borderId="0" xfId="0" applyFont="1"/>
    <xf numFmtId="176" fontId="0" fillId="0" borderId="0" xfId="0" applyAlignment="1">
      <alignment horizontal="center" vertical="center" wrapText="1"/>
    </xf>
    <xf numFmtId="176" fontId="1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85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186" fontId="3" fillId="0" borderId="0" xfId="0" applyNumberFormat="1" applyFont="1" applyAlignment="1">
      <alignment vertical="center"/>
    </xf>
    <xf numFmtId="185" fontId="4" fillId="0" borderId="1" xfId="0" applyNumberFormat="1" applyFont="1" applyBorder="1" applyAlignment="1">
      <alignment horizontal="left" vertical="center"/>
    </xf>
    <xf numFmtId="0" fontId="4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176" fontId="4" fillId="2" borderId="1" xfId="76" applyFont="1" applyFill="1" applyBorder="1" applyAlignment="1">
      <alignment horizontal="left" vertical="center" wrapText="1"/>
    </xf>
    <xf numFmtId="186" fontId="5" fillId="0" borderId="1" xfId="0" applyNumberFormat="1" applyFont="1" applyBorder="1" applyAlignment="1">
      <alignment horizontal="left" vertical="center"/>
    </xf>
    <xf numFmtId="185" fontId="3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186" fontId="3" fillId="0" borderId="1" xfId="0" applyNumberFormat="1" applyFont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6" fillId="0" borderId="1" xfId="0" applyNumberFormat="1" applyFont="1" applyBorder="1" applyAlignment="1">
      <alignment horizontal="left" vertical="center" wrapText="1"/>
    </xf>
    <xf numFmtId="0" fontId="3" fillId="2" borderId="0" xfId="0" applyNumberFormat="1" applyFont="1" applyFill="1" applyAlignment="1">
      <alignment vertical="center"/>
    </xf>
    <xf numFmtId="176" fontId="4" fillId="0" borderId="1" xfId="76" applyFont="1" applyBorder="1" applyAlignment="1">
      <alignment horizontal="left" vertical="center" wrapText="1"/>
    </xf>
    <xf numFmtId="0" fontId="5" fillId="0" borderId="1" xfId="0" applyNumberFormat="1" applyFont="1" applyBorder="1" applyAlignment="1">
      <alignment horizontal="left" vertical="center" wrapText="1"/>
    </xf>
    <xf numFmtId="185" fontId="5" fillId="0" borderId="1" xfId="0" applyNumberFormat="1" applyFont="1" applyBorder="1" applyAlignment="1">
      <alignment horizontal="left" vertical="center"/>
    </xf>
    <xf numFmtId="0" fontId="7" fillId="0" borderId="0" xfId="0" applyNumberFormat="1" applyFont="1" applyAlignment="1">
      <alignment vertical="center"/>
    </xf>
    <xf numFmtId="0" fontId="3" fillId="0" borderId="1" xfId="0" applyNumberFormat="1" applyFont="1" applyBorder="1" applyAlignment="1">
      <alignment horizontal="left" vertical="center" wrapText="1"/>
    </xf>
    <xf numFmtId="185" fontId="8" fillId="0" borderId="1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vertical="center"/>
    </xf>
    <xf numFmtId="186" fontId="8" fillId="0" borderId="1" xfId="0" applyNumberFormat="1" applyFont="1" applyBorder="1" applyAlignment="1">
      <alignment horizontal="left" vertical="center"/>
    </xf>
    <xf numFmtId="185" fontId="3" fillId="2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186" fontId="3" fillId="2" borderId="1" xfId="0" applyNumberFormat="1" applyFont="1" applyFill="1" applyBorder="1" applyAlignment="1">
      <alignment horizontal="left" vertical="center"/>
    </xf>
    <xf numFmtId="186" fontId="9" fillId="0" borderId="1" xfId="0" applyNumberFormat="1" applyFont="1" applyBorder="1" applyAlignment="1">
      <alignment horizontal="left" vertical="center"/>
    </xf>
    <xf numFmtId="0" fontId="8" fillId="0" borderId="1" xfId="0" applyNumberFormat="1" applyFont="1" applyBorder="1" applyAlignment="1">
      <alignment horizontal="left" wrapText="1"/>
    </xf>
    <xf numFmtId="0" fontId="8" fillId="0" borderId="1" xfId="0" applyNumberFormat="1" applyFont="1" applyBorder="1" applyAlignment="1">
      <alignment horizontal="left" vertical="center" wrapText="1"/>
    </xf>
    <xf numFmtId="176" fontId="0" fillId="0" borderId="0" xfId="0" applyAlignment="1">
      <alignment wrapText="1"/>
    </xf>
    <xf numFmtId="0" fontId="10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 wrapText="1"/>
    </xf>
    <xf numFmtId="176" fontId="11" fillId="4" borderId="1" xfId="0" applyFont="1" applyFill="1" applyBorder="1" applyAlignment="1">
      <alignment horizontal="left" vertical="center"/>
    </xf>
    <xf numFmtId="185" fontId="11" fillId="4" borderId="1" xfId="0" applyNumberFormat="1" applyFont="1" applyFill="1" applyBorder="1" applyAlignment="1">
      <alignment horizontal="left" vertical="center"/>
    </xf>
    <xf numFmtId="176" fontId="11" fillId="5" borderId="2" xfId="0" applyFont="1" applyFill="1" applyBorder="1" applyAlignment="1">
      <alignment horizontal="left" vertical="center"/>
    </xf>
    <xf numFmtId="176" fontId="11" fillId="5" borderId="3" xfId="0" applyFont="1" applyFill="1" applyBorder="1" applyAlignment="1">
      <alignment horizontal="left" vertical="center"/>
    </xf>
    <xf numFmtId="176" fontId="11" fillId="0" borderId="1" xfId="0" applyFont="1" applyBorder="1" applyAlignment="1">
      <alignment horizontal="left" vertical="center"/>
    </xf>
    <xf numFmtId="176" fontId="12" fillId="0" borderId="1" xfId="76" applyFont="1" applyBorder="1" applyAlignment="1">
      <alignment horizontal="left" vertical="center" wrapText="1"/>
    </xf>
    <xf numFmtId="176" fontId="11" fillId="0" borderId="1" xfId="76" applyFont="1" applyBorder="1" applyAlignment="1">
      <alignment horizontal="left" vertical="center" wrapText="1"/>
    </xf>
    <xf numFmtId="176" fontId="13" fillId="2" borderId="1" xfId="76" applyFont="1" applyFill="1" applyBorder="1" applyAlignment="1">
      <alignment horizontal="left" vertical="center" wrapText="1"/>
    </xf>
    <xf numFmtId="176" fontId="11" fillId="0" borderId="4" xfId="0" applyFont="1" applyBorder="1" applyAlignment="1">
      <alignment horizontal="left" vertical="center" wrapText="1"/>
    </xf>
    <xf numFmtId="176" fontId="14" fillId="0" borderId="1" xfId="76" applyFont="1" applyBorder="1" applyAlignment="1">
      <alignment horizontal="left" vertical="center" wrapText="1"/>
    </xf>
    <xf numFmtId="187" fontId="12" fillId="0" borderId="1" xfId="76" applyNumberFormat="1" applyFont="1" applyBorder="1" applyAlignment="1">
      <alignment horizontal="left" vertical="center" wrapText="1"/>
    </xf>
    <xf numFmtId="176" fontId="12" fillId="4" borderId="1" xfId="76" applyFont="1" applyFill="1" applyBorder="1" applyAlignment="1">
      <alignment horizontal="left" vertical="center" wrapText="1"/>
    </xf>
    <xf numFmtId="188" fontId="12" fillId="4" borderId="2" xfId="76" applyNumberFormat="1" applyFont="1" applyFill="1" applyBorder="1" applyAlignment="1">
      <alignment horizontal="left" vertical="center" wrapText="1"/>
    </xf>
    <xf numFmtId="185" fontId="12" fillId="4" borderId="5" xfId="76" applyNumberFormat="1" applyFont="1" applyFill="1" applyBorder="1" applyAlignment="1">
      <alignment horizontal="left" vertical="center" wrapText="1"/>
    </xf>
    <xf numFmtId="176" fontId="12" fillId="4" borderId="5" xfId="76" applyFont="1" applyFill="1" applyBorder="1" applyAlignment="1">
      <alignment horizontal="left" vertical="center" wrapText="1"/>
    </xf>
    <xf numFmtId="188" fontId="12" fillId="0" borderId="1" xfId="76" applyNumberFormat="1" applyFont="1" applyBorder="1" applyAlignment="1">
      <alignment horizontal="left" vertical="center" wrapText="1"/>
    </xf>
    <xf numFmtId="189" fontId="14" fillId="0" borderId="1" xfId="0" applyNumberFormat="1" applyFont="1" applyBorder="1" applyAlignment="1">
      <alignment horizontal="left" vertical="center" wrapText="1"/>
    </xf>
    <xf numFmtId="176" fontId="12" fillId="2" borderId="1" xfId="76" applyFont="1" applyFill="1" applyBorder="1" applyAlignment="1">
      <alignment horizontal="left" vertical="center" wrapText="1"/>
    </xf>
    <xf numFmtId="176" fontId="11" fillId="0" borderId="6" xfId="0" applyFont="1" applyBorder="1" applyAlignment="1">
      <alignment horizontal="left" vertical="center" wrapText="1"/>
    </xf>
    <xf numFmtId="187" fontId="11" fillId="0" borderId="1" xfId="76" applyNumberFormat="1" applyFont="1" applyBorder="1" applyAlignment="1">
      <alignment horizontal="left" vertical="center" wrapText="1"/>
    </xf>
    <xf numFmtId="176" fontId="11" fillId="4" borderId="1" xfId="76" applyFont="1" applyFill="1" applyBorder="1" applyAlignment="1">
      <alignment horizontal="left" vertical="center" wrapText="1"/>
    </xf>
    <xf numFmtId="188" fontId="14" fillId="4" borderId="1" xfId="76" applyNumberFormat="1" applyFont="1" applyFill="1" applyBorder="1" applyAlignment="1">
      <alignment horizontal="left" vertical="center" wrapText="1"/>
    </xf>
    <xf numFmtId="185" fontId="11" fillId="4" borderId="1" xfId="76" applyNumberFormat="1" applyFont="1" applyFill="1" applyBorder="1" applyAlignment="1">
      <alignment horizontal="left" vertical="center" wrapText="1"/>
    </xf>
    <xf numFmtId="189" fontId="14" fillId="4" borderId="1" xfId="0" applyNumberFormat="1" applyFont="1" applyFill="1" applyBorder="1" applyAlignment="1">
      <alignment horizontal="left" vertical="center" wrapText="1"/>
    </xf>
    <xf numFmtId="188" fontId="14" fillId="0" borderId="1" xfId="76" applyNumberFormat="1" applyFont="1" applyBorder="1" applyAlignment="1">
      <alignment horizontal="left" vertical="center" wrapText="1"/>
    </xf>
    <xf numFmtId="17" fontId="3" fillId="0" borderId="1" xfId="0" applyNumberFormat="1" applyFont="1" applyBorder="1" applyAlignment="1">
      <alignment horizontal="left" vertical="center"/>
    </xf>
    <xf numFmtId="58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176" fontId="15" fillId="0" borderId="4" xfId="0" applyFont="1" applyBorder="1" applyAlignment="1">
      <alignment horizontal="center"/>
    </xf>
    <xf numFmtId="176" fontId="16" fillId="0" borderId="7" xfId="68" applyFont="1" applyBorder="1" applyAlignment="1">
      <alignment horizontal="left"/>
    </xf>
    <xf numFmtId="185" fontId="16" fillId="0" borderId="4" xfId="68" applyNumberFormat="1" applyFont="1" applyBorder="1" applyAlignment="1">
      <alignment horizontal="left"/>
    </xf>
    <xf numFmtId="176" fontId="0" fillId="0" borderId="8" xfId="0" applyBorder="1" applyAlignment="1">
      <alignment horizontal="center"/>
    </xf>
    <xf numFmtId="176" fontId="0" fillId="0" borderId="9" xfId="0" applyBorder="1" applyAlignment="1">
      <alignment horizontal="center"/>
    </xf>
    <xf numFmtId="176" fontId="16" fillId="0" borderId="2" xfId="68" applyFont="1" applyBorder="1"/>
    <xf numFmtId="176" fontId="16" fillId="0" borderId="5" xfId="68" applyFont="1" applyBorder="1"/>
    <xf numFmtId="176" fontId="17" fillId="0" borderId="10" xfId="0" applyFont="1" applyBorder="1" applyAlignment="1">
      <alignment horizontal="center"/>
    </xf>
    <xf numFmtId="176" fontId="17" fillId="0" borderId="11" xfId="0" applyFont="1" applyBorder="1" applyAlignment="1">
      <alignment horizontal="center"/>
    </xf>
    <xf numFmtId="176" fontId="18" fillId="0" borderId="6" xfId="0" applyFont="1" applyBorder="1" applyAlignment="1">
      <alignment horizontal="left" vertical="center"/>
    </xf>
    <xf numFmtId="176" fontId="18" fillId="0" borderId="1" xfId="0" applyFont="1" applyBorder="1" applyAlignment="1">
      <alignment horizontal="left" vertical="center" wrapText="1"/>
    </xf>
    <xf numFmtId="176" fontId="18" fillId="0" borderId="1" xfId="0" applyFont="1" applyBorder="1" applyAlignment="1">
      <alignment horizontal="left" vertical="center"/>
    </xf>
    <xf numFmtId="176" fontId="17" fillId="0" borderId="1" xfId="0" applyFont="1" applyBorder="1" applyAlignment="1">
      <alignment horizontal="left" vertical="center"/>
    </xf>
    <xf numFmtId="187" fontId="0" fillId="0" borderId="0" xfId="0" applyNumberFormat="1"/>
    <xf numFmtId="176" fontId="19" fillId="0" borderId="10" xfId="70" applyFont="1" applyBorder="1" applyAlignment="1">
      <alignment horizontal="center" vertical="center" wrapText="1"/>
    </xf>
    <xf numFmtId="176" fontId="20" fillId="0" borderId="10" xfId="70" applyBorder="1"/>
    <xf numFmtId="176" fontId="6" fillId="0" borderId="1" xfId="70" applyFont="1" applyBorder="1" applyAlignment="1">
      <alignment horizontal="center" vertical="center" wrapText="1"/>
    </xf>
    <xf numFmtId="187" fontId="6" fillId="0" borderId="1" xfId="70" applyNumberFormat="1" applyFont="1" applyBorder="1" applyAlignment="1">
      <alignment horizontal="center" vertical="center" wrapText="1"/>
    </xf>
    <xf numFmtId="176" fontId="21" fillId="0" borderId="1" xfId="70" applyFont="1" applyBorder="1" applyAlignment="1">
      <alignment horizontal="center" vertical="center" wrapText="1"/>
    </xf>
    <xf numFmtId="176" fontId="22" fillId="0" borderId="1" xfId="70" applyFont="1" applyBorder="1" applyAlignment="1">
      <alignment horizontal="center" vertical="center" wrapText="1"/>
    </xf>
    <xf numFmtId="187" fontId="22" fillId="0" borderId="1" xfId="70" applyNumberFormat="1" applyFont="1" applyBorder="1" applyAlignment="1">
      <alignment horizontal="center" vertical="center" wrapText="1"/>
    </xf>
    <xf numFmtId="176" fontId="23" fillId="0" borderId="1" xfId="70" applyFont="1" applyBorder="1" applyAlignment="1">
      <alignment horizontal="center" vertical="center" wrapText="1"/>
    </xf>
    <xf numFmtId="187" fontId="22" fillId="6" borderId="1" xfId="70" applyNumberFormat="1" applyFont="1" applyFill="1" applyBorder="1" applyAlignment="1">
      <alignment horizontal="center" vertical="center" wrapText="1"/>
    </xf>
    <xf numFmtId="176" fontId="21" fillId="6" borderId="1" xfId="70" applyFont="1" applyFill="1" applyBorder="1" applyAlignment="1">
      <alignment horizontal="center" vertical="center" wrapText="1"/>
    </xf>
    <xf numFmtId="176" fontId="24" fillId="0" borderId="1" xfId="70" applyFont="1" applyBorder="1" applyAlignment="1">
      <alignment horizontal="center" vertical="center" wrapText="1"/>
    </xf>
    <xf numFmtId="187" fontId="25" fillId="0" borderId="1" xfId="70" applyNumberFormat="1" applyFont="1" applyBorder="1" applyAlignment="1">
      <alignment horizontal="center" vertical="center" wrapText="1"/>
    </xf>
    <xf numFmtId="176" fontId="26" fillId="0" borderId="0" xfId="0" applyFont="1" applyAlignment="1">
      <alignment vertical="center"/>
    </xf>
    <xf numFmtId="176" fontId="27" fillId="0" borderId="0" xfId="0" applyFont="1" applyAlignment="1">
      <alignment vertical="center"/>
    </xf>
    <xf numFmtId="176" fontId="28" fillId="0" borderId="0" xfId="0" applyFont="1" applyAlignment="1">
      <alignment vertical="center"/>
    </xf>
    <xf numFmtId="187" fontId="28" fillId="0" borderId="0" xfId="0" applyNumberFormat="1" applyFont="1" applyAlignment="1">
      <alignment horizontal="center" vertical="center"/>
    </xf>
    <xf numFmtId="176" fontId="28" fillId="0" borderId="0" xfId="0" applyFont="1" applyAlignment="1">
      <alignment horizontal="center" vertical="center"/>
    </xf>
    <xf numFmtId="176" fontId="28" fillId="0" borderId="0" xfId="0" applyFont="1" applyAlignment="1">
      <alignment vertical="center" wrapText="1"/>
    </xf>
    <xf numFmtId="176" fontId="29" fillId="0" borderId="0" xfId="70" applyFont="1" applyAlignment="1">
      <alignment horizontal="center" vertical="center"/>
    </xf>
    <xf numFmtId="176" fontId="27" fillId="0" borderId="0" xfId="70" applyFont="1" applyAlignment="1">
      <alignment horizontal="center" vertical="center"/>
    </xf>
    <xf numFmtId="176" fontId="26" fillId="0" borderId="1" xfId="70" applyFont="1" applyBorder="1" applyAlignment="1">
      <alignment horizontal="center" vertical="center"/>
    </xf>
    <xf numFmtId="187" fontId="26" fillId="0" borderId="1" xfId="70" applyNumberFormat="1" applyFont="1" applyBorder="1" applyAlignment="1">
      <alignment horizontal="center" vertical="center"/>
    </xf>
    <xf numFmtId="176" fontId="26" fillId="0" borderId="1" xfId="70" applyFont="1" applyBorder="1" applyAlignment="1">
      <alignment vertical="center"/>
    </xf>
    <xf numFmtId="176" fontId="26" fillId="0" borderId="1" xfId="70" applyFont="1" applyBorder="1" applyAlignment="1">
      <alignment horizontal="center" vertical="center" wrapText="1"/>
    </xf>
    <xf numFmtId="176" fontId="26" fillId="0" borderId="1" xfId="70" applyFont="1" applyBorder="1" applyAlignment="1">
      <alignment horizontal="left" vertical="center" wrapText="1"/>
    </xf>
    <xf numFmtId="176" fontId="26" fillId="0" borderId="1" xfId="70" applyFont="1" applyBorder="1" applyAlignment="1">
      <alignment horizontal="left" vertical="center"/>
    </xf>
    <xf numFmtId="176" fontId="26" fillId="0" borderId="1" xfId="70" applyFont="1" applyBorder="1" applyAlignment="1">
      <alignment vertical="center" wrapText="1"/>
    </xf>
    <xf numFmtId="0" fontId="30" fillId="2" borderId="1" xfId="70" applyNumberFormat="1" applyFont="1" applyFill="1" applyBorder="1" applyAlignment="1">
      <alignment vertical="center"/>
    </xf>
    <xf numFmtId="176" fontId="31" fillId="0" borderId="1" xfId="70" applyFont="1" applyBorder="1" applyAlignment="1">
      <alignment vertical="center"/>
    </xf>
    <xf numFmtId="0" fontId="30" fillId="2" borderId="1" xfId="70" applyNumberFormat="1" applyFont="1" applyFill="1" applyBorder="1" applyAlignment="1">
      <alignment horizontal="left" vertical="center"/>
    </xf>
    <xf numFmtId="0" fontId="30" fillId="2" borderId="1" xfId="70" applyNumberFormat="1" applyFont="1" applyFill="1" applyBorder="1" applyAlignment="1">
      <alignment horizontal="center" vertical="center"/>
    </xf>
    <xf numFmtId="176" fontId="31" fillId="0" borderId="1" xfId="70" applyFont="1" applyBorder="1" applyAlignment="1">
      <alignment vertical="center" wrapText="1"/>
    </xf>
    <xf numFmtId="176" fontId="32" fillId="0" borderId="1" xfId="70" applyFont="1" applyBorder="1" applyAlignment="1">
      <alignment horizontal="center" vertical="center"/>
    </xf>
    <xf numFmtId="176" fontId="33" fillId="0" borderId="1" xfId="70" applyFont="1" applyBorder="1" applyAlignment="1">
      <alignment horizontal="left" vertical="center"/>
    </xf>
    <xf numFmtId="176" fontId="31" fillId="0" borderId="1" xfId="70" applyFont="1" applyBorder="1" applyAlignment="1">
      <alignment horizontal="left" vertical="center"/>
    </xf>
    <xf numFmtId="0" fontId="34" fillId="2" borderId="1" xfId="70" applyNumberFormat="1" applyFont="1" applyFill="1" applyBorder="1" applyAlignment="1">
      <alignment horizontal="center" vertical="center"/>
    </xf>
    <xf numFmtId="0" fontId="34" fillId="2" borderId="1" xfId="70" applyNumberFormat="1" applyFont="1" applyFill="1" applyBorder="1" applyAlignment="1">
      <alignment horizontal="left" vertical="center"/>
    </xf>
    <xf numFmtId="176" fontId="35" fillId="0" borderId="1" xfId="70" applyFont="1" applyBorder="1" applyAlignment="1">
      <alignment horizontal="left" vertical="center" wrapText="1"/>
    </xf>
    <xf numFmtId="0" fontId="36" fillId="0" borderId="1" xfId="70" applyNumberFormat="1" applyFont="1" applyBorder="1" applyAlignment="1">
      <alignment horizontal="center" vertical="center"/>
    </xf>
    <xf numFmtId="187" fontId="37" fillId="0" borderId="1" xfId="70" applyNumberFormat="1" applyFont="1" applyBorder="1" applyAlignment="1">
      <alignment horizontal="center" vertical="center"/>
    </xf>
    <xf numFmtId="176" fontId="37" fillId="0" borderId="1" xfId="70" applyFont="1" applyBorder="1" applyAlignment="1">
      <alignment vertical="center" wrapText="1"/>
    </xf>
    <xf numFmtId="176" fontId="36" fillId="0" borderId="1" xfId="70" applyFont="1" applyBorder="1" applyAlignment="1">
      <alignment horizontal="center" vertical="center"/>
    </xf>
    <xf numFmtId="176" fontId="30" fillId="2" borderId="1" xfId="70" applyFont="1" applyFill="1" applyBorder="1" applyAlignment="1">
      <alignment vertical="center" wrapText="1"/>
    </xf>
    <xf numFmtId="176" fontId="38" fillId="0" borderId="1" xfId="70" applyFont="1" applyBorder="1" applyAlignment="1">
      <alignment horizontal="center" vertical="center"/>
    </xf>
    <xf numFmtId="176" fontId="35" fillId="0" borderId="1" xfId="70" applyFont="1" applyBorder="1" applyAlignment="1">
      <alignment vertical="center"/>
    </xf>
    <xf numFmtId="176" fontId="27" fillId="0" borderId="1" xfId="0" applyFont="1" applyBorder="1" applyAlignment="1">
      <alignment vertical="center"/>
    </xf>
    <xf numFmtId="176" fontId="39" fillId="0" borderId="1" xfId="0" applyFont="1" applyBorder="1" applyAlignment="1">
      <alignment vertical="center"/>
    </xf>
    <xf numFmtId="0" fontId="36" fillId="2" borderId="1" xfId="70" applyNumberFormat="1" applyFont="1" applyFill="1" applyBorder="1" applyAlignment="1">
      <alignment horizontal="center" vertical="center"/>
    </xf>
    <xf numFmtId="0" fontId="31" fillId="2" borderId="1" xfId="70" applyNumberFormat="1" applyFont="1" applyFill="1" applyBorder="1" applyAlignment="1">
      <alignment vertical="center"/>
    </xf>
    <xf numFmtId="187" fontId="27" fillId="0" borderId="1" xfId="0" applyNumberFormat="1" applyFont="1" applyBorder="1" applyAlignment="1">
      <alignment vertical="center"/>
    </xf>
    <xf numFmtId="176" fontId="27" fillId="0" borderId="1" xfId="0" applyFont="1" applyBorder="1" applyAlignment="1">
      <alignment horizontal="center" vertical="center"/>
    </xf>
    <xf numFmtId="176" fontId="27" fillId="0" borderId="1" xfId="0" applyFont="1" applyBorder="1" applyAlignment="1">
      <alignment vertical="center" wrapText="1"/>
    </xf>
    <xf numFmtId="187" fontId="27" fillId="0" borderId="1" xfId="0" applyNumberFormat="1" applyFont="1" applyBorder="1" applyAlignment="1">
      <alignment horizontal="center" vertical="center"/>
    </xf>
    <xf numFmtId="176" fontId="40" fillId="0" borderId="1" xfId="0" applyFont="1" applyBorder="1" applyAlignment="1">
      <alignment vertical="center"/>
    </xf>
    <xf numFmtId="176" fontId="39" fillId="0" borderId="0" xfId="0" applyFont="1" applyAlignment="1">
      <alignment vertical="center"/>
    </xf>
    <xf numFmtId="187" fontId="39" fillId="0" borderId="0" xfId="0" applyNumberFormat="1" applyFont="1" applyAlignment="1">
      <alignment vertical="center"/>
    </xf>
    <xf numFmtId="176" fontId="39" fillId="0" borderId="0" xfId="0" applyFont="1" applyAlignment="1">
      <alignment horizontal="center" vertical="center"/>
    </xf>
    <xf numFmtId="176" fontId="27" fillId="0" borderId="0" xfId="0" applyFont="1" applyAlignment="1">
      <alignment vertical="center" wrapText="1"/>
    </xf>
    <xf numFmtId="187" fontId="27" fillId="0" borderId="0" xfId="0" applyNumberFormat="1" applyFont="1" applyAlignment="1">
      <alignment vertical="center"/>
    </xf>
    <xf numFmtId="0" fontId="41" fillId="0" borderId="0" xfId="0" applyNumberFormat="1" applyFont="1" applyAlignment="1">
      <alignment horizontal="left" vertical="center"/>
    </xf>
    <xf numFmtId="0" fontId="42" fillId="0" borderId="0" xfId="0" applyNumberFormat="1" applyFont="1" applyAlignment="1">
      <alignment horizontal="left" vertical="center"/>
    </xf>
    <xf numFmtId="0" fontId="42" fillId="2" borderId="0" xfId="0" applyNumberFormat="1" applyFont="1" applyFill="1" applyAlignment="1">
      <alignment horizontal="left" vertical="center"/>
    </xf>
    <xf numFmtId="0" fontId="43" fillId="0" borderId="0" xfId="0" applyNumberFormat="1" applyFont="1" applyAlignment="1">
      <alignment horizontal="left" vertical="center"/>
    </xf>
    <xf numFmtId="0" fontId="44" fillId="0" borderId="1" xfId="0" applyNumberFormat="1" applyFont="1" applyBorder="1" applyAlignment="1">
      <alignment horizontal="left" vertical="center"/>
    </xf>
    <xf numFmtId="185" fontId="44" fillId="0" borderId="1" xfId="0" applyNumberFormat="1" applyFont="1" applyBorder="1" applyAlignment="1">
      <alignment horizontal="left" vertical="center"/>
    </xf>
    <xf numFmtId="0" fontId="44" fillId="0" borderId="1" xfId="0" applyNumberFormat="1" applyFont="1" applyBorder="1" applyAlignment="1">
      <alignment horizontal="center" vertical="center"/>
    </xf>
    <xf numFmtId="0" fontId="44" fillId="7" borderId="1" xfId="0" applyNumberFormat="1" applyFont="1" applyFill="1" applyBorder="1" applyAlignment="1">
      <alignment horizontal="left" vertical="center"/>
    </xf>
    <xf numFmtId="185" fontId="44" fillId="7" borderId="1" xfId="0" applyNumberFormat="1" applyFont="1" applyFill="1" applyBorder="1" applyAlignment="1">
      <alignment horizontal="left" vertical="center"/>
    </xf>
    <xf numFmtId="0" fontId="44" fillId="0" borderId="0" xfId="0" applyNumberFormat="1" applyFont="1" applyAlignment="1">
      <alignment horizontal="left" vertical="center"/>
    </xf>
    <xf numFmtId="0" fontId="45" fillId="0" borderId="1" xfId="0" applyNumberFormat="1" applyFont="1" applyBorder="1" applyAlignment="1">
      <alignment horizontal="left" vertical="center"/>
    </xf>
    <xf numFmtId="185" fontId="46" fillId="0" borderId="1" xfId="0" applyNumberFormat="1" applyFont="1" applyBorder="1" applyAlignment="1">
      <alignment horizontal="left" vertical="center"/>
    </xf>
    <xf numFmtId="185" fontId="44" fillId="0" borderId="1" xfId="0" applyNumberFormat="1" applyFont="1" applyBorder="1" applyAlignment="1">
      <alignment horizontal="center" vertical="center"/>
    </xf>
    <xf numFmtId="0" fontId="44" fillId="0" borderId="1" xfId="0" applyNumberFormat="1" applyFont="1" applyBorder="1" applyAlignment="1">
      <alignment horizontal="left" vertical="center" wrapText="1"/>
    </xf>
    <xf numFmtId="176" fontId="44" fillId="7" borderId="1" xfId="0" applyFont="1" applyFill="1" applyBorder="1" applyAlignment="1">
      <alignment horizontal="left" vertical="center"/>
    </xf>
    <xf numFmtId="176" fontId="44" fillId="5" borderId="1" xfId="0" applyFont="1" applyFill="1" applyBorder="1" applyAlignment="1">
      <alignment horizontal="left" vertical="center"/>
    </xf>
    <xf numFmtId="176" fontId="44" fillId="0" borderId="1" xfId="0" applyFont="1" applyBorder="1" applyAlignment="1">
      <alignment horizontal="left" vertical="center"/>
    </xf>
    <xf numFmtId="176" fontId="47" fillId="0" borderId="1" xfId="76" applyFont="1" applyBorder="1" applyAlignment="1">
      <alignment horizontal="left" vertical="center" wrapText="1"/>
    </xf>
    <xf numFmtId="185" fontId="41" fillId="0" borderId="1" xfId="76" applyNumberFormat="1" applyFont="1" applyBorder="1" applyAlignment="1">
      <alignment horizontal="left" vertical="center" wrapText="1"/>
    </xf>
    <xf numFmtId="176" fontId="41" fillId="0" borderId="1" xfId="76" applyFont="1" applyBorder="1" applyAlignment="1">
      <alignment horizontal="left" vertical="center" wrapText="1"/>
    </xf>
    <xf numFmtId="176" fontId="44" fillId="0" borderId="1" xfId="0" applyFont="1" applyBorder="1" applyAlignment="1">
      <alignment horizontal="left" vertical="center" wrapText="1"/>
    </xf>
    <xf numFmtId="176" fontId="48" fillId="0" borderId="1" xfId="0" applyFont="1" applyBorder="1" applyAlignment="1">
      <alignment horizontal="left" vertical="center" wrapText="1"/>
    </xf>
    <xf numFmtId="187" fontId="41" fillId="0" borderId="1" xfId="76" applyNumberFormat="1" applyFont="1" applyBorder="1" applyAlignment="1">
      <alignment horizontal="left" vertical="center" wrapText="1"/>
    </xf>
    <xf numFmtId="176" fontId="44" fillId="0" borderId="1" xfId="76" applyFont="1" applyBorder="1" applyAlignment="1">
      <alignment horizontal="left" vertical="center" wrapText="1"/>
    </xf>
    <xf numFmtId="176" fontId="41" fillId="7" borderId="1" xfId="76" applyFont="1" applyFill="1" applyBorder="1" applyAlignment="1">
      <alignment horizontal="left" vertical="center" wrapText="1"/>
    </xf>
    <xf numFmtId="188" fontId="41" fillId="7" borderId="1" xfId="76" applyNumberFormat="1" applyFont="1" applyFill="1" applyBorder="1" applyAlignment="1">
      <alignment horizontal="left" vertical="center" wrapText="1"/>
    </xf>
    <xf numFmtId="185" fontId="41" fillId="7" borderId="1" xfId="76" applyNumberFormat="1" applyFont="1" applyFill="1" applyBorder="1" applyAlignment="1">
      <alignment horizontal="left" vertical="center" wrapText="1"/>
    </xf>
    <xf numFmtId="188" fontId="47" fillId="0" borderId="1" xfId="76" applyNumberFormat="1" applyFont="1" applyBorder="1" applyAlignment="1">
      <alignment horizontal="left" vertical="center" wrapText="1"/>
    </xf>
    <xf numFmtId="189" fontId="47" fillId="0" borderId="1" xfId="0" applyNumberFormat="1" applyFont="1" applyBorder="1" applyAlignment="1">
      <alignment horizontal="left" vertical="center" wrapText="1"/>
    </xf>
    <xf numFmtId="0" fontId="44" fillId="8" borderId="1" xfId="0" applyNumberFormat="1" applyFont="1" applyFill="1" applyBorder="1" applyAlignment="1">
      <alignment horizontal="left" vertical="center"/>
    </xf>
    <xf numFmtId="0" fontId="48" fillId="0" borderId="1" xfId="0" applyNumberFormat="1" applyFont="1" applyBorder="1" applyAlignment="1">
      <alignment horizontal="left" vertical="center"/>
    </xf>
    <xf numFmtId="14" fontId="44" fillId="0" borderId="1" xfId="0" applyNumberFormat="1" applyFont="1" applyBorder="1" applyAlignment="1">
      <alignment horizontal="left" vertical="center"/>
    </xf>
    <xf numFmtId="0" fontId="49" fillId="0" borderId="1" xfId="0" applyNumberFormat="1" applyFont="1" applyBorder="1" applyAlignment="1">
      <alignment horizontal="left" vertical="center"/>
    </xf>
    <xf numFmtId="0" fontId="44" fillId="9" borderId="1" xfId="0" applyNumberFormat="1" applyFont="1" applyFill="1" applyBorder="1" applyAlignment="1">
      <alignment horizontal="left" vertical="center" wrapText="1"/>
    </xf>
    <xf numFmtId="186" fontId="50" fillId="0" borderId="1" xfId="0" applyNumberFormat="1" applyFont="1" applyBorder="1" applyAlignment="1">
      <alignment horizontal="left" vertical="center"/>
    </xf>
    <xf numFmtId="0" fontId="44" fillId="2" borderId="1" xfId="0" applyNumberFormat="1" applyFont="1" applyFill="1" applyBorder="1" applyAlignment="1">
      <alignment horizontal="left" vertical="center" wrapText="1"/>
    </xf>
    <xf numFmtId="0" fontId="42" fillId="0" borderId="1" xfId="0" applyNumberFormat="1" applyFont="1" applyBorder="1" applyAlignment="1">
      <alignment horizontal="left" vertical="center"/>
    </xf>
    <xf numFmtId="0" fontId="47" fillId="0" borderId="1" xfId="0" applyNumberFormat="1" applyFont="1" applyBorder="1" applyAlignment="1">
      <alignment horizontal="left" vertical="center"/>
    </xf>
    <xf numFmtId="0" fontId="41" fillId="0" borderId="1" xfId="0" applyNumberFormat="1" applyFont="1" applyBorder="1" applyAlignment="1">
      <alignment horizontal="left" vertical="center"/>
    </xf>
    <xf numFmtId="0" fontId="51" fillId="0" borderId="1" xfId="0" applyNumberFormat="1" applyFont="1" applyBorder="1" applyAlignment="1">
      <alignment horizontal="left" vertical="center"/>
    </xf>
    <xf numFmtId="0" fontId="52" fillId="0" borderId="1" xfId="0" applyNumberFormat="1" applyFont="1" applyBorder="1" applyAlignment="1">
      <alignment horizontal="left" vertical="center"/>
    </xf>
    <xf numFmtId="0" fontId="28" fillId="0" borderId="1" xfId="0" applyNumberFormat="1" applyFont="1" applyBorder="1" applyAlignment="1">
      <alignment horizontal="left" vertical="center"/>
    </xf>
    <xf numFmtId="0" fontId="53" fillId="0" borderId="1" xfId="0" applyNumberFormat="1" applyFont="1" applyBorder="1" applyAlignment="1">
      <alignment horizontal="left" vertical="center"/>
    </xf>
    <xf numFmtId="9" fontId="44" fillId="0" borderId="1" xfId="0" applyNumberFormat="1" applyFont="1" applyBorder="1" applyAlignment="1">
      <alignment horizontal="left" vertical="center"/>
    </xf>
    <xf numFmtId="49" fontId="44" fillId="0" borderId="1" xfId="0" applyNumberFormat="1" applyFont="1" applyBorder="1" applyAlignment="1">
      <alignment horizontal="left" vertical="center"/>
    </xf>
    <xf numFmtId="14" fontId="48" fillId="0" borderId="1" xfId="0" applyNumberFormat="1" applyFont="1" applyBorder="1" applyAlignment="1">
      <alignment horizontal="left" vertical="center"/>
    </xf>
    <xf numFmtId="0" fontId="44" fillId="0" borderId="1" xfId="0" applyNumberFormat="1" applyFont="1" applyBorder="1" applyAlignment="1">
      <alignment horizontal="center" vertical="center" wrapText="1"/>
    </xf>
    <xf numFmtId="0" fontId="48" fillId="0" borderId="1" xfId="0" applyNumberFormat="1" applyFont="1" applyBorder="1" applyAlignment="1">
      <alignment horizontal="center" vertical="center" wrapText="1"/>
    </xf>
    <xf numFmtId="0" fontId="44" fillId="2" borderId="1" xfId="0" applyNumberFormat="1" applyFont="1" applyFill="1" applyBorder="1" applyAlignment="1">
      <alignment horizontal="left" vertical="center"/>
    </xf>
    <xf numFmtId="185" fontId="44" fillId="2" borderId="1" xfId="0" applyNumberFormat="1" applyFont="1" applyFill="1" applyBorder="1" applyAlignment="1">
      <alignment horizontal="left" vertical="center"/>
    </xf>
    <xf numFmtId="0" fontId="48" fillId="2" borderId="1" xfId="0" applyNumberFormat="1" applyFont="1" applyFill="1" applyBorder="1" applyAlignment="1">
      <alignment horizontal="left" vertical="center"/>
    </xf>
    <xf numFmtId="0" fontId="48" fillId="2" borderId="1" xfId="0" applyNumberFormat="1" applyFont="1" applyFill="1" applyBorder="1" applyAlignment="1">
      <alignment horizontal="center" vertical="center" wrapText="1"/>
    </xf>
    <xf numFmtId="58" fontId="44" fillId="0" borderId="1" xfId="0" applyNumberFormat="1" applyFont="1" applyBorder="1" applyAlignment="1">
      <alignment horizontal="left" vertical="center"/>
    </xf>
    <xf numFmtId="0" fontId="41" fillId="0" borderId="1" xfId="0" applyNumberFormat="1" applyFont="1" applyBorder="1" applyAlignment="1">
      <alignment horizontal="left" vertical="center" wrapText="1"/>
    </xf>
    <xf numFmtId="0" fontId="51" fillId="0" borderId="1" xfId="0" applyNumberFormat="1" applyFont="1" applyBorder="1" applyAlignment="1">
      <alignment horizontal="left" vertical="center" wrapText="1"/>
    </xf>
    <xf numFmtId="58" fontId="44" fillId="0" borderId="1" xfId="0" applyNumberFormat="1" applyFont="1" applyBorder="1" applyAlignment="1">
      <alignment horizontal="center" vertical="center"/>
    </xf>
    <xf numFmtId="14" fontId="44" fillId="0" borderId="1" xfId="0" applyNumberFormat="1" applyFont="1" applyBorder="1" applyAlignment="1">
      <alignment horizontal="center" vertical="center"/>
    </xf>
    <xf numFmtId="0" fontId="48" fillId="0" borderId="1" xfId="0" applyNumberFormat="1" applyFont="1" applyBorder="1" applyAlignment="1">
      <alignment horizontal="center" vertical="center"/>
    </xf>
    <xf numFmtId="0" fontId="54" fillId="0" borderId="1" xfId="0" applyNumberFormat="1" applyFont="1" applyBorder="1" applyAlignment="1">
      <alignment horizontal="center" vertical="center"/>
    </xf>
    <xf numFmtId="0" fontId="54" fillId="0" borderId="1" xfId="0" applyNumberFormat="1" applyFont="1" applyBorder="1" applyAlignment="1">
      <alignment horizontal="left" vertical="center"/>
    </xf>
    <xf numFmtId="0" fontId="55" fillId="0" borderId="1" xfId="0" applyNumberFormat="1" applyFont="1" applyBorder="1" applyAlignment="1">
      <alignment horizontal="left" vertical="center"/>
    </xf>
    <xf numFmtId="0" fontId="54" fillId="0" borderId="1" xfId="0" applyNumberFormat="1" applyFont="1" applyBorder="1" applyAlignment="1">
      <alignment horizontal="center" vertical="center" wrapText="1"/>
    </xf>
    <xf numFmtId="176" fontId="0" fillId="0" borderId="1" xfId="0" applyBorder="1"/>
    <xf numFmtId="185" fontId="48" fillId="0" borderId="1" xfId="0" applyNumberFormat="1" applyFont="1" applyBorder="1" applyAlignment="1">
      <alignment horizontal="left" vertical="center"/>
    </xf>
    <xf numFmtId="0" fontId="11" fillId="0" borderId="1" xfId="0" applyNumberFormat="1" applyFont="1" applyBorder="1" applyAlignment="1">
      <alignment horizontal="left" vertical="center"/>
    </xf>
    <xf numFmtId="0" fontId="50" fillId="0" borderId="1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56" fillId="0" borderId="1" xfId="0" applyNumberFormat="1" applyFont="1" applyBorder="1" applyAlignment="1">
      <alignment horizontal="center" vertical="center"/>
    </xf>
    <xf numFmtId="0" fontId="48" fillId="0" borderId="1" xfId="0" applyNumberFormat="1" applyFont="1" applyBorder="1" applyAlignment="1">
      <alignment horizontal="left" vertical="center" wrapText="1"/>
    </xf>
    <xf numFmtId="0" fontId="44" fillId="10" borderId="1" xfId="0" applyNumberFormat="1" applyFont="1" applyFill="1" applyBorder="1" applyAlignment="1">
      <alignment horizontal="left" vertical="center"/>
    </xf>
    <xf numFmtId="176" fontId="57" fillId="0" borderId="1" xfId="0" applyFont="1" applyBorder="1" applyAlignment="1">
      <alignment vertical="center"/>
    </xf>
    <xf numFmtId="0" fontId="44" fillId="11" borderId="1" xfId="0" applyNumberFormat="1" applyFont="1" applyFill="1" applyBorder="1" applyAlignment="1">
      <alignment horizontal="left" vertical="center"/>
    </xf>
    <xf numFmtId="185" fontId="44" fillId="11" borderId="1" xfId="0" applyNumberFormat="1" applyFont="1" applyFill="1" applyBorder="1" applyAlignment="1">
      <alignment horizontal="left" vertical="center"/>
    </xf>
    <xf numFmtId="186" fontId="13" fillId="0" borderId="1" xfId="0" applyNumberFormat="1" applyFont="1" applyBorder="1" applyAlignment="1">
      <alignment horizontal="center" vertical="center"/>
    </xf>
    <xf numFmtId="17" fontId="44" fillId="0" borderId="1" xfId="0" applyNumberFormat="1" applyFont="1" applyBorder="1" applyAlignment="1">
      <alignment horizontal="left" vertical="center"/>
    </xf>
    <xf numFmtId="0" fontId="44" fillId="12" borderId="1" xfId="0" applyNumberFormat="1" applyFont="1" applyFill="1" applyBorder="1" applyAlignment="1">
      <alignment horizontal="left" vertical="center"/>
    </xf>
    <xf numFmtId="185" fontId="44" fillId="12" borderId="1" xfId="0" applyNumberFormat="1" applyFont="1" applyFill="1" applyBorder="1" applyAlignment="1">
      <alignment horizontal="left" vertical="center"/>
    </xf>
    <xf numFmtId="186" fontId="6" fillId="0" borderId="1" xfId="0" applyNumberFormat="1" applyFont="1" applyBorder="1" applyAlignment="1">
      <alignment horizontal="left" vertical="center"/>
    </xf>
    <xf numFmtId="190" fontId="50" fillId="0" borderId="1" xfId="0" applyNumberFormat="1" applyFont="1" applyBorder="1" applyAlignment="1">
      <alignment horizontal="left" vertical="center"/>
    </xf>
    <xf numFmtId="186" fontId="13" fillId="0" borderId="1" xfId="0" applyNumberFormat="1" applyFont="1" applyBorder="1" applyAlignment="1">
      <alignment horizontal="left" vertical="center"/>
    </xf>
    <xf numFmtId="0" fontId="44" fillId="13" borderId="1" xfId="0" applyNumberFormat="1" applyFont="1" applyFill="1" applyBorder="1" applyAlignment="1">
      <alignment horizontal="left" vertical="center"/>
    </xf>
    <xf numFmtId="0" fontId="41" fillId="13" borderId="1" xfId="0" applyNumberFormat="1" applyFont="1" applyFill="1" applyBorder="1" applyAlignment="1">
      <alignment horizontal="left" vertical="center"/>
    </xf>
    <xf numFmtId="185" fontId="43" fillId="0" borderId="1" xfId="0" applyNumberFormat="1" applyFont="1" applyBorder="1" applyAlignment="1">
      <alignment horizontal="left" vertical="center"/>
    </xf>
    <xf numFmtId="0" fontId="43" fillId="0" borderId="1" xfId="0" applyNumberFormat="1" applyFont="1" applyBorder="1" applyAlignment="1">
      <alignment horizontal="left" vertical="center"/>
    </xf>
    <xf numFmtId="0" fontId="43" fillId="0" borderId="1" xfId="0" applyNumberFormat="1" applyFont="1" applyBorder="1" applyAlignment="1">
      <alignment horizontal="center" vertical="center"/>
    </xf>
    <xf numFmtId="0" fontId="58" fillId="14" borderId="1" xfId="0" applyNumberFormat="1" applyFont="1" applyFill="1" applyBorder="1" applyAlignment="1">
      <alignment horizontal="left" vertical="center"/>
    </xf>
    <xf numFmtId="0" fontId="43" fillId="7" borderId="1" xfId="0" applyNumberFormat="1" applyFont="1" applyFill="1" applyBorder="1" applyAlignment="1">
      <alignment horizontal="left" vertical="center"/>
    </xf>
    <xf numFmtId="185" fontId="43" fillId="7" borderId="1" xfId="0" applyNumberFormat="1" applyFont="1" applyFill="1" applyBorder="1" applyAlignment="1">
      <alignment horizontal="left" vertical="center"/>
    </xf>
    <xf numFmtId="186" fontId="59" fillId="14" borderId="1" xfId="0" applyNumberFormat="1" applyFont="1" applyFill="1" applyBorder="1" applyAlignment="1">
      <alignment horizontal="left" vertical="center"/>
    </xf>
    <xf numFmtId="190" fontId="44" fillId="0" borderId="1" xfId="0" applyNumberFormat="1" applyFont="1" applyBorder="1" applyAlignment="1">
      <alignment horizontal="left" vertical="center"/>
    </xf>
    <xf numFmtId="185" fontId="41" fillId="0" borderId="1" xfId="0" applyNumberFormat="1" applyFont="1" applyBorder="1" applyAlignment="1">
      <alignment horizontal="left" vertical="center"/>
    </xf>
    <xf numFmtId="0" fontId="41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/>
    </xf>
    <xf numFmtId="176" fontId="56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176" fontId="2" fillId="0" borderId="1" xfId="0" applyFont="1" applyBorder="1" applyAlignment="1">
      <alignment horizontal="center" vertical="center"/>
    </xf>
    <xf numFmtId="0" fontId="60" fillId="0" borderId="1" xfId="0" applyNumberFormat="1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/>
    </xf>
    <xf numFmtId="176" fontId="56" fillId="0" borderId="1" xfId="0" applyFont="1" applyBorder="1" applyAlignment="1">
      <alignment horizontal="center" vertical="center" wrapText="1"/>
    </xf>
    <xf numFmtId="0" fontId="44" fillId="15" borderId="1" xfId="0" applyNumberFormat="1" applyFont="1" applyFill="1" applyBorder="1" applyAlignment="1">
      <alignment horizontal="left" vertical="center"/>
    </xf>
    <xf numFmtId="0" fontId="61" fillId="0" borderId="2" xfId="0" applyNumberFormat="1" applyFont="1" applyBorder="1" applyAlignment="1">
      <alignment horizontal="center" vertical="center" wrapText="1"/>
    </xf>
    <xf numFmtId="0" fontId="60" fillId="0" borderId="2" xfId="0" applyNumberFormat="1" applyFont="1" applyBorder="1" applyAlignment="1">
      <alignment horizontal="center" vertical="center" wrapText="1"/>
    </xf>
    <xf numFmtId="0" fontId="20" fillId="0" borderId="1" xfId="0" applyNumberFormat="1" applyFont="1" applyBorder="1" applyAlignment="1">
      <alignment horizontal="center" vertical="center" wrapText="1"/>
    </xf>
    <xf numFmtId="0" fontId="60" fillId="0" borderId="7" xfId="0" applyNumberFormat="1" applyFont="1" applyBorder="1" applyAlignment="1">
      <alignment horizontal="center" vertical="center" wrapText="1"/>
    </xf>
    <xf numFmtId="0" fontId="61" fillId="2" borderId="2" xfId="0" applyNumberFormat="1" applyFont="1" applyFill="1" applyBorder="1" applyAlignment="1">
      <alignment horizontal="center" vertical="center" wrapText="1"/>
    </xf>
    <xf numFmtId="0" fontId="44" fillId="16" borderId="1" xfId="0" applyNumberFormat="1" applyFont="1" applyFill="1" applyBorder="1" applyAlignment="1">
      <alignment horizontal="left" vertical="center"/>
    </xf>
    <xf numFmtId="186" fontId="52" fillId="0" borderId="1" xfId="0" applyNumberFormat="1" applyFont="1" applyBorder="1" applyAlignment="1">
      <alignment horizontal="left" vertical="center"/>
    </xf>
    <xf numFmtId="0" fontId="20" fillId="0" borderId="4" xfId="0" applyNumberFormat="1" applyFont="1" applyBorder="1" applyAlignment="1">
      <alignment horizontal="center" vertical="center"/>
    </xf>
    <xf numFmtId="0" fontId="60" fillId="0" borderId="2" xfId="0" applyNumberFormat="1" applyFont="1" applyBorder="1" applyAlignment="1">
      <alignment horizontal="left" vertical="center" wrapText="1"/>
    </xf>
    <xf numFmtId="0" fontId="20" fillId="0" borderId="1" xfId="0" applyNumberFormat="1" applyFont="1" applyBorder="1" applyAlignment="1">
      <alignment vertical="center"/>
    </xf>
    <xf numFmtId="0" fontId="20" fillId="0" borderId="4" xfId="0" applyNumberFormat="1" applyFont="1" applyBorder="1" applyAlignment="1">
      <alignment vertical="center"/>
    </xf>
    <xf numFmtId="0" fontId="62" fillId="0" borderId="2" xfId="0" applyNumberFormat="1" applyFont="1" applyBorder="1" applyAlignment="1">
      <alignment horizontal="center" vertical="center" wrapText="1"/>
    </xf>
    <xf numFmtId="0" fontId="62" fillId="0" borderId="1" xfId="0" applyNumberFormat="1" applyFont="1" applyBorder="1" applyAlignment="1">
      <alignment horizontal="center" vertical="center" wrapText="1"/>
    </xf>
    <xf numFmtId="0" fontId="61" fillId="0" borderId="1" xfId="0" applyNumberFormat="1" applyFont="1" applyBorder="1" applyAlignment="1">
      <alignment horizontal="center" vertical="center" wrapText="1"/>
    </xf>
    <xf numFmtId="0" fontId="63" fillId="15" borderId="1" xfId="0" applyNumberFormat="1" applyFont="1" applyFill="1" applyBorder="1" applyAlignment="1">
      <alignment horizontal="center" vertical="center"/>
    </xf>
    <xf numFmtId="0" fontId="64" fillId="15" borderId="1" xfId="0" applyNumberFormat="1" applyFont="1" applyFill="1" applyBorder="1" applyAlignment="1">
      <alignment horizontal="center" vertical="center" wrapText="1"/>
    </xf>
    <xf numFmtId="176" fontId="17" fillId="0" borderId="0" xfId="0" applyFont="1" applyAlignment="1">
      <alignment vertical="center"/>
    </xf>
    <xf numFmtId="0" fontId="65" fillId="0" borderId="1" xfId="0" applyNumberFormat="1" applyFont="1" applyBorder="1" applyAlignment="1">
      <alignment horizontal="left" vertical="center"/>
    </xf>
    <xf numFmtId="0" fontId="44" fillId="17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/>
    </xf>
    <xf numFmtId="0" fontId="66" fillId="0" borderId="1" xfId="0" applyNumberFormat="1" applyFont="1" applyBorder="1" applyAlignment="1">
      <alignment horizontal="left" vertical="center"/>
    </xf>
    <xf numFmtId="0" fontId="44" fillId="4" borderId="1" xfId="0" applyNumberFormat="1" applyFont="1" applyFill="1" applyBorder="1" applyAlignment="1">
      <alignment horizontal="left" vertical="center"/>
    </xf>
    <xf numFmtId="185" fontId="44" fillId="4" borderId="1" xfId="0" applyNumberFormat="1" applyFont="1" applyFill="1" applyBorder="1" applyAlignment="1">
      <alignment horizontal="left" vertical="center"/>
    </xf>
    <xf numFmtId="176" fontId="67" fillId="0" borderId="1" xfId="0" applyFont="1" applyBorder="1" applyAlignment="1">
      <alignment horizontal="center" vertical="center"/>
    </xf>
    <xf numFmtId="176" fontId="68" fillId="0" borderId="1" xfId="0" applyFont="1" applyBorder="1" applyAlignment="1">
      <alignment horizontal="center" vertical="center"/>
    </xf>
    <xf numFmtId="0" fontId="50" fillId="2" borderId="1" xfId="0" applyNumberFormat="1" applyFont="1" applyFill="1" applyBorder="1" applyAlignment="1">
      <alignment horizontal="left" vertical="center"/>
    </xf>
    <xf numFmtId="186" fontId="50" fillId="2" borderId="1" xfId="0" applyNumberFormat="1" applyFont="1" applyFill="1" applyBorder="1" applyAlignment="1">
      <alignment horizontal="left" vertical="center"/>
    </xf>
    <xf numFmtId="0" fontId="69" fillId="0" borderId="1" xfId="0" applyNumberFormat="1" applyFont="1" applyBorder="1" applyAlignment="1">
      <alignment horizontal="center" vertical="center"/>
    </xf>
    <xf numFmtId="176" fontId="70" fillId="0" borderId="1" xfId="0" applyFont="1" applyBorder="1" applyAlignment="1">
      <alignment horizontal="left" vertical="center" wrapText="1"/>
    </xf>
    <xf numFmtId="0" fontId="44" fillId="0" borderId="1" xfId="0" applyNumberFormat="1" applyFont="1" applyBorder="1" applyAlignment="1" quotePrefix="1">
      <alignment horizontal="left" vertical="center"/>
    </xf>
    <xf numFmtId="58" fontId="44" fillId="0" borderId="1" xfId="0" applyNumberFormat="1" applyFont="1" applyBorder="1" applyAlignment="1" quotePrefix="1">
      <alignment horizontal="left" vertical="center"/>
    </xf>
    <xf numFmtId="0" fontId="44" fillId="0" borderId="1" xfId="0" applyNumberFormat="1" applyFont="1" applyBorder="1" applyAlignment="1" quotePrefix="1">
      <alignment horizontal="center" vertical="center"/>
    </xf>
    <xf numFmtId="0" fontId="3" fillId="0" borderId="1" xfId="0" applyNumberFormat="1" applyFont="1" applyBorder="1" applyAlignment="1" quotePrefix="1">
      <alignment horizontal="left" vertical="center"/>
    </xf>
  </cellXfs>
  <cellStyles count="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AÞ¸¶ [0]_INQUIRY ¿?¾÷AßAø " xfId="49"/>
    <cellStyle name="C￥AØ_¿μ¾÷CoE² " xfId="50"/>
    <cellStyle name="ColLevel_1" xfId="51"/>
    <cellStyle name="Comma0" xfId="52"/>
    <cellStyle name="Currency0" xfId="53"/>
    <cellStyle name="Date" xfId="54"/>
    <cellStyle name="Fixed" xfId="55"/>
    <cellStyle name="Grey" xfId="56"/>
    <cellStyle name="Heading 1" xfId="57"/>
    <cellStyle name="Heading 2" xfId="58"/>
    <cellStyle name="Input [yellow]" xfId="59"/>
    <cellStyle name="Milliers [0]_AR1194" xfId="60"/>
    <cellStyle name="Milliers_AR1194" xfId="61"/>
    <cellStyle name="Monétaire [0]_AR1194" xfId="62"/>
    <cellStyle name="Monétaire_AR1194" xfId="63"/>
    <cellStyle name="Normal - Style1" xfId="64"/>
    <cellStyle name="PERCENTAGE" xfId="65"/>
    <cellStyle name="Total" xfId="66"/>
    <cellStyle name="常规 14" xfId="67"/>
    <cellStyle name="常规 2" xfId="68"/>
    <cellStyle name="常规 20" xfId="69"/>
    <cellStyle name="常规 3" xfId="70"/>
    <cellStyle name="常规 4" xfId="71"/>
    <cellStyle name="常规 4 4 3" xfId="72"/>
    <cellStyle name="常规 6" xfId="73"/>
    <cellStyle name="常规 6 3" xfId="74"/>
    <cellStyle name="常规 7 3" xfId="75"/>
    <cellStyle name="常规_样卡汇总_1" xfId="76"/>
    <cellStyle name="好 4 4" xfId="77"/>
    <cellStyle name="똿뗦먛귟 [0.00]_PRODUCT DETAIL Q1" xfId="78"/>
    <cellStyle name="똿뗦먛귟_PRODUCT DETAIL Q1" xfId="79"/>
    <cellStyle name="普通_教育训练" xfId="80"/>
    <cellStyle name="믅됞 [0.00]_PRODUCT DETAIL Q1" xfId="81"/>
    <cellStyle name="백분율_HOBONG" xfId="82"/>
    <cellStyle name="뷭?_BOOKSHIP" xfId="83"/>
    <cellStyle name="콤마 [0]_1202" xfId="84"/>
    <cellStyle name="콤마_1202" xfId="85"/>
    <cellStyle name="통화 [0]_1202" xfId="86"/>
    <cellStyle name="통화_1202" xfId="87"/>
    <cellStyle name="표준_(정보부문)월별인원계획" xfId="88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B050"/>
      <color rgb="00FFC000"/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266700</xdr:colOff>
      <xdr:row>3</xdr:row>
      <xdr:rowOff>180975</xdr:rowOff>
    </xdr:from>
    <xdr:to>
      <xdr:col>1</xdr:col>
      <xdr:colOff>266700</xdr:colOff>
      <xdr:row>4</xdr:row>
      <xdr:rowOff>0</xdr:rowOff>
    </xdr:to>
    <xdr:sp>
      <xdr:nvSpPr>
        <xdr:cNvPr id="2" name="Line 1"/>
        <xdr:cNvSpPr>
          <a:spLocks noChangeShapeType="1"/>
        </xdr:cNvSpPr>
      </xdr:nvSpPr>
      <xdr:spPr>
        <a:xfrm>
          <a:off x="800100" y="1323975"/>
          <a:ext cx="0" cy="171450"/>
        </a:xfrm>
        <a:prstGeom prst="line">
          <a:avLst/>
        </a:prstGeom>
        <a:noFill/>
        <a:ln w="1">
          <a:solidFill>
            <a:srgbClr val="000000"/>
          </a:solidFill>
          <a:prstDash val="lgDash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4</xdr:row>
      <xdr:rowOff>0</xdr:rowOff>
    </xdr:from>
    <xdr:to>
      <xdr:col>2</xdr:col>
      <xdr:colOff>9525</xdr:colOff>
      <xdr:row>4</xdr:row>
      <xdr:rowOff>9525</xdr:rowOff>
    </xdr:to>
    <xdr:sp>
      <xdr:nvSpPr>
        <xdr:cNvPr id="3" name="文字 839"/>
        <xdr:cNvSpPr txBox="1">
          <a:spLocks noChangeArrowheads="1"/>
        </xdr:cNvSpPr>
      </xdr:nvSpPr>
      <xdr:spPr>
        <a:xfrm>
          <a:off x="2110740" y="1495425"/>
          <a:ext cx="9525" cy="952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第一天</a:t>
          </a:r>
          <a:endParaRPr lang="zh-CN" altLang="en-US" sz="10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12</xdr:col>
      <xdr:colOff>276225</xdr:colOff>
      <xdr:row>4</xdr:row>
      <xdr:rowOff>0</xdr:rowOff>
    </xdr:from>
    <xdr:to>
      <xdr:col>13</xdr:col>
      <xdr:colOff>2009775</xdr:colOff>
      <xdr:row>4</xdr:row>
      <xdr:rowOff>9525</xdr:rowOff>
    </xdr:to>
    <xdr:sp>
      <xdr:nvSpPr>
        <xdr:cNvPr id="4" name="文字 840"/>
        <xdr:cNvSpPr txBox="1">
          <a:spLocks noChangeArrowheads="1"/>
        </xdr:cNvSpPr>
      </xdr:nvSpPr>
      <xdr:spPr>
        <a:xfrm>
          <a:off x="16956405" y="1495425"/>
          <a:ext cx="2731770" cy="952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第二天</a:t>
          </a:r>
          <a:endParaRPr lang="zh-CN" altLang="en-US" sz="1000" b="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sp>
      <xdr:nvSpPr>
        <xdr:cNvPr id="6" name="Oval 11"/>
        <xdr:cNvSpPr>
          <a:spLocks noChangeArrowheads="1"/>
        </xdr:cNvSpPr>
      </xdr:nvSpPr>
      <xdr:spPr>
        <a:xfrm>
          <a:off x="533400" y="1495425"/>
          <a:ext cx="9525" cy="9525"/>
        </a:xfrm>
        <a:prstGeom prst="ellips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sp>
      <xdr:nvSpPr>
        <xdr:cNvPr id="7" name="文字 963"/>
        <xdr:cNvSpPr txBox="1">
          <a:spLocks noChangeArrowheads="1"/>
        </xdr:cNvSpPr>
      </xdr:nvSpPr>
      <xdr:spPr>
        <a:xfrm>
          <a:off x="533400" y="1495425"/>
          <a:ext cx="9525" cy="95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CN" sz="9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1</a:t>
          </a:r>
          <a:endParaRPr lang="en-US" altLang="zh-CN" sz="9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</xdr:col>
      <xdr:colOff>123825</xdr:colOff>
      <xdr:row>3</xdr:row>
      <xdr:rowOff>180975</xdr:rowOff>
    </xdr:from>
    <xdr:to>
      <xdr:col>1</xdr:col>
      <xdr:colOff>123825</xdr:colOff>
      <xdr:row>4</xdr:row>
      <xdr:rowOff>0</xdr:rowOff>
    </xdr:to>
    <xdr:sp>
      <xdr:nvSpPr>
        <xdr:cNvPr id="9" name="Line 14"/>
        <xdr:cNvSpPr>
          <a:spLocks noChangeShapeType="1"/>
        </xdr:cNvSpPr>
      </xdr:nvSpPr>
      <xdr:spPr>
        <a:xfrm>
          <a:off x="657225" y="1323975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3</xdr:row>
      <xdr:rowOff>180975</xdr:rowOff>
    </xdr:from>
    <xdr:to>
      <xdr:col>5</xdr:col>
      <xdr:colOff>142875</xdr:colOff>
      <xdr:row>4</xdr:row>
      <xdr:rowOff>0</xdr:rowOff>
    </xdr:to>
    <xdr:sp>
      <xdr:nvSpPr>
        <xdr:cNvPr id="11" name="Line 16"/>
        <xdr:cNvSpPr>
          <a:spLocks noChangeShapeType="1"/>
        </xdr:cNvSpPr>
      </xdr:nvSpPr>
      <xdr:spPr>
        <a:xfrm>
          <a:off x="6094095" y="1323975"/>
          <a:ext cx="0" cy="171450"/>
        </a:xfrm>
        <a:prstGeom prst="line">
          <a:avLst/>
        </a:prstGeom>
        <a:noFill/>
        <a:ln w="1">
          <a:solidFill>
            <a:srgbClr val="000000"/>
          </a:solidFill>
          <a:prstDash val="lgDash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3</xdr:row>
      <xdr:rowOff>180975</xdr:rowOff>
    </xdr:from>
    <xdr:to>
      <xdr:col>5</xdr:col>
      <xdr:colOff>142875</xdr:colOff>
      <xdr:row>4</xdr:row>
      <xdr:rowOff>0</xdr:rowOff>
    </xdr:to>
    <xdr:sp>
      <xdr:nvSpPr>
        <xdr:cNvPr id="12" name="Line 17"/>
        <xdr:cNvSpPr>
          <a:spLocks noChangeShapeType="1"/>
        </xdr:cNvSpPr>
      </xdr:nvSpPr>
      <xdr:spPr>
        <a:xfrm flipV="1">
          <a:off x="6094095" y="1323975"/>
          <a:ext cx="0" cy="171450"/>
        </a:xfrm>
        <a:prstGeom prst="line">
          <a:avLst/>
        </a:prstGeom>
        <a:noFill/>
        <a:ln w="1">
          <a:solidFill>
            <a:srgbClr val="000000"/>
          </a:solidFill>
          <a:prstDash val="dash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266700</xdr:colOff>
      <xdr:row>3</xdr:row>
      <xdr:rowOff>76200</xdr:rowOff>
    </xdr:from>
    <xdr:to>
      <xdr:col>3</xdr:col>
      <xdr:colOff>590550</xdr:colOff>
      <xdr:row>3</xdr:row>
      <xdr:rowOff>85725</xdr:rowOff>
    </xdr:to>
    <xdr:sp>
      <xdr:nvSpPr>
        <xdr:cNvPr id="13" name="文字 848"/>
        <xdr:cNvSpPr txBox="1">
          <a:spLocks noChangeArrowheads="1"/>
        </xdr:cNvSpPr>
      </xdr:nvSpPr>
      <xdr:spPr>
        <a:xfrm>
          <a:off x="3337560" y="1219200"/>
          <a:ext cx="323850" cy="9525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17:00</a:t>
          </a:r>
          <a:endParaRPr lang="en-US" altLang="zh-CN" sz="10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1</xdr:col>
      <xdr:colOff>0</xdr:colOff>
      <xdr:row>4</xdr:row>
      <xdr:rowOff>0</xdr:rowOff>
    </xdr:from>
    <xdr:to>
      <xdr:col>1</xdr:col>
      <xdr:colOff>9525</xdr:colOff>
      <xdr:row>4</xdr:row>
      <xdr:rowOff>9525</xdr:rowOff>
    </xdr:to>
    <xdr:sp>
      <xdr:nvSpPr>
        <xdr:cNvPr id="22" name="文字 963"/>
        <xdr:cNvSpPr txBox="1">
          <a:spLocks noChangeArrowheads="1"/>
        </xdr:cNvSpPr>
      </xdr:nvSpPr>
      <xdr:spPr>
        <a:xfrm>
          <a:off x="533400" y="1495425"/>
          <a:ext cx="9525" cy="95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altLang="zh-CN" sz="900" b="0" i="0" strike="noStrike">
            <a:solidFill>
              <a:srgbClr val="000000"/>
            </a:solidFill>
            <a:latin typeface="Times New Roman" panose="02020603050405020304" pitchFamily="12"/>
            <a:cs typeface="Times New Roman" panose="02020603050405020304" pitchFamily="12"/>
          </a:endParaRPr>
        </a:p>
      </xdr:txBody>
    </xdr:sp>
    <xdr:clientData/>
  </xdr:twoCellAnchor>
  <xdr:twoCellAnchor>
    <xdr:from>
      <xdr:col>2</xdr:col>
      <xdr:colOff>104775</xdr:colOff>
      <xdr:row>32</xdr:row>
      <xdr:rowOff>180975</xdr:rowOff>
    </xdr:from>
    <xdr:to>
      <xdr:col>2</xdr:col>
      <xdr:colOff>104775</xdr:colOff>
      <xdr:row>33</xdr:row>
      <xdr:rowOff>0</xdr:rowOff>
    </xdr:to>
    <xdr:sp>
      <xdr:nvSpPr>
        <xdr:cNvPr id="20" name="Line 20"/>
        <xdr:cNvSpPr>
          <a:spLocks noChangeShapeType="1"/>
        </xdr:cNvSpPr>
      </xdr:nvSpPr>
      <xdr:spPr>
        <a:xfrm>
          <a:off x="2215515" y="1154430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32</xdr:row>
      <xdr:rowOff>180975</xdr:rowOff>
    </xdr:from>
    <xdr:to>
      <xdr:col>2</xdr:col>
      <xdr:colOff>161925</xdr:colOff>
      <xdr:row>33</xdr:row>
      <xdr:rowOff>0</xdr:rowOff>
    </xdr:to>
    <xdr:sp>
      <xdr:nvSpPr>
        <xdr:cNvPr id="23" name="Line 21"/>
        <xdr:cNvSpPr>
          <a:spLocks noChangeShapeType="1"/>
        </xdr:cNvSpPr>
      </xdr:nvSpPr>
      <xdr:spPr>
        <a:xfrm>
          <a:off x="2272665" y="11544300"/>
          <a:ext cx="0" cy="17145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3553460</xdr:colOff>
      <xdr:row>1</xdr:row>
      <xdr:rowOff>523240</xdr:rowOff>
    </xdr:from>
    <xdr:to>
      <xdr:col>4</xdr:col>
      <xdr:colOff>211455</xdr:colOff>
      <xdr:row>7</xdr:row>
      <xdr:rowOff>190500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3040" y="704215"/>
          <a:ext cx="3637915" cy="2181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200"/>
  <sheetViews>
    <sheetView tabSelected="1" zoomScale="115" zoomScaleNormal="115" zoomScaleSheetLayoutView="70" workbookViewId="0">
      <pane ySplit="2" topLeftCell="A4165" activePane="bottomLeft" state="frozen"/>
      <selection/>
      <selection pane="bottomLeft" activeCell="A4172" sqref="$A4172:$XFD4172"/>
    </sheetView>
  </sheetViews>
  <sheetFormatPr defaultColWidth="11.2" defaultRowHeight="12.75"/>
  <cols>
    <col min="1" max="1" width="11.2" style="143"/>
    <col min="2" max="2" width="11.2" style="144"/>
    <col min="3" max="3" width="11.2" style="143" customWidth="1"/>
    <col min="4" max="4" width="7.4" style="143" customWidth="1"/>
    <col min="5" max="5" width="12.7" style="145" customWidth="1"/>
    <col min="6" max="6" width="20.5" style="143" customWidth="1"/>
    <col min="7" max="7" width="10.1" style="143" customWidth="1"/>
    <col min="8" max="8" width="14.1" style="143" customWidth="1"/>
    <col min="9" max="9" width="23.7" style="143" customWidth="1"/>
    <col min="10" max="10" width="22.4" style="143" customWidth="1"/>
    <col min="11" max="11" width="11.9" style="143" customWidth="1"/>
    <col min="12" max="13" width="11.2" style="143" customWidth="1"/>
    <col min="14" max="16" width="11.2" style="143" hidden="1" customWidth="1"/>
    <col min="17" max="17" width="16.7" style="143" customWidth="1"/>
    <col min="18" max="18" width="6.7" style="143" hidden="1" customWidth="1"/>
    <col min="19" max="19" width="5.5" style="146" hidden="1" customWidth="1"/>
    <col min="20" max="20" width="7.1" style="146" hidden="1" customWidth="1"/>
    <col min="21" max="21" width="4.6" style="146" hidden="1" customWidth="1"/>
    <col min="22" max="22" width="8.4" style="147" hidden="1" customWidth="1"/>
    <col min="23" max="23" width="11.2" style="143" customWidth="1"/>
    <col min="24" max="24" width="14.7" style="143" customWidth="1"/>
    <col min="25" max="25" width="11.2" style="143" customWidth="1"/>
    <col min="26" max="26" width="21.5" style="143" customWidth="1"/>
    <col min="27" max="28" width="11.2" style="143"/>
    <col min="29" max="32" width="11.2" style="143" hidden="1" customWidth="1"/>
    <col min="33" max="33" width="11.2" style="143" customWidth="1"/>
    <col min="34" max="34" width="18.7" style="143" customWidth="1"/>
    <col min="35" max="39" width="11.2" style="143" customWidth="1"/>
    <col min="40" max="16384" width="11.2" style="148"/>
  </cols>
  <sheetData>
    <row r="1" ht="19.95" customHeight="1" spans="1:39">
      <c r="A1" s="149" t="s">
        <v>0</v>
      </c>
      <c r="B1" s="150"/>
      <c r="D1" s="144"/>
      <c r="E1" s="151"/>
      <c r="H1" s="152"/>
      <c r="S1" s="153" t="s">
        <v>1</v>
      </c>
      <c r="T1" s="153"/>
      <c r="U1" s="153"/>
      <c r="W1" s="154" t="s">
        <v>2</v>
      </c>
      <c r="X1" s="154"/>
      <c r="Y1" s="154"/>
      <c r="Z1" s="154"/>
      <c r="AA1" s="154"/>
      <c r="AB1" s="154"/>
      <c r="AC1" s="154"/>
      <c r="AD1" s="154"/>
      <c r="AE1" s="154"/>
      <c r="AF1" s="154"/>
      <c r="AG1" s="155"/>
    </row>
    <row r="2" ht="40.05" customHeight="1" spans="1:39">
      <c r="A2" s="156" t="s">
        <v>3</v>
      </c>
      <c r="B2" s="157" t="s">
        <v>4</v>
      </c>
      <c r="C2" s="158" t="s">
        <v>5</v>
      </c>
      <c r="D2" s="143" t="s">
        <v>6</v>
      </c>
      <c r="E2" s="145" t="s">
        <v>7</v>
      </c>
      <c r="F2" s="159" t="s">
        <v>8</v>
      </c>
      <c r="G2" s="160" t="s">
        <v>9</v>
      </c>
      <c r="H2" s="158" t="s">
        <v>10</v>
      </c>
      <c r="I2" s="156" t="s">
        <v>11</v>
      </c>
      <c r="J2" s="158" t="s">
        <v>12</v>
      </c>
      <c r="K2" s="161" t="s">
        <v>13</v>
      </c>
      <c r="L2" s="161" t="s">
        <v>14</v>
      </c>
      <c r="M2" s="158" t="s">
        <v>15</v>
      </c>
      <c r="N2" s="158" t="s">
        <v>16</v>
      </c>
      <c r="O2" s="162" t="s">
        <v>17</v>
      </c>
      <c r="P2" s="158" t="s">
        <v>18</v>
      </c>
      <c r="Q2" s="162" t="s">
        <v>19</v>
      </c>
      <c r="R2" s="161" t="s">
        <v>20</v>
      </c>
      <c r="S2" s="163" t="s">
        <v>21</v>
      </c>
      <c r="T2" s="163" t="s">
        <v>22</v>
      </c>
      <c r="U2" s="164" t="s">
        <v>23</v>
      </c>
      <c r="V2" s="165"/>
      <c r="W2" s="156" t="s">
        <v>24</v>
      </c>
      <c r="X2" s="158" t="s">
        <v>25</v>
      </c>
      <c r="Y2" s="156" t="s">
        <v>26</v>
      </c>
      <c r="Z2" s="158" t="s">
        <v>25</v>
      </c>
      <c r="AA2" s="166" t="s">
        <v>27</v>
      </c>
      <c r="AB2" s="162" t="s">
        <v>28</v>
      </c>
      <c r="AC2" s="167" t="s">
        <v>29</v>
      </c>
      <c r="AD2" s="167" t="s">
        <v>30</v>
      </c>
      <c r="AE2" s="167" t="s">
        <v>31</v>
      </c>
      <c r="AF2" s="167" t="s">
        <v>32</v>
      </c>
      <c r="AG2" s="143" t="s">
        <v>33</v>
      </c>
      <c r="AH2" s="143" t="s">
        <v>34</v>
      </c>
      <c r="AI2" s="143" t="s">
        <v>35</v>
      </c>
      <c r="AJ2" s="143" t="s">
        <v>36</v>
      </c>
      <c r="AK2" s="143" t="s">
        <v>37</v>
      </c>
      <c r="AL2" s="143" t="s">
        <v>38</v>
      </c>
      <c r="AM2" s="143" t="s">
        <v>39</v>
      </c>
    </row>
    <row r="3" spans="1:39">
      <c r="A3" s="143">
        <v>1</v>
      </c>
      <c r="B3" s="144">
        <v>45765</v>
      </c>
      <c r="C3" s="143" t="s">
        <v>40</v>
      </c>
      <c r="D3" s="143" t="s">
        <v>41</v>
      </c>
      <c r="E3" s="145" t="s">
        <v>42</v>
      </c>
      <c r="F3" s="143" t="s">
        <v>43</v>
      </c>
      <c r="H3" s="143" t="s">
        <v>44</v>
      </c>
      <c r="I3" s="143" t="s">
        <v>45</v>
      </c>
      <c r="J3" s="143" t="s">
        <v>46</v>
      </c>
      <c r="K3" s="143">
        <v>125</v>
      </c>
      <c r="L3" s="168"/>
      <c r="O3" s="143" t="s">
        <v>47</v>
      </c>
      <c r="P3" s="143" t="s">
        <v>48</v>
      </c>
      <c r="W3" s="143" t="s">
        <v>49</v>
      </c>
      <c r="X3" s="143" t="s">
        <v>50</v>
      </c>
      <c r="Y3" s="169" t="s">
        <v>51</v>
      </c>
      <c r="Z3" s="143" t="s">
        <v>50</v>
      </c>
      <c r="AA3" s="168"/>
      <c r="AB3" s="170"/>
      <c r="AG3" s="143" t="s">
        <v>52</v>
      </c>
      <c r="AM3" s="143" t="s">
        <v>53</v>
      </c>
    </row>
    <row r="4" spans="1:39">
      <c r="A4" s="143">
        <v>2</v>
      </c>
      <c r="B4" s="144">
        <v>45765</v>
      </c>
      <c r="C4" s="143" t="s">
        <v>40</v>
      </c>
      <c r="D4" s="143" t="s">
        <v>41</v>
      </c>
      <c r="F4" s="143" t="s">
        <v>54</v>
      </c>
      <c r="H4" s="143" t="s">
        <v>55</v>
      </c>
      <c r="I4" s="143" t="s">
        <v>45</v>
      </c>
      <c r="J4" s="143" t="s">
        <v>46</v>
      </c>
      <c r="K4" s="143">
        <v>125</v>
      </c>
      <c r="L4" s="168"/>
      <c r="W4" s="143" t="s">
        <v>49</v>
      </c>
      <c r="X4" s="169" t="s">
        <v>56</v>
      </c>
      <c r="Y4" s="143" t="s">
        <v>54</v>
      </c>
      <c r="Z4" s="169" t="s">
        <v>56</v>
      </c>
      <c r="AA4" s="168"/>
      <c r="AB4" s="170"/>
      <c r="AG4" s="143" t="s">
        <v>52</v>
      </c>
      <c r="AM4" s="143" t="s">
        <v>53</v>
      </c>
    </row>
    <row r="5" spans="1:39">
      <c r="A5" s="143">
        <v>3</v>
      </c>
      <c r="B5" s="144">
        <v>45765</v>
      </c>
      <c r="C5" s="143" t="s">
        <v>40</v>
      </c>
      <c r="D5" s="143" t="s">
        <v>41</v>
      </c>
      <c r="F5" s="143" t="s">
        <v>57</v>
      </c>
      <c r="H5" s="143" t="s">
        <v>58</v>
      </c>
      <c r="I5" s="143" t="s">
        <v>45</v>
      </c>
      <c r="J5" s="143" t="s">
        <v>46</v>
      </c>
      <c r="K5" s="143">
        <v>125</v>
      </c>
      <c r="L5" s="168"/>
      <c r="W5" s="143" t="s">
        <v>49</v>
      </c>
      <c r="X5" s="143" t="s">
        <v>57</v>
      </c>
      <c r="Y5" s="143" t="s">
        <v>49</v>
      </c>
      <c r="Z5" s="143" t="s">
        <v>57</v>
      </c>
      <c r="AA5" s="168"/>
      <c r="AB5" s="170"/>
      <c r="AG5" s="143" t="s">
        <v>52</v>
      </c>
      <c r="AM5" s="143" t="s">
        <v>53</v>
      </c>
    </row>
    <row r="6" spans="1:39">
      <c r="A6" s="143">
        <v>4</v>
      </c>
      <c r="B6" s="144">
        <v>45765</v>
      </c>
      <c r="C6" s="143" t="s">
        <v>40</v>
      </c>
      <c r="D6" s="143" t="s">
        <v>41</v>
      </c>
      <c r="F6" s="143" t="s">
        <v>50</v>
      </c>
      <c r="H6" s="143" t="s">
        <v>59</v>
      </c>
      <c r="I6" s="143" t="s">
        <v>45</v>
      </c>
      <c r="J6" s="143" t="s">
        <v>46</v>
      </c>
      <c r="K6" s="143">
        <v>125</v>
      </c>
      <c r="L6" s="168"/>
      <c r="W6" s="143" t="s">
        <v>49</v>
      </c>
      <c r="X6" s="143" t="s">
        <v>50</v>
      </c>
      <c r="Y6" s="143" t="s">
        <v>49</v>
      </c>
      <c r="Z6" s="143" t="s">
        <v>50</v>
      </c>
      <c r="AA6" s="143">
        <v>13.2</v>
      </c>
      <c r="AB6" s="170">
        <v>45764</v>
      </c>
      <c r="AG6" s="143" t="s">
        <v>52</v>
      </c>
      <c r="AM6" s="143" t="s">
        <v>53</v>
      </c>
    </row>
    <row r="7" spans="1:39">
      <c r="A7" s="143">
        <v>5</v>
      </c>
      <c r="B7" s="144">
        <v>45765</v>
      </c>
      <c r="C7" s="143" t="s">
        <v>40</v>
      </c>
      <c r="D7" s="143" t="s">
        <v>41</v>
      </c>
      <c r="F7" s="143" t="s">
        <v>60</v>
      </c>
      <c r="H7" s="143" t="s">
        <v>61</v>
      </c>
      <c r="I7" s="143" t="s">
        <v>45</v>
      </c>
      <c r="J7" s="143" t="s">
        <v>46</v>
      </c>
      <c r="K7" s="143">
        <v>125</v>
      </c>
      <c r="L7" s="168"/>
      <c r="W7" s="143" t="s">
        <v>49</v>
      </c>
      <c r="X7" s="169" t="s">
        <v>56</v>
      </c>
      <c r="Y7" s="169" t="s">
        <v>62</v>
      </c>
      <c r="Z7" s="169" t="s">
        <v>56</v>
      </c>
      <c r="AA7" s="168"/>
      <c r="AB7" s="170"/>
      <c r="AG7" s="143" t="s">
        <v>52</v>
      </c>
      <c r="AM7" s="143" t="s">
        <v>53</v>
      </c>
    </row>
    <row r="8" spans="1:39">
      <c r="A8" s="143">
        <v>6</v>
      </c>
      <c r="B8" s="144">
        <v>45765</v>
      </c>
      <c r="C8" s="143" t="s">
        <v>40</v>
      </c>
      <c r="D8" s="143" t="s">
        <v>41</v>
      </c>
      <c r="E8" s="145" t="s">
        <v>63</v>
      </c>
      <c r="F8" s="143" t="s">
        <v>64</v>
      </c>
      <c r="H8" s="143" t="s">
        <v>65</v>
      </c>
      <c r="I8" s="143" t="s">
        <v>45</v>
      </c>
      <c r="J8" s="143" t="s">
        <v>46</v>
      </c>
      <c r="K8" s="143">
        <v>125</v>
      </c>
      <c r="L8" s="168"/>
      <c r="O8" s="143" t="s">
        <v>47</v>
      </c>
      <c r="P8" s="143" t="s">
        <v>48</v>
      </c>
      <c r="W8" s="143" t="s">
        <v>49</v>
      </c>
      <c r="X8" s="143" t="s">
        <v>66</v>
      </c>
      <c r="Y8" s="143" t="s">
        <v>49</v>
      </c>
      <c r="Z8" s="143" t="s">
        <v>66</v>
      </c>
      <c r="AA8" s="168"/>
      <c r="AB8" s="170"/>
      <c r="AG8" s="143" t="s">
        <v>52</v>
      </c>
      <c r="AM8" s="143" t="s">
        <v>53</v>
      </c>
    </row>
    <row r="9" spans="1:39">
      <c r="A9" s="143">
        <v>7</v>
      </c>
      <c r="B9" s="144">
        <v>45766</v>
      </c>
      <c r="C9" s="143" t="s">
        <v>40</v>
      </c>
      <c r="D9" s="143" t="s">
        <v>41</v>
      </c>
      <c r="F9" s="143" t="s">
        <v>67</v>
      </c>
      <c r="H9" s="143" t="s">
        <v>68</v>
      </c>
      <c r="I9" s="143" t="s">
        <v>45</v>
      </c>
      <c r="J9" s="143" t="s">
        <v>46</v>
      </c>
      <c r="K9" s="143">
        <v>125</v>
      </c>
      <c r="L9" s="168"/>
      <c r="O9" s="143" t="s">
        <v>47</v>
      </c>
      <c r="P9" s="143" t="s">
        <v>48</v>
      </c>
      <c r="W9" s="143" t="s">
        <v>49</v>
      </c>
      <c r="X9" s="143" t="s">
        <v>67</v>
      </c>
      <c r="Y9" s="143" t="s">
        <v>49</v>
      </c>
      <c r="Z9" s="143" t="s">
        <v>67</v>
      </c>
      <c r="AA9" s="143">
        <v>14.2</v>
      </c>
      <c r="AB9" s="170">
        <v>45766</v>
      </c>
      <c r="AG9" s="143" t="s">
        <v>52</v>
      </c>
      <c r="AM9" s="143" t="s">
        <v>53</v>
      </c>
    </row>
    <row r="10" spans="1:39">
      <c r="A10" s="143">
        <v>8</v>
      </c>
      <c r="B10" s="144">
        <v>45766</v>
      </c>
      <c r="C10" s="143" t="s">
        <v>40</v>
      </c>
      <c r="D10" s="143" t="s">
        <v>41</v>
      </c>
      <c r="F10" s="143" t="s">
        <v>69</v>
      </c>
      <c r="H10" s="143" t="s">
        <v>70</v>
      </c>
      <c r="I10" s="143" t="s">
        <v>45</v>
      </c>
      <c r="J10" s="143" t="s">
        <v>46</v>
      </c>
      <c r="K10" s="143">
        <v>125</v>
      </c>
      <c r="L10" s="168"/>
      <c r="O10" s="143" t="s">
        <v>47</v>
      </c>
      <c r="P10" s="143" t="s">
        <v>48</v>
      </c>
      <c r="W10" s="143" t="s">
        <v>49</v>
      </c>
      <c r="X10" s="143" t="s">
        <v>69</v>
      </c>
      <c r="Y10" s="143" t="s">
        <v>49</v>
      </c>
      <c r="Z10" s="143" t="s">
        <v>69</v>
      </c>
      <c r="AA10" s="168"/>
      <c r="AB10" s="170"/>
      <c r="AG10" s="143" t="s">
        <v>52</v>
      </c>
      <c r="AM10" s="143" t="s">
        <v>53</v>
      </c>
    </row>
    <row r="11" spans="1:39">
      <c r="A11" s="143">
        <v>9</v>
      </c>
      <c r="B11" s="144">
        <v>45766</v>
      </c>
      <c r="C11" s="143" t="s">
        <v>40</v>
      </c>
      <c r="D11" s="143" t="s">
        <v>41</v>
      </c>
      <c r="F11" s="143" t="s">
        <v>71</v>
      </c>
      <c r="H11" s="143" t="s">
        <v>72</v>
      </c>
      <c r="I11" s="143" t="s">
        <v>45</v>
      </c>
      <c r="J11" s="143" t="s">
        <v>46</v>
      </c>
      <c r="K11" s="143">
        <v>125</v>
      </c>
      <c r="L11" s="168"/>
      <c r="W11" s="143" t="s">
        <v>49</v>
      </c>
      <c r="X11" s="143" t="s">
        <v>73</v>
      </c>
      <c r="Y11" s="169" t="s">
        <v>74</v>
      </c>
      <c r="Z11" s="143" t="s">
        <v>73</v>
      </c>
      <c r="AA11" s="168"/>
      <c r="AB11" s="170"/>
      <c r="AG11" s="143" t="s">
        <v>52</v>
      </c>
      <c r="AM11" s="143" t="s">
        <v>53</v>
      </c>
    </row>
    <row r="12" spans="1:39">
      <c r="A12" s="143">
        <v>10</v>
      </c>
      <c r="B12" s="144">
        <v>45766</v>
      </c>
      <c r="C12" s="143" t="s">
        <v>40</v>
      </c>
      <c r="D12" s="143" t="s">
        <v>41</v>
      </c>
      <c r="F12" s="143" t="s">
        <v>75</v>
      </c>
      <c r="H12" s="143" t="s">
        <v>76</v>
      </c>
      <c r="I12" s="143" t="s">
        <v>45</v>
      </c>
      <c r="J12" s="143" t="s">
        <v>46</v>
      </c>
      <c r="K12" s="143">
        <v>125</v>
      </c>
      <c r="L12" s="168"/>
      <c r="W12" s="143" t="s">
        <v>49</v>
      </c>
      <c r="X12" s="143">
        <v>578</v>
      </c>
      <c r="Y12" s="169" t="s">
        <v>74</v>
      </c>
      <c r="Z12" s="143">
        <v>578</v>
      </c>
      <c r="AA12" s="168"/>
      <c r="AB12" s="170"/>
      <c r="AG12" s="143" t="s">
        <v>52</v>
      </c>
      <c r="AM12" s="143" t="s">
        <v>53</v>
      </c>
    </row>
    <row r="13" spans="1:39">
      <c r="A13" s="143">
        <v>11</v>
      </c>
      <c r="B13" s="144">
        <v>45766</v>
      </c>
      <c r="C13" s="143" t="s">
        <v>40</v>
      </c>
      <c r="D13" s="143" t="s">
        <v>41</v>
      </c>
      <c r="F13" s="143" t="s">
        <v>77</v>
      </c>
      <c r="H13" s="143" t="s">
        <v>78</v>
      </c>
      <c r="I13" s="143" t="s">
        <v>45</v>
      </c>
      <c r="J13" s="143" t="s">
        <v>46</v>
      </c>
      <c r="K13" s="143">
        <v>125</v>
      </c>
      <c r="L13" s="168"/>
      <c r="W13" s="143" t="s">
        <v>49</v>
      </c>
      <c r="X13" s="143" t="s">
        <v>79</v>
      </c>
      <c r="Y13" s="169" t="s">
        <v>74</v>
      </c>
      <c r="Z13" s="143" t="s">
        <v>79</v>
      </c>
      <c r="AA13" s="168"/>
      <c r="AB13" s="170"/>
      <c r="AG13" s="143" t="s">
        <v>52</v>
      </c>
      <c r="AM13" s="143" t="s">
        <v>53</v>
      </c>
    </row>
    <row r="14" spans="1:39">
      <c r="A14" s="143">
        <v>12</v>
      </c>
      <c r="B14" s="144">
        <v>45766</v>
      </c>
      <c r="C14" s="143" t="s">
        <v>40</v>
      </c>
      <c r="D14" s="143" t="s">
        <v>41</v>
      </c>
      <c r="F14" s="143" t="s">
        <v>80</v>
      </c>
      <c r="H14" s="143" t="s">
        <v>81</v>
      </c>
      <c r="I14" s="143" t="s">
        <v>45</v>
      </c>
      <c r="J14" s="143" t="s">
        <v>46</v>
      </c>
      <c r="K14" s="143">
        <v>125</v>
      </c>
      <c r="L14" s="168"/>
      <c r="W14" s="143" t="s">
        <v>49</v>
      </c>
      <c r="X14" s="169" t="s">
        <v>82</v>
      </c>
      <c r="Y14" s="169" t="s">
        <v>74</v>
      </c>
      <c r="Z14" s="169" t="s">
        <v>82</v>
      </c>
      <c r="AA14" s="168"/>
      <c r="AB14" s="170"/>
      <c r="AG14" s="143" t="s">
        <v>52</v>
      </c>
      <c r="AM14" s="143" t="s">
        <v>53</v>
      </c>
    </row>
    <row r="15" spans="1:39">
      <c r="A15" s="143">
        <v>13</v>
      </c>
      <c r="B15" s="144">
        <v>45766</v>
      </c>
      <c r="C15" s="143" t="s">
        <v>40</v>
      </c>
      <c r="D15" s="143" t="s">
        <v>41</v>
      </c>
      <c r="F15" s="143" t="s">
        <v>83</v>
      </c>
      <c r="H15" s="143" t="s">
        <v>84</v>
      </c>
      <c r="I15" s="143" t="s">
        <v>45</v>
      </c>
      <c r="J15" s="143" t="s">
        <v>46</v>
      </c>
      <c r="K15" s="143">
        <v>125</v>
      </c>
      <c r="L15" s="168"/>
      <c r="W15" s="143" t="s">
        <v>49</v>
      </c>
      <c r="X15" s="143" t="s">
        <v>85</v>
      </c>
      <c r="Y15" s="169" t="s">
        <v>74</v>
      </c>
      <c r="Z15" s="143" t="s">
        <v>85</v>
      </c>
      <c r="AA15" s="168"/>
      <c r="AB15" s="170"/>
      <c r="AG15" s="143" t="s">
        <v>52</v>
      </c>
      <c r="AM15" s="143" t="s">
        <v>53</v>
      </c>
    </row>
    <row r="16" spans="1:39">
      <c r="A16" s="143">
        <v>14</v>
      </c>
      <c r="B16" s="144">
        <v>45766</v>
      </c>
      <c r="C16" s="143" t="s">
        <v>40</v>
      </c>
      <c r="D16" s="143" t="s">
        <v>41</v>
      </c>
      <c r="F16" s="143" t="s">
        <v>86</v>
      </c>
      <c r="H16" s="143" t="s">
        <v>87</v>
      </c>
      <c r="I16" s="143" t="s">
        <v>45</v>
      </c>
      <c r="J16" s="143" t="s">
        <v>46</v>
      </c>
      <c r="K16" s="143">
        <v>125</v>
      </c>
      <c r="L16" s="168"/>
      <c r="W16" s="143" t="s">
        <v>49</v>
      </c>
      <c r="X16" s="143" t="s">
        <v>88</v>
      </c>
      <c r="Y16" s="169" t="s">
        <v>74</v>
      </c>
      <c r="Z16" s="143" t="s">
        <v>88</v>
      </c>
      <c r="AA16" s="168"/>
      <c r="AB16" s="170"/>
      <c r="AG16" s="143" t="s">
        <v>52</v>
      </c>
      <c r="AM16" s="143" t="s">
        <v>53</v>
      </c>
    </row>
    <row r="17" spans="1:39">
      <c r="A17" s="143">
        <v>15</v>
      </c>
      <c r="B17" s="144">
        <v>45766</v>
      </c>
      <c r="C17" s="143" t="s">
        <v>40</v>
      </c>
      <c r="D17" s="143" t="s">
        <v>41</v>
      </c>
      <c r="F17" s="143" t="s">
        <v>60</v>
      </c>
      <c r="H17" s="143" t="s">
        <v>89</v>
      </c>
      <c r="I17" s="143" t="s">
        <v>45</v>
      </c>
      <c r="J17" s="143" t="s">
        <v>46</v>
      </c>
      <c r="K17" s="143">
        <v>125</v>
      </c>
      <c r="L17" s="168"/>
      <c r="W17" s="143" t="s">
        <v>49</v>
      </c>
      <c r="Y17" s="143" t="s">
        <v>60</v>
      </c>
      <c r="AA17" s="168"/>
      <c r="AB17" s="170"/>
      <c r="AG17" s="143" t="s">
        <v>52</v>
      </c>
      <c r="AM17" s="143" t="s">
        <v>53</v>
      </c>
    </row>
    <row r="18" spans="1:39">
      <c r="A18" s="143">
        <v>16</v>
      </c>
      <c r="B18" s="144">
        <v>45769</v>
      </c>
      <c r="C18" s="143" t="s">
        <v>40</v>
      </c>
      <c r="D18" s="143" t="s">
        <v>90</v>
      </c>
      <c r="E18" s="145" t="s">
        <v>91</v>
      </c>
      <c r="F18" s="143">
        <v>67165</v>
      </c>
      <c r="H18" s="143" t="s">
        <v>92</v>
      </c>
      <c r="I18" s="143" t="s">
        <v>93</v>
      </c>
      <c r="J18" s="143" t="s">
        <v>94</v>
      </c>
      <c r="K18" s="143">
        <v>140</v>
      </c>
      <c r="L18" s="143">
        <v>210</v>
      </c>
      <c r="O18" s="143" t="s">
        <v>47</v>
      </c>
      <c r="P18" s="143" t="s">
        <v>48</v>
      </c>
      <c r="W18" s="143" t="s">
        <v>49</v>
      </c>
      <c r="X18" s="143">
        <v>67165</v>
      </c>
      <c r="Y18" s="143" t="s">
        <v>95</v>
      </c>
      <c r="Z18" s="143">
        <v>67165</v>
      </c>
      <c r="AA18" s="143">
        <v>18.8</v>
      </c>
      <c r="AB18" s="170">
        <v>45766</v>
      </c>
      <c r="AG18" s="143" t="s">
        <v>96</v>
      </c>
    </row>
    <row r="19" spans="1:39">
      <c r="A19" s="143">
        <v>17</v>
      </c>
      <c r="B19" s="144">
        <v>45769</v>
      </c>
      <c r="C19" s="143" t="s">
        <v>40</v>
      </c>
      <c r="D19" s="143" t="s">
        <v>90</v>
      </c>
      <c r="E19" s="145" t="s">
        <v>91</v>
      </c>
      <c r="F19" s="143" t="s">
        <v>97</v>
      </c>
      <c r="H19" s="143" t="s">
        <v>98</v>
      </c>
      <c r="I19" s="143" t="s">
        <v>93</v>
      </c>
      <c r="J19" s="143" t="s">
        <v>94</v>
      </c>
      <c r="K19" s="143">
        <v>175</v>
      </c>
      <c r="L19" s="143">
        <v>180</v>
      </c>
      <c r="O19" s="143" t="s">
        <v>47</v>
      </c>
      <c r="P19" s="143" t="s">
        <v>48</v>
      </c>
      <c r="W19" s="143" t="s">
        <v>49</v>
      </c>
      <c r="X19" s="143">
        <v>41112</v>
      </c>
      <c r="Y19" s="143" t="s">
        <v>95</v>
      </c>
      <c r="Z19" s="143" t="s">
        <v>97</v>
      </c>
      <c r="AA19" s="143">
        <v>19.6</v>
      </c>
      <c r="AB19" s="170">
        <v>45766</v>
      </c>
      <c r="AG19" s="143" t="s">
        <v>96</v>
      </c>
    </row>
    <row r="20" spans="1:39">
      <c r="A20" s="143">
        <v>18</v>
      </c>
      <c r="B20" s="144">
        <v>45769</v>
      </c>
      <c r="C20" s="143" t="s">
        <v>40</v>
      </c>
      <c r="D20" s="143" t="s">
        <v>90</v>
      </c>
      <c r="E20" s="145" t="s">
        <v>91</v>
      </c>
      <c r="F20" s="143" t="s">
        <v>99</v>
      </c>
      <c r="H20" s="143" t="s">
        <v>100</v>
      </c>
      <c r="I20" s="143" t="s">
        <v>93</v>
      </c>
      <c r="J20" s="143" t="s">
        <v>94</v>
      </c>
      <c r="K20" s="143">
        <v>175</v>
      </c>
      <c r="L20" s="143">
        <v>180</v>
      </c>
      <c r="O20" s="143" t="s">
        <v>47</v>
      </c>
      <c r="P20" s="143" t="s">
        <v>48</v>
      </c>
      <c r="W20" s="143" t="s">
        <v>49</v>
      </c>
      <c r="X20" s="143" t="s">
        <v>101</v>
      </c>
      <c r="Y20" s="143" t="s">
        <v>102</v>
      </c>
      <c r="Z20" s="143" t="s">
        <v>101</v>
      </c>
      <c r="AA20" s="143">
        <v>15</v>
      </c>
      <c r="AB20" s="170">
        <v>45766</v>
      </c>
      <c r="AG20" s="143" t="s">
        <v>96</v>
      </c>
    </row>
    <row r="21" spans="1:39">
      <c r="A21" s="143">
        <v>19</v>
      </c>
      <c r="B21" s="144">
        <v>45769</v>
      </c>
      <c r="C21" s="143" t="s">
        <v>40</v>
      </c>
      <c r="D21" s="143" t="s">
        <v>90</v>
      </c>
      <c r="E21" s="145" t="s">
        <v>91</v>
      </c>
      <c r="F21" s="143" t="s">
        <v>103</v>
      </c>
      <c r="H21" s="143" t="s">
        <v>104</v>
      </c>
      <c r="I21" s="143" t="s">
        <v>45</v>
      </c>
      <c r="J21" s="143" t="s">
        <v>105</v>
      </c>
      <c r="K21" s="143">
        <v>185</v>
      </c>
      <c r="L21" s="143">
        <v>230</v>
      </c>
      <c r="O21" s="143" t="s">
        <v>47</v>
      </c>
      <c r="P21" s="143" t="s">
        <v>48</v>
      </c>
      <c r="W21" s="143" t="s">
        <v>49</v>
      </c>
      <c r="X21" s="143" t="s">
        <v>106</v>
      </c>
      <c r="Y21" s="143" t="s">
        <v>102</v>
      </c>
      <c r="Z21" s="143" t="s">
        <v>106</v>
      </c>
      <c r="AA21" s="143">
        <v>23.3</v>
      </c>
      <c r="AB21" s="170">
        <v>45766</v>
      </c>
      <c r="AG21" s="143" t="s">
        <v>96</v>
      </c>
    </row>
    <row r="22" spans="1:39">
      <c r="A22" s="143">
        <v>20</v>
      </c>
      <c r="B22" s="144">
        <v>45769</v>
      </c>
      <c r="C22" s="143" t="s">
        <v>40</v>
      </c>
      <c r="D22" s="143" t="s">
        <v>90</v>
      </c>
      <c r="E22" s="145" t="s">
        <v>91</v>
      </c>
      <c r="F22" s="143" t="s">
        <v>107</v>
      </c>
      <c r="H22" s="143" t="s">
        <v>108</v>
      </c>
      <c r="I22" s="143" t="s">
        <v>93</v>
      </c>
      <c r="J22" s="143" t="s">
        <v>94</v>
      </c>
      <c r="K22" s="143">
        <v>145</v>
      </c>
      <c r="L22" s="143">
        <v>220</v>
      </c>
      <c r="O22" s="143" t="s">
        <v>47</v>
      </c>
      <c r="P22" s="143" t="s">
        <v>48</v>
      </c>
      <c r="W22" s="143" t="s">
        <v>49</v>
      </c>
      <c r="X22" s="143">
        <v>12339</v>
      </c>
      <c r="Y22" s="143" t="s">
        <v>109</v>
      </c>
      <c r="Z22" s="143" t="s">
        <v>110</v>
      </c>
      <c r="AA22" s="143">
        <v>16.2</v>
      </c>
      <c r="AB22" s="170">
        <v>45766</v>
      </c>
      <c r="AG22" s="143" t="s">
        <v>96</v>
      </c>
    </row>
    <row r="23" spans="1:39">
      <c r="A23" s="143">
        <v>21</v>
      </c>
      <c r="B23" s="144">
        <v>45769</v>
      </c>
      <c r="C23" s="143" t="s">
        <v>40</v>
      </c>
      <c r="D23" s="143" t="s">
        <v>90</v>
      </c>
      <c r="E23" s="145" t="s">
        <v>91</v>
      </c>
      <c r="F23" s="143" t="s">
        <v>111</v>
      </c>
      <c r="H23" s="143" t="s">
        <v>112</v>
      </c>
      <c r="I23" s="143" t="s">
        <v>45</v>
      </c>
      <c r="J23" s="143" t="s">
        <v>105</v>
      </c>
      <c r="K23" s="143">
        <v>185</v>
      </c>
      <c r="L23" s="143">
        <v>200</v>
      </c>
      <c r="O23" s="143" t="s">
        <v>47</v>
      </c>
      <c r="P23" s="143" t="s">
        <v>48</v>
      </c>
      <c r="W23" s="143" t="s">
        <v>49</v>
      </c>
      <c r="X23" s="143">
        <v>12005</v>
      </c>
      <c r="Y23" s="143" t="s">
        <v>109</v>
      </c>
      <c r="Z23" s="143" t="s">
        <v>113</v>
      </c>
      <c r="AA23" s="143">
        <v>22</v>
      </c>
      <c r="AB23" s="170">
        <v>45766</v>
      </c>
      <c r="AG23" s="143" t="s">
        <v>96</v>
      </c>
    </row>
    <row r="24" spans="1:39">
      <c r="A24" s="143">
        <v>22</v>
      </c>
      <c r="B24" s="144">
        <v>45769</v>
      </c>
      <c r="C24" s="143" t="s">
        <v>40</v>
      </c>
      <c r="D24" s="143" t="s">
        <v>90</v>
      </c>
      <c r="E24" s="145" t="s">
        <v>91</v>
      </c>
      <c r="F24" s="143" t="s">
        <v>114</v>
      </c>
      <c r="H24" s="143" t="s">
        <v>115</v>
      </c>
      <c r="I24" s="143" t="s">
        <v>45</v>
      </c>
      <c r="J24" s="143" t="s">
        <v>105</v>
      </c>
      <c r="K24" s="143">
        <v>190</v>
      </c>
      <c r="L24" s="143">
        <v>130</v>
      </c>
      <c r="O24" s="143" t="s">
        <v>47</v>
      </c>
      <c r="P24" s="143" t="s">
        <v>48</v>
      </c>
      <c r="W24" s="143" t="s">
        <v>49</v>
      </c>
      <c r="X24" s="143">
        <v>2031</v>
      </c>
      <c r="Y24" s="143" t="s">
        <v>116</v>
      </c>
      <c r="Z24" s="143">
        <v>2031</v>
      </c>
      <c r="AA24" s="143">
        <v>18</v>
      </c>
      <c r="AB24" s="170">
        <v>45766</v>
      </c>
      <c r="AG24" s="143" t="s">
        <v>96</v>
      </c>
    </row>
    <row r="25" spans="1:39">
      <c r="A25" s="143">
        <v>23</v>
      </c>
      <c r="B25" s="144">
        <v>45769</v>
      </c>
      <c r="C25" s="143" t="s">
        <v>40</v>
      </c>
      <c r="D25" s="143" t="s">
        <v>90</v>
      </c>
      <c r="E25" s="145" t="s">
        <v>91</v>
      </c>
      <c r="F25" s="143" t="s">
        <v>117</v>
      </c>
      <c r="H25" s="143" t="s">
        <v>118</v>
      </c>
      <c r="I25" s="143" t="s">
        <v>45</v>
      </c>
      <c r="J25" s="143" t="s">
        <v>105</v>
      </c>
      <c r="K25" s="143">
        <v>145</v>
      </c>
      <c r="O25" s="143" t="s">
        <v>47</v>
      </c>
      <c r="P25" s="143" t="s">
        <v>48</v>
      </c>
      <c r="W25" s="143" t="s">
        <v>49</v>
      </c>
      <c r="X25" s="143" t="s">
        <v>117</v>
      </c>
      <c r="Y25" s="143" t="s">
        <v>119</v>
      </c>
      <c r="Z25" s="143" t="s">
        <v>117</v>
      </c>
      <c r="AA25" s="143">
        <v>12.7</v>
      </c>
      <c r="AB25" s="170">
        <v>45766</v>
      </c>
      <c r="AG25" s="143" t="s">
        <v>96</v>
      </c>
    </row>
    <row r="26" spans="1:39">
      <c r="A26" s="143">
        <v>24</v>
      </c>
      <c r="B26" s="144">
        <v>45773</v>
      </c>
      <c r="C26" s="143" t="s">
        <v>40</v>
      </c>
      <c r="D26" s="143" t="s">
        <v>41</v>
      </c>
      <c r="F26" s="143" t="s">
        <v>120</v>
      </c>
      <c r="H26" s="143" t="s">
        <v>121</v>
      </c>
      <c r="I26" s="143" t="s">
        <v>45</v>
      </c>
      <c r="J26" s="143" t="s">
        <v>46</v>
      </c>
      <c r="K26" s="143">
        <v>180</v>
      </c>
      <c r="L26" s="143">
        <v>180</v>
      </c>
      <c r="O26" s="143" t="s">
        <v>47</v>
      </c>
      <c r="P26" s="143" t="s">
        <v>48</v>
      </c>
      <c r="W26" s="143" t="s">
        <v>49</v>
      </c>
      <c r="X26" s="143" t="s">
        <v>122</v>
      </c>
      <c r="Y26" s="143" t="s">
        <v>123</v>
      </c>
      <c r="Z26" s="143" t="s">
        <v>122</v>
      </c>
      <c r="AA26" s="143">
        <v>17.2</v>
      </c>
      <c r="AB26" s="170">
        <v>45773</v>
      </c>
      <c r="AG26" s="143" t="s">
        <v>96</v>
      </c>
    </row>
    <row r="27" spans="1:39">
      <c r="A27" s="143">
        <v>25</v>
      </c>
      <c r="B27" s="144">
        <v>45773</v>
      </c>
      <c r="C27" s="143" t="s">
        <v>40</v>
      </c>
      <c r="D27" s="143" t="s">
        <v>41</v>
      </c>
      <c r="F27" s="143" t="s">
        <v>124</v>
      </c>
      <c r="H27" s="143" t="s">
        <v>125</v>
      </c>
      <c r="I27" s="143" t="s">
        <v>126</v>
      </c>
      <c r="J27" s="143" t="s">
        <v>127</v>
      </c>
      <c r="K27" s="143">
        <v>175</v>
      </c>
      <c r="L27" s="143">
        <v>180</v>
      </c>
      <c r="O27" s="143" t="s">
        <v>47</v>
      </c>
      <c r="P27" s="143" t="s">
        <v>48</v>
      </c>
      <c r="W27" s="143" t="s">
        <v>49</v>
      </c>
      <c r="X27" s="143" t="s">
        <v>128</v>
      </c>
      <c r="Y27" s="143" t="s">
        <v>123</v>
      </c>
      <c r="Z27" s="143" t="s">
        <v>128</v>
      </c>
      <c r="AA27" s="143">
        <v>13.5</v>
      </c>
      <c r="AB27" s="170">
        <v>45773</v>
      </c>
      <c r="AG27" s="143" t="s">
        <v>96</v>
      </c>
    </row>
    <row r="28" spans="1:39">
      <c r="A28" s="143">
        <v>26</v>
      </c>
      <c r="B28" s="144">
        <v>45773</v>
      </c>
      <c r="C28" s="143" t="s">
        <v>40</v>
      </c>
      <c r="D28" s="143" t="s">
        <v>41</v>
      </c>
      <c r="F28" s="143" t="s">
        <v>129</v>
      </c>
      <c r="H28" s="143" t="s">
        <v>130</v>
      </c>
      <c r="I28" s="143" t="s">
        <v>45</v>
      </c>
      <c r="J28" s="143" t="s">
        <v>46</v>
      </c>
      <c r="K28" s="143">
        <v>175</v>
      </c>
      <c r="L28" s="143">
        <v>180</v>
      </c>
      <c r="O28" s="143" t="s">
        <v>47</v>
      </c>
      <c r="P28" s="143" t="s">
        <v>48</v>
      </c>
      <c r="W28" s="143" t="s">
        <v>49</v>
      </c>
      <c r="X28" s="143" t="s">
        <v>131</v>
      </c>
      <c r="Y28" s="143" t="s">
        <v>123</v>
      </c>
      <c r="Z28" s="143" t="s">
        <v>131</v>
      </c>
      <c r="AA28" s="143">
        <v>13.5</v>
      </c>
      <c r="AB28" s="170">
        <v>45773</v>
      </c>
      <c r="AG28" s="143" t="s">
        <v>96</v>
      </c>
    </row>
    <row r="29" spans="1:39">
      <c r="A29" s="143">
        <v>27</v>
      </c>
      <c r="B29" s="144">
        <v>45773</v>
      </c>
      <c r="C29" s="143" t="s">
        <v>40</v>
      </c>
      <c r="D29" s="143" t="s">
        <v>41</v>
      </c>
      <c r="F29" s="143" t="s">
        <v>132</v>
      </c>
      <c r="H29" s="143" t="s">
        <v>133</v>
      </c>
      <c r="I29" s="143" t="s">
        <v>45</v>
      </c>
      <c r="J29" s="143" t="s">
        <v>46</v>
      </c>
      <c r="K29" s="143">
        <v>175</v>
      </c>
      <c r="L29" s="143">
        <v>180</v>
      </c>
      <c r="O29" s="143" t="s">
        <v>47</v>
      </c>
      <c r="P29" s="143" t="s">
        <v>48</v>
      </c>
      <c r="W29" s="143" t="s">
        <v>49</v>
      </c>
      <c r="X29" s="143" t="s">
        <v>134</v>
      </c>
      <c r="Y29" s="143" t="s">
        <v>135</v>
      </c>
      <c r="Z29" s="143" t="s">
        <v>134</v>
      </c>
      <c r="AA29" s="143">
        <v>15.7</v>
      </c>
      <c r="AB29" s="170">
        <v>45773</v>
      </c>
      <c r="AG29" s="143" t="s">
        <v>96</v>
      </c>
    </row>
    <row r="30" spans="1:39">
      <c r="A30" s="143">
        <v>28</v>
      </c>
      <c r="B30" s="144">
        <v>45773</v>
      </c>
      <c r="C30" s="143" t="s">
        <v>40</v>
      </c>
      <c r="D30" s="143" t="s">
        <v>41</v>
      </c>
      <c r="F30" s="143" t="s">
        <v>136</v>
      </c>
      <c r="H30" s="143" t="s">
        <v>137</v>
      </c>
      <c r="I30" s="143" t="s">
        <v>45</v>
      </c>
      <c r="J30" s="143" t="s">
        <v>46</v>
      </c>
      <c r="K30" s="143">
        <v>175</v>
      </c>
      <c r="L30" s="143">
        <v>170</v>
      </c>
      <c r="O30" s="143" t="s">
        <v>47</v>
      </c>
      <c r="P30" s="143" t="s">
        <v>48</v>
      </c>
      <c r="W30" s="143" t="s">
        <v>49</v>
      </c>
      <c r="X30" s="143" t="s">
        <v>138</v>
      </c>
      <c r="Y30" s="143" t="s">
        <v>135</v>
      </c>
      <c r="Z30" s="143" t="s">
        <v>138</v>
      </c>
      <c r="AA30" s="143">
        <v>14.8</v>
      </c>
      <c r="AB30" s="170">
        <v>45773</v>
      </c>
      <c r="AG30" s="143" t="s">
        <v>96</v>
      </c>
    </row>
    <row r="31" spans="1:39">
      <c r="A31" s="143">
        <v>29</v>
      </c>
      <c r="B31" s="144">
        <v>45773</v>
      </c>
      <c r="C31" s="143" t="s">
        <v>40</v>
      </c>
      <c r="D31" s="143" t="s">
        <v>41</v>
      </c>
      <c r="F31" s="143" t="s">
        <v>139</v>
      </c>
      <c r="H31" s="143" t="s">
        <v>140</v>
      </c>
      <c r="I31" s="143" t="s">
        <v>45</v>
      </c>
      <c r="J31" s="143" t="s">
        <v>46</v>
      </c>
      <c r="K31" s="143">
        <v>175</v>
      </c>
      <c r="L31" s="143">
        <v>180</v>
      </c>
      <c r="O31" s="143" t="s">
        <v>47</v>
      </c>
      <c r="P31" s="143" t="s">
        <v>48</v>
      </c>
      <c r="W31" s="143" t="s">
        <v>49</v>
      </c>
      <c r="X31" s="143" t="s">
        <v>141</v>
      </c>
      <c r="Y31" s="143" t="s">
        <v>142</v>
      </c>
      <c r="Z31" s="143" t="s">
        <v>141</v>
      </c>
      <c r="AA31" s="143">
        <v>18.1</v>
      </c>
      <c r="AB31" s="170">
        <v>45773</v>
      </c>
      <c r="AG31" s="143" t="s">
        <v>96</v>
      </c>
    </row>
    <row r="32" spans="1:39">
      <c r="A32" s="143">
        <v>30</v>
      </c>
      <c r="B32" s="144">
        <v>45773</v>
      </c>
      <c r="C32" s="143" t="s">
        <v>40</v>
      </c>
      <c r="D32" s="143" t="s">
        <v>41</v>
      </c>
      <c r="F32" s="143" t="s">
        <v>143</v>
      </c>
      <c r="H32" s="143" t="s">
        <v>144</v>
      </c>
      <c r="I32" s="143" t="s">
        <v>45</v>
      </c>
      <c r="J32" s="143" t="s">
        <v>46</v>
      </c>
      <c r="K32" s="143">
        <v>180</v>
      </c>
      <c r="L32" s="143">
        <v>190</v>
      </c>
      <c r="O32" s="143" t="s">
        <v>47</v>
      </c>
      <c r="P32" s="143" t="s">
        <v>48</v>
      </c>
      <c r="W32" s="143" t="s">
        <v>49</v>
      </c>
      <c r="X32" s="143" t="s">
        <v>145</v>
      </c>
      <c r="Y32" s="143" t="s">
        <v>146</v>
      </c>
      <c r="Z32" s="143" t="s">
        <v>145</v>
      </c>
      <c r="AA32" s="168"/>
      <c r="AB32" s="170">
        <v>45773</v>
      </c>
      <c r="AG32" s="143" t="s">
        <v>96</v>
      </c>
    </row>
    <row r="33" spans="1:39">
      <c r="A33" s="143">
        <v>31</v>
      </c>
      <c r="B33" s="144">
        <v>45775</v>
      </c>
      <c r="C33" s="143" t="s">
        <v>40</v>
      </c>
      <c r="D33" s="143" t="s">
        <v>41</v>
      </c>
      <c r="E33" s="145" t="s">
        <v>147</v>
      </c>
      <c r="F33" s="143" t="s">
        <v>148</v>
      </c>
      <c r="H33" s="143" t="s">
        <v>149</v>
      </c>
      <c r="I33" s="143" t="s">
        <v>45</v>
      </c>
      <c r="J33" s="143" t="s">
        <v>46</v>
      </c>
      <c r="K33" s="143">
        <v>125</v>
      </c>
      <c r="L33" s="168"/>
      <c r="O33" s="143" t="s">
        <v>47</v>
      </c>
      <c r="P33" s="143" t="s">
        <v>48</v>
      </c>
      <c r="W33" s="143" t="s">
        <v>49</v>
      </c>
      <c r="X33" s="143" t="s">
        <v>148</v>
      </c>
      <c r="Y33" s="143" t="s">
        <v>150</v>
      </c>
      <c r="Z33" s="143" t="s">
        <v>148</v>
      </c>
      <c r="AA33" s="143">
        <v>15.7</v>
      </c>
      <c r="AB33" s="170">
        <v>45775</v>
      </c>
      <c r="AG33" s="143" t="s">
        <v>151</v>
      </c>
    </row>
    <row r="34" spans="1:39">
      <c r="A34" s="143">
        <v>32</v>
      </c>
      <c r="B34" s="144">
        <v>45775</v>
      </c>
      <c r="C34" s="143" t="s">
        <v>40</v>
      </c>
      <c r="D34" s="143" t="s">
        <v>41</v>
      </c>
      <c r="E34" s="145" t="s">
        <v>147</v>
      </c>
      <c r="F34" s="143" t="s">
        <v>152</v>
      </c>
      <c r="H34" s="143" t="s">
        <v>153</v>
      </c>
      <c r="I34" s="143" t="s">
        <v>45</v>
      </c>
      <c r="J34" s="143" t="s">
        <v>46</v>
      </c>
      <c r="K34" s="143">
        <v>125</v>
      </c>
      <c r="L34" s="168"/>
      <c r="O34" s="143" t="s">
        <v>47</v>
      </c>
      <c r="P34" s="143" t="s">
        <v>48</v>
      </c>
      <c r="W34" s="143" t="s">
        <v>49</v>
      </c>
      <c r="X34" s="143" t="s">
        <v>152</v>
      </c>
      <c r="Y34" s="143" t="s">
        <v>150</v>
      </c>
      <c r="Z34" s="143" t="s">
        <v>152</v>
      </c>
      <c r="AA34" s="143">
        <v>15.7</v>
      </c>
      <c r="AB34" s="170">
        <v>45775</v>
      </c>
      <c r="AG34" s="143" t="s">
        <v>151</v>
      </c>
    </row>
    <row r="35" spans="1:39">
      <c r="A35" s="143">
        <v>33</v>
      </c>
      <c r="B35" s="144">
        <v>45775</v>
      </c>
      <c r="C35" s="143" t="s">
        <v>40</v>
      </c>
      <c r="D35" s="143" t="s">
        <v>41</v>
      </c>
      <c r="E35" s="145" t="s">
        <v>147</v>
      </c>
      <c r="F35" s="143" t="s">
        <v>154</v>
      </c>
      <c r="H35" s="143" t="s">
        <v>155</v>
      </c>
      <c r="I35" s="143" t="s">
        <v>45</v>
      </c>
      <c r="J35" s="143" t="s">
        <v>46</v>
      </c>
      <c r="K35" s="143">
        <v>125</v>
      </c>
      <c r="L35" s="168"/>
      <c r="O35" s="143" t="s">
        <v>47</v>
      </c>
      <c r="P35" s="143" t="s">
        <v>48</v>
      </c>
      <c r="W35" s="143" t="s">
        <v>49</v>
      </c>
      <c r="X35" s="143" t="s">
        <v>154</v>
      </c>
      <c r="Y35" s="143" t="s">
        <v>156</v>
      </c>
      <c r="Z35" s="143" t="s">
        <v>154</v>
      </c>
      <c r="AA35" s="143">
        <v>14.8</v>
      </c>
      <c r="AB35" s="170">
        <v>45775</v>
      </c>
      <c r="AG35" s="143" t="s">
        <v>151</v>
      </c>
    </row>
    <row r="36" spans="1:39">
      <c r="A36" s="143">
        <v>34</v>
      </c>
      <c r="B36" s="144">
        <v>45775</v>
      </c>
      <c r="C36" s="143" t="s">
        <v>40</v>
      </c>
      <c r="D36" s="143" t="s">
        <v>41</v>
      </c>
      <c r="E36" s="145" t="s">
        <v>147</v>
      </c>
      <c r="F36" s="143" t="s">
        <v>157</v>
      </c>
      <c r="H36" s="143" t="s">
        <v>158</v>
      </c>
      <c r="I36" s="143" t="s">
        <v>45</v>
      </c>
      <c r="J36" s="143" t="s">
        <v>46</v>
      </c>
      <c r="K36" s="143">
        <v>125</v>
      </c>
      <c r="L36" s="168"/>
      <c r="O36" s="143" t="s">
        <v>47</v>
      </c>
      <c r="P36" s="143" t="s">
        <v>48</v>
      </c>
      <c r="W36" s="143" t="s">
        <v>49</v>
      </c>
      <c r="X36" s="143" t="s">
        <v>157</v>
      </c>
      <c r="Y36" s="143" t="s">
        <v>156</v>
      </c>
      <c r="Z36" s="143" t="s">
        <v>157</v>
      </c>
      <c r="AA36" s="143">
        <v>14.8</v>
      </c>
      <c r="AB36" s="170">
        <v>45775</v>
      </c>
      <c r="AG36" s="143" t="s">
        <v>151</v>
      </c>
    </row>
    <row r="37" spans="1:39">
      <c r="A37" s="143">
        <v>35</v>
      </c>
      <c r="B37" s="144">
        <v>45775</v>
      </c>
      <c r="C37" s="143" t="s">
        <v>40</v>
      </c>
      <c r="D37" s="143" t="s">
        <v>41</v>
      </c>
      <c r="E37" s="145" t="s">
        <v>147</v>
      </c>
      <c r="F37" s="143" t="s">
        <v>159</v>
      </c>
      <c r="H37" s="143" t="s">
        <v>160</v>
      </c>
      <c r="I37" s="143" t="s">
        <v>45</v>
      </c>
      <c r="J37" s="143" t="s">
        <v>46</v>
      </c>
      <c r="K37" s="143">
        <v>125</v>
      </c>
      <c r="L37" s="168"/>
      <c r="O37" s="143" t="s">
        <v>47</v>
      </c>
      <c r="P37" s="143" t="s">
        <v>48</v>
      </c>
      <c r="W37" s="143" t="s">
        <v>49</v>
      </c>
      <c r="X37" s="143" t="s">
        <v>159</v>
      </c>
      <c r="Y37" s="143" t="s">
        <v>156</v>
      </c>
      <c r="Z37" s="143" t="s">
        <v>159</v>
      </c>
      <c r="AA37" s="143">
        <v>16.2</v>
      </c>
      <c r="AB37" s="170">
        <v>45775</v>
      </c>
      <c r="AG37" s="143" t="s">
        <v>151</v>
      </c>
    </row>
    <row r="38" spans="1:39">
      <c r="A38" s="143">
        <v>36</v>
      </c>
      <c r="B38" s="144">
        <v>45775</v>
      </c>
      <c r="C38" s="143" t="s">
        <v>40</v>
      </c>
      <c r="D38" s="143" t="s">
        <v>41</v>
      </c>
      <c r="E38" s="145" t="s">
        <v>147</v>
      </c>
      <c r="F38" s="143" t="s">
        <v>161</v>
      </c>
      <c r="H38" s="143" t="s">
        <v>162</v>
      </c>
      <c r="I38" s="143" t="s">
        <v>45</v>
      </c>
      <c r="J38" s="143" t="s">
        <v>46</v>
      </c>
      <c r="K38" s="143">
        <v>125</v>
      </c>
      <c r="L38" s="168"/>
      <c r="O38" s="143" t="s">
        <v>47</v>
      </c>
      <c r="P38" s="143" t="s">
        <v>48</v>
      </c>
      <c r="W38" s="143" t="s">
        <v>49</v>
      </c>
      <c r="X38" s="143" t="s">
        <v>161</v>
      </c>
      <c r="Y38" s="143" t="s">
        <v>156</v>
      </c>
      <c r="Z38" s="143" t="s">
        <v>161</v>
      </c>
      <c r="AA38" s="143">
        <v>18.4</v>
      </c>
      <c r="AB38" s="170">
        <v>45775</v>
      </c>
      <c r="AG38" s="143" t="s">
        <v>151</v>
      </c>
    </row>
    <row r="39" spans="1:39">
      <c r="A39" s="143">
        <v>37</v>
      </c>
      <c r="B39" s="144">
        <v>45775</v>
      </c>
      <c r="C39" s="143" t="s">
        <v>40</v>
      </c>
      <c r="D39" s="143" t="s">
        <v>41</v>
      </c>
      <c r="E39" s="145" t="s">
        <v>147</v>
      </c>
      <c r="F39" s="143" t="s">
        <v>163</v>
      </c>
      <c r="H39" s="143" t="s">
        <v>164</v>
      </c>
      <c r="I39" s="143" t="s">
        <v>45</v>
      </c>
      <c r="J39" s="143" t="s">
        <v>46</v>
      </c>
      <c r="K39" s="143">
        <v>125</v>
      </c>
      <c r="L39" s="168"/>
      <c r="O39" s="143" t="s">
        <v>47</v>
      </c>
      <c r="P39" s="143" t="s">
        <v>48</v>
      </c>
      <c r="W39" s="143" t="s">
        <v>49</v>
      </c>
      <c r="X39" s="143" t="s">
        <v>163</v>
      </c>
      <c r="Y39" s="143" t="s">
        <v>156</v>
      </c>
      <c r="Z39" s="143" t="s">
        <v>163</v>
      </c>
      <c r="AA39" s="143">
        <v>14.6</v>
      </c>
      <c r="AB39" s="170">
        <v>45775</v>
      </c>
      <c r="AG39" s="143" t="s">
        <v>151</v>
      </c>
    </row>
    <row r="40" s="139" customFormat="1" spans="1:39">
      <c r="A40" s="143">
        <v>38</v>
      </c>
      <c r="B40" s="144">
        <v>45775</v>
      </c>
      <c r="C40" s="143" t="s">
        <v>40</v>
      </c>
      <c r="D40" s="143" t="s">
        <v>41</v>
      </c>
      <c r="E40" s="145" t="s">
        <v>147</v>
      </c>
      <c r="F40" s="143" t="s">
        <v>165</v>
      </c>
      <c r="G40" s="143"/>
      <c r="H40" s="143" t="s">
        <v>166</v>
      </c>
      <c r="I40" s="143" t="s">
        <v>45</v>
      </c>
      <c r="J40" s="143" t="s">
        <v>46</v>
      </c>
      <c r="K40" s="143">
        <v>125</v>
      </c>
      <c r="L40" s="168"/>
      <c r="M40" s="143"/>
      <c r="N40" s="143"/>
      <c r="O40" s="143" t="s">
        <v>47</v>
      </c>
      <c r="P40" s="143" t="s">
        <v>48</v>
      </c>
      <c r="Q40" s="143"/>
      <c r="R40" s="143"/>
      <c r="S40" s="146"/>
      <c r="T40" s="146"/>
      <c r="U40" s="146"/>
      <c r="V40" s="147"/>
      <c r="W40" s="143" t="s">
        <v>49</v>
      </c>
      <c r="X40" s="143" t="s">
        <v>165</v>
      </c>
      <c r="Y40" s="143" t="s">
        <v>167</v>
      </c>
      <c r="Z40" s="143" t="s">
        <v>165</v>
      </c>
      <c r="AA40" s="143">
        <v>14</v>
      </c>
      <c r="AB40" s="170">
        <v>45775</v>
      </c>
      <c r="AC40" s="143"/>
      <c r="AD40" s="143"/>
      <c r="AE40" s="143"/>
      <c r="AF40" s="143"/>
      <c r="AG40" s="143" t="s">
        <v>151</v>
      </c>
      <c r="AH40" s="143"/>
      <c r="AI40" s="143"/>
      <c r="AJ40" s="143"/>
      <c r="AK40" s="143"/>
      <c r="AL40" s="143"/>
      <c r="AM40" s="143"/>
    </row>
    <row r="41" spans="1:39">
      <c r="A41" s="143">
        <v>39</v>
      </c>
      <c r="B41" s="144">
        <v>45775</v>
      </c>
      <c r="C41" s="143" t="s">
        <v>40</v>
      </c>
      <c r="D41" s="143" t="s">
        <v>41</v>
      </c>
      <c r="E41" s="145" t="s">
        <v>147</v>
      </c>
      <c r="F41" s="143" t="s">
        <v>85</v>
      </c>
      <c r="H41" s="143" t="s">
        <v>168</v>
      </c>
      <c r="I41" s="143" t="s">
        <v>45</v>
      </c>
      <c r="J41" s="143" t="s">
        <v>46</v>
      </c>
      <c r="K41" s="143">
        <v>125</v>
      </c>
      <c r="L41" s="168"/>
      <c r="O41" s="143" t="s">
        <v>47</v>
      </c>
      <c r="P41" s="143" t="s">
        <v>48</v>
      </c>
      <c r="W41" s="143" t="s">
        <v>49</v>
      </c>
      <c r="X41" s="143" t="s">
        <v>85</v>
      </c>
      <c r="Y41" s="143" t="s">
        <v>167</v>
      </c>
      <c r="Z41" s="143" t="s">
        <v>85</v>
      </c>
      <c r="AA41" s="143">
        <v>14</v>
      </c>
      <c r="AB41" s="170">
        <v>45775</v>
      </c>
      <c r="AG41" s="143" t="s">
        <v>151</v>
      </c>
    </row>
    <row r="42" spans="1:39">
      <c r="A42" s="143">
        <v>40</v>
      </c>
      <c r="B42" s="144">
        <v>45775</v>
      </c>
      <c r="C42" s="143" t="s">
        <v>40</v>
      </c>
      <c r="D42" s="143" t="s">
        <v>41</v>
      </c>
      <c r="E42" s="145" t="s">
        <v>147</v>
      </c>
      <c r="F42" s="143" t="s">
        <v>169</v>
      </c>
      <c r="H42" s="143" t="s">
        <v>170</v>
      </c>
      <c r="I42" s="143" t="s">
        <v>45</v>
      </c>
      <c r="J42" s="143" t="s">
        <v>46</v>
      </c>
      <c r="K42" s="143">
        <v>125</v>
      </c>
      <c r="L42" s="168"/>
      <c r="O42" s="143" t="s">
        <v>47</v>
      </c>
      <c r="P42" s="143" t="s">
        <v>48</v>
      </c>
      <c r="W42" s="143" t="s">
        <v>49</v>
      </c>
      <c r="X42" s="143" t="s">
        <v>169</v>
      </c>
      <c r="Y42" s="143" t="s">
        <v>167</v>
      </c>
      <c r="Z42" s="143" t="s">
        <v>169</v>
      </c>
      <c r="AA42" s="143">
        <v>14</v>
      </c>
      <c r="AB42" s="170">
        <v>45775</v>
      </c>
      <c r="AG42" s="143" t="s">
        <v>151</v>
      </c>
    </row>
    <row r="43" spans="1:39">
      <c r="A43" s="143">
        <v>41</v>
      </c>
      <c r="B43" s="144">
        <v>45775</v>
      </c>
      <c r="C43" s="143" t="s">
        <v>40</v>
      </c>
      <c r="D43" s="143" t="s">
        <v>41</v>
      </c>
      <c r="E43" s="145" t="s">
        <v>147</v>
      </c>
      <c r="F43" s="143" t="s">
        <v>171</v>
      </c>
      <c r="H43" s="143" t="s">
        <v>172</v>
      </c>
      <c r="I43" s="143" t="s">
        <v>45</v>
      </c>
      <c r="J43" s="143" t="s">
        <v>46</v>
      </c>
      <c r="K43" s="143">
        <v>125</v>
      </c>
      <c r="L43" s="168"/>
      <c r="O43" s="143" t="s">
        <v>47</v>
      </c>
      <c r="P43" s="143" t="s">
        <v>48</v>
      </c>
      <c r="W43" s="143" t="s">
        <v>49</v>
      </c>
      <c r="X43" s="143" t="s">
        <v>171</v>
      </c>
      <c r="Y43" s="143" t="s">
        <v>167</v>
      </c>
      <c r="Z43" s="143" t="s">
        <v>171</v>
      </c>
      <c r="AA43" s="143">
        <v>14</v>
      </c>
      <c r="AB43" s="170">
        <v>45775</v>
      </c>
      <c r="AG43" s="143" t="s">
        <v>151</v>
      </c>
    </row>
    <row r="44" spans="1:39">
      <c r="A44" s="143">
        <v>42</v>
      </c>
      <c r="B44" s="144">
        <v>45775</v>
      </c>
      <c r="C44" s="143" t="s">
        <v>40</v>
      </c>
      <c r="D44" s="143" t="s">
        <v>41</v>
      </c>
      <c r="E44" s="145" t="s">
        <v>147</v>
      </c>
      <c r="F44" s="143" t="s">
        <v>173</v>
      </c>
      <c r="H44" s="143" t="s">
        <v>174</v>
      </c>
      <c r="I44" s="143" t="s">
        <v>45</v>
      </c>
      <c r="J44" s="143" t="s">
        <v>46</v>
      </c>
      <c r="K44" s="143">
        <v>125</v>
      </c>
      <c r="L44" s="168"/>
      <c r="O44" s="143" t="s">
        <v>47</v>
      </c>
      <c r="P44" s="143" t="s">
        <v>48</v>
      </c>
      <c r="W44" s="143" t="s">
        <v>49</v>
      </c>
      <c r="X44" s="143" t="s">
        <v>173</v>
      </c>
      <c r="Y44" s="143" t="s">
        <v>150</v>
      </c>
      <c r="Z44" s="143" t="s">
        <v>173</v>
      </c>
      <c r="AA44" s="143">
        <v>16.5</v>
      </c>
      <c r="AB44" s="170">
        <v>45775</v>
      </c>
      <c r="AG44" s="143" t="s">
        <v>151</v>
      </c>
    </row>
    <row r="45" spans="1:39">
      <c r="A45" s="143">
        <v>43</v>
      </c>
      <c r="B45" s="144">
        <v>45775</v>
      </c>
      <c r="C45" s="143" t="s">
        <v>40</v>
      </c>
      <c r="D45" s="143" t="s">
        <v>41</v>
      </c>
      <c r="E45" s="145" t="s">
        <v>147</v>
      </c>
      <c r="F45" s="143" t="s">
        <v>175</v>
      </c>
      <c r="H45" s="143" t="s">
        <v>176</v>
      </c>
      <c r="I45" s="143" t="s">
        <v>45</v>
      </c>
      <c r="J45" s="143" t="s">
        <v>46</v>
      </c>
      <c r="K45" s="143">
        <v>125</v>
      </c>
      <c r="L45" s="168"/>
      <c r="O45" s="143" t="s">
        <v>47</v>
      </c>
      <c r="P45" s="143" t="s">
        <v>48</v>
      </c>
      <c r="W45" s="143" t="s">
        <v>49</v>
      </c>
      <c r="X45" s="143" t="s">
        <v>175</v>
      </c>
      <c r="Y45" s="143" t="s">
        <v>177</v>
      </c>
      <c r="Z45" s="143" t="s">
        <v>175</v>
      </c>
      <c r="AA45" s="143">
        <v>14.8</v>
      </c>
      <c r="AB45" s="170">
        <v>45775</v>
      </c>
      <c r="AG45" s="143" t="s">
        <v>151</v>
      </c>
    </row>
    <row r="46" spans="1:39">
      <c r="A46" s="143">
        <v>44</v>
      </c>
      <c r="B46" s="144">
        <v>45775</v>
      </c>
      <c r="C46" s="143" t="s">
        <v>40</v>
      </c>
      <c r="D46" s="143" t="s">
        <v>41</v>
      </c>
      <c r="E46" s="145" t="s">
        <v>147</v>
      </c>
      <c r="F46" s="143" t="s">
        <v>178</v>
      </c>
      <c r="H46" s="143" t="s">
        <v>179</v>
      </c>
      <c r="I46" s="143" t="s">
        <v>45</v>
      </c>
      <c r="J46" s="143" t="s">
        <v>46</v>
      </c>
      <c r="K46" s="143">
        <v>125</v>
      </c>
      <c r="L46" s="168"/>
      <c r="O46" s="143" t="s">
        <v>47</v>
      </c>
      <c r="P46" s="143" t="s">
        <v>48</v>
      </c>
      <c r="W46" s="143" t="s">
        <v>49</v>
      </c>
      <c r="X46" s="143" t="s">
        <v>178</v>
      </c>
      <c r="Y46" s="143" t="s">
        <v>177</v>
      </c>
      <c r="Z46" s="143" t="s">
        <v>178</v>
      </c>
      <c r="AA46" s="143">
        <v>14.8</v>
      </c>
      <c r="AB46" s="170">
        <v>45775</v>
      </c>
      <c r="AG46" s="143" t="s">
        <v>151</v>
      </c>
    </row>
    <row r="47" spans="1:39">
      <c r="A47" s="143">
        <v>45</v>
      </c>
      <c r="B47" s="144">
        <v>45775</v>
      </c>
      <c r="C47" s="143" t="s">
        <v>40</v>
      </c>
      <c r="D47" s="143" t="s">
        <v>41</v>
      </c>
      <c r="E47" s="145" t="s">
        <v>147</v>
      </c>
      <c r="F47" s="143" t="s">
        <v>180</v>
      </c>
      <c r="H47" s="143" t="s">
        <v>181</v>
      </c>
      <c r="I47" s="143" t="s">
        <v>45</v>
      </c>
      <c r="J47" s="143" t="s">
        <v>46</v>
      </c>
      <c r="K47" s="143">
        <v>125</v>
      </c>
      <c r="L47" s="168"/>
      <c r="O47" s="143" t="s">
        <v>47</v>
      </c>
      <c r="P47" s="143" t="s">
        <v>48</v>
      </c>
      <c r="W47" s="143" t="s">
        <v>49</v>
      </c>
      <c r="X47" s="143" t="s">
        <v>180</v>
      </c>
      <c r="Y47" s="143" t="s">
        <v>177</v>
      </c>
      <c r="Z47" s="143" t="s">
        <v>180</v>
      </c>
      <c r="AA47" s="143">
        <v>14.8</v>
      </c>
      <c r="AB47" s="170">
        <v>45775</v>
      </c>
      <c r="AG47" s="143" t="s">
        <v>151</v>
      </c>
    </row>
    <row r="48" spans="1:39">
      <c r="A48" s="143">
        <v>46</v>
      </c>
      <c r="B48" s="144">
        <v>45775</v>
      </c>
      <c r="C48" s="143" t="s">
        <v>40</v>
      </c>
      <c r="D48" s="143" t="s">
        <v>41</v>
      </c>
      <c r="E48" s="145" t="s">
        <v>147</v>
      </c>
      <c r="F48" s="143" t="s">
        <v>182</v>
      </c>
      <c r="H48" s="143" t="s">
        <v>183</v>
      </c>
      <c r="I48" s="143" t="s">
        <v>45</v>
      </c>
      <c r="J48" s="143" t="s">
        <v>46</v>
      </c>
      <c r="K48" s="143">
        <v>125</v>
      </c>
      <c r="L48" s="168"/>
      <c r="O48" s="143" t="s">
        <v>47</v>
      </c>
      <c r="P48" s="143" t="s">
        <v>48</v>
      </c>
      <c r="W48" s="143" t="s">
        <v>49</v>
      </c>
      <c r="X48" s="143" t="s">
        <v>182</v>
      </c>
      <c r="Y48" s="143" t="s">
        <v>177</v>
      </c>
      <c r="Z48" s="143" t="s">
        <v>182</v>
      </c>
      <c r="AA48" s="143">
        <v>14.8</v>
      </c>
      <c r="AB48" s="170">
        <v>45775</v>
      </c>
      <c r="AG48" s="143" t="s">
        <v>151</v>
      </c>
    </row>
    <row r="49" spans="1:36">
      <c r="A49" s="143">
        <v>47</v>
      </c>
      <c r="B49" s="144">
        <v>45775</v>
      </c>
      <c r="C49" s="143" t="s">
        <v>40</v>
      </c>
      <c r="D49" s="143" t="s">
        <v>41</v>
      </c>
      <c r="E49" s="145" t="s">
        <v>147</v>
      </c>
      <c r="F49" s="143" t="s">
        <v>184</v>
      </c>
      <c r="H49" s="143" t="s">
        <v>185</v>
      </c>
      <c r="I49" s="143" t="s">
        <v>45</v>
      </c>
      <c r="J49" s="143" t="s">
        <v>46</v>
      </c>
      <c r="K49" s="143">
        <v>125</v>
      </c>
      <c r="L49" s="168"/>
      <c r="O49" s="143" t="s">
        <v>47</v>
      </c>
      <c r="P49" s="143" t="s">
        <v>48</v>
      </c>
      <c r="W49" s="143" t="s">
        <v>49</v>
      </c>
      <c r="X49" s="143" t="s">
        <v>184</v>
      </c>
      <c r="Y49" s="143" t="s">
        <v>177</v>
      </c>
      <c r="Z49" s="143" t="s">
        <v>184</v>
      </c>
      <c r="AA49" s="143">
        <v>14.8</v>
      </c>
      <c r="AB49" s="170">
        <v>45775</v>
      </c>
      <c r="AG49" s="143" t="s">
        <v>151</v>
      </c>
    </row>
    <row r="50" spans="1:36">
      <c r="A50" s="143">
        <v>48</v>
      </c>
      <c r="B50" s="144">
        <v>45775</v>
      </c>
      <c r="C50" s="143" t="s">
        <v>40</v>
      </c>
      <c r="D50" s="143" t="s">
        <v>41</v>
      </c>
      <c r="E50" s="145" t="s">
        <v>147</v>
      </c>
      <c r="F50" s="143" t="s">
        <v>186</v>
      </c>
      <c r="H50" s="143" t="s">
        <v>187</v>
      </c>
      <c r="I50" s="143" t="s">
        <v>45</v>
      </c>
      <c r="J50" s="143" t="s">
        <v>46</v>
      </c>
      <c r="K50" s="143">
        <v>125</v>
      </c>
      <c r="L50" s="168"/>
      <c r="O50" s="143" t="s">
        <v>47</v>
      </c>
      <c r="P50" s="143" t="s">
        <v>48</v>
      </c>
      <c r="W50" s="143" t="s">
        <v>49</v>
      </c>
      <c r="X50" s="143" t="s">
        <v>186</v>
      </c>
      <c r="Y50" s="143" t="s">
        <v>156</v>
      </c>
      <c r="Z50" s="143" t="s">
        <v>186</v>
      </c>
      <c r="AA50" s="143">
        <v>14.8</v>
      </c>
      <c r="AB50" s="170">
        <v>45775</v>
      </c>
      <c r="AG50" s="143" t="s">
        <v>151</v>
      </c>
    </row>
    <row r="51" spans="1:36">
      <c r="A51" s="143">
        <v>49</v>
      </c>
      <c r="B51" s="144">
        <v>45775</v>
      </c>
      <c r="C51" s="143" t="s">
        <v>40</v>
      </c>
      <c r="D51" s="143" t="s">
        <v>41</v>
      </c>
      <c r="E51" s="145" t="s">
        <v>147</v>
      </c>
      <c r="F51" s="143" t="s">
        <v>188</v>
      </c>
      <c r="H51" s="143" t="s">
        <v>189</v>
      </c>
      <c r="I51" s="143" t="s">
        <v>45</v>
      </c>
      <c r="J51" s="143" t="s">
        <v>46</v>
      </c>
      <c r="K51" s="143">
        <v>125</v>
      </c>
      <c r="L51" s="168"/>
      <c r="O51" s="143" t="s">
        <v>47</v>
      </c>
      <c r="P51" s="143" t="s">
        <v>48</v>
      </c>
      <c r="W51" s="143" t="s">
        <v>49</v>
      </c>
      <c r="X51" s="143" t="s">
        <v>188</v>
      </c>
      <c r="Y51" s="143" t="s">
        <v>156</v>
      </c>
      <c r="Z51" s="143" t="s">
        <v>188</v>
      </c>
      <c r="AA51" s="143">
        <v>14.8</v>
      </c>
      <c r="AB51" s="170">
        <v>45775</v>
      </c>
      <c r="AG51" s="143" t="s">
        <v>151</v>
      </c>
    </row>
    <row r="52" spans="1:36">
      <c r="A52" s="143">
        <v>50</v>
      </c>
      <c r="B52" s="144">
        <v>45791</v>
      </c>
      <c r="C52" s="143" t="s">
        <v>40</v>
      </c>
      <c r="D52" s="143" t="s">
        <v>41</v>
      </c>
      <c r="F52" s="143" t="s">
        <v>190</v>
      </c>
      <c r="H52" s="143" t="s">
        <v>191</v>
      </c>
      <c r="I52" s="143" t="s">
        <v>45</v>
      </c>
      <c r="J52" s="143" t="s">
        <v>46</v>
      </c>
      <c r="K52" s="143">
        <v>125</v>
      </c>
      <c r="L52" s="143">
        <v>86</v>
      </c>
      <c r="W52" s="143" t="s">
        <v>49</v>
      </c>
      <c r="X52" s="143" t="s">
        <v>190</v>
      </c>
      <c r="Y52" s="143" t="s">
        <v>192</v>
      </c>
      <c r="Z52" s="143" t="s">
        <v>190</v>
      </c>
      <c r="AA52" s="143">
        <v>12.3</v>
      </c>
      <c r="AB52" s="170">
        <v>45791</v>
      </c>
    </row>
    <row r="53" spans="1:36">
      <c r="A53" s="143">
        <v>51</v>
      </c>
      <c r="B53" s="144">
        <v>45799</v>
      </c>
      <c r="C53" s="143" t="s">
        <v>193</v>
      </c>
      <c r="D53" s="143" t="s">
        <v>41</v>
      </c>
      <c r="F53" s="143" t="s">
        <v>194</v>
      </c>
      <c r="H53" s="143" t="s">
        <v>195</v>
      </c>
      <c r="I53" s="143" t="s">
        <v>196</v>
      </c>
      <c r="J53" s="143" t="s">
        <v>197</v>
      </c>
      <c r="K53" s="143">
        <v>150</v>
      </c>
      <c r="L53" s="143">
        <v>100</v>
      </c>
      <c r="W53" s="143" t="s">
        <v>49</v>
      </c>
      <c r="X53" s="143" t="s">
        <v>194</v>
      </c>
      <c r="Y53" s="143" t="s">
        <v>49</v>
      </c>
      <c r="Z53" s="143" t="s">
        <v>194</v>
      </c>
      <c r="AA53" s="143">
        <v>6.8</v>
      </c>
      <c r="AB53" s="170">
        <v>45799</v>
      </c>
    </row>
    <row r="54" spans="1:36">
      <c r="A54" s="143">
        <v>52</v>
      </c>
      <c r="B54" s="144">
        <v>45799</v>
      </c>
      <c r="C54" s="143" t="s">
        <v>193</v>
      </c>
      <c r="D54" s="143" t="s">
        <v>41</v>
      </c>
      <c r="F54" s="143" t="s">
        <v>198</v>
      </c>
      <c r="H54" s="143" t="s">
        <v>199</v>
      </c>
      <c r="I54" s="143" t="s">
        <v>45</v>
      </c>
      <c r="J54" s="143" t="s">
        <v>46</v>
      </c>
      <c r="K54" s="143">
        <v>150</v>
      </c>
      <c r="L54" s="143">
        <v>90</v>
      </c>
      <c r="W54" s="143" t="s">
        <v>49</v>
      </c>
      <c r="X54" s="143" t="s">
        <v>198</v>
      </c>
      <c r="Y54" s="169" t="s">
        <v>200</v>
      </c>
      <c r="Z54" s="143" t="s">
        <v>198</v>
      </c>
      <c r="AA54" s="168"/>
      <c r="AB54" s="170"/>
    </row>
    <row r="55" spans="1:36">
      <c r="A55" s="143">
        <v>53</v>
      </c>
      <c r="B55" s="144">
        <v>45799</v>
      </c>
      <c r="C55" s="143" t="s">
        <v>193</v>
      </c>
      <c r="D55" s="143" t="s">
        <v>41</v>
      </c>
      <c r="F55" s="143" t="s">
        <v>201</v>
      </c>
      <c r="H55" s="143" t="s">
        <v>202</v>
      </c>
      <c r="I55" s="143" t="s">
        <v>45</v>
      </c>
      <c r="J55" s="143" t="s">
        <v>46</v>
      </c>
      <c r="K55" s="143">
        <v>150</v>
      </c>
      <c r="L55" s="143">
        <v>55</v>
      </c>
      <c r="W55" s="143" t="s">
        <v>49</v>
      </c>
      <c r="X55" s="143" t="s">
        <v>201</v>
      </c>
      <c r="Y55" s="169" t="s">
        <v>203</v>
      </c>
      <c r="Z55" s="143" t="s">
        <v>201</v>
      </c>
      <c r="AA55" s="168"/>
      <c r="AB55" s="170"/>
    </row>
    <row r="56" spans="1:36">
      <c r="A56" s="143">
        <v>54</v>
      </c>
      <c r="B56" s="144">
        <v>45803</v>
      </c>
      <c r="C56" s="143" t="s">
        <v>193</v>
      </c>
      <c r="D56" s="143" t="s">
        <v>204</v>
      </c>
      <c r="H56" s="143" t="s">
        <v>205</v>
      </c>
      <c r="I56" s="143" t="s">
        <v>45</v>
      </c>
      <c r="J56" s="143" t="s">
        <v>105</v>
      </c>
      <c r="M56" s="143" t="s">
        <v>206</v>
      </c>
      <c r="Q56" s="143" t="s">
        <v>207</v>
      </c>
      <c r="S56" s="146" t="s">
        <v>208</v>
      </c>
      <c r="W56" s="169" t="s">
        <v>209</v>
      </c>
      <c r="X56" s="169" t="s">
        <v>210</v>
      </c>
      <c r="Y56" s="169" t="s">
        <v>209</v>
      </c>
      <c r="Z56" s="169" t="s">
        <v>210</v>
      </c>
      <c r="AB56" s="170"/>
    </row>
    <row r="57" spans="1:36">
      <c r="A57" s="143">
        <v>55</v>
      </c>
      <c r="B57" s="144">
        <v>45803</v>
      </c>
      <c r="C57" s="143" t="s">
        <v>193</v>
      </c>
      <c r="D57" s="143" t="s">
        <v>204</v>
      </c>
      <c r="H57" s="143" t="s">
        <v>211</v>
      </c>
      <c r="I57" s="143" t="s">
        <v>45</v>
      </c>
      <c r="J57" s="143" t="s">
        <v>105</v>
      </c>
      <c r="M57" s="143" t="s">
        <v>206</v>
      </c>
      <c r="Q57" s="169" t="s">
        <v>212</v>
      </c>
      <c r="S57" s="146" t="s">
        <v>208</v>
      </c>
      <c r="W57" s="169" t="s">
        <v>209</v>
      </c>
      <c r="X57" s="143" t="s">
        <v>213</v>
      </c>
      <c r="Y57" s="169" t="s">
        <v>209</v>
      </c>
      <c r="Z57" s="143" t="s">
        <v>213</v>
      </c>
      <c r="AB57" s="170"/>
    </row>
    <row r="58" spans="1:36">
      <c r="A58" s="143">
        <v>56</v>
      </c>
      <c r="B58" s="144">
        <v>45803</v>
      </c>
      <c r="C58" s="143" t="s">
        <v>193</v>
      </c>
      <c r="D58" s="143" t="s">
        <v>204</v>
      </c>
      <c r="H58" s="143" t="s">
        <v>214</v>
      </c>
      <c r="I58" s="143" t="s">
        <v>45</v>
      </c>
      <c r="J58" s="143" t="s">
        <v>105</v>
      </c>
      <c r="M58" s="143" t="s">
        <v>215</v>
      </c>
      <c r="Q58" s="143" t="s">
        <v>207</v>
      </c>
      <c r="S58" s="146" t="s">
        <v>208</v>
      </c>
      <c r="W58" s="169" t="s">
        <v>209</v>
      </c>
      <c r="X58" s="169" t="s">
        <v>210</v>
      </c>
      <c r="Y58" s="169" t="s">
        <v>209</v>
      </c>
      <c r="Z58" s="169" t="s">
        <v>210</v>
      </c>
      <c r="AB58" s="170"/>
    </row>
    <row r="59" spans="1:36">
      <c r="A59" s="143">
        <v>57</v>
      </c>
      <c r="B59" s="144">
        <v>45803</v>
      </c>
      <c r="C59" s="143" t="s">
        <v>193</v>
      </c>
      <c r="D59" s="143" t="s">
        <v>204</v>
      </c>
      <c r="H59" s="143" t="s">
        <v>216</v>
      </c>
      <c r="I59" s="143" t="s">
        <v>45</v>
      </c>
      <c r="J59" s="143" t="s">
        <v>105</v>
      </c>
      <c r="M59" s="143" t="s">
        <v>215</v>
      </c>
      <c r="Q59" s="143" t="s">
        <v>217</v>
      </c>
      <c r="S59" s="146" t="s">
        <v>208</v>
      </c>
      <c r="W59" s="169" t="s">
        <v>209</v>
      </c>
      <c r="X59" s="143" t="s">
        <v>213</v>
      </c>
      <c r="Y59" s="169" t="s">
        <v>209</v>
      </c>
      <c r="Z59" s="143" t="s">
        <v>213</v>
      </c>
      <c r="AB59" s="170"/>
    </row>
    <row r="60" spans="1:36">
      <c r="A60" s="143">
        <v>58</v>
      </c>
      <c r="B60" s="144">
        <v>45803</v>
      </c>
      <c r="C60" s="143" t="s">
        <v>40</v>
      </c>
      <c r="D60" s="143" t="s">
        <v>41</v>
      </c>
      <c r="F60" s="143" t="s">
        <v>218</v>
      </c>
      <c r="H60" s="143" t="s">
        <v>219</v>
      </c>
      <c r="I60" s="143" t="s">
        <v>126</v>
      </c>
      <c r="J60" s="143" t="s">
        <v>127</v>
      </c>
      <c r="K60" s="143">
        <v>135</v>
      </c>
      <c r="L60" s="143">
        <v>210</v>
      </c>
      <c r="W60" s="143" t="s">
        <v>49</v>
      </c>
      <c r="X60" s="143" t="s">
        <v>218</v>
      </c>
      <c r="Y60" s="143" t="s">
        <v>220</v>
      </c>
      <c r="Z60" s="143" t="s">
        <v>218</v>
      </c>
      <c r="AA60" s="143">
        <v>23.5</v>
      </c>
      <c r="AB60" s="170">
        <v>45803</v>
      </c>
    </row>
    <row r="61" spans="1:36">
      <c r="A61" s="143">
        <v>59</v>
      </c>
      <c r="B61" s="144">
        <v>45803</v>
      </c>
      <c r="C61" s="143" t="s">
        <v>40</v>
      </c>
      <c r="D61" s="143" t="s">
        <v>41</v>
      </c>
      <c r="F61" s="143" t="s">
        <v>221</v>
      </c>
      <c r="H61" s="143" t="s">
        <v>222</v>
      </c>
      <c r="I61" s="143" t="s">
        <v>223</v>
      </c>
      <c r="J61" s="143" t="s">
        <v>224</v>
      </c>
      <c r="K61" s="143">
        <v>185</v>
      </c>
      <c r="L61" s="143">
        <v>210</v>
      </c>
      <c r="W61" s="143" t="s">
        <v>49</v>
      </c>
      <c r="X61" s="143" t="s">
        <v>221</v>
      </c>
      <c r="Y61" s="143" t="s">
        <v>225</v>
      </c>
      <c r="Z61" s="143" t="s">
        <v>221</v>
      </c>
      <c r="AA61" s="143">
        <v>26.5</v>
      </c>
      <c r="AB61" s="170">
        <v>45803</v>
      </c>
    </row>
    <row r="62" spans="1:36">
      <c r="A62" s="143">
        <v>60</v>
      </c>
      <c r="B62" s="144">
        <v>45803</v>
      </c>
      <c r="C62" s="143" t="s">
        <v>40</v>
      </c>
      <c r="D62" s="143" t="s">
        <v>41</v>
      </c>
      <c r="F62" s="270" t="s">
        <v>226</v>
      </c>
      <c r="H62" s="143" t="s">
        <v>227</v>
      </c>
      <c r="I62" s="143" t="s">
        <v>126</v>
      </c>
      <c r="J62" s="143" t="s">
        <v>127</v>
      </c>
      <c r="K62" s="143">
        <v>190</v>
      </c>
      <c r="L62" s="143">
        <v>240</v>
      </c>
      <c r="W62" s="143" t="s">
        <v>49</v>
      </c>
      <c r="X62" s="270" t="s">
        <v>226</v>
      </c>
      <c r="Y62" s="143" t="s">
        <v>225</v>
      </c>
      <c r="Z62" s="270" t="s">
        <v>226</v>
      </c>
      <c r="AA62" s="143">
        <v>27.5</v>
      </c>
      <c r="AB62" s="170">
        <v>45804</v>
      </c>
    </row>
    <row r="63" spans="1:36">
      <c r="A63" s="143">
        <v>61</v>
      </c>
      <c r="B63" s="144">
        <v>45803</v>
      </c>
      <c r="C63" s="143" t="s">
        <v>40</v>
      </c>
      <c r="D63" s="143" t="s">
        <v>41</v>
      </c>
      <c r="F63" s="143">
        <v>2092</v>
      </c>
      <c r="H63" s="143" t="s">
        <v>228</v>
      </c>
      <c r="I63" s="143" t="s">
        <v>45</v>
      </c>
      <c r="J63" s="143" t="s">
        <v>46</v>
      </c>
      <c r="K63" s="143">
        <v>170</v>
      </c>
      <c r="L63" s="143">
        <v>180</v>
      </c>
      <c r="W63" s="143" t="s">
        <v>49</v>
      </c>
      <c r="X63" s="143">
        <v>2092</v>
      </c>
      <c r="Y63" s="143" t="s">
        <v>225</v>
      </c>
      <c r="Z63" s="143">
        <v>2092</v>
      </c>
      <c r="AA63" s="143">
        <v>19.5</v>
      </c>
      <c r="AB63" s="170">
        <v>45804</v>
      </c>
    </row>
    <row r="64" spans="1:36">
      <c r="A64" s="143">
        <v>62</v>
      </c>
      <c r="C64" s="143" t="s">
        <v>193</v>
      </c>
      <c r="D64" s="143" t="s">
        <v>229</v>
      </c>
      <c r="H64" s="152" t="s">
        <v>230</v>
      </c>
      <c r="I64" s="143" t="s">
        <v>45</v>
      </c>
      <c r="J64" s="143" t="s">
        <v>105</v>
      </c>
      <c r="K64" s="143">
        <v>150</v>
      </c>
      <c r="L64" s="143">
        <v>109</v>
      </c>
      <c r="W64" s="143" t="s">
        <v>49</v>
      </c>
      <c r="X64" s="143" t="s">
        <v>231</v>
      </c>
      <c r="Y64" s="169" t="s">
        <v>232</v>
      </c>
      <c r="Z64" s="143" t="s">
        <v>231</v>
      </c>
      <c r="AA64" s="143">
        <v>34</v>
      </c>
      <c r="AB64" s="170">
        <v>46043</v>
      </c>
      <c r="AG64" s="143" t="s">
        <v>233</v>
      </c>
      <c r="AJ64" s="143" t="s">
        <v>234</v>
      </c>
    </row>
    <row r="65" spans="1:36">
      <c r="A65" s="143">
        <v>63</v>
      </c>
      <c r="B65" s="144">
        <v>45804</v>
      </c>
      <c r="C65" s="143" t="s">
        <v>40</v>
      </c>
      <c r="D65" s="143" t="s">
        <v>41</v>
      </c>
      <c r="F65" s="143">
        <v>2093</v>
      </c>
      <c r="H65" s="143" t="s">
        <v>235</v>
      </c>
      <c r="I65" s="143" t="s">
        <v>126</v>
      </c>
      <c r="J65" s="143" t="s">
        <v>127</v>
      </c>
      <c r="K65" s="143">
        <v>145</v>
      </c>
      <c r="L65" s="143">
        <v>119</v>
      </c>
      <c r="W65" s="143" t="s">
        <v>49</v>
      </c>
      <c r="X65" s="143">
        <v>2093</v>
      </c>
      <c r="Y65" s="143" t="s">
        <v>236</v>
      </c>
      <c r="Z65" s="143">
        <v>2093</v>
      </c>
      <c r="AA65" s="143">
        <v>20.5</v>
      </c>
      <c r="AB65" s="170">
        <v>45804</v>
      </c>
    </row>
    <row r="66" spans="1:36">
      <c r="A66" s="143">
        <v>64</v>
      </c>
      <c r="B66" s="144">
        <v>45804</v>
      </c>
      <c r="C66" s="143" t="s">
        <v>40</v>
      </c>
      <c r="D66" s="143" t="s">
        <v>41</v>
      </c>
      <c r="F66" s="143" t="s">
        <v>237</v>
      </c>
      <c r="H66" s="143" t="s">
        <v>238</v>
      </c>
      <c r="I66" s="143" t="s">
        <v>126</v>
      </c>
      <c r="J66" s="143" t="s">
        <v>127</v>
      </c>
      <c r="K66" s="143">
        <v>145</v>
      </c>
      <c r="L66" s="143">
        <v>176</v>
      </c>
      <c r="W66" s="143" t="s">
        <v>49</v>
      </c>
      <c r="X66" s="143" t="s">
        <v>237</v>
      </c>
      <c r="Y66" s="143" t="s">
        <v>236</v>
      </c>
      <c r="Z66" s="143" t="s">
        <v>237</v>
      </c>
      <c r="AA66" s="143">
        <v>22.5</v>
      </c>
      <c r="AB66" s="170">
        <v>45804</v>
      </c>
    </row>
    <row r="67" spans="1:36">
      <c r="A67" s="143">
        <v>65</v>
      </c>
      <c r="B67" s="144">
        <v>45804</v>
      </c>
      <c r="C67" s="143" t="s">
        <v>40</v>
      </c>
      <c r="D67" s="143" t="s">
        <v>41</v>
      </c>
      <c r="F67" s="171" t="s">
        <v>239</v>
      </c>
      <c r="G67" s="171"/>
      <c r="H67" s="143" t="s">
        <v>240</v>
      </c>
      <c r="I67" s="143" t="s">
        <v>126</v>
      </c>
      <c r="J67" s="143" t="s">
        <v>127</v>
      </c>
      <c r="K67" s="143">
        <v>145</v>
      </c>
      <c r="L67" s="143">
        <v>240</v>
      </c>
      <c r="W67" s="143" t="s">
        <v>49</v>
      </c>
      <c r="X67" s="143">
        <v>21012</v>
      </c>
      <c r="Y67" s="143" t="s">
        <v>241</v>
      </c>
      <c r="Z67" s="143">
        <v>21012</v>
      </c>
      <c r="AA67" s="143">
        <v>19</v>
      </c>
      <c r="AB67" s="170">
        <v>45804</v>
      </c>
    </row>
    <row r="68" spans="1:36">
      <c r="A68" s="143">
        <v>66</v>
      </c>
      <c r="B68" s="144">
        <v>45804</v>
      </c>
      <c r="C68" s="143" t="s">
        <v>40</v>
      </c>
      <c r="D68" s="143" t="s">
        <v>41</v>
      </c>
      <c r="F68" s="171" t="s">
        <v>242</v>
      </c>
      <c r="G68" s="171"/>
      <c r="H68" s="143" t="s">
        <v>243</v>
      </c>
      <c r="I68" s="143" t="s">
        <v>126</v>
      </c>
      <c r="J68" s="143" t="s">
        <v>127</v>
      </c>
      <c r="K68" s="143">
        <v>145</v>
      </c>
      <c r="L68" s="143">
        <v>240</v>
      </c>
      <c r="W68" s="143" t="s">
        <v>49</v>
      </c>
      <c r="X68" s="143">
        <v>21004</v>
      </c>
      <c r="Y68" s="143" t="s">
        <v>241</v>
      </c>
      <c r="Z68" s="143">
        <v>21004</v>
      </c>
      <c r="AA68" s="143">
        <v>19</v>
      </c>
      <c r="AB68" s="170">
        <v>45804</v>
      </c>
    </row>
    <row r="69" spans="1:36">
      <c r="A69" s="143">
        <v>67</v>
      </c>
      <c r="B69" s="144">
        <v>45804</v>
      </c>
      <c r="C69" s="143" t="s">
        <v>40</v>
      </c>
      <c r="D69" s="143" t="s">
        <v>41</v>
      </c>
      <c r="F69" s="171" t="s">
        <v>244</v>
      </c>
      <c r="G69" s="171"/>
      <c r="H69" s="143" t="s">
        <v>245</v>
      </c>
      <c r="I69" s="143" t="s">
        <v>126</v>
      </c>
      <c r="J69" s="143" t="s">
        <v>127</v>
      </c>
      <c r="K69" s="143">
        <v>145</v>
      </c>
      <c r="L69" s="143">
        <v>240</v>
      </c>
      <c r="W69" s="143" t="s">
        <v>49</v>
      </c>
      <c r="X69" s="143">
        <v>212017</v>
      </c>
      <c r="Y69" s="143" t="s">
        <v>241</v>
      </c>
      <c r="Z69" s="143">
        <v>212017</v>
      </c>
      <c r="AA69" s="143">
        <v>19</v>
      </c>
      <c r="AB69" s="170">
        <v>45804</v>
      </c>
    </row>
    <row r="70" ht="15" spans="1:36">
      <c r="A70" s="143">
        <v>68</v>
      </c>
      <c r="C70" s="143" t="s">
        <v>193</v>
      </c>
      <c r="D70" s="143" t="s">
        <v>229</v>
      </c>
      <c r="H70" s="172" t="s">
        <v>246</v>
      </c>
      <c r="I70" s="143" t="s">
        <v>45</v>
      </c>
      <c r="J70" s="143" t="s">
        <v>105</v>
      </c>
      <c r="K70" s="143">
        <v>145</v>
      </c>
      <c r="L70" s="143">
        <v>360</v>
      </c>
      <c r="W70" s="143" t="s">
        <v>49</v>
      </c>
      <c r="X70" s="143" t="s">
        <v>247</v>
      </c>
      <c r="Y70" s="143" t="s">
        <v>248</v>
      </c>
      <c r="Z70" s="143" t="s">
        <v>247</v>
      </c>
      <c r="AA70" s="173">
        <v>29</v>
      </c>
      <c r="AB70" s="170">
        <v>46104</v>
      </c>
      <c r="AG70" s="143" t="s">
        <v>249</v>
      </c>
      <c r="AH70" s="143" t="s">
        <v>250</v>
      </c>
      <c r="AJ70" s="143" t="s">
        <v>251</v>
      </c>
    </row>
    <row r="71" ht="15" spans="1:36">
      <c r="A71" s="143">
        <v>69</v>
      </c>
      <c r="C71" s="143" t="s">
        <v>193</v>
      </c>
      <c r="D71" s="143" t="s">
        <v>229</v>
      </c>
      <c r="H71" s="172" t="s">
        <v>252</v>
      </c>
      <c r="I71" s="143" t="s">
        <v>45</v>
      </c>
      <c r="J71" s="143" t="s">
        <v>105</v>
      </c>
      <c r="K71" s="143">
        <v>145</v>
      </c>
      <c r="L71" s="143">
        <v>255</v>
      </c>
      <c r="W71" s="143" t="s">
        <v>49</v>
      </c>
      <c r="X71" s="143" t="s">
        <v>253</v>
      </c>
      <c r="Y71" s="143" t="s">
        <v>248</v>
      </c>
      <c r="Z71" s="143" t="s">
        <v>253</v>
      </c>
      <c r="AA71" s="173">
        <v>25.4</v>
      </c>
      <c r="AB71" s="170">
        <v>46104</v>
      </c>
      <c r="AG71" s="143" t="s">
        <v>249</v>
      </c>
      <c r="AH71" s="143" t="s">
        <v>250</v>
      </c>
      <c r="AJ71" s="143" t="s">
        <v>254</v>
      </c>
    </row>
    <row r="72" spans="1:36">
      <c r="A72" s="143">
        <v>70</v>
      </c>
      <c r="C72" s="143" t="s">
        <v>193</v>
      </c>
      <c r="D72" s="143" t="s">
        <v>229</v>
      </c>
      <c r="H72" s="152" t="s">
        <v>255</v>
      </c>
      <c r="I72" s="143" t="s">
        <v>45</v>
      </c>
      <c r="J72" s="143" t="s">
        <v>105</v>
      </c>
      <c r="K72" s="143">
        <v>145</v>
      </c>
      <c r="W72" s="143" t="s">
        <v>49</v>
      </c>
      <c r="X72" s="143" t="s">
        <v>256</v>
      </c>
      <c r="Y72" s="143" t="s">
        <v>248</v>
      </c>
      <c r="Z72" s="143" t="s">
        <v>256</v>
      </c>
      <c r="AB72" s="170"/>
      <c r="AG72" s="143" t="s">
        <v>249</v>
      </c>
      <c r="AJ72" s="143" t="s">
        <v>251</v>
      </c>
    </row>
    <row r="73" spans="1:36">
      <c r="A73" s="143">
        <v>71</v>
      </c>
      <c r="C73" s="143" t="s">
        <v>193</v>
      </c>
      <c r="D73" s="143" t="s">
        <v>229</v>
      </c>
      <c r="H73" s="152" t="s">
        <v>257</v>
      </c>
      <c r="I73" s="143" t="s">
        <v>45</v>
      </c>
      <c r="J73" s="143" t="s">
        <v>105</v>
      </c>
      <c r="K73" s="143">
        <v>145</v>
      </c>
      <c r="L73" s="143">
        <v>240</v>
      </c>
      <c r="W73" s="143" t="s">
        <v>49</v>
      </c>
      <c r="X73" s="143" t="s">
        <v>258</v>
      </c>
      <c r="Y73" s="143" t="s">
        <v>248</v>
      </c>
      <c r="Z73" s="143" t="s">
        <v>258</v>
      </c>
      <c r="AA73" s="143">
        <v>25.5</v>
      </c>
      <c r="AB73" s="170">
        <v>45861</v>
      </c>
      <c r="AG73" s="143" t="s">
        <v>249</v>
      </c>
      <c r="AH73" s="143" t="s">
        <v>259</v>
      </c>
      <c r="AJ73" s="143" t="s">
        <v>251</v>
      </c>
    </row>
    <row r="74" ht="15" spans="1:36">
      <c r="A74" s="143">
        <v>72</v>
      </c>
      <c r="C74" s="143" t="s">
        <v>193</v>
      </c>
      <c r="D74" s="143" t="s">
        <v>229</v>
      </c>
      <c r="H74" s="172" t="s">
        <v>260</v>
      </c>
      <c r="I74" s="143" t="s">
        <v>261</v>
      </c>
      <c r="J74" s="143" t="s">
        <v>262</v>
      </c>
      <c r="K74" s="143">
        <v>145</v>
      </c>
      <c r="L74" s="143">
        <v>220</v>
      </c>
      <c r="W74" s="143" t="s">
        <v>49</v>
      </c>
      <c r="X74" s="143" t="s">
        <v>263</v>
      </c>
      <c r="Y74" s="143" t="s">
        <v>248</v>
      </c>
      <c r="Z74" s="143" t="s">
        <v>263</v>
      </c>
      <c r="AA74" s="173">
        <v>25.4</v>
      </c>
      <c r="AB74" s="170">
        <v>46104</v>
      </c>
      <c r="AG74" s="143" t="s">
        <v>249</v>
      </c>
      <c r="AH74" s="143" t="s">
        <v>250</v>
      </c>
      <c r="AJ74" s="143" t="s">
        <v>251</v>
      </c>
    </row>
    <row r="75" ht="15" spans="1:36">
      <c r="A75" s="143">
        <v>73</v>
      </c>
      <c r="C75" s="143" t="s">
        <v>193</v>
      </c>
      <c r="D75" s="143" t="s">
        <v>229</v>
      </c>
      <c r="H75" s="172" t="s">
        <v>264</v>
      </c>
      <c r="I75" s="143" t="s">
        <v>265</v>
      </c>
      <c r="J75" s="143" t="s">
        <v>266</v>
      </c>
      <c r="K75" s="143">
        <v>135</v>
      </c>
      <c r="L75" s="143">
        <v>190</v>
      </c>
      <c r="Q75" s="143">
        <v>3.9</v>
      </c>
      <c r="W75" s="143" t="s">
        <v>49</v>
      </c>
      <c r="X75" s="143" t="s">
        <v>267</v>
      </c>
      <c r="Y75" s="143" t="s">
        <v>268</v>
      </c>
      <c r="Z75" s="143" t="s">
        <v>267</v>
      </c>
      <c r="AA75" s="173">
        <v>90</v>
      </c>
      <c r="AB75" s="170">
        <v>46104</v>
      </c>
      <c r="AG75" s="143" t="s">
        <v>269</v>
      </c>
      <c r="AH75" s="143" t="s">
        <v>250</v>
      </c>
      <c r="AJ75" s="143" t="s">
        <v>270</v>
      </c>
    </row>
    <row r="76" ht="15" spans="1:36">
      <c r="A76" s="143">
        <v>74</v>
      </c>
      <c r="C76" s="143" t="s">
        <v>193</v>
      </c>
      <c r="D76" s="143" t="s">
        <v>229</v>
      </c>
      <c r="H76" s="172" t="s">
        <v>271</v>
      </c>
      <c r="I76" s="143" t="s">
        <v>93</v>
      </c>
      <c r="J76" s="143" t="s">
        <v>272</v>
      </c>
      <c r="K76" s="143">
        <v>145</v>
      </c>
      <c r="L76" s="143">
        <v>180</v>
      </c>
      <c r="W76" s="143" t="s">
        <v>49</v>
      </c>
      <c r="X76" s="143">
        <v>88467</v>
      </c>
      <c r="Y76" s="143" t="s">
        <v>273</v>
      </c>
      <c r="Z76" s="143">
        <v>88467</v>
      </c>
      <c r="AA76" s="173"/>
      <c r="AB76" s="170">
        <v>46104</v>
      </c>
      <c r="AG76" s="143" t="s">
        <v>274</v>
      </c>
      <c r="AH76" s="143" t="s">
        <v>250</v>
      </c>
      <c r="AJ76" s="143" t="s">
        <v>275</v>
      </c>
    </row>
    <row r="77" spans="1:36">
      <c r="A77" s="143">
        <v>75</v>
      </c>
      <c r="C77" s="143" t="s">
        <v>193</v>
      </c>
      <c r="D77" s="143" t="s">
        <v>229</v>
      </c>
      <c r="H77" s="152" t="s">
        <v>276</v>
      </c>
      <c r="I77" s="143" t="s">
        <v>265</v>
      </c>
      <c r="J77" s="143" t="s">
        <v>266</v>
      </c>
      <c r="K77" s="143">
        <v>150</v>
      </c>
      <c r="L77" s="143">
        <v>160</v>
      </c>
      <c r="W77" s="143" t="s">
        <v>49</v>
      </c>
      <c r="X77" s="143" t="s">
        <v>277</v>
      </c>
      <c r="Y77" s="143" t="s">
        <v>278</v>
      </c>
      <c r="Z77" s="143" t="s">
        <v>277</v>
      </c>
      <c r="AB77" s="170"/>
      <c r="AG77" s="143" t="s">
        <v>274</v>
      </c>
      <c r="AJ77" s="143" t="s">
        <v>275</v>
      </c>
    </row>
    <row r="78" spans="1:36">
      <c r="A78" s="143">
        <v>76</v>
      </c>
      <c r="B78" s="144">
        <v>45769</v>
      </c>
      <c r="C78" s="143" t="s">
        <v>40</v>
      </c>
      <c r="D78" s="143" t="s">
        <v>90</v>
      </c>
      <c r="F78" s="143" t="s">
        <v>279</v>
      </c>
      <c r="H78" s="143" t="s">
        <v>280</v>
      </c>
      <c r="I78" s="143" t="s">
        <v>281</v>
      </c>
      <c r="J78" s="143" t="s">
        <v>282</v>
      </c>
      <c r="K78" s="143">
        <v>140</v>
      </c>
      <c r="O78" s="143" t="s">
        <v>283</v>
      </c>
      <c r="P78" s="143" t="s">
        <v>284</v>
      </c>
      <c r="Q78" s="143" t="s">
        <v>285</v>
      </c>
      <c r="W78" s="143" t="s">
        <v>286</v>
      </c>
      <c r="X78" s="143" t="s">
        <v>287</v>
      </c>
      <c r="Y78" s="143" t="s">
        <v>286</v>
      </c>
      <c r="Z78" s="143" t="s">
        <v>287</v>
      </c>
      <c r="AA78" s="143" t="s">
        <v>288</v>
      </c>
      <c r="AB78" s="170">
        <v>45769</v>
      </c>
      <c r="AG78" s="143" t="s">
        <v>96</v>
      </c>
    </row>
    <row r="79" spans="1:36">
      <c r="A79" s="143">
        <v>77</v>
      </c>
      <c r="B79" s="144">
        <v>45800</v>
      </c>
      <c r="C79" s="143" t="s">
        <v>40</v>
      </c>
      <c r="D79" s="143" t="s">
        <v>41</v>
      </c>
      <c r="F79" s="143" t="s">
        <v>289</v>
      </c>
      <c r="H79" s="143" t="s">
        <v>290</v>
      </c>
      <c r="I79" s="143" t="s">
        <v>281</v>
      </c>
      <c r="J79" s="143" t="s">
        <v>282</v>
      </c>
      <c r="K79" s="143">
        <v>150</v>
      </c>
      <c r="L79" s="143">
        <v>100</v>
      </c>
      <c r="Q79" s="143" t="s">
        <v>291</v>
      </c>
      <c r="W79" s="143" t="s">
        <v>292</v>
      </c>
      <c r="X79" s="143" t="s">
        <v>293</v>
      </c>
      <c r="Y79" s="143" t="s">
        <v>294</v>
      </c>
      <c r="Z79" s="143" t="s">
        <v>295</v>
      </c>
      <c r="AA79" s="143">
        <v>6.3</v>
      </c>
      <c r="AB79" s="170"/>
      <c r="AH79" s="169" t="s">
        <v>296</v>
      </c>
    </row>
    <row r="80" spans="1:36">
      <c r="A80" s="143">
        <v>78</v>
      </c>
      <c r="C80" s="143" t="s">
        <v>193</v>
      </c>
      <c r="D80" s="143" t="s">
        <v>229</v>
      </c>
      <c r="H80" s="152" t="s">
        <v>297</v>
      </c>
      <c r="I80" s="143" t="s">
        <v>298</v>
      </c>
      <c r="J80" s="143" t="s">
        <v>299</v>
      </c>
      <c r="K80" s="143">
        <v>145</v>
      </c>
      <c r="W80" s="143" t="s">
        <v>49</v>
      </c>
      <c r="X80" s="143">
        <v>640</v>
      </c>
      <c r="Y80" s="143" t="s">
        <v>300</v>
      </c>
      <c r="Z80" s="143">
        <v>640</v>
      </c>
      <c r="AB80" s="170"/>
      <c r="AG80" s="143" t="s">
        <v>301</v>
      </c>
      <c r="AJ80" s="143" t="s">
        <v>302</v>
      </c>
    </row>
    <row r="81" spans="1:39">
      <c r="A81" s="143">
        <v>79</v>
      </c>
      <c r="C81" s="143" t="s">
        <v>193</v>
      </c>
      <c r="D81" s="143" t="s">
        <v>229</v>
      </c>
      <c r="H81" s="152" t="s">
        <v>303</v>
      </c>
      <c r="I81" s="143" t="s">
        <v>281</v>
      </c>
      <c r="J81" s="143" t="s">
        <v>304</v>
      </c>
      <c r="K81" s="143">
        <v>145</v>
      </c>
      <c r="W81" s="143" t="s">
        <v>49</v>
      </c>
      <c r="X81" s="143">
        <v>764</v>
      </c>
      <c r="Y81" s="143" t="s">
        <v>300</v>
      </c>
      <c r="Z81" s="143">
        <v>764</v>
      </c>
      <c r="AB81" s="170"/>
      <c r="AG81" s="143" t="s">
        <v>233</v>
      </c>
      <c r="AJ81" s="143" t="s">
        <v>305</v>
      </c>
    </row>
    <row r="82" spans="1:39">
      <c r="A82" s="143">
        <v>80</v>
      </c>
      <c r="C82" s="143" t="s">
        <v>193</v>
      </c>
      <c r="D82" s="143" t="s">
        <v>229</v>
      </c>
      <c r="H82" s="152" t="s">
        <v>306</v>
      </c>
      <c r="I82" s="143" t="s">
        <v>281</v>
      </c>
      <c r="J82" s="143" t="s">
        <v>304</v>
      </c>
      <c r="K82" s="143">
        <v>145</v>
      </c>
      <c r="W82" s="143" t="s">
        <v>49</v>
      </c>
      <c r="X82" s="143">
        <v>468</v>
      </c>
      <c r="Y82" s="143" t="s">
        <v>300</v>
      </c>
      <c r="Z82" s="143">
        <v>468</v>
      </c>
      <c r="AB82" s="170"/>
      <c r="AG82" s="143" t="s">
        <v>233</v>
      </c>
      <c r="AJ82" s="143" t="s">
        <v>234</v>
      </c>
    </row>
    <row r="83" spans="1:39">
      <c r="A83" s="143">
        <v>81</v>
      </c>
      <c r="C83" s="143" t="s">
        <v>193</v>
      </c>
      <c r="D83" s="143" t="s">
        <v>229</v>
      </c>
      <c r="H83" s="152" t="s">
        <v>307</v>
      </c>
      <c r="I83" s="143" t="s">
        <v>308</v>
      </c>
      <c r="J83" s="143" t="s">
        <v>309</v>
      </c>
      <c r="K83" s="143">
        <v>145</v>
      </c>
      <c r="W83" s="143" t="s">
        <v>49</v>
      </c>
      <c r="X83" s="143" t="s">
        <v>310</v>
      </c>
      <c r="Y83" s="143" t="s">
        <v>311</v>
      </c>
      <c r="Z83" s="143" t="s">
        <v>310</v>
      </c>
      <c r="AB83" s="170"/>
      <c r="AG83" s="143" t="s">
        <v>312</v>
      </c>
      <c r="AJ83" s="143" t="s">
        <v>313</v>
      </c>
    </row>
    <row r="84" spans="1:39">
      <c r="A84" s="143">
        <v>82</v>
      </c>
      <c r="B84" s="144">
        <v>45765</v>
      </c>
      <c r="C84" s="143" t="s">
        <v>40</v>
      </c>
      <c r="D84" s="143" t="s">
        <v>41</v>
      </c>
      <c r="F84" s="143">
        <v>6017</v>
      </c>
      <c r="H84" s="143" t="s">
        <v>314</v>
      </c>
      <c r="I84" s="143" t="s">
        <v>315</v>
      </c>
      <c r="J84" s="143" t="s">
        <v>316</v>
      </c>
      <c r="K84" s="143">
        <v>165</v>
      </c>
      <c r="L84" s="143">
        <v>200</v>
      </c>
      <c r="O84" s="143" t="s">
        <v>47</v>
      </c>
      <c r="P84" s="143" t="s">
        <v>48</v>
      </c>
      <c r="W84" s="143" t="s">
        <v>49</v>
      </c>
      <c r="X84" s="143">
        <v>6017</v>
      </c>
      <c r="Y84" s="143" t="s">
        <v>49</v>
      </c>
      <c r="Z84" s="143">
        <v>6017</v>
      </c>
      <c r="AA84" s="143">
        <v>45.5</v>
      </c>
      <c r="AB84" s="170">
        <v>45764</v>
      </c>
      <c r="AG84" s="143" t="s">
        <v>96</v>
      </c>
      <c r="AM84" s="143" t="s">
        <v>53</v>
      </c>
    </row>
    <row r="85" spans="1:39">
      <c r="A85" s="143">
        <v>83</v>
      </c>
      <c r="B85" s="144">
        <v>45765</v>
      </c>
      <c r="C85" s="143" t="s">
        <v>40</v>
      </c>
      <c r="D85" s="143" t="s">
        <v>41</v>
      </c>
      <c r="F85" s="143" t="s">
        <v>317</v>
      </c>
      <c r="H85" s="143" t="s">
        <v>318</v>
      </c>
      <c r="I85" s="143" t="s">
        <v>319</v>
      </c>
      <c r="J85" s="143" t="s">
        <v>320</v>
      </c>
      <c r="K85" s="143">
        <v>165</v>
      </c>
      <c r="L85" s="143">
        <v>200</v>
      </c>
      <c r="O85" s="143" t="s">
        <v>47</v>
      </c>
      <c r="P85" s="143" t="s">
        <v>48</v>
      </c>
      <c r="W85" s="143" t="s">
        <v>49</v>
      </c>
      <c r="X85" s="143" t="s">
        <v>317</v>
      </c>
      <c r="Y85" s="143" t="s">
        <v>49</v>
      </c>
      <c r="Z85" s="143" t="s">
        <v>317</v>
      </c>
      <c r="AA85" s="143">
        <v>43.2</v>
      </c>
      <c r="AB85" s="170">
        <v>45764</v>
      </c>
      <c r="AG85" s="143" t="s">
        <v>96</v>
      </c>
      <c r="AM85" s="143" t="s">
        <v>53</v>
      </c>
    </row>
    <row r="86" spans="1:39">
      <c r="A86" s="143">
        <v>84</v>
      </c>
      <c r="B86" s="144">
        <v>45766</v>
      </c>
      <c r="C86" s="143" t="s">
        <v>40</v>
      </c>
      <c r="D86" s="143" t="s">
        <v>41</v>
      </c>
      <c r="E86" s="145" t="s">
        <v>321</v>
      </c>
      <c r="F86" s="143" t="s">
        <v>322</v>
      </c>
      <c r="H86" s="143" t="s">
        <v>323</v>
      </c>
      <c r="I86" s="143" t="s">
        <v>324</v>
      </c>
      <c r="J86" s="143" t="s">
        <v>325</v>
      </c>
      <c r="K86" s="143">
        <v>148</v>
      </c>
      <c r="L86" s="143">
        <v>70</v>
      </c>
      <c r="O86" s="143" t="s">
        <v>47</v>
      </c>
      <c r="P86" s="143" t="s">
        <v>48</v>
      </c>
      <c r="W86" s="143" t="s">
        <v>49</v>
      </c>
      <c r="X86" s="143" t="s">
        <v>326</v>
      </c>
      <c r="Y86" s="143" t="s">
        <v>327</v>
      </c>
      <c r="Z86" s="143" t="s">
        <v>326</v>
      </c>
      <c r="AA86" s="143">
        <v>9.2</v>
      </c>
      <c r="AB86" s="170">
        <v>45766</v>
      </c>
      <c r="AG86" s="143" t="s">
        <v>96</v>
      </c>
      <c r="AM86" s="143" t="s">
        <v>53</v>
      </c>
    </row>
    <row r="87" spans="1:39">
      <c r="A87" s="143">
        <v>85</v>
      </c>
      <c r="B87" s="144">
        <v>45769</v>
      </c>
      <c r="C87" s="143" t="s">
        <v>40</v>
      </c>
      <c r="D87" s="143" t="s">
        <v>90</v>
      </c>
      <c r="F87" s="143" t="s">
        <v>328</v>
      </c>
      <c r="H87" s="143" t="s">
        <v>329</v>
      </c>
      <c r="I87" s="143" t="s">
        <v>324</v>
      </c>
      <c r="J87" s="143" t="s">
        <v>330</v>
      </c>
      <c r="K87" s="143">
        <v>148</v>
      </c>
      <c r="O87" s="143" t="s">
        <v>283</v>
      </c>
      <c r="P87" s="143" t="s">
        <v>331</v>
      </c>
      <c r="Q87" s="143" t="s">
        <v>332</v>
      </c>
      <c r="W87" s="143" t="s">
        <v>286</v>
      </c>
      <c r="X87" s="143" t="s">
        <v>333</v>
      </c>
      <c r="Y87" s="143" t="s">
        <v>286</v>
      </c>
      <c r="Z87" s="143" t="s">
        <v>333</v>
      </c>
      <c r="AA87" s="143" t="s">
        <v>334</v>
      </c>
      <c r="AB87" s="170">
        <v>45769</v>
      </c>
      <c r="AG87" s="143" t="s">
        <v>96</v>
      </c>
    </row>
    <row r="88" spans="1:39">
      <c r="A88" s="143">
        <v>86</v>
      </c>
      <c r="B88" s="144">
        <v>45769</v>
      </c>
      <c r="C88" s="143" t="s">
        <v>40</v>
      </c>
      <c r="D88" s="143" t="s">
        <v>90</v>
      </c>
      <c r="F88" s="143" t="s">
        <v>335</v>
      </c>
      <c r="H88" s="143" t="s">
        <v>336</v>
      </c>
      <c r="I88" s="143" t="s">
        <v>324</v>
      </c>
      <c r="J88" s="143" t="s">
        <v>330</v>
      </c>
      <c r="K88" s="143">
        <v>150</v>
      </c>
      <c r="O88" s="143" t="s">
        <v>337</v>
      </c>
      <c r="P88" s="143" t="s">
        <v>337</v>
      </c>
      <c r="Q88" s="143" t="s">
        <v>338</v>
      </c>
      <c r="W88" s="143" t="s">
        <v>286</v>
      </c>
      <c r="X88" s="143" t="s">
        <v>339</v>
      </c>
      <c r="Y88" s="143" t="s">
        <v>286</v>
      </c>
      <c r="Z88" s="143" t="s">
        <v>339</v>
      </c>
      <c r="AA88" s="143" t="s">
        <v>340</v>
      </c>
      <c r="AB88" s="170">
        <v>45769</v>
      </c>
      <c r="AG88" s="143" t="s">
        <v>96</v>
      </c>
    </row>
    <row r="89" spans="1:39">
      <c r="A89" s="143">
        <v>87</v>
      </c>
      <c r="B89" s="144">
        <v>45769</v>
      </c>
      <c r="C89" s="143" t="s">
        <v>40</v>
      </c>
      <c r="D89" s="143" t="s">
        <v>90</v>
      </c>
      <c r="F89" s="143" t="s">
        <v>341</v>
      </c>
      <c r="H89" s="143" t="s">
        <v>342</v>
      </c>
      <c r="I89" s="143" t="s">
        <v>324</v>
      </c>
      <c r="J89" s="143" t="s">
        <v>330</v>
      </c>
      <c r="K89" s="143">
        <v>148</v>
      </c>
      <c r="O89" s="143" t="s">
        <v>343</v>
      </c>
      <c r="P89" s="143" t="s">
        <v>344</v>
      </c>
      <c r="Q89" s="143" t="s">
        <v>345</v>
      </c>
      <c r="W89" s="143" t="s">
        <v>286</v>
      </c>
      <c r="X89" s="143" t="s">
        <v>346</v>
      </c>
      <c r="Y89" s="143" t="s">
        <v>286</v>
      </c>
      <c r="Z89" s="143" t="s">
        <v>346</v>
      </c>
      <c r="AA89" s="143" t="s">
        <v>347</v>
      </c>
      <c r="AB89" s="170">
        <v>45769</v>
      </c>
      <c r="AG89" s="143" t="s">
        <v>96</v>
      </c>
    </row>
    <row r="90" spans="1:39">
      <c r="A90" s="143">
        <v>88</v>
      </c>
      <c r="B90" s="144">
        <v>45769</v>
      </c>
      <c r="C90" s="143" t="s">
        <v>40</v>
      </c>
      <c r="D90" s="143" t="s">
        <v>90</v>
      </c>
      <c r="F90" s="143" t="s">
        <v>348</v>
      </c>
      <c r="H90" s="143" t="s">
        <v>349</v>
      </c>
      <c r="I90" s="143" t="s">
        <v>324</v>
      </c>
      <c r="J90" s="143" t="s">
        <v>330</v>
      </c>
      <c r="K90" s="143">
        <v>148</v>
      </c>
      <c r="O90" s="143" t="s">
        <v>337</v>
      </c>
      <c r="P90" s="143" t="s">
        <v>337</v>
      </c>
      <c r="Q90" s="143" t="s">
        <v>350</v>
      </c>
      <c r="W90" s="143" t="s">
        <v>286</v>
      </c>
      <c r="X90" s="143" t="s">
        <v>351</v>
      </c>
      <c r="Y90" s="143" t="s">
        <v>286</v>
      </c>
      <c r="Z90" s="143" t="s">
        <v>351</v>
      </c>
      <c r="AA90" s="143" t="s">
        <v>352</v>
      </c>
      <c r="AB90" s="170">
        <v>45769</v>
      </c>
      <c r="AG90" s="143" t="s">
        <v>96</v>
      </c>
    </row>
    <row r="91" spans="1:39">
      <c r="A91" s="143">
        <v>89</v>
      </c>
      <c r="B91" s="144">
        <v>45769</v>
      </c>
      <c r="C91" s="143" t="s">
        <v>40</v>
      </c>
      <c r="D91" s="143" t="s">
        <v>90</v>
      </c>
      <c r="E91" s="145" t="s">
        <v>91</v>
      </c>
      <c r="F91" s="143" t="s">
        <v>353</v>
      </c>
      <c r="H91" s="143" t="s">
        <v>354</v>
      </c>
      <c r="I91" s="143" t="s">
        <v>324</v>
      </c>
      <c r="J91" s="143" t="s">
        <v>330</v>
      </c>
      <c r="K91" s="143">
        <v>160</v>
      </c>
      <c r="L91" s="143">
        <v>250</v>
      </c>
      <c r="O91" s="143" t="s">
        <v>47</v>
      </c>
      <c r="P91" s="143" t="s">
        <v>48</v>
      </c>
      <c r="W91" s="143" t="s">
        <v>49</v>
      </c>
      <c r="X91" s="143">
        <v>119211083</v>
      </c>
      <c r="Y91" s="143" t="s">
        <v>355</v>
      </c>
      <c r="Z91" s="143">
        <v>119211083</v>
      </c>
      <c r="AA91" s="143">
        <v>13.7</v>
      </c>
      <c r="AB91" s="170">
        <v>45766</v>
      </c>
      <c r="AG91" s="143" t="s">
        <v>96</v>
      </c>
    </row>
    <row r="92" spans="1:39">
      <c r="A92" s="143">
        <v>90</v>
      </c>
      <c r="B92" s="144">
        <v>45769</v>
      </c>
      <c r="C92" s="143" t="s">
        <v>40</v>
      </c>
      <c r="D92" s="143" t="s">
        <v>90</v>
      </c>
      <c r="E92" s="145" t="s">
        <v>91</v>
      </c>
      <c r="F92" s="143" t="s">
        <v>356</v>
      </c>
      <c r="H92" s="143" t="s">
        <v>357</v>
      </c>
      <c r="I92" s="143" t="s">
        <v>324</v>
      </c>
      <c r="J92" s="143" t="s">
        <v>330</v>
      </c>
      <c r="K92" s="143">
        <v>160</v>
      </c>
      <c r="L92" s="143">
        <v>180</v>
      </c>
      <c r="O92" s="143" t="s">
        <v>47</v>
      </c>
      <c r="P92" s="143" t="s">
        <v>48</v>
      </c>
      <c r="W92" s="143" t="s">
        <v>49</v>
      </c>
      <c r="X92" s="143">
        <v>1172910835</v>
      </c>
      <c r="Y92" s="143" t="s">
        <v>355</v>
      </c>
      <c r="Z92" s="143">
        <v>1172910835</v>
      </c>
      <c r="AA92" s="143">
        <v>9.7</v>
      </c>
      <c r="AB92" s="170">
        <v>45766</v>
      </c>
      <c r="AG92" s="143" t="s">
        <v>96</v>
      </c>
    </row>
    <row r="93" spans="1:39">
      <c r="A93" s="143">
        <v>91</v>
      </c>
      <c r="B93" s="144">
        <v>45769</v>
      </c>
      <c r="C93" s="143" t="s">
        <v>40</v>
      </c>
      <c r="D93" s="143" t="s">
        <v>90</v>
      </c>
      <c r="E93" s="145" t="s">
        <v>91</v>
      </c>
      <c r="F93" s="143" t="s">
        <v>358</v>
      </c>
      <c r="H93" s="143" t="s">
        <v>359</v>
      </c>
      <c r="I93" s="143" t="s">
        <v>324</v>
      </c>
      <c r="J93" s="143" t="s">
        <v>330</v>
      </c>
      <c r="K93" s="143">
        <v>172</v>
      </c>
      <c r="L93" s="143">
        <v>210</v>
      </c>
      <c r="O93" s="143" t="s">
        <v>47</v>
      </c>
      <c r="P93" s="143" t="s">
        <v>48</v>
      </c>
      <c r="W93" s="143" t="s">
        <v>49</v>
      </c>
      <c r="X93" s="143">
        <v>1265251083</v>
      </c>
      <c r="Y93" s="143" t="s">
        <v>355</v>
      </c>
      <c r="Z93" s="143">
        <v>1265251083</v>
      </c>
      <c r="AA93" s="143">
        <v>15.6</v>
      </c>
      <c r="AB93" s="170">
        <v>45766</v>
      </c>
      <c r="AG93" s="143" t="s">
        <v>96</v>
      </c>
    </row>
    <row r="94" spans="1:39">
      <c r="A94" s="143">
        <v>92</v>
      </c>
      <c r="B94" s="144">
        <v>45769</v>
      </c>
      <c r="C94" s="143" t="s">
        <v>40</v>
      </c>
      <c r="D94" s="143" t="s">
        <v>90</v>
      </c>
      <c r="E94" s="145" t="s">
        <v>91</v>
      </c>
      <c r="F94" s="143" t="s">
        <v>360</v>
      </c>
      <c r="H94" s="143" t="s">
        <v>361</v>
      </c>
      <c r="I94" s="143" t="s">
        <v>324</v>
      </c>
      <c r="J94" s="143" t="s">
        <v>330</v>
      </c>
      <c r="K94" s="143">
        <v>185</v>
      </c>
      <c r="L94" s="143">
        <v>300</v>
      </c>
      <c r="O94" s="143" t="s">
        <v>47</v>
      </c>
      <c r="P94" s="143" t="s">
        <v>48</v>
      </c>
      <c r="W94" s="143" t="s">
        <v>49</v>
      </c>
      <c r="X94" s="143">
        <v>21532</v>
      </c>
      <c r="Y94" s="143" t="s">
        <v>355</v>
      </c>
      <c r="Z94" s="143">
        <v>21532</v>
      </c>
      <c r="AA94" s="143">
        <v>16.9</v>
      </c>
      <c r="AB94" s="170">
        <v>45766</v>
      </c>
      <c r="AG94" s="143" t="s">
        <v>96</v>
      </c>
    </row>
    <row r="95" spans="1:39">
      <c r="A95" s="143">
        <v>93</v>
      </c>
      <c r="B95" s="144">
        <v>45769</v>
      </c>
      <c r="C95" s="143" t="s">
        <v>40</v>
      </c>
      <c r="D95" s="143" t="s">
        <v>90</v>
      </c>
      <c r="E95" s="145" t="s">
        <v>91</v>
      </c>
      <c r="F95" s="143" t="s">
        <v>362</v>
      </c>
      <c r="H95" s="143" t="s">
        <v>363</v>
      </c>
      <c r="I95" s="143" t="s">
        <v>324</v>
      </c>
      <c r="J95" s="143" t="s">
        <v>330</v>
      </c>
      <c r="K95" s="143">
        <v>160</v>
      </c>
      <c r="O95" s="143" t="s">
        <v>47</v>
      </c>
      <c r="P95" s="143" t="s">
        <v>48</v>
      </c>
      <c r="W95" s="143" t="s">
        <v>49</v>
      </c>
      <c r="X95" s="143" t="s">
        <v>364</v>
      </c>
      <c r="Y95" s="143" t="s">
        <v>365</v>
      </c>
      <c r="Z95" s="143" t="s">
        <v>364</v>
      </c>
      <c r="AB95" s="170"/>
      <c r="AG95" s="143" t="s">
        <v>96</v>
      </c>
    </row>
    <row r="96" spans="1:39">
      <c r="A96" s="143">
        <v>94</v>
      </c>
      <c r="B96" s="144">
        <v>45769</v>
      </c>
      <c r="C96" s="143" t="s">
        <v>40</v>
      </c>
      <c r="D96" s="143" t="s">
        <v>90</v>
      </c>
      <c r="E96" s="145" t="s">
        <v>91</v>
      </c>
      <c r="F96" s="143" t="s">
        <v>366</v>
      </c>
      <c r="H96" s="143" t="s">
        <v>367</v>
      </c>
      <c r="I96" s="143" t="s">
        <v>324</v>
      </c>
      <c r="J96" s="143" t="s">
        <v>330</v>
      </c>
      <c r="K96" s="143">
        <v>160</v>
      </c>
      <c r="L96" s="143">
        <v>220</v>
      </c>
      <c r="O96" s="143" t="s">
        <v>47</v>
      </c>
      <c r="P96" s="143" t="s">
        <v>48</v>
      </c>
      <c r="W96" s="143" t="s">
        <v>49</v>
      </c>
      <c r="X96" s="143" t="s">
        <v>368</v>
      </c>
      <c r="Y96" s="143" t="s">
        <v>369</v>
      </c>
      <c r="Z96" s="143" t="s">
        <v>370</v>
      </c>
      <c r="AA96" s="143">
        <v>10.5</v>
      </c>
      <c r="AB96" s="170">
        <v>45766</v>
      </c>
      <c r="AG96" s="143" t="s">
        <v>96</v>
      </c>
    </row>
    <row r="97" spans="1:34">
      <c r="A97" s="143">
        <v>95</v>
      </c>
      <c r="B97" s="144">
        <v>45769</v>
      </c>
      <c r="C97" s="143" t="s">
        <v>40</v>
      </c>
      <c r="D97" s="143" t="s">
        <v>90</v>
      </c>
      <c r="E97" s="145" t="s">
        <v>91</v>
      </c>
      <c r="F97" s="143" t="s">
        <v>371</v>
      </c>
      <c r="H97" s="143" t="s">
        <v>372</v>
      </c>
      <c r="I97" s="143" t="s">
        <v>324</v>
      </c>
      <c r="J97" s="143" t="s">
        <v>330</v>
      </c>
      <c r="K97" s="143">
        <v>160</v>
      </c>
      <c r="L97" s="143">
        <v>290</v>
      </c>
      <c r="O97" s="143" t="s">
        <v>47</v>
      </c>
      <c r="P97" s="143" t="s">
        <v>48</v>
      </c>
      <c r="W97" s="143" t="s">
        <v>49</v>
      </c>
      <c r="X97" s="143" t="s">
        <v>373</v>
      </c>
      <c r="Y97" s="143" t="s">
        <v>374</v>
      </c>
      <c r="Z97" s="143" t="s">
        <v>373</v>
      </c>
      <c r="AA97" s="143">
        <v>13</v>
      </c>
      <c r="AB97" s="170">
        <v>45766</v>
      </c>
      <c r="AG97" s="143" t="s">
        <v>96</v>
      </c>
    </row>
    <row r="98" spans="1:34">
      <c r="A98" s="143">
        <v>96</v>
      </c>
      <c r="B98" s="144">
        <v>45769</v>
      </c>
      <c r="C98" s="143" t="s">
        <v>40</v>
      </c>
      <c r="D98" s="143" t="s">
        <v>90</v>
      </c>
      <c r="E98" s="145" t="s">
        <v>91</v>
      </c>
      <c r="F98" s="143" t="s">
        <v>375</v>
      </c>
      <c r="H98" s="143" t="s">
        <v>376</v>
      </c>
      <c r="I98" s="143" t="s">
        <v>377</v>
      </c>
      <c r="J98" s="143" t="s">
        <v>378</v>
      </c>
      <c r="K98" s="143">
        <v>140</v>
      </c>
      <c r="L98" s="143">
        <v>180</v>
      </c>
      <c r="O98" s="143" t="s">
        <v>47</v>
      </c>
      <c r="P98" s="143" t="s">
        <v>48</v>
      </c>
      <c r="W98" s="143" t="s">
        <v>49</v>
      </c>
      <c r="X98" s="143" t="s">
        <v>375</v>
      </c>
      <c r="Y98" s="143" t="s">
        <v>379</v>
      </c>
      <c r="Z98" s="143" t="s">
        <v>375</v>
      </c>
      <c r="AA98" s="143">
        <v>9</v>
      </c>
      <c r="AB98" s="170">
        <v>45766</v>
      </c>
      <c r="AG98" s="143" t="s">
        <v>96</v>
      </c>
    </row>
    <row r="99" spans="1:34">
      <c r="A99" s="143">
        <v>97</v>
      </c>
      <c r="B99" s="144">
        <v>45769</v>
      </c>
      <c r="C99" s="143" t="s">
        <v>40</v>
      </c>
      <c r="D99" s="143" t="s">
        <v>90</v>
      </c>
      <c r="E99" s="145" t="s">
        <v>91</v>
      </c>
      <c r="F99" s="143" t="s">
        <v>380</v>
      </c>
      <c r="H99" s="143" t="s">
        <v>381</v>
      </c>
      <c r="I99" s="143" t="s">
        <v>377</v>
      </c>
      <c r="J99" s="143" t="s">
        <v>378</v>
      </c>
      <c r="K99" s="143">
        <v>180</v>
      </c>
      <c r="L99" s="143">
        <v>110</v>
      </c>
      <c r="O99" s="143" t="s">
        <v>47</v>
      </c>
      <c r="P99" s="143" t="s">
        <v>48</v>
      </c>
      <c r="W99" s="143" t="s">
        <v>49</v>
      </c>
      <c r="X99" s="143" t="s">
        <v>382</v>
      </c>
      <c r="Y99" s="143" t="s">
        <v>383</v>
      </c>
      <c r="Z99" s="143" t="s">
        <v>384</v>
      </c>
      <c r="AB99" s="170"/>
      <c r="AG99" s="143" t="s">
        <v>96</v>
      </c>
    </row>
    <row r="100" spans="1:34">
      <c r="A100" s="143">
        <v>98</v>
      </c>
      <c r="B100" s="144">
        <v>45769</v>
      </c>
      <c r="C100" s="143" t="s">
        <v>40</v>
      </c>
      <c r="D100" s="143" t="s">
        <v>90</v>
      </c>
      <c r="E100" s="145" t="s">
        <v>91</v>
      </c>
      <c r="F100" s="143" t="s">
        <v>385</v>
      </c>
      <c r="H100" s="143" t="s">
        <v>386</v>
      </c>
      <c r="I100" s="143" t="s">
        <v>324</v>
      </c>
      <c r="J100" s="143" t="s">
        <v>330</v>
      </c>
      <c r="K100" s="143">
        <v>160</v>
      </c>
      <c r="L100" s="143">
        <v>140</v>
      </c>
      <c r="O100" s="143" t="s">
        <v>47</v>
      </c>
      <c r="P100" s="143" t="s">
        <v>48</v>
      </c>
      <c r="W100" s="143" t="s">
        <v>49</v>
      </c>
      <c r="X100" s="143" t="s">
        <v>385</v>
      </c>
      <c r="Y100" s="143" t="s">
        <v>387</v>
      </c>
      <c r="Z100" s="143" t="s">
        <v>385</v>
      </c>
      <c r="AA100" s="143" t="s">
        <v>388</v>
      </c>
      <c r="AB100" s="170">
        <v>45766</v>
      </c>
      <c r="AG100" s="143" t="s">
        <v>96</v>
      </c>
    </row>
    <row r="101" spans="1:34">
      <c r="A101" s="143">
        <v>99</v>
      </c>
      <c r="B101" s="144">
        <v>45769</v>
      </c>
      <c r="C101" s="143" t="s">
        <v>40</v>
      </c>
      <c r="D101" s="143" t="s">
        <v>90</v>
      </c>
      <c r="E101" s="145" t="s">
        <v>91</v>
      </c>
      <c r="F101" s="143" t="s">
        <v>389</v>
      </c>
      <c r="H101" s="143" t="s">
        <v>390</v>
      </c>
      <c r="I101" s="143" t="s">
        <v>324</v>
      </c>
      <c r="J101" s="143" t="s">
        <v>330</v>
      </c>
      <c r="K101" s="143">
        <v>160</v>
      </c>
      <c r="L101" s="143">
        <v>120</v>
      </c>
      <c r="O101" s="143" t="s">
        <v>47</v>
      </c>
      <c r="P101" s="143" t="s">
        <v>48</v>
      </c>
      <c r="W101" s="143" t="s">
        <v>49</v>
      </c>
      <c r="X101" s="143" t="s">
        <v>389</v>
      </c>
      <c r="Y101" s="143" t="s">
        <v>391</v>
      </c>
      <c r="Z101" s="143" t="s">
        <v>389</v>
      </c>
      <c r="AA101" s="143">
        <v>5.7</v>
      </c>
      <c r="AB101" s="170">
        <v>45766</v>
      </c>
      <c r="AG101" s="143" t="s">
        <v>392</v>
      </c>
    </row>
    <row r="102" spans="1:34">
      <c r="A102" s="143">
        <v>100</v>
      </c>
      <c r="B102" s="144">
        <v>45769</v>
      </c>
      <c r="C102" s="143" t="s">
        <v>40</v>
      </c>
      <c r="D102" s="143" t="s">
        <v>90</v>
      </c>
      <c r="E102" s="145" t="s">
        <v>91</v>
      </c>
      <c r="F102" s="143" t="s">
        <v>393</v>
      </c>
      <c r="H102" s="143" t="s">
        <v>394</v>
      </c>
      <c r="I102" s="143" t="s">
        <v>324</v>
      </c>
      <c r="J102" s="143" t="s">
        <v>330</v>
      </c>
      <c r="K102" s="143">
        <v>160</v>
      </c>
      <c r="L102" s="143">
        <v>120</v>
      </c>
      <c r="O102" s="143" t="s">
        <v>47</v>
      </c>
      <c r="P102" s="143" t="s">
        <v>48</v>
      </c>
      <c r="W102" s="143" t="s">
        <v>49</v>
      </c>
      <c r="X102" s="143" t="s">
        <v>393</v>
      </c>
      <c r="Y102" s="143" t="s">
        <v>391</v>
      </c>
      <c r="Z102" s="143" t="s">
        <v>393</v>
      </c>
      <c r="AA102" s="143">
        <v>5.7</v>
      </c>
      <c r="AB102" s="170">
        <v>45766</v>
      </c>
      <c r="AG102" s="143" t="s">
        <v>392</v>
      </c>
    </row>
    <row r="103" spans="1:34">
      <c r="A103" s="143">
        <v>101</v>
      </c>
      <c r="B103" s="144">
        <v>45769</v>
      </c>
      <c r="C103" s="143" t="s">
        <v>40</v>
      </c>
      <c r="D103" s="143" t="s">
        <v>90</v>
      </c>
      <c r="E103" s="145" t="s">
        <v>91</v>
      </c>
      <c r="F103" s="143" t="s">
        <v>395</v>
      </c>
      <c r="H103" s="143" t="s">
        <v>396</v>
      </c>
      <c r="I103" s="143" t="s">
        <v>324</v>
      </c>
      <c r="J103" s="143" t="s">
        <v>330</v>
      </c>
      <c r="K103" s="143">
        <v>145</v>
      </c>
      <c r="O103" s="143" t="s">
        <v>47</v>
      </c>
      <c r="P103" s="143" t="s">
        <v>48</v>
      </c>
      <c r="W103" s="143" t="s">
        <v>49</v>
      </c>
      <c r="X103" s="143" t="s">
        <v>395</v>
      </c>
      <c r="Y103" s="143" t="s">
        <v>119</v>
      </c>
      <c r="Z103" s="143" t="s">
        <v>395</v>
      </c>
      <c r="AA103" s="143">
        <v>6.8</v>
      </c>
      <c r="AB103" s="170">
        <v>45766</v>
      </c>
      <c r="AG103" s="143" t="s">
        <v>96</v>
      </c>
    </row>
    <row r="104" spans="1:34">
      <c r="A104" s="143">
        <v>102</v>
      </c>
      <c r="B104" s="144">
        <v>45769</v>
      </c>
      <c r="C104" s="143" t="s">
        <v>40</v>
      </c>
      <c r="D104" s="143" t="s">
        <v>90</v>
      </c>
      <c r="E104" s="145" t="s">
        <v>91</v>
      </c>
      <c r="F104" s="143">
        <v>7078</v>
      </c>
      <c r="H104" s="143" t="s">
        <v>397</v>
      </c>
      <c r="I104" s="143" t="s">
        <v>324</v>
      </c>
      <c r="J104" s="143" t="s">
        <v>330</v>
      </c>
      <c r="K104" s="143">
        <v>145</v>
      </c>
      <c r="O104" s="143" t="s">
        <v>47</v>
      </c>
      <c r="P104" s="143" t="s">
        <v>48</v>
      </c>
      <c r="W104" s="143" t="s">
        <v>49</v>
      </c>
      <c r="X104" s="143">
        <v>7078</v>
      </c>
      <c r="Y104" s="143" t="s">
        <v>398</v>
      </c>
      <c r="Z104" s="143">
        <v>7078</v>
      </c>
      <c r="AA104" s="143">
        <v>8</v>
      </c>
      <c r="AB104" s="170">
        <v>45766</v>
      </c>
      <c r="AG104" s="143" t="s">
        <v>96</v>
      </c>
    </row>
    <row r="105" spans="1:34">
      <c r="A105" s="143">
        <v>103</v>
      </c>
      <c r="B105" s="144">
        <v>45769</v>
      </c>
      <c r="C105" s="143" t="s">
        <v>40</v>
      </c>
      <c r="D105" s="143" t="s">
        <v>90</v>
      </c>
      <c r="E105" s="145" t="s">
        <v>91</v>
      </c>
      <c r="F105" s="143" t="s">
        <v>399</v>
      </c>
      <c r="H105" s="143" t="s">
        <v>400</v>
      </c>
      <c r="I105" s="143" t="s">
        <v>324</v>
      </c>
      <c r="J105" s="143" t="s">
        <v>330</v>
      </c>
      <c r="K105" s="143">
        <v>145</v>
      </c>
      <c r="O105" s="143" t="s">
        <v>47</v>
      </c>
      <c r="P105" s="143" t="s">
        <v>48</v>
      </c>
      <c r="W105" s="143" t="s">
        <v>49</v>
      </c>
      <c r="X105" s="143">
        <v>11286</v>
      </c>
      <c r="Y105" s="143" t="s">
        <v>401</v>
      </c>
      <c r="Z105" s="143">
        <v>11286</v>
      </c>
      <c r="AA105" s="143">
        <v>8.2</v>
      </c>
      <c r="AB105" s="170">
        <v>45766</v>
      </c>
      <c r="AG105" s="143" t="s">
        <v>96</v>
      </c>
    </row>
    <row r="106" spans="1:34">
      <c r="A106" s="143">
        <v>104</v>
      </c>
      <c r="B106" s="144">
        <v>45769</v>
      </c>
      <c r="C106" s="143" t="s">
        <v>40</v>
      </c>
      <c r="D106" s="143" t="s">
        <v>90</v>
      </c>
      <c r="E106" s="145" t="s">
        <v>91</v>
      </c>
      <c r="F106" s="143" t="s">
        <v>402</v>
      </c>
      <c r="H106" s="143" t="s">
        <v>403</v>
      </c>
      <c r="I106" s="143" t="s">
        <v>324</v>
      </c>
      <c r="J106" s="143" t="s">
        <v>330</v>
      </c>
      <c r="K106" s="143">
        <v>145</v>
      </c>
      <c r="O106" s="143" t="s">
        <v>47</v>
      </c>
      <c r="P106" s="143" t="s">
        <v>48</v>
      </c>
      <c r="W106" s="143" t="s">
        <v>49</v>
      </c>
      <c r="X106" s="143" t="s">
        <v>404</v>
      </c>
      <c r="Y106" s="143" t="s">
        <v>405</v>
      </c>
      <c r="Z106" s="143" t="s">
        <v>402</v>
      </c>
      <c r="AA106" s="143">
        <v>6.8</v>
      </c>
      <c r="AB106" s="170">
        <v>45766</v>
      </c>
      <c r="AG106" s="143" t="s">
        <v>96</v>
      </c>
    </row>
    <row r="107" spans="1:34">
      <c r="A107" s="143">
        <v>105</v>
      </c>
      <c r="B107" s="144">
        <v>45769</v>
      </c>
      <c r="C107" s="143" t="s">
        <v>40</v>
      </c>
      <c r="D107" s="143" t="s">
        <v>90</v>
      </c>
      <c r="E107" s="145" t="s">
        <v>91</v>
      </c>
      <c r="F107" s="143">
        <v>2507</v>
      </c>
      <c r="H107" s="143" t="s">
        <v>406</v>
      </c>
      <c r="I107" s="143" t="s">
        <v>324</v>
      </c>
      <c r="J107" s="143" t="s">
        <v>330</v>
      </c>
      <c r="K107" s="143">
        <v>145</v>
      </c>
      <c r="O107" s="143" t="s">
        <v>47</v>
      </c>
      <c r="P107" s="143" t="s">
        <v>48</v>
      </c>
      <c r="W107" s="143" t="s">
        <v>49</v>
      </c>
      <c r="X107" s="143">
        <v>2507</v>
      </c>
      <c r="Y107" s="143" t="s">
        <v>407</v>
      </c>
      <c r="Z107" s="143">
        <v>2507</v>
      </c>
      <c r="AA107" s="143">
        <v>10.5</v>
      </c>
      <c r="AB107" s="170">
        <v>45766</v>
      </c>
      <c r="AG107" s="143" t="s">
        <v>96</v>
      </c>
    </row>
    <row r="108" spans="1:34">
      <c r="A108" s="143">
        <v>106</v>
      </c>
      <c r="B108" s="144">
        <v>45773</v>
      </c>
      <c r="C108" s="143" t="s">
        <v>40</v>
      </c>
      <c r="D108" s="143" t="s">
        <v>41</v>
      </c>
      <c r="F108" s="143" t="s">
        <v>408</v>
      </c>
      <c r="H108" s="143" t="s">
        <v>409</v>
      </c>
      <c r="I108" s="143" t="s">
        <v>410</v>
      </c>
      <c r="J108" s="143" t="s">
        <v>325</v>
      </c>
      <c r="K108" s="143">
        <v>150</v>
      </c>
      <c r="L108" s="143">
        <v>133</v>
      </c>
      <c r="O108" s="143" t="s">
        <v>47</v>
      </c>
      <c r="P108" s="143" t="s">
        <v>48</v>
      </c>
      <c r="W108" s="143" t="s">
        <v>49</v>
      </c>
      <c r="X108" s="143" t="s">
        <v>408</v>
      </c>
      <c r="Y108" s="143" t="s">
        <v>411</v>
      </c>
      <c r="Z108" s="143" t="s">
        <v>408</v>
      </c>
      <c r="AA108" s="143">
        <v>9.8</v>
      </c>
      <c r="AB108" s="170">
        <v>45773</v>
      </c>
      <c r="AG108" s="143" t="s">
        <v>96</v>
      </c>
    </row>
    <row r="109" spans="1:34">
      <c r="A109" s="143">
        <v>107</v>
      </c>
      <c r="B109" s="144">
        <v>45773</v>
      </c>
      <c r="C109" s="143" t="s">
        <v>40</v>
      </c>
      <c r="D109" s="143" t="s">
        <v>41</v>
      </c>
      <c r="F109" s="143">
        <v>12111</v>
      </c>
      <c r="H109" s="143" t="s">
        <v>412</v>
      </c>
      <c r="I109" s="143" t="s">
        <v>410</v>
      </c>
      <c r="J109" s="143" t="s">
        <v>325</v>
      </c>
      <c r="K109" s="143">
        <v>150</v>
      </c>
      <c r="L109" s="143">
        <v>52</v>
      </c>
      <c r="O109" s="143" t="s">
        <v>47</v>
      </c>
      <c r="P109" s="143" t="s">
        <v>48</v>
      </c>
      <c r="Q109" s="143" t="s">
        <v>413</v>
      </c>
      <c r="W109" s="143" t="s">
        <v>49</v>
      </c>
      <c r="X109" s="143">
        <v>12111</v>
      </c>
      <c r="Y109" s="143" t="s">
        <v>414</v>
      </c>
      <c r="Z109" s="143">
        <v>12111</v>
      </c>
      <c r="AA109" s="143">
        <v>9.6</v>
      </c>
      <c r="AB109" s="170">
        <v>45773</v>
      </c>
      <c r="AG109" s="143" t="s">
        <v>96</v>
      </c>
      <c r="AH109" s="143" t="s">
        <v>413</v>
      </c>
    </row>
    <row r="110" spans="1:34">
      <c r="A110" s="143">
        <v>108</v>
      </c>
      <c r="B110" s="144">
        <v>45773</v>
      </c>
      <c r="C110" s="143" t="s">
        <v>40</v>
      </c>
      <c r="D110" s="143" t="s">
        <v>41</v>
      </c>
      <c r="F110" s="143">
        <v>12105</v>
      </c>
      <c r="H110" s="143" t="s">
        <v>415</v>
      </c>
      <c r="I110" s="143" t="s">
        <v>410</v>
      </c>
      <c r="J110" s="143" t="s">
        <v>325</v>
      </c>
      <c r="K110" s="143">
        <v>150</v>
      </c>
      <c r="L110" s="143">
        <v>72</v>
      </c>
      <c r="O110" s="143" t="s">
        <v>47</v>
      </c>
      <c r="P110" s="143" t="s">
        <v>48</v>
      </c>
      <c r="Q110" s="143" t="s">
        <v>413</v>
      </c>
      <c r="W110" s="143" t="s">
        <v>49</v>
      </c>
      <c r="X110" s="143">
        <v>12105</v>
      </c>
      <c r="Y110" s="143" t="s">
        <v>414</v>
      </c>
      <c r="Z110" s="143">
        <v>12105</v>
      </c>
      <c r="AA110" s="143">
        <v>8.8</v>
      </c>
      <c r="AB110" s="170">
        <v>45773</v>
      </c>
      <c r="AG110" s="143" t="s">
        <v>96</v>
      </c>
      <c r="AH110" s="143" t="s">
        <v>413</v>
      </c>
    </row>
    <row r="111" spans="1:34">
      <c r="A111" s="143">
        <v>109</v>
      </c>
      <c r="B111" s="144">
        <v>45773</v>
      </c>
      <c r="C111" s="143" t="s">
        <v>40</v>
      </c>
      <c r="D111" s="143" t="s">
        <v>41</v>
      </c>
      <c r="F111" s="143" t="s">
        <v>416</v>
      </c>
      <c r="H111" s="143" t="s">
        <v>417</v>
      </c>
      <c r="I111" s="143" t="s">
        <v>410</v>
      </c>
      <c r="J111" s="143" t="s">
        <v>325</v>
      </c>
      <c r="K111" s="143">
        <v>150</v>
      </c>
      <c r="L111" s="143">
        <v>95</v>
      </c>
      <c r="O111" s="143" t="s">
        <v>47</v>
      </c>
      <c r="P111" s="143" t="s">
        <v>48</v>
      </c>
      <c r="W111" s="143" t="s">
        <v>49</v>
      </c>
      <c r="X111" s="143">
        <v>6002</v>
      </c>
      <c r="Y111" s="143" t="s">
        <v>418</v>
      </c>
      <c r="Z111" s="143">
        <v>6002</v>
      </c>
      <c r="AA111" s="143">
        <v>6.6</v>
      </c>
      <c r="AB111" s="170">
        <v>45773</v>
      </c>
      <c r="AG111" s="143" t="s">
        <v>96</v>
      </c>
    </row>
    <row r="112" spans="1:34">
      <c r="A112" s="143">
        <v>110</v>
      </c>
      <c r="B112" s="144">
        <v>45773</v>
      </c>
      <c r="C112" s="143" t="s">
        <v>40</v>
      </c>
      <c r="D112" s="143" t="s">
        <v>41</v>
      </c>
      <c r="F112" s="143" t="s">
        <v>419</v>
      </c>
      <c r="H112" s="143" t="s">
        <v>420</v>
      </c>
      <c r="I112" s="143" t="s">
        <v>410</v>
      </c>
      <c r="J112" s="143" t="s">
        <v>325</v>
      </c>
      <c r="K112" s="143">
        <v>150</v>
      </c>
      <c r="L112" s="143">
        <v>105</v>
      </c>
      <c r="O112" s="143" t="s">
        <v>47</v>
      </c>
      <c r="P112" s="143" t="s">
        <v>48</v>
      </c>
      <c r="W112" s="143" t="s">
        <v>49</v>
      </c>
      <c r="X112" s="143">
        <v>6118</v>
      </c>
      <c r="Y112" s="143" t="s">
        <v>418</v>
      </c>
      <c r="Z112" s="143">
        <v>6118</v>
      </c>
      <c r="AA112" s="143">
        <v>6.8</v>
      </c>
      <c r="AB112" s="170">
        <v>45773</v>
      </c>
      <c r="AG112" s="143" t="s">
        <v>96</v>
      </c>
    </row>
    <row r="113" spans="1:34">
      <c r="A113" s="143">
        <v>111</v>
      </c>
      <c r="B113" s="144">
        <v>45777</v>
      </c>
      <c r="C113" s="143" t="s">
        <v>193</v>
      </c>
      <c r="D113" s="143" t="s">
        <v>41</v>
      </c>
      <c r="E113" s="145" t="s">
        <v>421</v>
      </c>
      <c r="F113" s="143" t="s">
        <v>422</v>
      </c>
      <c r="H113" s="143" t="s">
        <v>423</v>
      </c>
      <c r="I113" s="143" t="s">
        <v>424</v>
      </c>
      <c r="J113" s="143" t="s">
        <v>320</v>
      </c>
      <c r="K113" s="143">
        <v>150</v>
      </c>
      <c r="L113" s="143">
        <v>260</v>
      </c>
      <c r="W113" s="143" t="s">
        <v>49</v>
      </c>
      <c r="X113" s="143" t="s">
        <v>422</v>
      </c>
      <c r="Y113" s="143" t="s">
        <v>425</v>
      </c>
      <c r="Z113" s="143" t="s">
        <v>422</v>
      </c>
      <c r="AA113" s="143">
        <v>11.2</v>
      </c>
      <c r="AB113" s="170">
        <v>45777</v>
      </c>
    </row>
    <row r="114" spans="1:34">
      <c r="A114" s="143">
        <v>112</v>
      </c>
      <c r="B114" s="144">
        <v>45777</v>
      </c>
      <c r="C114" s="143" t="s">
        <v>193</v>
      </c>
      <c r="D114" s="143" t="s">
        <v>41</v>
      </c>
      <c r="E114" s="145" t="s">
        <v>421</v>
      </c>
      <c r="F114" s="143" t="s">
        <v>426</v>
      </c>
      <c r="H114" s="143" t="s">
        <v>427</v>
      </c>
      <c r="I114" s="143" t="s">
        <v>424</v>
      </c>
      <c r="J114" s="143" t="s">
        <v>320</v>
      </c>
      <c r="K114" s="143">
        <v>150</v>
      </c>
      <c r="L114" s="143">
        <v>280</v>
      </c>
      <c r="W114" s="143" t="s">
        <v>49</v>
      </c>
      <c r="X114" s="143" t="s">
        <v>426</v>
      </c>
      <c r="Y114" s="143" t="s">
        <v>428</v>
      </c>
      <c r="Z114" s="143" t="s">
        <v>426</v>
      </c>
      <c r="AA114" s="143">
        <v>10.5</v>
      </c>
      <c r="AB114" s="170">
        <v>45777</v>
      </c>
    </row>
    <row r="115" spans="1:34">
      <c r="A115" s="143">
        <v>113</v>
      </c>
      <c r="B115" s="144">
        <v>45777</v>
      </c>
      <c r="C115" s="143" t="s">
        <v>193</v>
      </c>
      <c r="D115" s="143" t="s">
        <v>41</v>
      </c>
      <c r="E115" s="145" t="s">
        <v>421</v>
      </c>
      <c r="F115" s="143" t="s">
        <v>429</v>
      </c>
      <c r="H115" s="143" t="s">
        <v>430</v>
      </c>
      <c r="I115" s="143" t="s">
        <v>431</v>
      </c>
      <c r="J115" s="143" t="s">
        <v>432</v>
      </c>
      <c r="K115" s="143">
        <v>150</v>
      </c>
      <c r="L115" s="143">
        <v>280</v>
      </c>
      <c r="W115" s="143" t="s">
        <v>49</v>
      </c>
      <c r="X115" s="143" t="s">
        <v>429</v>
      </c>
      <c r="Y115" s="143" t="s">
        <v>433</v>
      </c>
      <c r="Z115" s="143" t="s">
        <v>429</v>
      </c>
      <c r="AA115" s="143">
        <v>10.8</v>
      </c>
      <c r="AB115" s="170">
        <v>45777</v>
      </c>
    </row>
    <row r="116" spans="1:34">
      <c r="A116" s="143">
        <v>114</v>
      </c>
      <c r="B116" s="144">
        <v>45777</v>
      </c>
      <c r="C116" s="143" t="s">
        <v>193</v>
      </c>
      <c r="D116" s="143" t="s">
        <v>41</v>
      </c>
      <c r="E116" s="145" t="s">
        <v>421</v>
      </c>
      <c r="F116" s="143" t="s">
        <v>434</v>
      </c>
      <c r="H116" s="143" t="s">
        <v>435</v>
      </c>
      <c r="I116" s="143" t="s">
        <v>436</v>
      </c>
      <c r="J116" s="143" t="s">
        <v>320</v>
      </c>
      <c r="K116" s="143">
        <v>150</v>
      </c>
      <c r="L116" s="143">
        <v>270</v>
      </c>
      <c r="W116" s="143" t="s">
        <v>49</v>
      </c>
      <c r="X116" s="143" t="s">
        <v>434</v>
      </c>
      <c r="Y116" s="169" t="s">
        <v>437</v>
      </c>
      <c r="Z116" s="143" t="s">
        <v>434</v>
      </c>
      <c r="AA116" s="168"/>
      <c r="AB116" s="170">
        <v>45777</v>
      </c>
    </row>
    <row r="117" spans="1:34">
      <c r="A117" s="143">
        <v>115</v>
      </c>
      <c r="B117" s="144">
        <v>45777</v>
      </c>
      <c r="C117" s="143" t="s">
        <v>193</v>
      </c>
      <c r="D117" s="143" t="s">
        <v>41</v>
      </c>
      <c r="E117" s="145" t="s">
        <v>421</v>
      </c>
      <c r="F117" s="143" t="s">
        <v>438</v>
      </c>
      <c r="H117" s="143" t="s">
        <v>439</v>
      </c>
      <c r="I117" s="143" t="s">
        <v>436</v>
      </c>
      <c r="J117" s="143" t="s">
        <v>320</v>
      </c>
      <c r="K117" s="143">
        <v>150</v>
      </c>
      <c r="L117" s="143">
        <v>280</v>
      </c>
      <c r="W117" s="143" t="s">
        <v>49</v>
      </c>
      <c r="X117" s="143" t="s">
        <v>438</v>
      </c>
      <c r="Y117" s="143" t="s">
        <v>440</v>
      </c>
      <c r="Z117" s="143" t="s">
        <v>438</v>
      </c>
      <c r="AA117" s="143">
        <v>12</v>
      </c>
      <c r="AB117" s="170">
        <v>45777</v>
      </c>
    </row>
    <row r="118" spans="1:34">
      <c r="A118" s="143">
        <v>116</v>
      </c>
      <c r="B118" s="144">
        <v>45777</v>
      </c>
      <c r="C118" s="143" t="s">
        <v>193</v>
      </c>
      <c r="D118" s="143" t="s">
        <v>41</v>
      </c>
      <c r="E118" s="145" t="s">
        <v>421</v>
      </c>
      <c r="F118" s="143" t="s">
        <v>441</v>
      </c>
      <c r="H118" s="143" t="s">
        <v>442</v>
      </c>
      <c r="I118" s="143" t="s">
        <v>443</v>
      </c>
      <c r="J118" s="143" t="s">
        <v>444</v>
      </c>
      <c r="K118" s="143">
        <v>150</v>
      </c>
      <c r="L118" s="143">
        <v>200</v>
      </c>
      <c r="W118" s="143" t="s">
        <v>49</v>
      </c>
      <c r="X118" s="143" t="s">
        <v>441</v>
      </c>
      <c r="Y118" s="169" t="s">
        <v>445</v>
      </c>
      <c r="Z118" s="143" t="s">
        <v>441</v>
      </c>
      <c r="AA118" s="143">
        <v>18</v>
      </c>
      <c r="AB118" s="170">
        <v>45777</v>
      </c>
      <c r="AH118" s="169" t="s">
        <v>446</v>
      </c>
    </row>
    <row r="119" spans="1:34">
      <c r="A119" s="143">
        <v>117</v>
      </c>
      <c r="B119" s="144">
        <v>45789</v>
      </c>
      <c r="C119" s="143" t="s">
        <v>40</v>
      </c>
      <c r="D119" s="143" t="s">
        <v>41</v>
      </c>
      <c r="E119" s="145" t="s">
        <v>447</v>
      </c>
      <c r="F119" s="143" t="s">
        <v>448</v>
      </c>
      <c r="H119" s="143" t="s">
        <v>449</v>
      </c>
      <c r="I119" s="143" t="s">
        <v>324</v>
      </c>
      <c r="J119" s="143" t="s">
        <v>325</v>
      </c>
      <c r="K119" s="143">
        <v>150</v>
      </c>
      <c r="L119" s="143">
        <v>140</v>
      </c>
      <c r="W119" s="143" t="s">
        <v>49</v>
      </c>
      <c r="X119" s="143" t="s">
        <v>448</v>
      </c>
      <c r="Y119" s="143" t="s">
        <v>450</v>
      </c>
      <c r="Z119" s="143" t="s">
        <v>448</v>
      </c>
      <c r="AA119" s="143">
        <v>14.2</v>
      </c>
      <c r="AB119" s="170">
        <v>45789</v>
      </c>
    </row>
    <row r="120" spans="1:34">
      <c r="A120" s="143">
        <v>118</v>
      </c>
      <c r="B120" s="144">
        <v>45789</v>
      </c>
      <c r="C120" s="143" t="s">
        <v>40</v>
      </c>
      <c r="D120" s="143" t="s">
        <v>41</v>
      </c>
      <c r="E120" s="145" t="s">
        <v>447</v>
      </c>
      <c r="F120" s="143" t="s">
        <v>451</v>
      </c>
      <c r="H120" s="143" t="s">
        <v>452</v>
      </c>
      <c r="I120" s="143" t="s">
        <v>436</v>
      </c>
      <c r="J120" s="143" t="s">
        <v>320</v>
      </c>
      <c r="K120" s="143">
        <v>150</v>
      </c>
      <c r="L120" s="143">
        <v>170</v>
      </c>
      <c r="W120" s="143" t="s">
        <v>49</v>
      </c>
      <c r="X120" s="143" t="s">
        <v>451</v>
      </c>
      <c r="Y120" s="143" t="s">
        <v>453</v>
      </c>
      <c r="Z120" s="143" t="s">
        <v>451</v>
      </c>
      <c r="AA120" s="143">
        <v>9.1</v>
      </c>
      <c r="AB120" s="170">
        <v>45789</v>
      </c>
    </row>
    <row r="121" spans="1:34">
      <c r="A121" s="143">
        <v>119</v>
      </c>
      <c r="B121" s="144">
        <v>45790</v>
      </c>
      <c r="C121" s="143" t="s">
        <v>193</v>
      </c>
      <c r="D121" s="143" t="s">
        <v>41</v>
      </c>
      <c r="E121" s="145" t="s">
        <v>447</v>
      </c>
      <c r="F121" s="143" t="s">
        <v>454</v>
      </c>
      <c r="H121" s="143" t="s">
        <v>455</v>
      </c>
      <c r="I121" s="143" t="s">
        <v>324</v>
      </c>
      <c r="J121" s="143" t="s">
        <v>325</v>
      </c>
      <c r="K121" s="143">
        <v>150</v>
      </c>
      <c r="L121" s="143">
        <v>105</v>
      </c>
      <c r="W121" s="143" t="s">
        <v>456</v>
      </c>
      <c r="X121" s="143" t="s">
        <v>454</v>
      </c>
      <c r="Y121" s="143" t="s">
        <v>456</v>
      </c>
      <c r="Z121" s="143" t="s">
        <v>454</v>
      </c>
      <c r="AA121" s="143">
        <v>6.7</v>
      </c>
      <c r="AB121" s="170">
        <v>45790</v>
      </c>
      <c r="AH121" s="143" t="s">
        <v>457</v>
      </c>
    </row>
    <row r="122" spans="1:34">
      <c r="A122" s="143">
        <v>120</v>
      </c>
      <c r="B122" s="144">
        <v>45799</v>
      </c>
      <c r="C122" s="143" t="s">
        <v>193</v>
      </c>
      <c r="D122" s="143" t="s">
        <v>41</v>
      </c>
      <c r="F122" s="143" t="s">
        <v>458</v>
      </c>
      <c r="H122" s="143" t="s">
        <v>459</v>
      </c>
      <c r="I122" s="143" t="s">
        <v>324</v>
      </c>
      <c r="J122" s="143" t="s">
        <v>325</v>
      </c>
      <c r="K122" s="143">
        <v>163</v>
      </c>
      <c r="L122" s="143">
        <v>100</v>
      </c>
      <c r="W122" s="143" t="s">
        <v>49</v>
      </c>
      <c r="X122" s="143" t="s">
        <v>458</v>
      </c>
      <c r="Y122" s="143" t="s">
        <v>49</v>
      </c>
      <c r="Z122" s="143" t="s">
        <v>458</v>
      </c>
      <c r="AA122" s="143">
        <v>19.2</v>
      </c>
      <c r="AB122" s="170">
        <v>45799</v>
      </c>
    </row>
    <row r="123" spans="1:34">
      <c r="A123" s="143">
        <v>121</v>
      </c>
      <c r="B123" s="144">
        <v>45799</v>
      </c>
      <c r="C123" s="143" t="s">
        <v>193</v>
      </c>
      <c r="D123" s="143" t="s">
        <v>41</v>
      </c>
      <c r="F123" s="143" t="s">
        <v>460</v>
      </c>
      <c r="H123" s="143" t="s">
        <v>461</v>
      </c>
      <c r="I123" s="143" t="s">
        <v>324</v>
      </c>
      <c r="J123" s="143" t="s">
        <v>325</v>
      </c>
      <c r="K123" s="143">
        <v>163</v>
      </c>
      <c r="L123" s="143">
        <v>140</v>
      </c>
      <c r="W123" s="143" t="s">
        <v>49</v>
      </c>
      <c r="X123" s="143" t="s">
        <v>460</v>
      </c>
      <c r="Y123" s="143" t="s">
        <v>49</v>
      </c>
      <c r="Z123" s="143" t="s">
        <v>460</v>
      </c>
      <c r="AA123" s="143">
        <v>21.6</v>
      </c>
      <c r="AB123" s="170">
        <v>45799</v>
      </c>
    </row>
    <row r="124" spans="1:34">
      <c r="A124" s="143">
        <v>122</v>
      </c>
      <c r="B124" s="144">
        <v>45799</v>
      </c>
      <c r="C124" s="143" t="s">
        <v>193</v>
      </c>
      <c r="D124" s="143" t="s">
        <v>41</v>
      </c>
      <c r="F124" s="143" t="s">
        <v>462</v>
      </c>
      <c r="H124" s="143" t="s">
        <v>463</v>
      </c>
      <c r="I124" s="143" t="s">
        <v>324</v>
      </c>
      <c r="J124" s="143" t="s">
        <v>325</v>
      </c>
      <c r="K124" s="143">
        <v>150</v>
      </c>
      <c r="L124" s="143">
        <v>80</v>
      </c>
      <c r="W124" s="143" t="s">
        <v>49</v>
      </c>
      <c r="X124" s="169" t="s">
        <v>464</v>
      </c>
      <c r="Y124" s="143" t="s">
        <v>465</v>
      </c>
      <c r="Z124" s="143" t="s">
        <v>462</v>
      </c>
      <c r="AA124" s="143">
        <v>3</v>
      </c>
      <c r="AB124" s="170">
        <v>45799</v>
      </c>
    </row>
    <row r="125" spans="1:34">
      <c r="A125" s="143">
        <v>123</v>
      </c>
      <c r="B125" s="144">
        <v>45799</v>
      </c>
      <c r="C125" s="143" t="s">
        <v>193</v>
      </c>
      <c r="D125" s="143" t="s">
        <v>41</v>
      </c>
      <c r="F125" s="143" t="s">
        <v>466</v>
      </c>
      <c r="H125" s="143" t="s">
        <v>467</v>
      </c>
      <c r="I125" s="143" t="s">
        <v>324</v>
      </c>
      <c r="J125" s="143" t="s">
        <v>325</v>
      </c>
      <c r="K125" s="143">
        <v>150</v>
      </c>
      <c r="L125" s="143">
        <v>80</v>
      </c>
      <c r="W125" s="143" t="s">
        <v>49</v>
      </c>
      <c r="X125" s="169" t="s">
        <v>466</v>
      </c>
      <c r="Y125" s="143" t="s">
        <v>465</v>
      </c>
      <c r="Z125" s="143" t="s">
        <v>466</v>
      </c>
      <c r="AA125" s="143">
        <v>2.1</v>
      </c>
      <c r="AB125" s="170">
        <v>45799</v>
      </c>
    </row>
    <row r="126" spans="1:34">
      <c r="A126" s="143">
        <v>124</v>
      </c>
      <c r="B126" s="144">
        <v>45799</v>
      </c>
      <c r="C126" s="143" t="s">
        <v>193</v>
      </c>
      <c r="D126" s="143" t="s">
        <v>41</v>
      </c>
      <c r="F126" s="143" t="s">
        <v>468</v>
      </c>
      <c r="H126" s="143" t="s">
        <v>469</v>
      </c>
      <c r="I126" s="143" t="s">
        <v>324</v>
      </c>
      <c r="J126" s="143" t="s">
        <v>325</v>
      </c>
      <c r="K126" s="143">
        <v>150</v>
      </c>
      <c r="L126" s="143">
        <v>80</v>
      </c>
      <c r="W126" s="143" t="s">
        <v>49</v>
      </c>
      <c r="X126" s="143" t="s">
        <v>468</v>
      </c>
      <c r="Y126" s="143" t="s">
        <v>465</v>
      </c>
      <c r="Z126" s="143" t="s">
        <v>468</v>
      </c>
      <c r="AA126" s="143">
        <v>2.9</v>
      </c>
      <c r="AB126" s="170">
        <v>45799</v>
      </c>
    </row>
    <row r="127" spans="1:34">
      <c r="A127" s="143">
        <v>125</v>
      </c>
      <c r="B127" s="144">
        <v>45799</v>
      </c>
      <c r="C127" s="143" t="s">
        <v>193</v>
      </c>
      <c r="D127" s="143" t="s">
        <v>41</v>
      </c>
      <c r="F127" s="143" t="s">
        <v>470</v>
      </c>
      <c r="H127" s="143" t="s">
        <v>471</v>
      </c>
      <c r="I127" s="143" t="s">
        <v>472</v>
      </c>
      <c r="J127" s="143" t="s">
        <v>320</v>
      </c>
      <c r="K127" s="143">
        <v>150</v>
      </c>
      <c r="L127" s="143">
        <v>55</v>
      </c>
      <c r="W127" s="143" t="s">
        <v>49</v>
      </c>
      <c r="X127" s="143" t="s">
        <v>470</v>
      </c>
      <c r="Y127" s="143" t="s">
        <v>465</v>
      </c>
      <c r="Z127" s="143" t="s">
        <v>470</v>
      </c>
      <c r="AA127" s="143">
        <v>2.8</v>
      </c>
      <c r="AB127" s="170">
        <v>45799</v>
      </c>
    </row>
    <row r="128" spans="1:34">
      <c r="A128" s="143">
        <v>126</v>
      </c>
      <c r="B128" s="144">
        <v>45799</v>
      </c>
      <c r="C128" s="143" t="s">
        <v>193</v>
      </c>
      <c r="D128" s="143" t="s">
        <v>41</v>
      </c>
      <c r="F128" s="143" t="s">
        <v>473</v>
      </c>
      <c r="H128" s="143" t="s">
        <v>474</v>
      </c>
      <c r="I128" s="143" t="s">
        <v>472</v>
      </c>
      <c r="J128" s="143" t="s">
        <v>320</v>
      </c>
      <c r="K128" s="143">
        <v>150</v>
      </c>
      <c r="L128" s="143">
        <v>55</v>
      </c>
      <c r="W128" s="143" t="s">
        <v>49</v>
      </c>
      <c r="X128" s="143" t="s">
        <v>473</v>
      </c>
      <c r="Y128" s="143" t="s">
        <v>475</v>
      </c>
      <c r="Z128" s="143" t="s">
        <v>473</v>
      </c>
      <c r="AA128" s="143">
        <v>2.8</v>
      </c>
      <c r="AB128" s="170">
        <v>45799</v>
      </c>
    </row>
    <row r="129" spans="1:36">
      <c r="A129" s="143">
        <v>127</v>
      </c>
      <c r="B129" s="144">
        <v>45800</v>
      </c>
      <c r="C129" s="143" t="s">
        <v>40</v>
      </c>
      <c r="D129" s="143" t="s">
        <v>41</v>
      </c>
      <c r="F129" s="143" t="s">
        <v>476</v>
      </c>
      <c r="H129" s="143" t="s">
        <v>477</v>
      </c>
      <c r="I129" s="143" t="s">
        <v>478</v>
      </c>
      <c r="J129" s="143" t="s">
        <v>479</v>
      </c>
      <c r="K129" s="143">
        <v>150</v>
      </c>
      <c r="L129" s="143">
        <v>154</v>
      </c>
      <c r="W129" s="143" t="s">
        <v>49</v>
      </c>
      <c r="X129" s="143" t="s">
        <v>476</v>
      </c>
      <c r="Y129" s="143" t="s">
        <v>480</v>
      </c>
      <c r="Z129" s="143" t="s">
        <v>476</v>
      </c>
      <c r="AA129" s="143">
        <v>9.5</v>
      </c>
      <c r="AB129" s="170">
        <v>45800</v>
      </c>
    </row>
    <row r="130" spans="1:36">
      <c r="A130" s="143">
        <v>128</v>
      </c>
      <c r="B130" s="144">
        <v>45800</v>
      </c>
      <c r="C130" s="143" t="s">
        <v>40</v>
      </c>
      <c r="D130" s="143" t="s">
        <v>41</v>
      </c>
      <c r="F130" s="143" t="s">
        <v>481</v>
      </c>
      <c r="H130" s="143" t="s">
        <v>482</v>
      </c>
      <c r="I130" s="143" t="s">
        <v>483</v>
      </c>
      <c r="J130" s="143" t="s">
        <v>484</v>
      </c>
      <c r="K130" s="143">
        <v>150</v>
      </c>
      <c r="L130" s="143">
        <v>233</v>
      </c>
      <c r="W130" s="143" t="s">
        <v>49</v>
      </c>
      <c r="X130" s="143" t="s">
        <v>481</v>
      </c>
      <c r="Y130" s="143" t="s">
        <v>480</v>
      </c>
      <c r="Z130" s="143" t="s">
        <v>481</v>
      </c>
      <c r="AA130" s="143">
        <v>12.6</v>
      </c>
      <c r="AB130" s="170">
        <v>45800</v>
      </c>
    </row>
    <row r="131" spans="1:36">
      <c r="A131" s="143">
        <v>129</v>
      </c>
      <c r="B131" s="144">
        <v>45800</v>
      </c>
      <c r="C131" s="143" t="s">
        <v>40</v>
      </c>
      <c r="D131" s="143" t="s">
        <v>41</v>
      </c>
      <c r="F131" s="143" t="s">
        <v>485</v>
      </c>
      <c r="H131" s="143" t="s">
        <v>486</v>
      </c>
      <c r="I131" s="143" t="s">
        <v>478</v>
      </c>
      <c r="J131" s="143" t="s">
        <v>479</v>
      </c>
      <c r="K131" s="143">
        <v>150</v>
      </c>
      <c r="L131" s="143">
        <v>235</v>
      </c>
      <c r="W131" s="143" t="s">
        <v>49</v>
      </c>
      <c r="X131" s="143" t="s">
        <v>485</v>
      </c>
      <c r="Y131" s="143" t="s">
        <v>487</v>
      </c>
      <c r="Z131" s="143" t="s">
        <v>485</v>
      </c>
      <c r="AA131" s="143">
        <v>11.5</v>
      </c>
      <c r="AB131" s="170">
        <v>45800</v>
      </c>
      <c r="AH131" s="169" t="s">
        <v>488</v>
      </c>
    </row>
    <row r="132" spans="1:36">
      <c r="A132" s="143">
        <v>130</v>
      </c>
      <c r="B132" s="144">
        <v>45800</v>
      </c>
      <c r="C132" s="143" t="s">
        <v>40</v>
      </c>
      <c r="D132" s="143" t="s">
        <v>41</v>
      </c>
      <c r="F132" s="143" t="s">
        <v>489</v>
      </c>
      <c r="H132" s="143" t="s">
        <v>490</v>
      </c>
      <c r="I132" s="143" t="s">
        <v>377</v>
      </c>
      <c r="J132" s="143" t="s">
        <v>320</v>
      </c>
      <c r="K132" s="143">
        <v>150</v>
      </c>
      <c r="L132" s="143">
        <v>240</v>
      </c>
      <c r="W132" s="143" t="s">
        <v>49</v>
      </c>
      <c r="X132" s="143" t="s">
        <v>489</v>
      </c>
      <c r="Y132" s="143" t="s">
        <v>428</v>
      </c>
      <c r="Z132" s="143" t="s">
        <v>489</v>
      </c>
      <c r="AA132" s="143">
        <v>13.9</v>
      </c>
      <c r="AB132" s="170">
        <v>45800</v>
      </c>
    </row>
    <row r="133" spans="1:36">
      <c r="A133" s="143">
        <v>131</v>
      </c>
      <c r="B133" s="144">
        <v>45800</v>
      </c>
      <c r="C133" s="143" t="s">
        <v>40</v>
      </c>
      <c r="D133" s="143" t="s">
        <v>41</v>
      </c>
      <c r="F133" s="143" t="s">
        <v>491</v>
      </c>
      <c r="H133" s="143" t="s">
        <v>492</v>
      </c>
      <c r="I133" s="143" t="s">
        <v>377</v>
      </c>
      <c r="J133" s="143" t="s">
        <v>320</v>
      </c>
      <c r="K133" s="143">
        <v>150</v>
      </c>
      <c r="L133" s="143">
        <v>168</v>
      </c>
      <c r="W133" s="143" t="s">
        <v>49</v>
      </c>
      <c r="X133" s="143" t="s">
        <v>491</v>
      </c>
      <c r="Y133" s="169" t="s">
        <v>493</v>
      </c>
      <c r="Z133" s="143" t="s">
        <v>491</v>
      </c>
      <c r="AA133" s="143">
        <v>12.3</v>
      </c>
      <c r="AB133" s="170">
        <v>45800</v>
      </c>
    </row>
    <row r="134" spans="1:36">
      <c r="A134" s="143">
        <v>132</v>
      </c>
      <c r="B134" s="144">
        <v>45800</v>
      </c>
      <c r="C134" s="143" t="s">
        <v>40</v>
      </c>
      <c r="D134" s="143" t="s">
        <v>41</v>
      </c>
      <c r="F134" s="143" t="s">
        <v>494</v>
      </c>
      <c r="H134" s="143" t="s">
        <v>495</v>
      </c>
      <c r="I134" s="143" t="s">
        <v>478</v>
      </c>
      <c r="J134" s="143" t="s">
        <v>479</v>
      </c>
      <c r="K134" s="143">
        <v>150</v>
      </c>
      <c r="L134" s="143">
        <v>170</v>
      </c>
      <c r="W134" s="143" t="s">
        <v>49</v>
      </c>
      <c r="X134" s="143" t="s">
        <v>494</v>
      </c>
      <c r="Y134" s="169" t="s">
        <v>496</v>
      </c>
      <c r="Z134" s="143" t="s">
        <v>494</v>
      </c>
      <c r="AA134" s="143">
        <v>12.2</v>
      </c>
      <c r="AB134" s="170">
        <v>45800</v>
      </c>
    </row>
    <row r="135" spans="1:36">
      <c r="A135" s="143">
        <v>133</v>
      </c>
      <c r="B135" s="144">
        <v>45803</v>
      </c>
      <c r="C135" s="143" t="s">
        <v>40</v>
      </c>
      <c r="D135" s="143" t="s">
        <v>41</v>
      </c>
      <c r="F135" s="143" t="s">
        <v>497</v>
      </c>
      <c r="H135" s="143" t="s">
        <v>498</v>
      </c>
      <c r="I135" s="143" t="s">
        <v>499</v>
      </c>
      <c r="J135" s="143" t="s">
        <v>500</v>
      </c>
      <c r="K135" s="143">
        <v>145</v>
      </c>
      <c r="L135" s="143">
        <v>230</v>
      </c>
      <c r="W135" s="143" t="s">
        <v>49</v>
      </c>
      <c r="X135" s="143" t="s">
        <v>497</v>
      </c>
      <c r="Y135" s="143" t="s">
        <v>220</v>
      </c>
      <c r="Z135" s="143" t="s">
        <v>497</v>
      </c>
      <c r="AA135" s="143">
        <v>15.6</v>
      </c>
      <c r="AB135" s="170">
        <v>7061</v>
      </c>
    </row>
    <row r="136" spans="1:36">
      <c r="A136" s="143">
        <v>134</v>
      </c>
      <c r="B136" s="144">
        <v>45803</v>
      </c>
      <c r="C136" s="143" t="s">
        <v>40</v>
      </c>
      <c r="D136" s="143" t="s">
        <v>41</v>
      </c>
      <c r="F136" s="143" t="s">
        <v>501</v>
      </c>
      <c r="H136" s="143" t="s">
        <v>502</v>
      </c>
      <c r="I136" s="143" t="s">
        <v>377</v>
      </c>
      <c r="J136" s="143" t="s">
        <v>320</v>
      </c>
      <c r="K136" s="143">
        <v>170</v>
      </c>
      <c r="L136" s="143">
        <v>200</v>
      </c>
      <c r="W136" s="143" t="s">
        <v>49</v>
      </c>
      <c r="X136" s="143" t="s">
        <v>501</v>
      </c>
      <c r="Y136" s="143" t="s">
        <v>220</v>
      </c>
      <c r="Z136" s="143" t="s">
        <v>501</v>
      </c>
      <c r="AA136" s="143">
        <v>15.6</v>
      </c>
      <c r="AB136" s="170">
        <v>45803</v>
      </c>
    </row>
    <row r="137" ht="15" spans="1:36">
      <c r="A137" s="143">
        <v>135</v>
      </c>
      <c r="C137" s="143" t="s">
        <v>193</v>
      </c>
      <c r="D137" s="143" t="s">
        <v>229</v>
      </c>
      <c r="H137" s="174" t="s">
        <v>503</v>
      </c>
      <c r="I137" s="143" t="s">
        <v>324</v>
      </c>
      <c r="J137" s="143" t="s">
        <v>330</v>
      </c>
      <c r="K137" s="143">
        <v>150</v>
      </c>
      <c r="L137" s="143">
        <v>110</v>
      </c>
      <c r="W137" s="143" t="s">
        <v>49</v>
      </c>
      <c r="X137" s="143" t="s">
        <v>504</v>
      </c>
      <c r="Y137" s="143" t="s">
        <v>505</v>
      </c>
      <c r="Z137" s="143" t="s">
        <v>504</v>
      </c>
      <c r="AA137" s="173"/>
      <c r="AB137" s="170"/>
      <c r="AG137" s="143" t="s">
        <v>506</v>
      </c>
      <c r="AH137" s="143" t="s">
        <v>507</v>
      </c>
      <c r="AJ137" s="143" t="s">
        <v>508</v>
      </c>
    </row>
    <row r="138" spans="1:36">
      <c r="A138" s="143">
        <v>136</v>
      </c>
      <c r="C138" s="143" t="s">
        <v>193</v>
      </c>
      <c r="D138" s="143" t="s">
        <v>229</v>
      </c>
      <c r="H138" s="152" t="s">
        <v>509</v>
      </c>
      <c r="I138" s="143" t="s">
        <v>510</v>
      </c>
      <c r="J138" s="143" t="s">
        <v>511</v>
      </c>
      <c r="K138" s="143">
        <v>150</v>
      </c>
      <c r="L138" s="143">
        <v>220</v>
      </c>
      <c r="W138" s="143" t="s">
        <v>49</v>
      </c>
      <c r="X138" s="143" t="s">
        <v>512</v>
      </c>
      <c r="Y138" s="143" t="s">
        <v>513</v>
      </c>
      <c r="Z138" s="143" t="s">
        <v>512</v>
      </c>
      <c r="AB138" s="170"/>
      <c r="AG138" s="143" t="s">
        <v>514</v>
      </c>
      <c r="AJ138" s="143" t="s">
        <v>515</v>
      </c>
    </row>
    <row r="139" spans="1:36">
      <c r="A139" s="143">
        <v>137</v>
      </c>
      <c r="C139" s="143" t="s">
        <v>193</v>
      </c>
      <c r="D139" s="143" t="s">
        <v>229</v>
      </c>
      <c r="H139" s="152" t="s">
        <v>516</v>
      </c>
      <c r="I139" s="143" t="s">
        <v>324</v>
      </c>
      <c r="J139" s="143" t="s">
        <v>517</v>
      </c>
      <c r="K139" s="143">
        <v>150</v>
      </c>
      <c r="L139" s="143">
        <v>300</v>
      </c>
      <c r="W139" s="143" t="s">
        <v>49</v>
      </c>
      <c r="X139" s="143">
        <v>17460</v>
      </c>
      <c r="Y139" s="143" t="s">
        <v>513</v>
      </c>
      <c r="Z139" s="143">
        <v>17460</v>
      </c>
      <c r="AA139" s="143">
        <v>10</v>
      </c>
      <c r="AB139" s="170">
        <v>45920</v>
      </c>
      <c r="AG139" s="143" t="s">
        <v>514</v>
      </c>
      <c r="AJ139" s="143" t="s">
        <v>515</v>
      </c>
    </row>
    <row r="140" spans="1:36">
      <c r="A140" s="143">
        <v>138</v>
      </c>
      <c r="C140" s="143" t="s">
        <v>193</v>
      </c>
      <c r="D140" s="143" t="s">
        <v>229</v>
      </c>
      <c r="H140" s="152" t="s">
        <v>518</v>
      </c>
      <c r="I140" s="143" t="s">
        <v>519</v>
      </c>
      <c r="J140" s="143" t="s">
        <v>520</v>
      </c>
      <c r="K140" s="143">
        <v>183</v>
      </c>
      <c r="L140" s="143">
        <v>270</v>
      </c>
      <c r="W140" s="143" t="s">
        <v>49</v>
      </c>
      <c r="X140" s="143">
        <v>17268</v>
      </c>
      <c r="Y140" s="143" t="s">
        <v>513</v>
      </c>
      <c r="Z140" s="143">
        <v>17268</v>
      </c>
      <c r="AB140" s="170"/>
      <c r="AG140" s="143" t="s">
        <v>514</v>
      </c>
      <c r="AJ140" s="143" t="s">
        <v>515</v>
      </c>
    </row>
    <row r="141" spans="1:36">
      <c r="A141" s="143">
        <v>139</v>
      </c>
      <c r="C141" s="143" t="s">
        <v>193</v>
      </c>
      <c r="D141" s="143" t="s">
        <v>229</v>
      </c>
      <c r="H141" s="152" t="s">
        <v>521</v>
      </c>
      <c r="I141" s="143" t="s">
        <v>522</v>
      </c>
      <c r="J141" s="143" t="s">
        <v>523</v>
      </c>
      <c r="K141" s="143">
        <v>185</v>
      </c>
      <c r="L141" s="143">
        <v>250</v>
      </c>
      <c r="W141" s="143" t="s">
        <v>49</v>
      </c>
      <c r="X141" s="143">
        <v>18214</v>
      </c>
      <c r="Y141" s="143" t="s">
        <v>513</v>
      </c>
      <c r="Z141" s="143">
        <v>18214</v>
      </c>
      <c r="AB141" s="170"/>
      <c r="AG141" s="143" t="s">
        <v>514</v>
      </c>
      <c r="AJ141" s="143" t="s">
        <v>515</v>
      </c>
    </row>
    <row r="142" spans="1:36">
      <c r="A142" s="143">
        <v>140</v>
      </c>
      <c r="C142" s="143" t="s">
        <v>193</v>
      </c>
      <c r="D142" s="143" t="s">
        <v>229</v>
      </c>
      <c r="H142" s="152" t="s">
        <v>524</v>
      </c>
      <c r="I142" s="143" t="s">
        <v>525</v>
      </c>
      <c r="J142" s="143" t="s">
        <v>526</v>
      </c>
      <c r="K142" s="143">
        <v>160</v>
      </c>
      <c r="L142" s="143">
        <v>230</v>
      </c>
      <c r="W142" s="143" t="s">
        <v>49</v>
      </c>
      <c r="X142" s="143">
        <v>17592</v>
      </c>
      <c r="Y142" s="143" t="s">
        <v>513</v>
      </c>
      <c r="Z142" s="143">
        <v>17592</v>
      </c>
      <c r="AB142" s="170"/>
      <c r="AG142" s="143" t="s">
        <v>514</v>
      </c>
      <c r="AJ142" s="143" t="s">
        <v>515</v>
      </c>
    </row>
    <row r="143" spans="1:36">
      <c r="A143" s="143">
        <v>141</v>
      </c>
      <c r="C143" s="143" t="s">
        <v>193</v>
      </c>
      <c r="D143" s="143" t="s">
        <v>229</v>
      </c>
      <c r="H143" s="152" t="s">
        <v>527</v>
      </c>
      <c r="I143" s="143" t="s">
        <v>528</v>
      </c>
      <c r="J143" s="143" t="s">
        <v>529</v>
      </c>
      <c r="K143" s="143">
        <v>165</v>
      </c>
      <c r="L143" s="143">
        <v>310</v>
      </c>
      <c r="W143" s="143" t="s">
        <v>49</v>
      </c>
      <c r="X143" s="143">
        <v>17696</v>
      </c>
      <c r="Y143" s="143" t="s">
        <v>513</v>
      </c>
      <c r="Z143" s="143">
        <v>17696</v>
      </c>
      <c r="AB143" s="170"/>
      <c r="AG143" s="143" t="s">
        <v>514</v>
      </c>
      <c r="AJ143" s="143" t="s">
        <v>515</v>
      </c>
    </row>
    <row r="144" spans="1:36">
      <c r="A144" s="143">
        <v>142</v>
      </c>
      <c r="C144" s="143" t="s">
        <v>193</v>
      </c>
      <c r="D144" s="143" t="s">
        <v>229</v>
      </c>
      <c r="H144" s="152" t="s">
        <v>530</v>
      </c>
      <c r="I144" s="143" t="s">
        <v>510</v>
      </c>
      <c r="J144" s="143" t="s">
        <v>511</v>
      </c>
      <c r="K144" s="143">
        <v>175</v>
      </c>
      <c r="L144" s="143">
        <v>250</v>
      </c>
      <c r="W144" s="143" t="s">
        <v>49</v>
      </c>
      <c r="X144" s="143" t="s">
        <v>531</v>
      </c>
      <c r="Y144" s="143" t="s">
        <v>513</v>
      </c>
      <c r="Z144" s="143" t="s">
        <v>531</v>
      </c>
      <c r="AB144" s="170"/>
      <c r="AG144" s="143" t="s">
        <v>514</v>
      </c>
      <c r="AJ144" s="143" t="s">
        <v>515</v>
      </c>
    </row>
    <row r="145" spans="1:36">
      <c r="A145" s="143">
        <v>143</v>
      </c>
      <c r="C145" s="143" t="s">
        <v>193</v>
      </c>
      <c r="D145" s="143" t="s">
        <v>229</v>
      </c>
      <c r="H145" s="152" t="s">
        <v>532</v>
      </c>
      <c r="I145" s="143" t="s">
        <v>525</v>
      </c>
      <c r="J145" s="143" t="s">
        <v>526</v>
      </c>
      <c r="K145" s="143">
        <v>180</v>
      </c>
      <c r="L145" s="143">
        <v>220</v>
      </c>
      <c r="W145" s="143" t="s">
        <v>49</v>
      </c>
      <c r="X145" s="143" t="s">
        <v>533</v>
      </c>
      <c r="Y145" s="143" t="s">
        <v>513</v>
      </c>
      <c r="Z145" s="143" t="s">
        <v>533</v>
      </c>
      <c r="AB145" s="170"/>
      <c r="AG145" s="143" t="s">
        <v>514</v>
      </c>
      <c r="AJ145" s="143" t="s">
        <v>515</v>
      </c>
    </row>
    <row r="146" spans="1:36">
      <c r="A146" s="143">
        <v>144</v>
      </c>
      <c r="C146" s="143" t="s">
        <v>193</v>
      </c>
      <c r="D146" s="143" t="s">
        <v>229</v>
      </c>
      <c r="H146" s="152" t="s">
        <v>534</v>
      </c>
      <c r="I146" s="143" t="s">
        <v>535</v>
      </c>
      <c r="J146" s="143" t="s">
        <v>536</v>
      </c>
      <c r="K146" s="143">
        <v>150</v>
      </c>
      <c r="L146" s="143">
        <v>300</v>
      </c>
      <c r="W146" s="143" t="s">
        <v>49</v>
      </c>
      <c r="X146" s="143">
        <v>17205</v>
      </c>
      <c r="Y146" s="143" t="s">
        <v>513</v>
      </c>
      <c r="Z146" s="143">
        <v>17205</v>
      </c>
      <c r="AA146" s="143">
        <v>10</v>
      </c>
      <c r="AB146" s="170">
        <v>45920</v>
      </c>
      <c r="AG146" s="143" t="s">
        <v>514</v>
      </c>
      <c r="AJ146" s="143" t="s">
        <v>515</v>
      </c>
    </row>
    <row r="147" spans="1:36">
      <c r="A147" s="143">
        <v>145</v>
      </c>
      <c r="C147" s="143" t="s">
        <v>193</v>
      </c>
      <c r="D147" s="143" t="s">
        <v>229</v>
      </c>
      <c r="H147" s="152" t="s">
        <v>537</v>
      </c>
      <c r="I147" s="143" t="s">
        <v>535</v>
      </c>
      <c r="J147" s="143" t="s">
        <v>536</v>
      </c>
      <c r="K147" s="143">
        <v>185</v>
      </c>
      <c r="W147" s="143" t="s">
        <v>49</v>
      </c>
      <c r="X147" s="143" t="s">
        <v>538</v>
      </c>
      <c r="Y147" s="143" t="s">
        <v>539</v>
      </c>
      <c r="Z147" s="143" t="s">
        <v>538</v>
      </c>
      <c r="AB147" s="170"/>
      <c r="AG147" s="143" t="s">
        <v>514</v>
      </c>
      <c r="AJ147" s="143" t="s">
        <v>515</v>
      </c>
    </row>
    <row r="148" spans="1:36">
      <c r="A148" s="143">
        <v>146</v>
      </c>
      <c r="C148" s="143" t="s">
        <v>193</v>
      </c>
      <c r="D148" s="143" t="s">
        <v>229</v>
      </c>
      <c r="H148" s="152" t="s">
        <v>540</v>
      </c>
      <c r="I148" s="143" t="s">
        <v>535</v>
      </c>
      <c r="J148" s="143" t="s">
        <v>536</v>
      </c>
      <c r="K148" s="143">
        <v>188</v>
      </c>
      <c r="W148" s="143" t="s">
        <v>49</v>
      </c>
      <c r="X148" s="143" t="s">
        <v>541</v>
      </c>
      <c r="Y148" s="143" t="s">
        <v>539</v>
      </c>
      <c r="Z148" s="143" t="s">
        <v>541</v>
      </c>
      <c r="AB148" s="170"/>
      <c r="AG148" s="143" t="s">
        <v>514</v>
      </c>
      <c r="AJ148" s="143" t="s">
        <v>515</v>
      </c>
    </row>
    <row r="149" ht="15" spans="1:36">
      <c r="A149" s="143">
        <v>147</v>
      </c>
      <c r="C149" s="143" t="s">
        <v>193</v>
      </c>
      <c r="D149" s="143" t="s">
        <v>229</v>
      </c>
      <c r="H149" s="172" t="s">
        <v>542</v>
      </c>
      <c r="I149" s="143" t="s">
        <v>324</v>
      </c>
      <c r="J149" s="143" t="s">
        <v>517</v>
      </c>
      <c r="K149" s="143">
        <v>150</v>
      </c>
      <c r="L149" s="143">
        <v>150</v>
      </c>
      <c r="W149" s="143" t="s">
        <v>49</v>
      </c>
      <c r="X149" s="143">
        <v>3005</v>
      </c>
      <c r="Y149" s="143" t="s">
        <v>543</v>
      </c>
      <c r="Z149" s="143">
        <v>3005</v>
      </c>
      <c r="AA149" s="173"/>
      <c r="AB149" s="170">
        <v>46104</v>
      </c>
      <c r="AG149" s="143" t="s">
        <v>301</v>
      </c>
      <c r="AH149" s="143" t="s">
        <v>250</v>
      </c>
      <c r="AJ149" s="143" t="s">
        <v>544</v>
      </c>
    </row>
    <row r="150" ht="15" spans="1:36">
      <c r="A150" s="143">
        <v>148</v>
      </c>
      <c r="C150" s="143" t="s">
        <v>193</v>
      </c>
      <c r="D150" s="143" t="s">
        <v>229</v>
      </c>
      <c r="H150" s="172" t="s">
        <v>545</v>
      </c>
      <c r="I150" s="143" t="s">
        <v>546</v>
      </c>
      <c r="J150" s="143" t="s">
        <v>547</v>
      </c>
      <c r="K150" s="143">
        <v>147</v>
      </c>
      <c r="L150" s="143">
        <v>255</v>
      </c>
      <c r="W150" s="143" t="s">
        <v>49</v>
      </c>
      <c r="X150" s="143">
        <v>2902</v>
      </c>
      <c r="Y150" s="143" t="s">
        <v>543</v>
      </c>
      <c r="Z150" s="143">
        <v>2902</v>
      </c>
      <c r="AA150" s="173"/>
      <c r="AB150" s="170">
        <v>46104</v>
      </c>
      <c r="AG150" s="143" t="s">
        <v>301</v>
      </c>
      <c r="AH150" s="143" t="s">
        <v>250</v>
      </c>
      <c r="AJ150" s="143" t="s">
        <v>544</v>
      </c>
    </row>
    <row r="151" ht="15" spans="1:36">
      <c r="A151" s="143">
        <v>149</v>
      </c>
      <c r="C151" s="143" t="s">
        <v>193</v>
      </c>
      <c r="D151" s="143" t="s">
        <v>229</v>
      </c>
      <c r="H151" s="172" t="s">
        <v>548</v>
      </c>
      <c r="I151" s="143" t="s">
        <v>324</v>
      </c>
      <c r="J151" s="143" t="s">
        <v>517</v>
      </c>
      <c r="K151" s="143">
        <v>150</v>
      </c>
      <c r="L151" s="143">
        <v>175</v>
      </c>
      <c r="W151" s="143" t="s">
        <v>49</v>
      </c>
      <c r="X151" s="143">
        <v>2989</v>
      </c>
      <c r="Y151" s="143" t="s">
        <v>543</v>
      </c>
      <c r="Z151" s="143">
        <v>2989</v>
      </c>
      <c r="AA151" s="173">
        <v>17</v>
      </c>
      <c r="AB151" s="170">
        <v>46104</v>
      </c>
      <c r="AG151" s="143" t="s">
        <v>301</v>
      </c>
      <c r="AH151" s="143" t="s">
        <v>250</v>
      </c>
      <c r="AJ151" s="143" t="s">
        <v>544</v>
      </c>
    </row>
    <row r="152" ht="15" spans="1:36">
      <c r="A152" s="143">
        <v>150</v>
      </c>
      <c r="C152" s="143" t="s">
        <v>193</v>
      </c>
      <c r="D152" s="143" t="s">
        <v>229</v>
      </c>
      <c r="H152" s="172" t="s">
        <v>549</v>
      </c>
      <c r="I152" s="143" t="s">
        <v>546</v>
      </c>
      <c r="J152" s="143" t="s">
        <v>547</v>
      </c>
      <c r="K152" s="143">
        <v>147</v>
      </c>
      <c r="L152" s="143">
        <v>255</v>
      </c>
      <c r="W152" s="143" t="s">
        <v>49</v>
      </c>
      <c r="X152" s="143">
        <v>2902</v>
      </c>
      <c r="Y152" s="143" t="s">
        <v>543</v>
      </c>
      <c r="Z152" s="143">
        <v>2902</v>
      </c>
      <c r="AA152" s="173"/>
      <c r="AB152" s="170">
        <v>46104</v>
      </c>
      <c r="AG152" s="143" t="s">
        <v>249</v>
      </c>
      <c r="AH152" s="143" t="s">
        <v>250</v>
      </c>
      <c r="AJ152" s="143" t="s">
        <v>254</v>
      </c>
    </row>
    <row r="153" ht="15" spans="1:36">
      <c r="A153" s="143">
        <v>151</v>
      </c>
      <c r="C153" s="143" t="s">
        <v>193</v>
      </c>
      <c r="D153" s="143" t="s">
        <v>229</v>
      </c>
      <c r="H153" s="172" t="s">
        <v>550</v>
      </c>
      <c r="I153" s="143" t="s">
        <v>324</v>
      </c>
      <c r="J153" s="143" t="s">
        <v>517</v>
      </c>
      <c r="K153" s="143">
        <v>148</v>
      </c>
      <c r="L153" s="143">
        <v>135</v>
      </c>
      <c r="W153" s="143" t="s">
        <v>49</v>
      </c>
      <c r="X153" s="143">
        <v>25292</v>
      </c>
      <c r="Y153" s="143" t="s">
        <v>551</v>
      </c>
      <c r="Z153" s="143">
        <v>25292</v>
      </c>
      <c r="AA153" s="173"/>
      <c r="AB153" s="170">
        <v>46104</v>
      </c>
      <c r="AG153" s="143" t="s">
        <v>233</v>
      </c>
      <c r="AH153" s="143" t="s">
        <v>250</v>
      </c>
      <c r="AJ153" s="143" t="s">
        <v>305</v>
      </c>
    </row>
    <row r="154" spans="1:36">
      <c r="A154" s="143">
        <v>152</v>
      </c>
      <c r="C154" s="143" t="s">
        <v>193</v>
      </c>
      <c r="D154" s="143" t="s">
        <v>229</v>
      </c>
      <c r="H154" s="152" t="s">
        <v>552</v>
      </c>
      <c r="I154" s="143" t="s">
        <v>553</v>
      </c>
      <c r="J154" s="143" t="s">
        <v>554</v>
      </c>
      <c r="K154" s="143">
        <v>145</v>
      </c>
      <c r="L154" s="143">
        <v>495</v>
      </c>
      <c r="W154" s="143" t="s">
        <v>49</v>
      </c>
      <c r="X154" s="143">
        <v>25409</v>
      </c>
      <c r="Y154" s="143" t="s">
        <v>555</v>
      </c>
      <c r="Z154" s="143">
        <v>25409</v>
      </c>
      <c r="AB154" s="170"/>
      <c r="AG154" s="143" t="s">
        <v>514</v>
      </c>
      <c r="AJ154" s="143" t="s">
        <v>515</v>
      </c>
    </row>
    <row r="155" ht="15" spans="1:36">
      <c r="A155" s="143">
        <v>153</v>
      </c>
      <c r="C155" s="143" t="s">
        <v>193</v>
      </c>
      <c r="D155" s="143" t="s">
        <v>229</v>
      </c>
      <c r="H155" s="172" t="s">
        <v>556</v>
      </c>
      <c r="I155" s="143" t="s">
        <v>324</v>
      </c>
      <c r="J155" s="143" t="s">
        <v>517</v>
      </c>
      <c r="K155" s="143">
        <v>150</v>
      </c>
      <c r="L155" s="143">
        <v>135</v>
      </c>
      <c r="W155" s="143" t="s">
        <v>49</v>
      </c>
      <c r="X155" s="143">
        <v>2542</v>
      </c>
      <c r="Y155" s="143" t="s">
        <v>551</v>
      </c>
      <c r="Z155" s="143">
        <v>2542</v>
      </c>
      <c r="AA155" s="173"/>
      <c r="AB155" s="170">
        <v>46104</v>
      </c>
      <c r="AG155" s="143" t="s">
        <v>233</v>
      </c>
      <c r="AH155" s="143" t="s">
        <v>250</v>
      </c>
      <c r="AJ155" s="143" t="s">
        <v>234</v>
      </c>
    </row>
    <row r="156" spans="1:36">
      <c r="A156" s="143">
        <v>154</v>
      </c>
      <c r="C156" s="143" t="s">
        <v>193</v>
      </c>
      <c r="D156" s="143" t="s">
        <v>557</v>
      </c>
      <c r="H156" s="152" t="s">
        <v>558</v>
      </c>
      <c r="I156" s="143" t="s">
        <v>436</v>
      </c>
      <c r="J156" s="143" t="s">
        <v>559</v>
      </c>
      <c r="K156" s="143">
        <v>150</v>
      </c>
      <c r="L156" s="143">
        <v>190</v>
      </c>
      <c r="W156" s="143" t="s">
        <v>49</v>
      </c>
      <c r="X156" s="143" t="s">
        <v>560</v>
      </c>
      <c r="Y156" s="169" t="s">
        <v>561</v>
      </c>
      <c r="Z156" s="143" t="s">
        <v>560</v>
      </c>
      <c r="AA156" s="143">
        <v>48</v>
      </c>
      <c r="AB156" s="170">
        <v>45861</v>
      </c>
      <c r="AG156" s="143" t="s">
        <v>562</v>
      </c>
      <c r="AH156" s="143" t="s">
        <v>563</v>
      </c>
      <c r="AJ156" s="143" t="s">
        <v>564</v>
      </c>
    </row>
    <row r="157" ht="15" spans="1:36">
      <c r="A157" s="143">
        <v>155</v>
      </c>
      <c r="C157" s="143" t="s">
        <v>193</v>
      </c>
      <c r="D157" s="143" t="s">
        <v>229</v>
      </c>
      <c r="H157" s="172" t="s">
        <v>565</v>
      </c>
      <c r="I157" s="143" t="s">
        <v>436</v>
      </c>
      <c r="J157" s="143" t="s">
        <v>559</v>
      </c>
      <c r="K157" s="143">
        <v>150</v>
      </c>
      <c r="L157" s="143">
        <v>210</v>
      </c>
      <c r="W157" s="143" t="s">
        <v>49</v>
      </c>
      <c r="X157" s="143" t="s">
        <v>566</v>
      </c>
      <c r="Y157" s="143" t="s">
        <v>567</v>
      </c>
      <c r="Z157" s="143" t="s">
        <v>566</v>
      </c>
      <c r="AA157" s="173"/>
      <c r="AB157" s="170">
        <v>46104</v>
      </c>
      <c r="AG157" s="143" t="s">
        <v>562</v>
      </c>
      <c r="AH157" s="143" t="s">
        <v>250</v>
      </c>
      <c r="AJ157" s="143" t="s">
        <v>564</v>
      </c>
    </row>
    <row r="158" spans="1:36">
      <c r="A158" s="143">
        <v>156</v>
      </c>
      <c r="C158" s="143" t="s">
        <v>193</v>
      </c>
      <c r="D158" s="143" t="s">
        <v>229</v>
      </c>
      <c r="H158" s="152" t="s">
        <v>568</v>
      </c>
      <c r="I158" s="143" t="s">
        <v>436</v>
      </c>
      <c r="J158" s="143" t="s">
        <v>559</v>
      </c>
      <c r="K158" s="143">
        <v>150</v>
      </c>
      <c r="L158" s="143">
        <v>240</v>
      </c>
      <c r="W158" s="143" t="s">
        <v>49</v>
      </c>
      <c r="X158" s="143" t="s">
        <v>569</v>
      </c>
      <c r="Y158" s="143" t="s">
        <v>567</v>
      </c>
      <c r="Z158" s="143" t="s">
        <v>569</v>
      </c>
      <c r="AB158" s="170"/>
      <c r="AG158" s="143" t="s">
        <v>562</v>
      </c>
      <c r="AJ158" s="143" t="s">
        <v>564</v>
      </c>
    </row>
    <row r="159" spans="1:36">
      <c r="A159" s="143">
        <v>157</v>
      </c>
      <c r="C159" s="143" t="s">
        <v>193</v>
      </c>
      <c r="D159" s="143" t="s">
        <v>229</v>
      </c>
      <c r="H159" s="152" t="s">
        <v>570</v>
      </c>
      <c r="I159" s="143" t="s">
        <v>324</v>
      </c>
      <c r="J159" s="143" t="s">
        <v>517</v>
      </c>
      <c r="K159" s="143">
        <v>150</v>
      </c>
      <c r="W159" s="143" t="s">
        <v>49</v>
      </c>
      <c r="X159" s="143">
        <v>2480</v>
      </c>
      <c r="Y159" s="143" t="s">
        <v>571</v>
      </c>
      <c r="Z159" s="143">
        <v>2480</v>
      </c>
      <c r="AB159" s="170"/>
      <c r="AG159" s="143" t="s">
        <v>249</v>
      </c>
      <c r="AJ159" s="143" t="s">
        <v>251</v>
      </c>
    </row>
    <row r="160" ht="15" spans="1:36">
      <c r="A160" s="143">
        <v>158</v>
      </c>
      <c r="C160" s="143" t="s">
        <v>193</v>
      </c>
      <c r="D160" s="143" t="s">
        <v>229</v>
      </c>
      <c r="H160" s="172" t="s">
        <v>572</v>
      </c>
      <c r="I160" s="143" t="s">
        <v>324</v>
      </c>
      <c r="J160" s="143" t="s">
        <v>517</v>
      </c>
      <c r="K160" s="143">
        <v>150</v>
      </c>
      <c r="L160" s="143">
        <v>170</v>
      </c>
      <c r="W160" s="143" t="s">
        <v>49</v>
      </c>
      <c r="X160" s="143">
        <v>2443</v>
      </c>
      <c r="Y160" s="143" t="s">
        <v>571</v>
      </c>
      <c r="Z160" s="143">
        <v>2443</v>
      </c>
      <c r="AA160" s="173">
        <v>21.5</v>
      </c>
      <c r="AB160" s="170">
        <v>46104</v>
      </c>
      <c r="AG160" s="143" t="s">
        <v>506</v>
      </c>
      <c r="AH160" s="143" t="s">
        <v>250</v>
      </c>
      <c r="AJ160" s="143" t="s">
        <v>508</v>
      </c>
    </row>
    <row r="161" spans="1:36">
      <c r="A161" s="143">
        <v>159</v>
      </c>
      <c r="C161" s="143" t="s">
        <v>193</v>
      </c>
      <c r="D161" s="143" t="s">
        <v>229</v>
      </c>
      <c r="H161" s="152" t="s">
        <v>573</v>
      </c>
      <c r="I161" s="143" t="s">
        <v>574</v>
      </c>
      <c r="J161" s="143" t="s">
        <v>575</v>
      </c>
      <c r="K161" s="143">
        <v>165</v>
      </c>
      <c r="L161" s="143">
        <v>230</v>
      </c>
      <c r="W161" s="143" t="s">
        <v>49</v>
      </c>
      <c r="X161" s="143" t="s">
        <v>576</v>
      </c>
      <c r="Y161" s="143" t="s">
        <v>577</v>
      </c>
      <c r="Z161" s="143" t="s">
        <v>576</v>
      </c>
      <c r="AB161" s="170"/>
      <c r="AG161" s="143" t="s">
        <v>269</v>
      </c>
      <c r="AJ161" s="143" t="s">
        <v>270</v>
      </c>
    </row>
    <row r="162" spans="1:36">
      <c r="A162" s="143">
        <v>160</v>
      </c>
      <c r="C162" s="143" t="s">
        <v>193</v>
      </c>
      <c r="D162" s="143" t="s">
        <v>229</v>
      </c>
      <c r="H162" s="152" t="s">
        <v>578</v>
      </c>
      <c r="I162" s="143" t="s">
        <v>324</v>
      </c>
      <c r="J162" s="143" t="s">
        <v>517</v>
      </c>
      <c r="K162" s="143">
        <v>185</v>
      </c>
      <c r="L162" s="143">
        <v>200</v>
      </c>
      <c r="W162" s="143" t="s">
        <v>49</v>
      </c>
      <c r="X162" s="143" t="s">
        <v>579</v>
      </c>
      <c r="Y162" s="143" t="s">
        <v>580</v>
      </c>
      <c r="Z162" s="143" t="s">
        <v>579</v>
      </c>
      <c r="AB162" s="170"/>
      <c r="AG162" s="143" t="s">
        <v>269</v>
      </c>
      <c r="AJ162" s="143" t="s">
        <v>270</v>
      </c>
    </row>
    <row r="163" spans="1:36">
      <c r="A163" s="143">
        <v>161</v>
      </c>
      <c r="C163" s="143" t="s">
        <v>193</v>
      </c>
      <c r="D163" s="143" t="s">
        <v>229</v>
      </c>
      <c r="H163" s="152" t="s">
        <v>581</v>
      </c>
      <c r="I163" s="143" t="s">
        <v>324</v>
      </c>
      <c r="J163" s="143" t="s">
        <v>517</v>
      </c>
      <c r="K163" s="143">
        <v>125</v>
      </c>
      <c r="W163" s="143" t="s">
        <v>49</v>
      </c>
      <c r="X163" s="143" t="s">
        <v>582</v>
      </c>
      <c r="Y163" s="143" t="s">
        <v>311</v>
      </c>
      <c r="Z163" s="143" t="s">
        <v>582</v>
      </c>
      <c r="AB163" s="170"/>
      <c r="AG163" s="143" t="s">
        <v>312</v>
      </c>
      <c r="AJ163" s="143" t="s">
        <v>313</v>
      </c>
    </row>
    <row r="164" ht="15" spans="1:36">
      <c r="A164" s="143">
        <v>162</v>
      </c>
      <c r="C164" s="143" t="s">
        <v>193</v>
      </c>
      <c r="D164" s="143" t="s">
        <v>229</v>
      </c>
      <c r="H164" s="174" t="s">
        <v>583</v>
      </c>
      <c r="I164" s="143" t="s">
        <v>324</v>
      </c>
      <c r="J164" s="143" t="s">
        <v>517</v>
      </c>
      <c r="K164" s="143">
        <v>143</v>
      </c>
      <c r="L164" s="143">
        <v>105</v>
      </c>
      <c r="W164" s="143" t="s">
        <v>49</v>
      </c>
      <c r="X164" s="143" t="s">
        <v>584</v>
      </c>
      <c r="Y164" s="143" t="s">
        <v>311</v>
      </c>
      <c r="Z164" s="143" t="s">
        <v>584</v>
      </c>
      <c r="AA164" s="173">
        <v>30</v>
      </c>
      <c r="AB164" s="170">
        <v>46104</v>
      </c>
      <c r="AG164" s="143" t="s">
        <v>506</v>
      </c>
      <c r="AH164" s="143" t="s">
        <v>507</v>
      </c>
      <c r="AJ164" s="143" t="s">
        <v>508</v>
      </c>
    </row>
    <row r="165" spans="1:36">
      <c r="A165" s="143">
        <v>163</v>
      </c>
      <c r="C165" s="143" t="s">
        <v>193</v>
      </c>
      <c r="D165" s="143" t="s">
        <v>229</v>
      </c>
      <c r="H165" s="152" t="s">
        <v>585</v>
      </c>
      <c r="I165" s="143" t="s">
        <v>324</v>
      </c>
      <c r="J165" s="143" t="s">
        <v>517</v>
      </c>
      <c r="K165" s="143">
        <v>145</v>
      </c>
      <c r="W165" s="143" t="s">
        <v>49</v>
      </c>
      <c r="X165" s="143" t="s">
        <v>586</v>
      </c>
      <c r="Y165" s="143" t="s">
        <v>311</v>
      </c>
      <c r="Z165" s="143" t="s">
        <v>586</v>
      </c>
      <c r="AB165" s="170"/>
      <c r="AG165" s="143" t="s">
        <v>312</v>
      </c>
      <c r="AJ165" s="143" t="s">
        <v>313</v>
      </c>
    </row>
    <row r="166" ht="15" spans="1:36">
      <c r="A166" s="143">
        <v>164</v>
      </c>
      <c r="C166" s="143" t="s">
        <v>193</v>
      </c>
      <c r="D166" s="143" t="s">
        <v>229</v>
      </c>
      <c r="H166" s="174" t="s">
        <v>587</v>
      </c>
      <c r="I166" s="143" t="s">
        <v>324</v>
      </c>
      <c r="J166" s="143" t="s">
        <v>517</v>
      </c>
      <c r="K166" s="143">
        <v>145</v>
      </c>
      <c r="L166" s="143">
        <v>145</v>
      </c>
      <c r="W166" s="143" t="s">
        <v>49</v>
      </c>
      <c r="X166" s="143" t="s">
        <v>588</v>
      </c>
      <c r="Y166" s="143" t="s">
        <v>311</v>
      </c>
      <c r="Z166" s="143" t="s">
        <v>588</v>
      </c>
      <c r="AA166" s="173">
        <v>21</v>
      </c>
      <c r="AB166" s="170">
        <v>46104</v>
      </c>
      <c r="AG166" s="143" t="s">
        <v>506</v>
      </c>
      <c r="AH166" s="143" t="s">
        <v>507</v>
      </c>
      <c r="AJ166" s="143" t="s">
        <v>508</v>
      </c>
    </row>
    <row r="167" spans="1:36">
      <c r="A167" s="143">
        <v>165</v>
      </c>
      <c r="C167" s="143" t="s">
        <v>193</v>
      </c>
      <c r="D167" s="143" t="s">
        <v>229</v>
      </c>
      <c r="H167" s="152" t="s">
        <v>589</v>
      </c>
      <c r="I167" s="143" t="s">
        <v>324</v>
      </c>
      <c r="J167" s="143" t="s">
        <v>517</v>
      </c>
      <c r="K167" s="143">
        <v>150</v>
      </c>
      <c r="L167" s="143">
        <v>195</v>
      </c>
      <c r="W167" s="143" t="s">
        <v>49</v>
      </c>
      <c r="X167" s="143" t="s">
        <v>590</v>
      </c>
      <c r="Y167" s="143" t="s">
        <v>591</v>
      </c>
      <c r="Z167" s="143" t="s">
        <v>590</v>
      </c>
      <c r="AA167" s="143">
        <v>22.2</v>
      </c>
      <c r="AB167" s="170">
        <v>46043</v>
      </c>
      <c r="AG167" s="143" t="s">
        <v>506</v>
      </c>
      <c r="AJ167" s="143" t="s">
        <v>508</v>
      </c>
    </row>
    <row r="168" ht="16.5" spans="1:36">
      <c r="A168" s="143">
        <v>166</v>
      </c>
      <c r="C168" s="143" t="s">
        <v>193</v>
      </c>
      <c r="D168" s="143" t="s">
        <v>229</v>
      </c>
      <c r="H168" s="152" t="s">
        <v>592</v>
      </c>
      <c r="I168" s="175" t="s">
        <v>593</v>
      </c>
      <c r="J168" s="143" t="s">
        <v>559</v>
      </c>
      <c r="K168" s="143">
        <v>110</v>
      </c>
      <c r="L168" s="143">
        <v>270</v>
      </c>
      <c r="W168" s="143" t="s">
        <v>49</v>
      </c>
      <c r="X168" s="143">
        <v>2416</v>
      </c>
      <c r="Y168" s="143" t="s">
        <v>594</v>
      </c>
      <c r="Z168" s="143">
        <v>2416</v>
      </c>
      <c r="AB168" s="170"/>
      <c r="AG168" s="143" t="s">
        <v>312</v>
      </c>
      <c r="AJ168" s="143" t="s">
        <v>313</v>
      </c>
    </row>
    <row r="169" ht="16.5" spans="1:36">
      <c r="A169" s="143">
        <v>167</v>
      </c>
      <c r="C169" s="143" t="s">
        <v>193</v>
      </c>
      <c r="D169" s="143" t="s">
        <v>229</v>
      </c>
      <c r="H169" s="172" t="s">
        <v>595</v>
      </c>
      <c r="I169" s="175" t="s">
        <v>593</v>
      </c>
      <c r="J169" s="143" t="s">
        <v>559</v>
      </c>
      <c r="K169" s="143">
        <v>150</v>
      </c>
      <c r="L169" s="143">
        <v>105</v>
      </c>
      <c r="W169" s="143" t="s">
        <v>49</v>
      </c>
      <c r="X169" s="143" t="s">
        <v>596</v>
      </c>
      <c r="Y169" s="143" t="s">
        <v>571</v>
      </c>
      <c r="Z169" s="143" t="s">
        <v>596</v>
      </c>
      <c r="AA169" s="173">
        <v>17.4</v>
      </c>
      <c r="AB169" s="170">
        <v>46104</v>
      </c>
      <c r="AG169" s="143" t="s">
        <v>506</v>
      </c>
      <c r="AH169" s="143" t="s">
        <v>250</v>
      </c>
      <c r="AJ169" s="143" t="s">
        <v>508</v>
      </c>
    </row>
    <row r="170" ht="16.5" spans="1:36">
      <c r="A170" s="143">
        <v>168</v>
      </c>
      <c r="C170" s="143" t="s">
        <v>193</v>
      </c>
      <c r="D170" s="143" t="s">
        <v>229</v>
      </c>
      <c r="H170" s="152" t="s">
        <v>597</v>
      </c>
      <c r="I170" s="175" t="s">
        <v>593</v>
      </c>
      <c r="J170" s="143" t="s">
        <v>559</v>
      </c>
      <c r="K170" s="143">
        <v>150</v>
      </c>
      <c r="L170" s="143">
        <v>240</v>
      </c>
      <c r="W170" s="143" t="s">
        <v>49</v>
      </c>
      <c r="X170" s="143" t="s">
        <v>598</v>
      </c>
      <c r="Y170" s="143" t="s">
        <v>567</v>
      </c>
      <c r="Z170" s="143" t="s">
        <v>598</v>
      </c>
      <c r="AB170" s="170"/>
      <c r="AG170" s="143" t="s">
        <v>312</v>
      </c>
      <c r="AJ170" s="143" t="s">
        <v>313</v>
      </c>
    </row>
    <row r="171" ht="16.5" spans="1:36">
      <c r="A171" s="143">
        <v>169</v>
      </c>
      <c r="C171" s="143" t="s">
        <v>193</v>
      </c>
      <c r="D171" s="143" t="s">
        <v>229</v>
      </c>
      <c r="H171" s="152" t="s">
        <v>599</v>
      </c>
      <c r="I171" s="175" t="s">
        <v>593</v>
      </c>
      <c r="J171" s="143" t="s">
        <v>559</v>
      </c>
      <c r="K171" s="143">
        <v>150</v>
      </c>
      <c r="L171" s="143">
        <v>200</v>
      </c>
      <c r="W171" s="143" t="s">
        <v>49</v>
      </c>
      <c r="X171" s="143" t="s">
        <v>600</v>
      </c>
      <c r="Y171" s="143" t="s">
        <v>567</v>
      </c>
      <c r="Z171" s="143" t="s">
        <v>600</v>
      </c>
      <c r="AB171" s="170"/>
      <c r="AG171" s="143" t="s">
        <v>312</v>
      </c>
      <c r="AJ171" s="143" t="s">
        <v>313</v>
      </c>
    </row>
    <row r="172" ht="16.5" spans="1:36">
      <c r="A172" s="143">
        <v>170</v>
      </c>
      <c r="C172" s="143" t="s">
        <v>193</v>
      </c>
      <c r="D172" s="143" t="s">
        <v>229</v>
      </c>
      <c r="H172" s="152" t="s">
        <v>601</v>
      </c>
      <c r="I172" s="175" t="s">
        <v>593</v>
      </c>
      <c r="J172" s="143" t="s">
        <v>559</v>
      </c>
      <c r="K172" s="143">
        <v>155</v>
      </c>
      <c r="L172" s="143">
        <v>200</v>
      </c>
      <c r="W172" s="143" t="s">
        <v>49</v>
      </c>
      <c r="X172" s="143" t="s">
        <v>602</v>
      </c>
      <c r="Y172" s="143" t="s">
        <v>567</v>
      </c>
      <c r="Z172" s="143" t="s">
        <v>602</v>
      </c>
      <c r="AB172" s="170"/>
      <c r="AG172" s="143" t="s">
        <v>312</v>
      </c>
      <c r="AJ172" s="143" t="s">
        <v>313</v>
      </c>
    </row>
    <row r="173" ht="16.5" spans="1:36">
      <c r="A173" s="143">
        <v>171</v>
      </c>
      <c r="C173" s="143" t="s">
        <v>193</v>
      </c>
      <c r="D173" s="143" t="s">
        <v>229</v>
      </c>
      <c r="H173" s="152" t="s">
        <v>603</v>
      </c>
      <c r="I173" s="175" t="s">
        <v>593</v>
      </c>
      <c r="J173" s="143" t="s">
        <v>559</v>
      </c>
      <c r="K173" s="143">
        <v>150</v>
      </c>
      <c r="L173" s="143">
        <v>180</v>
      </c>
      <c r="W173" s="143" t="s">
        <v>49</v>
      </c>
      <c r="X173" s="143" t="s">
        <v>604</v>
      </c>
      <c r="Y173" s="143" t="s">
        <v>567</v>
      </c>
      <c r="Z173" s="143" t="s">
        <v>604</v>
      </c>
      <c r="AB173" s="170"/>
      <c r="AG173" s="143" t="s">
        <v>312</v>
      </c>
      <c r="AJ173" s="143" t="s">
        <v>313</v>
      </c>
    </row>
    <row r="174" ht="16.5" spans="1:36">
      <c r="A174" s="143">
        <v>172</v>
      </c>
      <c r="C174" s="143" t="s">
        <v>193</v>
      </c>
      <c r="D174" s="143" t="s">
        <v>229</v>
      </c>
      <c r="H174" s="152" t="s">
        <v>605</v>
      </c>
      <c r="I174" s="175" t="s">
        <v>593</v>
      </c>
      <c r="J174" s="143" t="s">
        <v>559</v>
      </c>
      <c r="K174" s="143">
        <v>150</v>
      </c>
      <c r="L174" s="143">
        <v>250</v>
      </c>
      <c r="W174" s="143" t="s">
        <v>49</v>
      </c>
      <c r="X174" s="143" t="s">
        <v>606</v>
      </c>
      <c r="Y174" s="143" t="s">
        <v>567</v>
      </c>
      <c r="Z174" s="143" t="s">
        <v>606</v>
      </c>
      <c r="AB174" s="170"/>
      <c r="AG174" s="143" t="s">
        <v>312</v>
      </c>
      <c r="AJ174" s="143" t="s">
        <v>313</v>
      </c>
    </row>
    <row r="175" ht="16.5" spans="1:36">
      <c r="A175" s="143">
        <v>173</v>
      </c>
      <c r="C175" s="143" t="s">
        <v>193</v>
      </c>
      <c r="D175" s="143" t="s">
        <v>229</v>
      </c>
      <c r="H175" s="152" t="s">
        <v>607</v>
      </c>
      <c r="I175" s="175" t="s">
        <v>593</v>
      </c>
      <c r="J175" s="143" t="s">
        <v>559</v>
      </c>
      <c r="K175" s="143">
        <v>150</v>
      </c>
      <c r="L175" s="143">
        <v>180</v>
      </c>
      <c r="W175" s="143" t="s">
        <v>49</v>
      </c>
      <c r="X175" s="143">
        <v>69031</v>
      </c>
      <c r="Y175" s="143" t="s">
        <v>608</v>
      </c>
      <c r="Z175" s="143">
        <v>69031</v>
      </c>
      <c r="AA175" s="143">
        <v>49.8</v>
      </c>
      <c r="AB175" s="170"/>
      <c r="AG175" s="143" t="s">
        <v>312</v>
      </c>
      <c r="AH175" s="143" t="s">
        <v>609</v>
      </c>
      <c r="AJ175" s="143" t="s">
        <v>313</v>
      </c>
    </row>
    <row r="176" ht="15" spans="1:36">
      <c r="A176" s="143">
        <v>174</v>
      </c>
      <c r="C176" s="143" t="s">
        <v>193</v>
      </c>
      <c r="D176" s="143" t="s">
        <v>229</v>
      </c>
      <c r="H176" s="174" t="s">
        <v>610</v>
      </c>
      <c r="I176" s="143" t="s">
        <v>324</v>
      </c>
      <c r="J176" s="143" t="s">
        <v>517</v>
      </c>
      <c r="K176" s="143">
        <v>150</v>
      </c>
      <c r="L176" s="143">
        <v>130</v>
      </c>
      <c r="W176" s="143" t="s">
        <v>49</v>
      </c>
      <c r="X176" s="143" t="s">
        <v>611</v>
      </c>
      <c r="Y176" s="143" t="s">
        <v>612</v>
      </c>
      <c r="Z176" s="143" t="s">
        <v>611</v>
      </c>
      <c r="AA176" s="173"/>
      <c r="AB176" s="170"/>
      <c r="AG176" s="143" t="s">
        <v>233</v>
      </c>
      <c r="AH176" s="143" t="s">
        <v>507</v>
      </c>
      <c r="AJ176" s="143" t="s">
        <v>613</v>
      </c>
    </row>
    <row r="177" spans="1:36">
      <c r="A177" s="143">
        <v>175</v>
      </c>
      <c r="C177" s="143" t="s">
        <v>193</v>
      </c>
      <c r="D177" s="143" t="s">
        <v>229</v>
      </c>
      <c r="H177" s="152" t="s">
        <v>614</v>
      </c>
      <c r="I177" s="143" t="s">
        <v>436</v>
      </c>
      <c r="J177" s="143" t="s">
        <v>559</v>
      </c>
      <c r="K177" s="143" t="s">
        <v>615</v>
      </c>
      <c r="W177" s="143" t="s">
        <v>49</v>
      </c>
      <c r="X177" s="143">
        <v>53297</v>
      </c>
      <c r="Y177" s="143" t="s">
        <v>616</v>
      </c>
      <c r="Z177" s="143">
        <v>53297</v>
      </c>
      <c r="AB177" s="170"/>
      <c r="AG177" s="143" t="s">
        <v>233</v>
      </c>
      <c r="AJ177" s="143" t="s">
        <v>613</v>
      </c>
    </row>
    <row r="178" spans="1:36">
      <c r="A178" s="143">
        <v>176</v>
      </c>
      <c r="C178" s="143" t="s">
        <v>193</v>
      </c>
      <c r="D178" s="143" t="s">
        <v>229</v>
      </c>
      <c r="H178" s="152" t="s">
        <v>617</v>
      </c>
      <c r="I178" s="143" t="s">
        <v>324</v>
      </c>
      <c r="J178" s="143" t="s">
        <v>517</v>
      </c>
      <c r="K178" s="143" t="s">
        <v>615</v>
      </c>
      <c r="W178" s="143" t="s">
        <v>49</v>
      </c>
      <c r="X178" s="143">
        <v>53294</v>
      </c>
      <c r="Y178" s="143" t="s">
        <v>616</v>
      </c>
      <c r="Z178" s="143">
        <v>53294</v>
      </c>
      <c r="AA178" s="143">
        <v>23.5</v>
      </c>
      <c r="AB178" s="170">
        <v>46043</v>
      </c>
      <c r="AG178" s="143" t="s">
        <v>233</v>
      </c>
      <c r="AJ178" s="143" t="s">
        <v>305</v>
      </c>
    </row>
    <row r="179" ht="15" spans="1:36">
      <c r="A179" s="143">
        <v>177</v>
      </c>
      <c r="C179" s="143" t="s">
        <v>193</v>
      </c>
      <c r="D179" s="143" t="s">
        <v>229</v>
      </c>
      <c r="H179" s="174" t="s">
        <v>618</v>
      </c>
      <c r="I179" s="143" t="s">
        <v>324</v>
      </c>
      <c r="J179" s="143" t="s">
        <v>517</v>
      </c>
      <c r="K179" s="143">
        <v>150</v>
      </c>
      <c r="L179" s="143">
        <v>150</v>
      </c>
      <c r="W179" s="143" t="s">
        <v>49</v>
      </c>
      <c r="X179" s="143" t="s">
        <v>619</v>
      </c>
      <c r="Y179" s="143" t="s">
        <v>591</v>
      </c>
      <c r="Z179" s="143" t="s">
        <v>619</v>
      </c>
      <c r="AA179" s="173">
        <v>19.7</v>
      </c>
      <c r="AB179" s="170">
        <v>46104</v>
      </c>
      <c r="AG179" s="143" t="s">
        <v>233</v>
      </c>
      <c r="AH179" s="143" t="s">
        <v>507</v>
      </c>
      <c r="AJ179" s="143" t="s">
        <v>613</v>
      </c>
    </row>
    <row r="180" ht="15" spans="1:36">
      <c r="A180" s="143">
        <v>178</v>
      </c>
      <c r="C180" s="143" t="s">
        <v>193</v>
      </c>
      <c r="D180" s="143" t="s">
        <v>229</v>
      </c>
      <c r="H180" s="172" t="s">
        <v>620</v>
      </c>
      <c r="I180" s="143" t="s">
        <v>324</v>
      </c>
      <c r="J180" s="143" t="s">
        <v>517</v>
      </c>
      <c r="K180" s="143">
        <v>150</v>
      </c>
      <c r="L180" s="143">
        <v>140</v>
      </c>
      <c r="W180" s="143" t="s">
        <v>49</v>
      </c>
      <c r="X180" s="143">
        <v>16001</v>
      </c>
      <c r="Y180" s="143" t="s">
        <v>591</v>
      </c>
      <c r="Z180" s="143">
        <v>16001</v>
      </c>
      <c r="AA180" s="173">
        <v>24.8</v>
      </c>
      <c r="AB180" s="170">
        <v>46104</v>
      </c>
      <c r="AG180" s="143" t="s">
        <v>233</v>
      </c>
      <c r="AH180" s="143" t="s">
        <v>250</v>
      </c>
      <c r="AJ180" s="143" t="s">
        <v>621</v>
      </c>
    </row>
    <row r="181" ht="15" spans="1:36">
      <c r="A181" s="143">
        <v>179</v>
      </c>
      <c r="C181" s="143" t="s">
        <v>193</v>
      </c>
      <c r="D181" s="143" t="s">
        <v>229</v>
      </c>
      <c r="H181" s="172" t="s">
        <v>622</v>
      </c>
      <c r="I181" s="143" t="s">
        <v>324</v>
      </c>
      <c r="J181" s="143" t="s">
        <v>517</v>
      </c>
      <c r="K181" s="143">
        <v>150</v>
      </c>
      <c r="L181" s="143">
        <v>243</v>
      </c>
      <c r="W181" s="143" t="s">
        <v>49</v>
      </c>
      <c r="X181" s="143" t="s">
        <v>623</v>
      </c>
      <c r="Y181" s="143" t="s">
        <v>591</v>
      </c>
      <c r="Z181" s="143" t="s">
        <v>623</v>
      </c>
      <c r="AA181" s="173">
        <v>21</v>
      </c>
      <c r="AB181" s="170">
        <v>46104</v>
      </c>
      <c r="AG181" s="143" t="s">
        <v>233</v>
      </c>
      <c r="AH181" s="143" t="s">
        <v>250</v>
      </c>
      <c r="AJ181" s="143" t="s">
        <v>305</v>
      </c>
    </row>
    <row r="182" ht="15" spans="1:36">
      <c r="A182" s="143">
        <v>180</v>
      </c>
      <c r="C182" s="143" t="s">
        <v>193</v>
      </c>
      <c r="D182" s="143" t="s">
        <v>229</v>
      </c>
      <c r="H182" s="174" t="s">
        <v>624</v>
      </c>
      <c r="I182" s="143" t="s">
        <v>324</v>
      </c>
      <c r="J182" s="143" t="s">
        <v>517</v>
      </c>
      <c r="K182" s="143">
        <v>150</v>
      </c>
      <c r="L182" s="143">
        <v>205</v>
      </c>
      <c r="W182" s="143" t="s">
        <v>49</v>
      </c>
      <c r="X182" s="143" t="s">
        <v>625</v>
      </c>
      <c r="Y182" s="143" t="s">
        <v>591</v>
      </c>
      <c r="Z182" s="143" t="s">
        <v>625</v>
      </c>
      <c r="AA182" s="173">
        <v>23.7</v>
      </c>
      <c r="AB182" s="170">
        <v>46104</v>
      </c>
      <c r="AG182" s="143" t="s">
        <v>233</v>
      </c>
      <c r="AH182" s="143" t="s">
        <v>507</v>
      </c>
      <c r="AJ182" s="143" t="s">
        <v>621</v>
      </c>
    </row>
    <row r="183" ht="15" spans="1:36">
      <c r="A183" s="143">
        <v>181</v>
      </c>
      <c r="C183" s="143" t="s">
        <v>193</v>
      </c>
      <c r="D183" s="143" t="s">
        <v>229</v>
      </c>
      <c r="H183" s="174" t="s">
        <v>626</v>
      </c>
      <c r="I183" s="143" t="s">
        <v>324</v>
      </c>
      <c r="J183" s="143" t="s">
        <v>517</v>
      </c>
      <c r="K183" s="143">
        <v>150</v>
      </c>
      <c r="L183" s="143">
        <v>125</v>
      </c>
      <c r="W183" s="143" t="s">
        <v>49</v>
      </c>
      <c r="X183" s="143" t="s">
        <v>627</v>
      </c>
      <c r="Y183" s="143" t="s">
        <v>591</v>
      </c>
      <c r="Z183" s="143" t="s">
        <v>627</v>
      </c>
      <c r="AA183" s="173">
        <v>23.5</v>
      </c>
      <c r="AB183" s="170">
        <v>46104</v>
      </c>
      <c r="AG183" s="143" t="s">
        <v>233</v>
      </c>
      <c r="AH183" s="143" t="s">
        <v>507</v>
      </c>
      <c r="AJ183" s="143" t="s">
        <v>613</v>
      </c>
    </row>
    <row r="184" spans="1:36">
      <c r="A184" s="143">
        <v>182</v>
      </c>
      <c r="C184" s="143" t="s">
        <v>193</v>
      </c>
      <c r="D184" s="143" t="s">
        <v>229</v>
      </c>
      <c r="H184" s="152" t="s">
        <v>628</v>
      </c>
      <c r="I184" s="143" t="s">
        <v>629</v>
      </c>
      <c r="J184" s="143" t="s">
        <v>630</v>
      </c>
      <c r="K184" s="143">
        <v>150</v>
      </c>
      <c r="L184" s="143">
        <v>180</v>
      </c>
      <c r="W184" s="143" t="s">
        <v>49</v>
      </c>
      <c r="X184" s="143" t="s">
        <v>631</v>
      </c>
      <c r="Y184" s="143" t="s">
        <v>591</v>
      </c>
      <c r="Z184" s="143" t="s">
        <v>631</v>
      </c>
      <c r="AB184" s="170"/>
      <c r="AG184" s="143" t="s">
        <v>233</v>
      </c>
      <c r="AJ184" s="143" t="s">
        <v>632</v>
      </c>
    </row>
    <row r="185" ht="15" spans="1:36">
      <c r="A185" s="143">
        <v>183</v>
      </c>
      <c r="C185" s="143" t="s">
        <v>193</v>
      </c>
      <c r="D185" s="143" t="s">
        <v>229</v>
      </c>
      <c r="H185" s="174" t="s">
        <v>633</v>
      </c>
      <c r="I185" s="143" t="s">
        <v>324</v>
      </c>
      <c r="J185" s="143" t="s">
        <v>517</v>
      </c>
      <c r="K185" s="143">
        <v>150</v>
      </c>
      <c r="L185" s="143">
        <v>215</v>
      </c>
      <c r="W185" s="143" t="s">
        <v>49</v>
      </c>
      <c r="X185" s="143" t="s">
        <v>634</v>
      </c>
      <c r="Y185" s="143" t="s">
        <v>591</v>
      </c>
      <c r="Z185" s="143" t="s">
        <v>634</v>
      </c>
      <c r="AA185" s="173">
        <v>22</v>
      </c>
      <c r="AB185" s="170">
        <v>46104</v>
      </c>
      <c r="AG185" s="143" t="s">
        <v>233</v>
      </c>
      <c r="AH185" s="143" t="s">
        <v>507</v>
      </c>
      <c r="AJ185" s="143" t="s">
        <v>621</v>
      </c>
    </row>
    <row r="186" ht="15" spans="1:36">
      <c r="A186" s="143">
        <v>184</v>
      </c>
      <c r="C186" s="143" t="s">
        <v>193</v>
      </c>
      <c r="D186" s="143" t="s">
        <v>229</v>
      </c>
      <c r="H186" s="174" t="s">
        <v>635</v>
      </c>
      <c r="I186" s="143" t="s">
        <v>324</v>
      </c>
      <c r="J186" s="143" t="s">
        <v>517</v>
      </c>
      <c r="K186" s="143">
        <v>150</v>
      </c>
      <c r="L186" s="143">
        <v>145</v>
      </c>
      <c r="W186" s="143" t="s">
        <v>49</v>
      </c>
      <c r="X186" s="143" t="s">
        <v>636</v>
      </c>
      <c r="Y186" s="143" t="s">
        <v>591</v>
      </c>
      <c r="Z186" s="143" t="s">
        <v>636</v>
      </c>
      <c r="AA186" s="173">
        <v>16.5</v>
      </c>
      <c r="AB186" s="170">
        <v>46104</v>
      </c>
      <c r="AG186" s="143" t="s">
        <v>233</v>
      </c>
      <c r="AH186" s="143" t="s">
        <v>507</v>
      </c>
      <c r="AJ186" s="143" t="s">
        <v>613</v>
      </c>
    </row>
    <row r="187" spans="1:36">
      <c r="A187" s="143">
        <v>185</v>
      </c>
      <c r="C187" s="143" t="s">
        <v>193</v>
      </c>
      <c r="D187" s="143" t="s">
        <v>229</v>
      </c>
      <c r="H187" s="152" t="s">
        <v>637</v>
      </c>
      <c r="I187" s="143" t="s">
        <v>324</v>
      </c>
      <c r="J187" s="143" t="s">
        <v>517</v>
      </c>
      <c r="K187" s="143">
        <v>142</v>
      </c>
      <c r="L187" s="143">
        <v>78</v>
      </c>
      <c r="W187" s="143" t="s">
        <v>49</v>
      </c>
      <c r="X187" s="143" t="s">
        <v>638</v>
      </c>
      <c r="Y187" s="143" t="s">
        <v>639</v>
      </c>
      <c r="Z187" s="143" t="s">
        <v>638</v>
      </c>
      <c r="AB187" s="170"/>
      <c r="AG187" s="143" t="s">
        <v>233</v>
      </c>
      <c r="AJ187" s="143" t="s">
        <v>632</v>
      </c>
    </row>
    <row r="188" ht="15" spans="1:36">
      <c r="A188" s="143">
        <v>186</v>
      </c>
      <c r="C188" s="143" t="s">
        <v>193</v>
      </c>
      <c r="D188" s="143" t="s">
        <v>229</v>
      </c>
      <c r="H188" s="172" t="s">
        <v>640</v>
      </c>
      <c r="I188" s="143" t="s">
        <v>324</v>
      </c>
      <c r="J188" s="143" t="s">
        <v>517</v>
      </c>
      <c r="K188" s="143">
        <v>150</v>
      </c>
      <c r="L188" s="143">
        <v>400</v>
      </c>
      <c r="W188" s="143" t="s">
        <v>49</v>
      </c>
      <c r="X188" s="143" t="s">
        <v>641</v>
      </c>
      <c r="Y188" s="143" t="s">
        <v>639</v>
      </c>
      <c r="Z188" s="143" t="s">
        <v>641</v>
      </c>
      <c r="AA188" s="173">
        <v>29</v>
      </c>
      <c r="AB188" s="170">
        <v>46104</v>
      </c>
      <c r="AG188" s="143" t="s">
        <v>233</v>
      </c>
      <c r="AH188" s="143" t="s">
        <v>250</v>
      </c>
      <c r="AJ188" s="143" t="s">
        <v>632</v>
      </c>
    </row>
    <row r="189" spans="1:36">
      <c r="A189" s="143">
        <v>187</v>
      </c>
      <c r="C189" s="143" t="s">
        <v>193</v>
      </c>
      <c r="D189" s="143" t="s">
        <v>229</v>
      </c>
      <c r="H189" s="152" t="s">
        <v>642</v>
      </c>
      <c r="I189" s="143" t="s">
        <v>324</v>
      </c>
      <c r="J189" s="143" t="s">
        <v>517</v>
      </c>
      <c r="K189" s="143">
        <v>148</v>
      </c>
      <c r="L189" s="143">
        <v>150</v>
      </c>
      <c r="W189" s="143" t="s">
        <v>49</v>
      </c>
      <c r="X189" s="143" t="s">
        <v>643</v>
      </c>
      <c r="Y189" s="143" t="s">
        <v>639</v>
      </c>
      <c r="Z189" s="143" t="s">
        <v>643</v>
      </c>
      <c r="AA189" s="143">
        <v>24</v>
      </c>
      <c r="AB189" s="170">
        <v>46043</v>
      </c>
      <c r="AG189" s="143" t="s">
        <v>233</v>
      </c>
      <c r="AJ189" s="143" t="s">
        <v>632</v>
      </c>
    </row>
    <row r="190" spans="1:36">
      <c r="A190" s="143">
        <v>188</v>
      </c>
      <c r="C190" s="143" t="s">
        <v>193</v>
      </c>
      <c r="D190" s="143" t="s">
        <v>229</v>
      </c>
      <c r="H190" s="152" t="s">
        <v>644</v>
      </c>
      <c r="I190" s="143" t="s">
        <v>324</v>
      </c>
      <c r="J190" s="143" t="s">
        <v>517</v>
      </c>
      <c r="K190" s="143">
        <v>149</v>
      </c>
      <c r="L190" s="143">
        <v>205</v>
      </c>
      <c r="W190" s="143" t="s">
        <v>49</v>
      </c>
      <c r="X190" s="143" t="s">
        <v>645</v>
      </c>
      <c r="Y190" s="143" t="s">
        <v>639</v>
      </c>
      <c r="Z190" s="143" t="s">
        <v>645</v>
      </c>
      <c r="AB190" s="170"/>
      <c r="AG190" s="143" t="s">
        <v>233</v>
      </c>
      <c r="AJ190" s="143" t="s">
        <v>632</v>
      </c>
    </row>
    <row r="191" spans="1:36">
      <c r="A191" s="143">
        <v>189</v>
      </c>
      <c r="C191" s="143" t="s">
        <v>193</v>
      </c>
      <c r="D191" s="143" t="s">
        <v>229</v>
      </c>
      <c r="H191" s="152" t="s">
        <v>646</v>
      </c>
      <c r="I191" s="143" t="s">
        <v>324</v>
      </c>
      <c r="J191" s="143" t="s">
        <v>517</v>
      </c>
      <c r="K191" s="143">
        <v>150</v>
      </c>
      <c r="L191" s="143">
        <v>155</v>
      </c>
      <c r="W191" s="143" t="s">
        <v>49</v>
      </c>
      <c r="X191" s="143" t="s">
        <v>647</v>
      </c>
      <c r="Y191" s="143" t="s">
        <v>639</v>
      </c>
      <c r="Z191" s="143" t="s">
        <v>647</v>
      </c>
      <c r="AA191" s="143">
        <v>28.6</v>
      </c>
      <c r="AB191" s="170">
        <v>46043</v>
      </c>
      <c r="AG191" s="143" t="s">
        <v>233</v>
      </c>
      <c r="AJ191" s="143" t="s">
        <v>648</v>
      </c>
    </row>
    <row r="192" spans="1:36">
      <c r="A192" s="143">
        <v>190</v>
      </c>
      <c r="C192" s="143" t="s">
        <v>193</v>
      </c>
      <c r="D192" s="143" t="s">
        <v>229</v>
      </c>
      <c r="H192" s="152" t="s">
        <v>649</v>
      </c>
      <c r="I192" s="143" t="s">
        <v>324</v>
      </c>
      <c r="J192" s="143" t="s">
        <v>517</v>
      </c>
      <c r="K192" s="143">
        <v>148</v>
      </c>
      <c r="L192" s="143">
        <v>260</v>
      </c>
      <c r="W192" s="143" t="s">
        <v>49</v>
      </c>
      <c r="X192" s="143" t="s">
        <v>650</v>
      </c>
      <c r="Y192" s="143" t="s">
        <v>639</v>
      </c>
      <c r="Z192" s="143" t="s">
        <v>650</v>
      </c>
      <c r="AA192" s="143">
        <v>24.6</v>
      </c>
      <c r="AB192" s="170">
        <v>46043</v>
      </c>
      <c r="AG192" s="143" t="s">
        <v>233</v>
      </c>
      <c r="AJ192" s="143" t="s">
        <v>648</v>
      </c>
    </row>
    <row r="193" spans="1:39">
      <c r="A193" s="143">
        <v>191</v>
      </c>
      <c r="C193" s="143" t="s">
        <v>193</v>
      </c>
      <c r="D193" s="143" t="s">
        <v>229</v>
      </c>
      <c r="H193" s="152" t="s">
        <v>651</v>
      </c>
      <c r="I193" s="143" t="s">
        <v>324</v>
      </c>
      <c r="J193" s="143" t="s">
        <v>517</v>
      </c>
      <c r="K193" s="143">
        <v>150</v>
      </c>
      <c r="L193" s="143">
        <v>100</v>
      </c>
      <c r="W193" s="143" t="s">
        <v>49</v>
      </c>
      <c r="X193" s="143" t="s">
        <v>652</v>
      </c>
      <c r="Y193" s="143" t="s">
        <v>639</v>
      </c>
      <c r="Z193" s="143" t="s">
        <v>652</v>
      </c>
      <c r="AA193" s="143">
        <v>21.5</v>
      </c>
      <c r="AB193" s="170">
        <v>46043</v>
      </c>
      <c r="AG193" s="143" t="s">
        <v>233</v>
      </c>
      <c r="AJ193" s="143" t="s">
        <v>648</v>
      </c>
    </row>
    <row r="194" ht="15" spans="1:39">
      <c r="A194" s="143">
        <v>192</v>
      </c>
      <c r="C194" s="143" t="s">
        <v>193</v>
      </c>
      <c r="D194" s="143" t="s">
        <v>229</v>
      </c>
      <c r="H194" s="172" t="s">
        <v>653</v>
      </c>
      <c r="I194" s="143" t="s">
        <v>324</v>
      </c>
      <c r="J194" s="143" t="s">
        <v>517</v>
      </c>
      <c r="K194" s="143">
        <v>150</v>
      </c>
      <c r="L194" s="143">
        <v>108</v>
      </c>
      <c r="W194" s="143" t="s">
        <v>49</v>
      </c>
      <c r="X194" s="143" t="s">
        <v>654</v>
      </c>
      <c r="Y194" s="143" t="s">
        <v>639</v>
      </c>
      <c r="Z194" s="143" t="s">
        <v>654</v>
      </c>
      <c r="AA194" s="173">
        <v>20.8</v>
      </c>
      <c r="AB194" s="170">
        <v>46104</v>
      </c>
      <c r="AG194" s="143" t="s">
        <v>233</v>
      </c>
      <c r="AH194" s="143" t="s">
        <v>250</v>
      </c>
      <c r="AJ194" s="143" t="s">
        <v>648</v>
      </c>
    </row>
    <row r="195" spans="1:39">
      <c r="A195" s="143">
        <v>193</v>
      </c>
      <c r="C195" s="143" t="s">
        <v>193</v>
      </c>
      <c r="D195" s="143" t="s">
        <v>229</v>
      </c>
      <c r="H195" s="152" t="s">
        <v>655</v>
      </c>
      <c r="I195" s="143" t="s">
        <v>324</v>
      </c>
      <c r="J195" s="143" t="s">
        <v>517</v>
      </c>
      <c r="K195" s="143">
        <v>150</v>
      </c>
      <c r="L195" s="143">
        <v>158</v>
      </c>
      <c r="W195" s="143" t="s">
        <v>49</v>
      </c>
      <c r="X195" s="143" t="s">
        <v>656</v>
      </c>
      <c r="Y195" s="143" t="s">
        <v>639</v>
      </c>
      <c r="Z195" s="143" t="s">
        <v>656</v>
      </c>
      <c r="AA195" s="143">
        <v>21</v>
      </c>
      <c r="AB195" s="170">
        <v>46043</v>
      </c>
      <c r="AG195" s="143" t="s">
        <v>233</v>
      </c>
      <c r="AJ195" s="143" t="s">
        <v>648</v>
      </c>
    </row>
    <row r="196" spans="1:39">
      <c r="A196" s="143">
        <v>194</v>
      </c>
      <c r="C196" s="143" t="s">
        <v>193</v>
      </c>
      <c r="D196" s="143" t="s">
        <v>229</v>
      </c>
      <c r="H196" s="152" t="s">
        <v>657</v>
      </c>
      <c r="I196" s="143" t="s">
        <v>658</v>
      </c>
      <c r="J196" s="143" t="s">
        <v>659</v>
      </c>
      <c r="K196" s="143">
        <v>145</v>
      </c>
      <c r="L196" s="143">
        <v>320</v>
      </c>
      <c r="W196" s="143" t="s">
        <v>49</v>
      </c>
      <c r="X196" s="143" t="s">
        <v>660</v>
      </c>
      <c r="Y196" s="143" t="s">
        <v>661</v>
      </c>
      <c r="Z196" s="143" t="s">
        <v>660</v>
      </c>
      <c r="AB196" s="170"/>
      <c r="AG196" s="143" t="s">
        <v>274</v>
      </c>
      <c r="AJ196" s="143" t="s">
        <v>275</v>
      </c>
    </row>
    <row r="197" spans="1:39">
      <c r="A197" s="143">
        <v>195</v>
      </c>
      <c r="B197" s="144">
        <v>45758</v>
      </c>
      <c r="C197" s="143" t="s">
        <v>40</v>
      </c>
      <c r="D197" s="143" t="s">
        <v>41</v>
      </c>
      <c r="F197" s="143">
        <v>5827</v>
      </c>
      <c r="H197" s="143" t="s">
        <v>662</v>
      </c>
      <c r="I197" s="143" t="s">
        <v>663</v>
      </c>
      <c r="J197" s="143" t="s">
        <v>664</v>
      </c>
      <c r="K197" s="143" t="s">
        <v>665</v>
      </c>
      <c r="L197" s="168"/>
      <c r="O197" s="143" t="s">
        <v>47</v>
      </c>
      <c r="P197" s="143" t="s">
        <v>48</v>
      </c>
      <c r="W197" s="143" t="s">
        <v>49</v>
      </c>
      <c r="X197" s="143">
        <v>5827</v>
      </c>
      <c r="Y197" s="143" t="s">
        <v>49</v>
      </c>
      <c r="Z197" s="143">
        <v>5827</v>
      </c>
      <c r="AA197" s="143">
        <v>43</v>
      </c>
      <c r="AB197" s="170">
        <v>45758</v>
      </c>
      <c r="AG197" s="143" t="s">
        <v>96</v>
      </c>
      <c r="AM197" s="143" t="s">
        <v>53</v>
      </c>
    </row>
    <row r="198" spans="1:39">
      <c r="A198" s="143">
        <v>196</v>
      </c>
      <c r="B198" s="144">
        <v>45758</v>
      </c>
      <c r="C198" s="143" t="s">
        <v>40</v>
      </c>
      <c r="D198" s="143" t="s">
        <v>41</v>
      </c>
      <c r="F198" s="143" t="s">
        <v>666</v>
      </c>
      <c r="H198" s="143" t="s">
        <v>667</v>
      </c>
      <c r="I198" s="143" t="s">
        <v>668</v>
      </c>
      <c r="J198" s="143" t="s">
        <v>669</v>
      </c>
      <c r="K198" s="143" t="s">
        <v>665</v>
      </c>
      <c r="L198" s="143">
        <v>163</v>
      </c>
      <c r="O198" s="143" t="s">
        <v>47</v>
      </c>
      <c r="P198" s="143" t="s">
        <v>48</v>
      </c>
      <c r="W198" s="143" t="s">
        <v>49</v>
      </c>
      <c r="X198" s="143" t="s">
        <v>670</v>
      </c>
      <c r="Y198" s="143" t="s">
        <v>49</v>
      </c>
      <c r="Z198" s="143" t="s">
        <v>670</v>
      </c>
      <c r="AA198" s="143">
        <v>37</v>
      </c>
      <c r="AB198" s="170">
        <v>45758</v>
      </c>
      <c r="AG198" s="143" t="s">
        <v>96</v>
      </c>
      <c r="AM198" s="143" t="s">
        <v>53</v>
      </c>
    </row>
    <row r="199" spans="1:39">
      <c r="A199" s="143">
        <v>197</v>
      </c>
      <c r="B199" s="144">
        <v>45758</v>
      </c>
      <c r="C199" s="143" t="s">
        <v>40</v>
      </c>
      <c r="D199" s="143" t="s">
        <v>41</v>
      </c>
      <c r="F199" s="143">
        <v>21121</v>
      </c>
      <c r="H199" s="143" t="s">
        <v>671</v>
      </c>
      <c r="I199" s="143" t="s">
        <v>672</v>
      </c>
      <c r="J199" s="143" t="s">
        <v>673</v>
      </c>
      <c r="K199" s="143">
        <v>140</v>
      </c>
      <c r="L199" s="168"/>
      <c r="O199" s="143" t="s">
        <v>47</v>
      </c>
      <c r="P199" s="143" t="s">
        <v>48</v>
      </c>
      <c r="W199" s="143" t="s">
        <v>49</v>
      </c>
      <c r="X199" s="143">
        <v>21121</v>
      </c>
      <c r="Y199" s="143" t="s">
        <v>49</v>
      </c>
      <c r="Z199" s="143">
        <v>21121</v>
      </c>
      <c r="AA199" s="143">
        <v>37</v>
      </c>
      <c r="AB199" s="170">
        <v>45758</v>
      </c>
      <c r="AG199" s="143" t="s">
        <v>96</v>
      </c>
      <c r="AM199" s="143" t="s">
        <v>53</v>
      </c>
    </row>
    <row r="200" spans="1:39">
      <c r="A200" s="143">
        <v>198</v>
      </c>
      <c r="B200" s="144">
        <v>45758</v>
      </c>
      <c r="C200" s="143" t="s">
        <v>40</v>
      </c>
      <c r="D200" s="143" t="s">
        <v>41</v>
      </c>
      <c r="F200" s="143">
        <v>10209</v>
      </c>
      <c r="H200" s="143" t="s">
        <v>674</v>
      </c>
      <c r="I200" s="143" t="s">
        <v>675</v>
      </c>
      <c r="J200" s="143" t="s">
        <v>676</v>
      </c>
      <c r="K200" s="143">
        <v>145</v>
      </c>
      <c r="L200" s="168"/>
      <c r="O200" s="143" t="s">
        <v>47</v>
      </c>
      <c r="P200" s="143" t="s">
        <v>48</v>
      </c>
      <c r="W200" s="143" t="s">
        <v>49</v>
      </c>
      <c r="X200" s="143">
        <v>10209</v>
      </c>
      <c r="Y200" s="143" t="s">
        <v>49</v>
      </c>
      <c r="Z200" s="143">
        <v>10209</v>
      </c>
      <c r="AA200" s="143">
        <v>21</v>
      </c>
      <c r="AB200" s="170">
        <v>45758</v>
      </c>
      <c r="AG200" s="143" t="s">
        <v>96</v>
      </c>
      <c r="AM200" s="143" t="s">
        <v>53</v>
      </c>
    </row>
    <row r="201" spans="1:39">
      <c r="A201" s="143">
        <v>199</v>
      </c>
      <c r="B201" s="144">
        <v>45758</v>
      </c>
      <c r="C201" s="143" t="s">
        <v>40</v>
      </c>
      <c r="D201" s="143" t="s">
        <v>41</v>
      </c>
      <c r="F201" s="143">
        <v>1725</v>
      </c>
      <c r="H201" s="143" t="s">
        <v>677</v>
      </c>
      <c r="I201" s="143" t="s">
        <v>678</v>
      </c>
      <c r="J201" s="143" t="s">
        <v>679</v>
      </c>
      <c r="K201" s="143">
        <v>138</v>
      </c>
      <c r="L201" s="168"/>
      <c r="O201" s="143" t="s">
        <v>47</v>
      </c>
      <c r="P201" s="143" t="s">
        <v>48</v>
      </c>
      <c r="W201" s="143" t="s">
        <v>49</v>
      </c>
      <c r="X201" s="143">
        <v>1725</v>
      </c>
      <c r="Y201" s="143" t="s">
        <v>49</v>
      </c>
      <c r="Z201" s="143">
        <v>1725</v>
      </c>
      <c r="AA201" s="143">
        <v>28</v>
      </c>
      <c r="AB201" s="170">
        <v>45758</v>
      </c>
      <c r="AG201" s="143" t="s">
        <v>96</v>
      </c>
      <c r="AM201" s="143" t="s">
        <v>53</v>
      </c>
    </row>
    <row r="202" spans="1:39">
      <c r="A202" s="143">
        <v>200</v>
      </c>
      <c r="B202" s="144">
        <v>45758</v>
      </c>
      <c r="C202" s="143" t="s">
        <v>40</v>
      </c>
      <c r="D202" s="143" t="s">
        <v>41</v>
      </c>
      <c r="F202" s="143">
        <v>2118</v>
      </c>
      <c r="H202" s="143" t="s">
        <v>680</v>
      </c>
      <c r="I202" s="143" t="s">
        <v>681</v>
      </c>
      <c r="J202" s="143" t="s">
        <v>682</v>
      </c>
      <c r="K202" s="143">
        <v>140</v>
      </c>
      <c r="L202" s="168"/>
      <c r="O202" s="143" t="s">
        <v>47</v>
      </c>
      <c r="P202" s="143" t="s">
        <v>48</v>
      </c>
      <c r="W202" s="143" t="s">
        <v>49</v>
      </c>
      <c r="X202" s="143">
        <v>2118</v>
      </c>
      <c r="Y202" s="143" t="s">
        <v>49</v>
      </c>
      <c r="Z202" s="143">
        <v>2118</v>
      </c>
      <c r="AA202" s="143">
        <v>22.6</v>
      </c>
      <c r="AB202" s="170">
        <v>45758</v>
      </c>
      <c r="AG202" s="143" t="s">
        <v>96</v>
      </c>
      <c r="AM202" s="143" t="s">
        <v>53</v>
      </c>
    </row>
    <row r="203" spans="1:39">
      <c r="A203" s="143">
        <v>201</v>
      </c>
      <c r="B203" s="144">
        <v>45758</v>
      </c>
      <c r="C203" s="143" t="s">
        <v>40</v>
      </c>
      <c r="D203" s="143" t="s">
        <v>41</v>
      </c>
      <c r="F203" s="143" t="s">
        <v>683</v>
      </c>
      <c r="H203" s="143" t="s">
        <v>684</v>
      </c>
      <c r="I203" s="143" t="s">
        <v>685</v>
      </c>
      <c r="J203" s="143" t="s">
        <v>686</v>
      </c>
      <c r="K203" s="143">
        <v>150</v>
      </c>
      <c r="L203" s="143">
        <v>160</v>
      </c>
      <c r="O203" s="143" t="s">
        <v>47</v>
      </c>
      <c r="P203" s="143" t="s">
        <v>48</v>
      </c>
      <c r="W203" s="143" t="s">
        <v>49</v>
      </c>
      <c r="X203" s="143" t="s">
        <v>683</v>
      </c>
      <c r="Y203" s="143" t="s">
        <v>49</v>
      </c>
      <c r="Z203" s="143" t="s">
        <v>683</v>
      </c>
      <c r="AA203" s="143">
        <v>28</v>
      </c>
      <c r="AB203" s="170">
        <v>45758</v>
      </c>
      <c r="AG203" s="143" t="s">
        <v>96</v>
      </c>
      <c r="AM203" s="143" t="s">
        <v>53</v>
      </c>
    </row>
    <row r="204" ht="16.5" spans="1:39">
      <c r="A204" s="143">
        <v>202</v>
      </c>
      <c r="B204" s="144">
        <v>45758</v>
      </c>
      <c r="C204" s="143" t="s">
        <v>40</v>
      </c>
      <c r="D204" s="143" t="s">
        <v>41</v>
      </c>
      <c r="F204" s="143" t="s">
        <v>687</v>
      </c>
      <c r="H204" s="143" t="s">
        <v>688</v>
      </c>
      <c r="I204" s="143" t="s">
        <v>689</v>
      </c>
      <c r="J204" s="143" t="s">
        <v>690</v>
      </c>
      <c r="K204" s="143">
        <v>180</v>
      </c>
      <c r="L204" s="143">
        <v>320</v>
      </c>
      <c r="O204" s="143" t="s">
        <v>47</v>
      </c>
      <c r="P204" s="143" t="s">
        <v>48</v>
      </c>
      <c r="W204" s="143" t="s">
        <v>49</v>
      </c>
      <c r="X204" s="143">
        <v>3599</v>
      </c>
      <c r="Y204" s="143" t="s">
        <v>691</v>
      </c>
      <c r="Z204" s="143">
        <v>3599</v>
      </c>
      <c r="AA204" s="143">
        <v>28.5</v>
      </c>
      <c r="AB204" s="170">
        <v>45758</v>
      </c>
      <c r="AG204" s="143" t="s">
        <v>96</v>
      </c>
      <c r="AM204" s="143" t="s">
        <v>53</v>
      </c>
    </row>
    <row r="205" spans="1:39">
      <c r="A205" s="143">
        <v>203</v>
      </c>
      <c r="B205" s="144">
        <v>45758</v>
      </c>
      <c r="C205" s="143" t="s">
        <v>40</v>
      </c>
      <c r="D205" s="143" t="s">
        <v>41</v>
      </c>
      <c r="F205" s="143" t="s">
        <v>692</v>
      </c>
      <c r="H205" s="143" t="s">
        <v>693</v>
      </c>
      <c r="I205" s="143" t="s">
        <v>45</v>
      </c>
      <c r="J205" s="143" t="s">
        <v>46</v>
      </c>
      <c r="K205" s="143">
        <v>150</v>
      </c>
      <c r="L205" s="143" t="s">
        <v>694</v>
      </c>
      <c r="O205" s="143" t="s">
        <v>47</v>
      </c>
      <c r="P205" s="143" t="s">
        <v>48</v>
      </c>
      <c r="W205" s="143" t="s">
        <v>49</v>
      </c>
      <c r="X205" s="143">
        <v>8496</v>
      </c>
      <c r="Y205" s="143" t="s">
        <v>691</v>
      </c>
      <c r="Z205" s="143">
        <v>8496</v>
      </c>
      <c r="AA205" s="143">
        <v>24</v>
      </c>
      <c r="AB205" s="170">
        <v>45758</v>
      </c>
      <c r="AG205" s="143" t="s">
        <v>96</v>
      </c>
      <c r="AM205" s="143" t="s">
        <v>53</v>
      </c>
    </row>
    <row r="206" spans="1:39">
      <c r="A206" s="143">
        <v>204</v>
      </c>
      <c r="B206" s="144">
        <v>45758</v>
      </c>
      <c r="C206" s="143" t="s">
        <v>40</v>
      </c>
      <c r="D206" s="143" t="s">
        <v>41</v>
      </c>
      <c r="F206" s="143" t="s">
        <v>695</v>
      </c>
      <c r="H206" s="143" t="s">
        <v>696</v>
      </c>
      <c r="I206" s="143" t="s">
        <v>45</v>
      </c>
      <c r="J206" s="143" t="s">
        <v>46</v>
      </c>
      <c r="K206" s="143">
        <v>160</v>
      </c>
      <c r="L206" s="143" t="s">
        <v>697</v>
      </c>
      <c r="O206" s="143" t="s">
        <v>47</v>
      </c>
      <c r="P206" s="143" t="s">
        <v>48</v>
      </c>
      <c r="W206" s="143" t="s">
        <v>49</v>
      </c>
      <c r="X206" s="143">
        <v>8500</v>
      </c>
      <c r="Y206" s="143" t="s">
        <v>691</v>
      </c>
      <c r="Z206" s="143">
        <v>8500</v>
      </c>
      <c r="AA206" s="143">
        <v>19.2</v>
      </c>
      <c r="AB206" s="170">
        <v>45758</v>
      </c>
      <c r="AG206" s="143" t="s">
        <v>96</v>
      </c>
      <c r="AM206" s="143" t="s">
        <v>53</v>
      </c>
    </row>
    <row r="207" spans="1:39">
      <c r="A207" s="143">
        <v>205</v>
      </c>
      <c r="B207" s="144">
        <v>45758</v>
      </c>
      <c r="C207" s="143" t="s">
        <v>40</v>
      </c>
      <c r="D207" s="143" t="s">
        <v>41</v>
      </c>
      <c r="F207" s="143" t="s">
        <v>698</v>
      </c>
      <c r="H207" s="143" t="s">
        <v>699</v>
      </c>
      <c r="I207" s="143" t="s">
        <v>700</v>
      </c>
      <c r="J207" s="143" t="s">
        <v>701</v>
      </c>
      <c r="K207" s="143" t="s">
        <v>702</v>
      </c>
      <c r="L207" s="143" t="s">
        <v>703</v>
      </c>
      <c r="O207" s="143" t="s">
        <v>47</v>
      </c>
      <c r="P207" s="143" t="s">
        <v>48</v>
      </c>
      <c r="W207" s="143" t="s">
        <v>704</v>
      </c>
      <c r="X207" s="143" t="s">
        <v>698</v>
      </c>
      <c r="Y207" s="143" t="s">
        <v>704</v>
      </c>
      <c r="Z207" s="143" t="s">
        <v>698</v>
      </c>
      <c r="AA207" s="168"/>
      <c r="AB207" s="170"/>
      <c r="AG207" s="143" t="s">
        <v>705</v>
      </c>
      <c r="AM207" s="143" t="s">
        <v>53</v>
      </c>
    </row>
    <row r="208" spans="1:39">
      <c r="A208" s="143">
        <v>206</v>
      </c>
      <c r="B208" s="144">
        <v>45759</v>
      </c>
      <c r="C208" s="143" t="s">
        <v>40</v>
      </c>
      <c r="D208" s="143" t="s">
        <v>41</v>
      </c>
      <c r="F208" s="143">
        <v>25100</v>
      </c>
      <c r="H208" s="143" t="s">
        <v>706</v>
      </c>
      <c r="I208" s="143" t="s">
        <v>707</v>
      </c>
      <c r="J208" s="143" t="s">
        <v>708</v>
      </c>
      <c r="K208" s="143">
        <v>150</v>
      </c>
      <c r="L208" s="143">
        <v>170</v>
      </c>
      <c r="O208" s="143" t="s">
        <v>47</v>
      </c>
      <c r="P208" s="143" t="s">
        <v>48</v>
      </c>
      <c r="W208" s="143" t="s">
        <v>49</v>
      </c>
      <c r="X208" s="143">
        <v>25100</v>
      </c>
      <c r="Y208" s="143" t="s">
        <v>709</v>
      </c>
      <c r="Z208" s="143">
        <v>25100</v>
      </c>
      <c r="AA208" s="143">
        <v>19</v>
      </c>
      <c r="AB208" s="170">
        <v>45759</v>
      </c>
      <c r="AG208" s="143" t="s">
        <v>96</v>
      </c>
      <c r="AM208" s="143" t="s">
        <v>53</v>
      </c>
    </row>
    <row r="209" spans="1:39">
      <c r="A209" s="143">
        <v>207</v>
      </c>
      <c r="B209" s="144">
        <v>45759</v>
      </c>
      <c r="C209" s="143" t="s">
        <v>40</v>
      </c>
      <c r="D209" s="143" t="s">
        <v>41</v>
      </c>
      <c r="F209" s="143">
        <v>3152</v>
      </c>
      <c r="H209" s="143" t="s">
        <v>710</v>
      </c>
      <c r="I209" s="143" t="s">
        <v>711</v>
      </c>
      <c r="J209" s="143" t="s">
        <v>712</v>
      </c>
      <c r="K209" s="143">
        <v>140</v>
      </c>
      <c r="L209" s="143">
        <v>362</v>
      </c>
      <c r="O209" s="143" t="s">
        <v>47</v>
      </c>
      <c r="P209" s="143" t="s">
        <v>48</v>
      </c>
      <c r="W209" s="143" t="s">
        <v>49</v>
      </c>
      <c r="X209" s="143">
        <v>3152</v>
      </c>
      <c r="Y209" s="143" t="s">
        <v>713</v>
      </c>
      <c r="Z209" s="143">
        <v>3152</v>
      </c>
      <c r="AA209" s="143">
        <v>38</v>
      </c>
      <c r="AB209" s="170">
        <v>45759</v>
      </c>
      <c r="AG209" s="143" t="s">
        <v>96</v>
      </c>
      <c r="AM209" s="143" t="s">
        <v>53</v>
      </c>
    </row>
    <row r="210" spans="1:39">
      <c r="A210" s="143">
        <v>208</v>
      </c>
      <c r="B210" s="144">
        <v>45759</v>
      </c>
      <c r="C210" s="143" t="s">
        <v>40</v>
      </c>
      <c r="D210" s="143" t="s">
        <v>41</v>
      </c>
      <c r="F210" s="143" t="s">
        <v>714</v>
      </c>
      <c r="H210" s="143" t="s">
        <v>715</v>
      </c>
      <c r="I210" s="143" t="s">
        <v>716</v>
      </c>
      <c r="J210" s="143" t="s">
        <v>717</v>
      </c>
      <c r="K210" s="143">
        <v>145</v>
      </c>
      <c r="L210" s="143">
        <v>320</v>
      </c>
      <c r="O210" s="143" t="s">
        <v>47</v>
      </c>
      <c r="P210" s="143" t="s">
        <v>48</v>
      </c>
      <c r="W210" s="143" t="s">
        <v>49</v>
      </c>
      <c r="X210" s="143" t="s">
        <v>714</v>
      </c>
      <c r="Y210" s="143" t="s">
        <v>718</v>
      </c>
      <c r="Z210" s="143" t="s">
        <v>714</v>
      </c>
      <c r="AA210" s="143">
        <v>27.5</v>
      </c>
      <c r="AB210" s="170">
        <v>45759</v>
      </c>
      <c r="AG210" s="143" t="s">
        <v>96</v>
      </c>
      <c r="AM210" s="143" t="s">
        <v>53</v>
      </c>
    </row>
    <row r="211" spans="1:39">
      <c r="A211" s="143">
        <v>209</v>
      </c>
      <c r="B211" s="144">
        <v>45759</v>
      </c>
      <c r="C211" s="143" t="s">
        <v>40</v>
      </c>
      <c r="D211" s="143" t="s">
        <v>41</v>
      </c>
      <c r="F211" s="143">
        <v>4438</v>
      </c>
      <c r="H211" s="143" t="s">
        <v>719</v>
      </c>
      <c r="I211" s="143" t="s">
        <v>720</v>
      </c>
      <c r="J211" s="143" t="s">
        <v>721</v>
      </c>
      <c r="K211" s="143">
        <v>140</v>
      </c>
      <c r="L211" s="143">
        <v>175</v>
      </c>
      <c r="O211" s="143" t="s">
        <v>47</v>
      </c>
      <c r="P211" s="143" t="s">
        <v>48</v>
      </c>
      <c r="W211" s="143" t="s">
        <v>49</v>
      </c>
      <c r="X211" s="143">
        <v>4438</v>
      </c>
      <c r="Y211" s="143" t="s">
        <v>49</v>
      </c>
      <c r="Z211" s="143">
        <v>4438</v>
      </c>
      <c r="AA211" s="143">
        <v>10.2</v>
      </c>
      <c r="AB211" s="170">
        <v>45759</v>
      </c>
      <c r="AG211" s="143" t="s">
        <v>96</v>
      </c>
      <c r="AM211" s="143" t="s">
        <v>53</v>
      </c>
    </row>
    <row r="212" spans="1:39">
      <c r="A212" s="143">
        <v>210</v>
      </c>
      <c r="B212" s="144">
        <v>45759</v>
      </c>
      <c r="C212" s="143" t="s">
        <v>40</v>
      </c>
      <c r="D212" s="143" t="s">
        <v>41</v>
      </c>
      <c r="F212" s="143" t="s">
        <v>722</v>
      </c>
      <c r="H212" s="143" t="s">
        <v>723</v>
      </c>
      <c r="I212" s="143" t="s">
        <v>45</v>
      </c>
      <c r="J212" s="143" t="s">
        <v>46</v>
      </c>
      <c r="K212" s="143">
        <v>148</v>
      </c>
      <c r="L212" s="143">
        <v>180</v>
      </c>
      <c r="O212" s="143" t="s">
        <v>47</v>
      </c>
      <c r="P212" s="143" t="s">
        <v>48</v>
      </c>
      <c r="W212" s="143" t="s">
        <v>49</v>
      </c>
      <c r="X212" s="143" t="s">
        <v>722</v>
      </c>
      <c r="Y212" s="169" t="s">
        <v>493</v>
      </c>
      <c r="Z212" s="143" t="s">
        <v>722</v>
      </c>
      <c r="AA212" s="143">
        <v>9.8</v>
      </c>
      <c r="AB212" s="170">
        <v>45759</v>
      </c>
      <c r="AG212" s="143" t="s">
        <v>96</v>
      </c>
      <c r="AH212" s="169" t="s">
        <v>724</v>
      </c>
      <c r="AM212" s="143" t="s">
        <v>53</v>
      </c>
    </row>
    <row r="213" spans="1:39">
      <c r="A213" s="143">
        <v>211</v>
      </c>
      <c r="B213" s="144">
        <v>45759</v>
      </c>
      <c r="C213" s="143" t="s">
        <v>40</v>
      </c>
      <c r="D213" s="143" t="s">
        <v>41</v>
      </c>
      <c r="F213" s="143">
        <v>3012</v>
      </c>
      <c r="H213" s="143" t="s">
        <v>725</v>
      </c>
      <c r="I213" s="143" t="s">
        <v>45</v>
      </c>
      <c r="J213" s="143" t="s">
        <v>46</v>
      </c>
      <c r="K213" s="143">
        <v>150</v>
      </c>
      <c r="L213" s="143">
        <v>120</v>
      </c>
      <c r="O213" s="143" t="s">
        <v>47</v>
      </c>
      <c r="P213" s="143" t="s">
        <v>48</v>
      </c>
      <c r="W213" s="143" t="s">
        <v>49</v>
      </c>
      <c r="X213" s="143">
        <v>3012</v>
      </c>
      <c r="Y213" s="143" t="s">
        <v>49</v>
      </c>
      <c r="Z213" s="143">
        <v>3012</v>
      </c>
      <c r="AA213" s="143">
        <v>9.5</v>
      </c>
      <c r="AB213" s="170">
        <v>45759</v>
      </c>
      <c r="AG213" s="143" t="s">
        <v>96</v>
      </c>
      <c r="AM213" s="143" t="s">
        <v>53</v>
      </c>
    </row>
    <row r="214" spans="1:39">
      <c r="A214" s="143">
        <v>212</v>
      </c>
      <c r="B214" s="144">
        <v>45759</v>
      </c>
      <c r="C214" s="143" t="s">
        <v>40</v>
      </c>
      <c r="D214" s="143" t="s">
        <v>41</v>
      </c>
      <c r="F214" s="143" t="s">
        <v>726</v>
      </c>
      <c r="H214" s="143" t="s">
        <v>727</v>
      </c>
      <c r="I214" s="143" t="s">
        <v>45</v>
      </c>
      <c r="J214" s="143" t="s">
        <v>46</v>
      </c>
      <c r="L214" s="168"/>
      <c r="O214" s="143" t="s">
        <v>47</v>
      </c>
      <c r="P214" s="143" t="s">
        <v>48</v>
      </c>
      <c r="W214" s="143" t="s">
        <v>49</v>
      </c>
      <c r="X214" s="143" t="s">
        <v>726</v>
      </c>
      <c r="Y214" s="143" t="s">
        <v>49</v>
      </c>
      <c r="Z214" s="143" t="s">
        <v>726</v>
      </c>
      <c r="AA214" s="168"/>
      <c r="AB214" s="170"/>
      <c r="AG214" s="143" t="s">
        <v>728</v>
      </c>
      <c r="AM214" s="143" t="s">
        <v>53</v>
      </c>
    </row>
    <row r="215" spans="1:39">
      <c r="A215" s="143">
        <v>213</v>
      </c>
      <c r="B215" s="144">
        <v>45759</v>
      </c>
      <c r="C215" s="143" t="s">
        <v>40</v>
      </c>
      <c r="D215" s="143" t="s">
        <v>41</v>
      </c>
      <c r="F215" s="143" t="s">
        <v>726</v>
      </c>
      <c r="H215" s="143" t="s">
        <v>729</v>
      </c>
      <c r="I215" s="143" t="s">
        <v>45</v>
      </c>
      <c r="J215" s="143" t="s">
        <v>46</v>
      </c>
      <c r="L215" s="168"/>
      <c r="O215" s="143" t="s">
        <v>47</v>
      </c>
      <c r="P215" s="143" t="s">
        <v>48</v>
      </c>
      <c r="W215" s="143" t="s">
        <v>49</v>
      </c>
      <c r="X215" s="143" t="s">
        <v>726</v>
      </c>
      <c r="Y215" s="143" t="s">
        <v>49</v>
      </c>
      <c r="Z215" s="143" t="s">
        <v>726</v>
      </c>
      <c r="AA215" s="168"/>
      <c r="AB215" s="170"/>
      <c r="AG215" s="143" t="s">
        <v>728</v>
      </c>
      <c r="AM215" s="143" t="s">
        <v>53</v>
      </c>
    </row>
    <row r="216" spans="1:39">
      <c r="A216" s="143">
        <v>214</v>
      </c>
      <c r="B216" s="144">
        <v>45759</v>
      </c>
      <c r="C216" s="143" t="s">
        <v>40</v>
      </c>
      <c r="D216" s="143" t="s">
        <v>41</v>
      </c>
      <c r="F216" s="143" t="s">
        <v>726</v>
      </c>
      <c r="H216" s="143" t="s">
        <v>730</v>
      </c>
      <c r="I216" s="143" t="s">
        <v>45</v>
      </c>
      <c r="J216" s="143" t="s">
        <v>46</v>
      </c>
      <c r="L216" s="168"/>
      <c r="O216" s="143" t="s">
        <v>47</v>
      </c>
      <c r="P216" s="143" t="s">
        <v>48</v>
      </c>
      <c r="W216" s="143" t="s">
        <v>49</v>
      </c>
      <c r="X216" s="143" t="s">
        <v>726</v>
      </c>
      <c r="Y216" s="143" t="s">
        <v>49</v>
      </c>
      <c r="Z216" s="143" t="s">
        <v>726</v>
      </c>
      <c r="AA216" s="168"/>
      <c r="AB216" s="170"/>
      <c r="AG216" s="143" t="s">
        <v>728</v>
      </c>
      <c r="AM216" s="143" t="s">
        <v>53</v>
      </c>
    </row>
    <row r="217" spans="1:39">
      <c r="A217" s="143">
        <v>215</v>
      </c>
      <c r="B217" s="144">
        <v>45759</v>
      </c>
      <c r="C217" s="143" t="s">
        <v>40</v>
      </c>
      <c r="D217" s="143" t="s">
        <v>41</v>
      </c>
      <c r="F217" s="143" t="s">
        <v>726</v>
      </c>
      <c r="H217" s="143" t="s">
        <v>731</v>
      </c>
      <c r="I217" s="143" t="s">
        <v>45</v>
      </c>
      <c r="J217" s="143" t="s">
        <v>46</v>
      </c>
      <c r="L217" s="168"/>
      <c r="O217" s="143" t="s">
        <v>47</v>
      </c>
      <c r="P217" s="143" t="s">
        <v>48</v>
      </c>
      <c r="W217" s="143" t="s">
        <v>49</v>
      </c>
      <c r="X217" s="143" t="s">
        <v>726</v>
      </c>
      <c r="Y217" s="143" t="s">
        <v>49</v>
      </c>
      <c r="Z217" s="143" t="s">
        <v>726</v>
      </c>
      <c r="AA217" s="168"/>
      <c r="AB217" s="170"/>
      <c r="AG217" s="143" t="s">
        <v>728</v>
      </c>
      <c r="AM217" s="143" t="s">
        <v>53</v>
      </c>
    </row>
    <row r="218" spans="1:39">
      <c r="A218" s="143">
        <v>216</v>
      </c>
      <c r="B218" s="144">
        <v>45759</v>
      </c>
      <c r="C218" s="143" t="s">
        <v>40</v>
      </c>
      <c r="D218" s="143" t="s">
        <v>41</v>
      </c>
      <c r="F218" s="143" t="s">
        <v>726</v>
      </c>
      <c r="H218" s="143" t="s">
        <v>732</v>
      </c>
      <c r="I218" s="143" t="s">
        <v>324</v>
      </c>
      <c r="J218" s="143" t="s">
        <v>325</v>
      </c>
      <c r="L218" s="168"/>
      <c r="O218" s="143" t="s">
        <v>47</v>
      </c>
      <c r="P218" s="143" t="s">
        <v>48</v>
      </c>
      <c r="W218" s="143" t="s">
        <v>49</v>
      </c>
      <c r="X218" s="143" t="s">
        <v>726</v>
      </c>
      <c r="Y218" s="143" t="s">
        <v>49</v>
      </c>
      <c r="Z218" s="143" t="s">
        <v>726</v>
      </c>
      <c r="AA218" s="168"/>
      <c r="AB218" s="170"/>
      <c r="AG218" s="143" t="s">
        <v>728</v>
      </c>
      <c r="AM218" s="143" t="s">
        <v>53</v>
      </c>
    </row>
    <row r="219" spans="1:39">
      <c r="A219" s="143">
        <v>217</v>
      </c>
      <c r="B219" s="144">
        <v>45759</v>
      </c>
      <c r="C219" s="143" t="s">
        <v>40</v>
      </c>
      <c r="D219" s="143" t="s">
        <v>41</v>
      </c>
      <c r="F219" s="143" t="s">
        <v>726</v>
      </c>
      <c r="H219" s="143" t="s">
        <v>733</v>
      </c>
      <c r="I219" s="143" t="s">
        <v>324</v>
      </c>
      <c r="J219" s="143" t="s">
        <v>325</v>
      </c>
      <c r="L219" s="168"/>
      <c r="O219" s="143" t="s">
        <v>47</v>
      </c>
      <c r="P219" s="143" t="s">
        <v>48</v>
      </c>
      <c r="W219" s="143" t="s">
        <v>49</v>
      </c>
      <c r="X219" s="143" t="s">
        <v>726</v>
      </c>
      <c r="Y219" s="143" t="s">
        <v>49</v>
      </c>
      <c r="Z219" s="143" t="s">
        <v>726</v>
      </c>
      <c r="AA219" s="168"/>
      <c r="AB219" s="170"/>
      <c r="AG219" s="143" t="s">
        <v>728</v>
      </c>
      <c r="AM219" s="143" t="s">
        <v>53</v>
      </c>
    </row>
    <row r="220" spans="1:39">
      <c r="A220" s="143">
        <v>218</v>
      </c>
      <c r="B220" s="144">
        <v>45762</v>
      </c>
      <c r="C220" s="143" t="s">
        <v>40</v>
      </c>
      <c r="D220" s="143" t="s">
        <v>204</v>
      </c>
      <c r="F220" s="143" t="s">
        <v>734</v>
      </c>
      <c r="H220" s="143" t="s">
        <v>735</v>
      </c>
      <c r="I220" s="143" t="s">
        <v>736</v>
      </c>
      <c r="J220" s="143" t="s">
        <v>737</v>
      </c>
      <c r="K220" s="143">
        <v>149</v>
      </c>
      <c r="L220" s="143" t="s">
        <v>738</v>
      </c>
      <c r="O220" s="143" t="s">
        <v>47</v>
      </c>
      <c r="P220" s="143" t="s">
        <v>48</v>
      </c>
      <c r="W220" s="143" t="s">
        <v>739</v>
      </c>
      <c r="X220" s="143" t="s">
        <v>734</v>
      </c>
      <c r="Y220" s="143" t="s">
        <v>739</v>
      </c>
      <c r="Z220" s="143" t="s">
        <v>734</v>
      </c>
      <c r="AB220" s="170"/>
      <c r="AG220" s="143" t="s">
        <v>705</v>
      </c>
      <c r="AM220" s="143" t="s">
        <v>53</v>
      </c>
    </row>
    <row r="221" spans="1:39">
      <c r="A221" s="143">
        <v>219</v>
      </c>
      <c r="B221" s="144">
        <v>45762</v>
      </c>
      <c r="C221" s="143" t="s">
        <v>40</v>
      </c>
      <c r="D221" s="143" t="s">
        <v>204</v>
      </c>
      <c r="F221" s="143" t="s">
        <v>740</v>
      </c>
      <c r="H221" s="143" t="s">
        <v>741</v>
      </c>
      <c r="I221" s="143" t="s">
        <v>736</v>
      </c>
      <c r="J221" s="143" t="s">
        <v>742</v>
      </c>
      <c r="K221" s="143">
        <v>150</v>
      </c>
      <c r="L221" s="143" t="s">
        <v>743</v>
      </c>
      <c r="O221" s="143" t="s">
        <v>47</v>
      </c>
      <c r="P221" s="143" t="s">
        <v>48</v>
      </c>
      <c r="W221" s="143" t="s">
        <v>739</v>
      </c>
      <c r="X221" s="143" t="s">
        <v>740</v>
      </c>
      <c r="Y221" s="143" t="s">
        <v>739</v>
      </c>
      <c r="Z221" s="143" t="s">
        <v>740</v>
      </c>
      <c r="AB221" s="170"/>
      <c r="AG221" s="143" t="s">
        <v>705</v>
      </c>
      <c r="AM221" s="143" t="s">
        <v>53</v>
      </c>
    </row>
    <row r="222" spans="1:39">
      <c r="A222" s="143">
        <v>220</v>
      </c>
      <c r="B222" s="144">
        <v>45762</v>
      </c>
      <c r="C222" s="143" t="s">
        <v>40</v>
      </c>
      <c r="D222" s="143" t="s">
        <v>204</v>
      </c>
      <c r="F222" s="143" t="s">
        <v>744</v>
      </c>
      <c r="H222" s="143" t="s">
        <v>745</v>
      </c>
      <c r="I222" s="143" t="s">
        <v>736</v>
      </c>
      <c r="J222" s="143" t="s">
        <v>742</v>
      </c>
      <c r="K222" s="143">
        <v>150</v>
      </c>
      <c r="L222" s="143" t="s">
        <v>743</v>
      </c>
      <c r="O222" s="143" t="s">
        <v>47</v>
      </c>
      <c r="P222" s="143" t="s">
        <v>48</v>
      </c>
      <c r="W222" s="143" t="s">
        <v>739</v>
      </c>
      <c r="X222" s="143" t="s">
        <v>744</v>
      </c>
      <c r="Y222" s="143" t="s">
        <v>739</v>
      </c>
      <c r="Z222" s="143" t="s">
        <v>744</v>
      </c>
      <c r="AB222" s="170"/>
      <c r="AG222" s="143" t="s">
        <v>705</v>
      </c>
      <c r="AM222" s="143" t="s">
        <v>53</v>
      </c>
    </row>
    <row r="223" ht="16.5" spans="1:39">
      <c r="A223" s="143">
        <v>221</v>
      </c>
      <c r="B223" s="144">
        <v>45762</v>
      </c>
      <c r="C223" s="143" t="s">
        <v>40</v>
      </c>
      <c r="D223" s="143" t="s">
        <v>204</v>
      </c>
      <c r="F223" s="143" t="s">
        <v>746</v>
      </c>
      <c r="H223" s="143" t="s">
        <v>747</v>
      </c>
      <c r="I223" s="143" t="s">
        <v>748</v>
      </c>
      <c r="J223" s="143" t="s">
        <v>749</v>
      </c>
      <c r="K223" s="143">
        <v>150</v>
      </c>
      <c r="L223" s="143">
        <v>450</v>
      </c>
      <c r="O223" s="143" t="s">
        <v>47</v>
      </c>
      <c r="P223" s="143" t="s">
        <v>48</v>
      </c>
      <c r="Q223" s="169" t="s">
        <v>750</v>
      </c>
      <c r="W223" s="143" t="s">
        <v>286</v>
      </c>
      <c r="X223" s="143" t="s">
        <v>751</v>
      </c>
      <c r="Y223" s="143" t="s">
        <v>286</v>
      </c>
      <c r="Z223" s="143" t="s">
        <v>751</v>
      </c>
      <c r="AA223" s="143">
        <v>19</v>
      </c>
      <c r="AB223" s="170">
        <v>45772</v>
      </c>
      <c r="AG223" s="143" t="s">
        <v>752</v>
      </c>
      <c r="AM223" s="143" t="s">
        <v>53</v>
      </c>
    </row>
    <row r="224" spans="1:39">
      <c r="A224" s="143">
        <v>222</v>
      </c>
      <c r="B224" s="144">
        <v>45762</v>
      </c>
      <c r="C224" s="143" t="s">
        <v>40</v>
      </c>
      <c r="D224" s="143" t="s">
        <v>204</v>
      </c>
      <c r="F224" s="143" t="s">
        <v>753</v>
      </c>
      <c r="H224" s="143" t="s">
        <v>754</v>
      </c>
      <c r="I224" s="143" t="s">
        <v>45</v>
      </c>
      <c r="J224" s="143" t="s">
        <v>105</v>
      </c>
      <c r="K224" s="143" t="s">
        <v>755</v>
      </c>
      <c r="L224" s="143" t="s">
        <v>756</v>
      </c>
      <c r="O224" s="143" t="s">
        <v>47</v>
      </c>
      <c r="P224" s="143" t="s">
        <v>48</v>
      </c>
      <c r="Q224" s="169" t="s">
        <v>757</v>
      </c>
      <c r="W224" s="143" t="s">
        <v>758</v>
      </c>
      <c r="X224" s="143" t="s">
        <v>759</v>
      </c>
      <c r="Y224" s="143" t="s">
        <v>758</v>
      </c>
      <c r="Z224" s="143" t="s">
        <v>759</v>
      </c>
      <c r="AA224" s="143">
        <v>14.5</v>
      </c>
      <c r="AB224" s="170">
        <v>45765</v>
      </c>
      <c r="AG224" s="143" t="s">
        <v>705</v>
      </c>
      <c r="AM224" s="143" t="s">
        <v>53</v>
      </c>
    </row>
    <row r="225" spans="1:39">
      <c r="A225" s="143">
        <v>223</v>
      </c>
      <c r="B225" s="144">
        <v>45762</v>
      </c>
      <c r="C225" s="143" t="s">
        <v>40</v>
      </c>
      <c r="D225" s="143" t="s">
        <v>204</v>
      </c>
      <c r="F225" s="143" t="s">
        <v>760</v>
      </c>
      <c r="H225" s="143" t="s">
        <v>761</v>
      </c>
      <c r="I225" s="143" t="s">
        <v>762</v>
      </c>
      <c r="J225" s="143" t="s">
        <v>763</v>
      </c>
      <c r="K225" s="143">
        <v>160</v>
      </c>
      <c r="L225" s="143">
        <v>350</v>
      </c>
      <c r="O225" s="143" t="s">
        <v>47</v>
      </c>
      <c r="P225" s="143" t="s">
        <v>48</v>
      </c>
      <c r="Q225" s="169" t="s">
        <v>757</v>
      </c>
      <c r="W225" s="143" t="s">
        <v>764</v>
      </c>
      <c r="X225" s="143" t="s">
        <v>765</v>
      </c>
      <c r="Y225" s="143" t="s">
        <v>764</v>
      </c>
      <c r="Z225" s="143" t="s">
        <v>765</v>
      </c>
      <c r="AA225" s="143">
        <v>16</v>
      </c>
      <c r="AB225" s="170">
        <v>45761</v>
      </c>
      <c r="AG225" s="143" t="s">
        <v>766</v>
      </c>
      <c r="AM225" s="143" t="s">
        <v>53</v>
      </c>
    </row>
    <row r="226" spans="1:39">
      <c r="A226" s="143">
        <v>224</v>
      </c>
      <c r="B226" s="144">
        <v>45762</v>
      </c>
      <c r="C226" s="143" t="s">
        <v>40</v>
      </c>
      <c r="D226" s="143" t="s">
        <v>204</v>
      </c>
      <c r="F226" s="143" t="s">
        <v>767</v>
      </c>
      <c r="H226" s="143" t="s">
        <v>768</v>
      </c>
      <c r="I226" s="143" t="s">
        <v>45</v>
      </c>
      <c r="J226" s="143" t="s">
        <v>105</v>
      </c>
      <c r="K226" s="143">
        <v>152</v>
      </c>
      <c r="L226" s="143" t="s">
        <v>769</v>
      </c>
      <c r="O226" s="143" t="s">
        <v>47</v>
      </c>
      <c r="P226" s="143" t="s">
        <v>48</v>
      </c>
      <c r="W226" s="143" t="s">
        <v>758</v>
      </c>
      <c r="X226" s="143" t="s">
        <v>767</v>
      </c>
      <c r="Y226" s="143" t="s">
        <v>758</v>
      </c>
      <c r="Z226" s="143" t="s">
        <v>767</v>
      </c>
      <c r="AB226" s="170"/>
      <c r="AG226" s="143" t="s">
        <v>705</v>
      </c>
      <c r="AM226" s="143" t="s">
        <v>53</v>
      </c>
    </row>
    <row r="227" spans="1:39">
      <c r="A227" s="143">
        <v>225</v>
      </c>
      <c r="B227" s="144">
        <v>45762</v>
      </c>
      <c r="C227" s="143" t="s">
        <v>40</v>
      </c>
      <c r="D227" s="143" t="s">
        <v>204</v>
      </c>
      <c r="F227" s="143" t="s">
        <v>770</v>
      </c>
      <c r="H227" s="143" t="s">
        <v>771</v>
      </c>
      <c r="I227" s="143" t="s">
        <v>772</v>
      </c>
      <c r="J227" s="143" t="s">
        <v>773</v>
      </c>
      <c r="K227" s="143" t="s">
        <v>755</v>
      </c>
      <c r="O227" s="143" t="s">
        <v>774</v>
      </c>
      <c r="P227" s="143" t="s">
        <v>775</v>
      </c>
      <c r="Q227" s="169" t="s">
        <v>757</v>
      </c>
      <c r="W227" s="143" t="s">
        <v>758</v>
      </c>
      <c r="X227" s="143" t="s">
        <v>776</v>
      </c>
      <c r="Y227" s="143" t="s">
        <v>758</v>
      </c>
      <c r="Z227" s="143" t="s">
        <v>776</v>
      </c>
      <c r="AA227" s="143">
        <v>14</v>
      </c>
      <c r="AB227" s="170">
        <v>45765</v>
      </c>
      <c r="AM227" s="143" t="s">
        <v>53</v>
      </c>
    </row>
    <row r="228" spans="1:39">
      <c r="A228" s="143">
        <v>226</v>
      </c>
      <c r="B228" s="144">
        <v>45762</v>
      </c>
      <c r="C228" s="143" t="s">
        <v>40</v>
      </c>
      <c r="D228" s="143" t="s">
        <v>204</v>
      </c>
      <c r="F228" s="143" t="s">
        <v>777</v>
      </c>
      <c r="H228" s="143" t="s">
        <v>778</v>
      </c>
      <c r="I228" s="143" t="s">
        <v>324</v>
      </c>
      <c r="J228" s="143" t="s">
        <v>779</v>
      </c>
      <c r="K228" s="143">
        <v>145</v>
      </c>
      <c r="L228" s="143">
        <v>537</v>
      </c>
      <c r="W228" s="143" t="s">
        <v>780</v>
      </c>
      <c r="X228" s="143" t="s">
        <v>777</v>
      </c>
      <c r="Y228" s="143" t="s">
        <v>780</v>
      </c>
      <c r="Z228" s="143" t="s">
        <v>777</v>
      </c>
      <c r="AB228" s="170"/>
      <c r="AM228" s="143" t="s">
        <v>53</v>
      </c>
    </row>
    <row r="229" spans="1:39">
      <c r="A229" s="143">
        <v>227</v>
      </c>
      <c r="B229" s="144">
        <v>45762</v>
      </c>
      <c r="C229" s="143" t="s">
        <v>40</v>
      </c>
      <c r="D229" s="143" t="s">
        <v>204</v>
      </c>
      <c r="F229" s="143" t="s">
        <v>781</v>
      </c>
      <c r="H229" s="143" t="s">
        <v>782</v>
      </c>
      <c r="I229" s="143" t="s">
        <v>783</v>
      </c>
      <c r="J229" s="143" t="s">
        <v>784</v>
      </c>
      <c r="K229" s="143">
        <v>147</v>
      </c>
      <c r="L229" s="143">
        <v>313</v>
      </c>
      <c r="W229" s="143" t="s">
        <v>780</v>
      </c>
      <c r="X229" s="143" t="s">
        <v>781</v>
      </c>
      <c r="Y229" s="143" t="s">
        <v>780</v>
      </c>
      <c r="Z229" s="143" t="s">
        <v>781</v>
      </c>
      <c r="AB229" s="170"/>
      <c r="AM229" s="143" t="s">
        <v>53</v>
      </c>
    </row>
    <row r="230" spans="1:39">
      <c r="A230" s="143">
        <v>228</v>
      </c>
      <c r="B230" s="144">
        <v>45763</v>
      </c>
      <c r="C230" s="143" t="s">
        <v>40</v>
      </c>
      <c r="D230" s="143" t="s">
        <v>41</v>
      </c>
      <c r="F230" s="143" t="s">
        <v>785</v>
      </c>
      <c r="H230" s="143" t="s">
        <v>786</v>
      </c>
      <c r="I230" s="143" t="s">
        <v>45</v>
      </c>
      <c r="J230" s="143" t="s">
        <v>46</v>
      </c>
      <c r="K230" s="143">
        <v>150</v>
      </c>
      <c r="L230" s="143">
        <v>112</v>
      </c>
      <c r="O230" s="143" t="s">
        <v>47</v>
      </c>
      <c r="P230" s="143" t="s">
        <v>48</v>
      </c>
      <c r="Q230" s="143" t="s">
        <v>787</v>
      </c>
      <c r="W230" s="143" t="s">
        <v>49</v>
      </c>
      <c r="X230" s="143" t="s">
        <v>785</v>
      </c>
      <c r="Y230" s="143" t="s">
        <v>788</v>
      </c>
      <c r="Z230" s="143" t="s">
        <v>785</v>
      </c>
      <c r="AA230" s="143">
        <v>17.3</v>
      </c>
      <c r="AB230" s="170">
        <v>45762</v>
      </c>
      <c r="AG230" s="143" t="s">
        <v>96</v>
      </c>
      <c r="AM230" s="143" t="s">
        <v>53</v>
      </c>
    </row>
    <row r="231" spans="1:39">
      <c r="A231" s="143">
        <v>229</v>
      </c>
      <c r="B231" s="144">
        <v>45763</v>
      </c>
      <c r="C231" s="143" t="s">
        <v>40</v>
      </c>
      <c r="D231" s="143" t="s">
        <v>41</v>
      </c>
      <c r="F231" s="143" t="s">
        <v>789</v>
      </c>
      <c r="H231" s="143" t="s">
        <v>790</v>
      </c>
      <c r="I231" s="143" t="s">
        <v>45</v>
      </c>
      <c r="J231" s="143" t="s">
        <v>46</v>
      </c>
      <c r="K231" s="143">
        <v>150</v>
      </c>
      <c r="L231" s="143">
        <v>110</v>
      </c>
      <c r="O231" s="143" t="s">
        <v>47</v>
      </c>
      <c r="P231" s="143" t="s">
        <v>48</v>
      </c>
      <c r="W231" s="143" t="s">
        <v>49</v>
      </c>
      <c r="X231" s="143" t="s">
        <v>789</v>
      </c>
      <c r="Y231" s="143" t="s">
        <v>425</v>
      </c>
      <c r="Z231" s="143" t="s">
        <v>789</v>
      </c>
      <c r="AA231" s="143">
        <v>11.5</v>
      </c>
      <c r="AB231" s="170">
        <v>45762</v>
      </c>
      <c r="AG231" s="143" t="s">
        <v>96</v>
      </c>
      <c r="AM231" s="143" t="s">
        <v>53</v>
      </c>
    </row>
    <row r="232" spans="1:39">
      <c r="A232" s="143">
        <v>230</v>
      </c>
      <c r="B232" s="144">
        <v>45763</v>
      </c>
      <c r="C232" s="143" t="s">
        <v>40</v>
      </c>
      <c r="D232" s="143" t="s">
        <v>41</v>
      </c>
      <c r="F232" s="143" t="s">
        <v>791</v>
      </c>
      <c r="H232" s="143" t="s">
        <v>792</v>
      </c>
      <c r="I232" s="143" t="s">
        <v>45</v>
      </c>
      <c r="J232" s="143" t="s">
        <v>46</v>
      </c>
      <c r="K232" s="143">
        <v>152</v>
      </c>
      <c r="L232" s="143">
        <v>100</v>
      </c>
      <c r="O232" s="143" t="s">
        <v>47</v>
      </c>
      <c r="P232" s="143" t="s">
        <v>48</v>
      </c>
      <c r="W232" s="143" t="s">
        <v>49</v>
      </c>
      <c r="X232" s="143" t="s">
        <v>791</v>
      </c>
      <c r="Y232" s="143" t="s">
        <v>428</v>
      </c>
      <c r="Z232" s="143" t="s">
        <v>791</v>
      </c>
      <c r="AA232" s="143">
        <v>11.4</v>
      </c>
      <c r="AB232" s="170">
        <v>45762</v>
      </c>
      <c r="AG232" s="143" t="s">
        <v>96</v>
      </c>
      <c r="AM232" s="143" t="s">
        <v>53</v>
      </c>
    </row>
    <row r="233" spans="1:39">
      <c r="A233" s="143">
        <v>231</v>
      </c>
      <c r="B233" s="144">
        <v>45763</v>
      </c>
      <c r="C233" s="143" t="s">
        <v>40</v>
      </c>
      <c r="D233" s="143" t="s">
        <v>41</v>
      </c>
      <c r="F233" s="143" t="s">
        <v>793</v>
      </c>
      <c r="H233" s="143" t="s">
        <v>794</v>
      </c>
      <c r="I233" s="143" t="s">
        <v>45</v>
      </c>
      <c r="J233" s="143" t="s">
        <v>46</v>
      </c>
      <c r="K233" s="143">
        <v>152</v>
      </c>
      <c r="L233" s="143">
        <v>110</v>
      </c>
      <c r="O233" s="143" t="s">
        <v>47</v>
      </c>
      <c r="P233" s="143" t="s">
        <v>48</v>
      </c>
      <c r="W233" s="143" t="s">
        <v>49</v>
      </c>
      <c r="X233" s="143" t="s">
        <v>793</v>
      </c>
      <c r="Y233" s="143" t="s">
        <v>428</v>
      </c>
      <c r="Z233" s="143" t="s">
        <v>793</v>
      </c>
      <c r="AA233" s="143">
        <v>11.9</v>
      </c>
      <c r="AB233" s="170">
        <v>45762</v>
      </c>
      <c r="AG233" s="143" t="s">
        <v>96</v>
      </c>
      <c r="AM233" s="143" t="s">
        <v>53</v>
      </c>
    </row>
    <row r="234" spans="1:39">
      <c r="A234" s="143">
        <v>232</v>
      </c>
      <c r="B234" s="144">
        <v>45763</v>
      </c>
      <c r="C234" s="143" t="s">
        <v>40</v>
      </c>
      <c r="D234" s="143" t="s">
        <v>204</v>
      </c>
      <c r="F234" s="176" t="s">
        <v>795</v>
      </c>
      <c r="G234" s="176"/>
      <c r="H234" s="143" t="s">
        <v>796</v>
      </c>
      <c r="I234" s="177" t="s">
        <v>797</v>
      </c>
      <c r="J234" s="143" t="s">
        <v>773</v>
      </c>
      <c r="K234" s="143" t="s">
        <v>755</v>
      </c>
      <c r="O234" s="143" t="s">
        <v>774</v>
      </c>
      <c r="P234" s="143" t="s">
        <v>775</v>
      </c>
      <c r="Q234" s="169" t="s">
        <v>757</v>
      </c>
      <c r="W234" s="143" t="s">
        <v>758</v>
      </c>
      <c r="X234" s="143" t="s">
        <v>798</v>
      </c>
      <c r="Y234" s="143" t="s">
        <v>758</v>
      </c>
      <c r="Z234" s="143" t="s">
        <v>798</v>
      </c>
      <c r="AA234" s="143">
        <v>12</v>
      </c>
      <c r="AB234" s="170">
        <v>45765</v>
      </c>
      <c r="AM234" s="143" t="s">
        <v>53</v>
      </c>
    </row>
    <row r="235" spans="1:39">
      <c r="A235" s="143">
        <v>233</v>
      </c>
      <c r="B235" s="144">
        <v>45769</v>
      </c>
      <c r="C235" s="143" t="s">
        <v>40</v>
      </c>
      <c r="D235" s="143" t="s">
        <v>90</v>
      </c>
      <c r="E235" s="145" t="s">
        <v>91</v>
      </c>
      <c r="F235" s="143" t="s">
        <v>799</v>
      </c>
      <c r="H235" s="143" t="s">
        <v>800</v>
      </c>
      <c r="I235" s="143" t="s">
        <v>801</v>
      </c>
      <c r="J235" s="143" t="s">
        <v>802</v>
      </c>
      <c r="K235" s="143">
        <v>175</v>
      </c>
      <c r="L235" s="143">
        <v>180</v>
      </c>
      <c r="O235" s="143" t="s">
        <v>47</v>
      </c>
      <c r="P235" s="143" t="s">
        <v>48</v>
      </c>
      <c r="W235" s="143" t="s">
        <v>49</v>
      </c>
      <c r="X235" s="143" t="s">
        <v>803</v>
      </c>
      <c r="Y235" s="143" t="s">
        <v>102</v>
      </c>
      <c r="Z235" s="143" t="s">
        <v>803</v>
      </c>
      <c r="AA235" s="143">
        <v>13.6</v>
      </c>
      <c r="AB235" s="170">
        <v>45766</v>
      </c>
      <c r="AG235" s="143" t="s">
        <v>96</v>
      </c>
    </row>
    <row r="236" spans="1:39">
      <c r="A236" s="143">
        <v>234</v>
      </c>
      <c r="B236" s="144">
        <v>45769</v>
      </c>
      <c r="C236" s="143" t="s">
        <v>40</v>
      </c>
      <c r="D236" s="143" t="s">
        <v>90</v>
      </c>
      <c r="E236" s="145" t="s">
        <v>91</v>
      </c>
      <c r="F236" s="143" t="s">
        <v>804</v>
      </c>
      <c r="H236" s="143" t="s">
        <v>805</v>
      </c>
      <c r="I236" s="143" t="s">
        <v>806</v>
      </c>
      <c r="J236" s="143" t="s">
        <v>807</v>
      </c>
      <c r="K236" s="143">
        <v>145</v>
      </c>
      <c r="O236" s="143" t="s">
        <v>47</v>
      </c>
      <c r="P236" s="143" t="s">
        <v>48</v>
      </c>
      <c r="W236" s="143" t="s">
        <v>49</v>
      </c>
      <c r="X236" s="143" t="s">
        <v>808</v>
      </c>
      <c r="Y236" s="143" t="s">
        <v>119</v>
      </c>
      <c r="Z236" s="143" t="s">
        <v>808</v>
      </c>
      <c r="AA236" s="143">
        <v>8.3</v>
      </c>
      <c r="AB236" s="170">
        <v>45766</v>
      </c>
      <c r="AG236" s="143" t="s">
        <v>96</v>
      </c>
    </row>
    <row r="237" spans="1:39">
      <c r="A237" s="143">
        <v>235</v>
      </c>
      <c r="B237" s="144">
        <v>45769</v>
      </c>
      <c r="C237" s="143" t="s">
        <v>40</v>
      </c>
      <c r="D237" s="143" t="s">
        <v>90</v>
      </c>
      <c r="E237" s="145" t="s">
        <v>91</v>
      </c>
      <c r="F237" s="143" t="s">
        <v>809</v>
      </c>
      <c r="H237" s="143" t="s">
        <v>810</v>
      </c>
      <c r="I237" s="143" t="s">
        <v>806</v>
      </c>
      <c r="J237" s="143" t="s">
        <v>807</v>
      </c>
      <c r="K237" s="143">
        <v>145</v>
      </c>
      <c r="O237" s="143" t="s">
        <v>47</v>
      </c>
      <c r="P237" s="143" t="s">
        <v>48</v>
      </c>
      <c r="Q237" s="143" t="s">
        <v>811</v>
      </c>
      <c r="W237" s="143" t="s">
        <v>49</v>
      </c>
      <c r="X237" s="143" t="s">
        <v>812</v>
      </c>
      <c r="Y237" s="143" t="s">
        <v>119</v>
      </c>
      <c r="Z237" s="143" t="s">
        <v>812</v>
      </c>
      <c r="AA237" s="143">
        <v>8.3</v>
      </c>
      <c r="AB237" s="170">
        <v>45766</v>
      </c>
      <c r="AG237" s="143" t="s">
        <v>96</v>
      </c>
    </row>
    <row r="238" spans="1:39">
      <c r="A238" s="143">
        <v>236</v>
      </c>
      <c r="B238" s="144">
        <v>45769</v>
      </c>
      <c r="C238" s="143" t="s">
        <v>40</v>
      </c>
      <c r="D238" s="143" t="s">
        <v>90</v>
      </c>
      <c r="E238" s="145" t="s">
        <v>91</v>
      </c>
      <c r="F238" s="143" t="s">
        <v>813</v>
      </c>
      <c r="H238" s="143" t="s">
        <v>814</v>
      </c>
      <c r="I238" s="143" t="s">
        <v>815</v>
      </c>
      <c r="J238" s="143" t="s">
        <v>816</v>
      </c>
      <c r="K238" s="143">
        <v>145</v>
      </c>
      <c r="O238" s="143" t="s">
        <v>47</v>
      </c>
      <c r="P238" s="143" t="s">
        <v>48</v>
      </c>
      <c r="W238" s="143" t="s">
        <v>49</v>
      </c>
      <c r="X238" s="143" t="s">
        <v>817</v>
      </c>
      <c r="Y238" s="143" t="s">
        <v>818</v>
      </c>
      <c r="Z238" s="143" t="s">
        <v>819</v>
      </c>
      <c r="AA238" s="143">
        <v>14.2</v>
      </c>
      <c r="AB238" s="170">
        <v>45766</v>
      </c>
      <c r="AG238" s="143" t="s">
        <v>96</v>
      </c>
    </row>
    <row r="239" spans="1:39">
      <c r="A239" s="143">
        <v>237</v>
      </c>
      <c r="B239" s="144">
        <v>45769</v>
      </c>
      <c r="C239" s="143" t="s">
        <v>40</v>
      </c>
      <c r="D239" s="143" t="s">
        <v>90</v>
      </c>
      <c r="E239" s="145" t="s">
        <v>91</v>
      </c>
      <c r="F239" s="143" t="s">
        <v>820</v>
      </c>
      <c r="H239" s="143" t="s">
        <v>821</v>
      </c>
      <c r="I239" s="143" t="s">
        <v>815</v>
      </c>
      <c r="J239" s="143" t="s">
        <v>816</v>
      </c>
      <c r="K239" s="143">
        <v>145</v>
      </c>
      <c r="O239" s="143" t="s">
        <v>47</v>
      </c>
      <c r="P239" s="143" t="s">
        <v>48</v>
      </c>
      <c r="W239" s="143" t="s">
        <v>49</v>
      </c>
      <c r="X239" s="143" t="s">
        <v>822</v>
      </c>
      <c r="Y239" s="143" t="s">
        <v>818</v>
      </c>
      <c r="Z239" s="143" t="s">
        <v>822</v>
      </c>
      <c r="AA239" s="143">
        <v>10.2</v>
      </c>
      <c r="AB239" s="170">
        <v>45766</v>
      </c>
      <c r="AG239" s="143" t="s">
        <v>96</v>
      </c>
    </row>
    <row r="240" spans="1:39">
      <c r="A240" s="143">
        <v>238</v>
      </c>
      <c r="B240" s="144">
        <v>45769</v>
      </c>
      <c r="C240" s="143" t="s">
        <v>40</v>
      </c>
      <c r="D240" s="143" t="s">
        <v>90</v>
      </c>
      <c r="E240" s="145" t="s">
        <v>91</v>
      </c>
      <c r="F240" s="143" t="s">
        <v>823</v>
      </c>
      <c r="H240" s="143" t="s">
        <v>824</v>
      </c>
      <c r="I240" s="143" t="s">
        <v>815</v>
      </c>
      <c r="J240" s="143" t="s">
        <v>816</v>
      </c>
      <c r="K240" s="143">
        <v>165</v>
      </c>
      <c r="O240" s="143" t="s">
        <v>47</v>
      </c>
      <c r="P240" s="143" t="s">
        <v>48</v>
      </c>
      <c r="W240" s="143" t="s">
        <v>49</v>
      </c>
      <c r="X240" s="143" t="s">
        <v>825</v>
      </c>
      <c r="Y240" s="143" t="s">
        <v>818</v>
      </c>
      <c r="Z240" s="143" t="s">
        <v>825</v>
      </c>
      <c r="AA240" s="143">
        <v>12.5</v>
      </c>
      <c r="AB240" s="170">
        <v>45766</v>
      </c>
      <c r="AG240" s="143" t="s">
        <v>96</v>
      </c>
    </row>
    <row r="241" spans="1:34">
      <c r="A241" s="143">
        <v>239</v>
      </c>
      <c r="B241" s="144">
        <v>45769</v>
      </c>
      <c r="C241" s="143" t="s">
        <v>40</v>
      </c>
      <c r="D241" s="143" t="s">
        <v>90</v>
      </c>
      <c r="E241" s="145" t="s">
        <v>91</v>
      </c>
      <c r="F241" s="143" t="s">
        <v>826</v>
      </c>
      <c r="H241" s="143" t="s">
        <v>827</v>
      </c>
      <c r="I241" s="143" t="s">
        <v>815</v>
      </c>
      <c r="J241" s="143" t="s">
        <v>816</v>
      </c>
      <c r="K241" s="143">
        <v>150</v>
      </c>
      <c r="O241" s="143" t="s">
        <v>47</v>
      </c>
      <c r="P241" s="143" t="s">
        <v>48</v>
      </c>
      <c r="W241" s="143" t="s">
        <v>49</v>
      </c>
      <c r="X241" s="143" t="s">
        <v>828</v>
      </c>
      <c r="Y241" s="143" t="s">
        <v>829</v>
      </c>
      <c r="Z241" s="143" t="s">
        <v>830</v>
      </c>
      <c r="AA241" s="143">
        <v>14.8</v>
      </c>
      <c r="AB241" s="170">
        <v>45766</v>
      </c>
      <c r="AG241" s="143" t="s">
        <v>96</v>
      </c>
    </row>
    <row r="242" spans="1:34">
      <c r="A242" s="143">
        <v>240</v>
      </c>
      <c r="B242" s="144">
        <v>45773</v>
      </c>
      <c r="C242" s="143" t="s">
        <v>40</v>
      </c>
      <c r="D242" s="143" t="s">
        <v>41</v>
      </c>
      <c r="F242" s="143" t="s">
        <v>831</v>
      </c>
      <c r="H242" s="143" t="s">
        <v>832</v>
      </c>
      <c r="I242" s="143" t="s">
        <v>833</v>
      </c>
      <c r="J242" s="143" t="s">
        <v>834</v>
      </c>
      <c r="K242" s="143">
        <v>180</v>
      </c>
      <c r="L242" s="143">
        <v>230</v>
      </c>
      <c r="O242" s="143" t="s">
        <v>47</v>
      </c>
      <c r="P242" s="143" t="s">
        <v>48</v>
      </c>
      <c r="W242" s="143" t="s">
        <v>49</v>
      </c>
      <c r="X242" s="143" t="s">
        <v>835</v>
      </c>
      <c r="Y242" s="143" t="s">
        <v>836</v>
      </c>
      <c r="Z242" s="143" t="s">
        <v>835</v>
      </c>
      <c r="AA242" s="143">
        <v>26.5</v>
      </c>
      <c r="AB242" s="170">
        <v>45773</v>
      </c>
      <c r="AG242" s="143" t="s">
        <v>96</v>
      </c>
    </row>
    <row r="243" spans="1:34">
      <c r="A243" s="143">
        <v>241</v>
      </c>
      <c r="B243" s="144">
        <v>45773</v>
      </c>
      <c r="C243" s="143" t="s">
        <v>40</v>
      </c>
      <c r="D243" s="143" t="s">
        <v>41</v>
      </c>
      <c r="F243" s="143" t="s">
        <v>837</v>
      </c>
      <c r="H243" s="143" t="s">
        <v>838</v>
      </c>
      <c r="I243" s="143" t="s">
        <v>839</v>
      </c>
      <c r="J243" s="143" t="s">
        <v>840</v>
      </c>
      <c r="K243" s="143">
        <v>175</v>
      </c>
      <c r="L243" s="143">
        <v>210</v>
      </c>
      <c r="O243" s="143" t="s">
        <v>47</v>
      </c>
      <c r="P243" s="143" t="s">
        <v>48</v>
      </c>
      <c r="W243" s="143" t="s">
        <v>49</v>
      </c>
      <c r="X243" s="143" t="s">
        <v>841</v>
      </c>
      <c r="Y243" s="143" t="s">
        <v>836</v>
      </c>
      <c r="Z243" s="143" t="s">
        <v>841</v>
      </c>
      <c r="AA243" s="143">
        <v>21.6</v>
      </c>
      <c r="AB243" s="170">
        <v>45773</v>
      </c>
      <c r="AG243" s="143" t="s">
        <v>96</v>
      </c>
    </row>
    <row r="244" spans="1:34">
      <c r="A244" s="143">
        <v>242</v>
      </c>
      <c r="B244" s="144">
        <v>45773</v>
      </c>
      <c r="C244" s="143" t="s">
        <v>40</v>
      </c>
      <c r="D244" s="143" t="s">
        <v>41</v>
      </c>
      <c r="F244" s="143" t="s">
        <v>842</v>
      </c>
      <c r="H244" s="143" t="s">
        <v>843</v>
      </c>
      <c r="I244" s="143" t="s">
        <v>844</v>
      </c>
      <c r="J244" s="143" t="s">
        <v>845</v>
      </c>
      <c r="K244" s="143">
        <v>150</v>
      </c>
      <c r="L244" s="143">
        <v>120</v>
      </c>
      <c r="O244" s="143" t="s">
        <v>47</v>
      </c>
      <c r="P244" s="143" t="s">
        <v>48</v>
      </c>
      <c r="W244" s="143" t="s">
        <v>49</v>
      </c>
      <c r="X244" s="143" t="s">
        <v>842</v>
      </c>
      <c r="Y244" s="143" t="s">
        <v>846</v>
      </c>
      <c r="Z244" s="143" t="s">
        <v>842</v>
      </c>
      <c r="AA244" s="143">
        <v>15</v>
      </c>
      <c r="AB244" s="170">
        <v>45773</v>
      </c>
      <c r="AG244" s="143" t="s">
        <v>96</v>
      </c>
    </row>
    <row r="245" spans="1:34">
      <c r="A245" s="143">
        <v>243</v>
      </c>
      <c r="B245" s="144">
        <v>45773</v>
      </c>
      <c r="C245" s="143" t="s">
        <v>40</v>
      </c>
      <c r="D245" s="143" t="s">
        <v>41</v>
      </c>
      <c r="F245" s="143" t="s">
        <v>847</v>
      </c>
      <c r="H245" s="143" t="s">
        <v>848</v>
      </c>
      <c r="I245" s="143" t="s">
        <v>849</v>
      </c>
      <c r="J245" s="143" t="s">
        <v>850</v>
      </c>
      <c r="K245" s="143">
        <v>148</v>
      </c>
      <c r="L245" s="143">
        <v>114</v>
      </c>
      <c r="O245" s="143" t="s">
        <v>47</v>
      </c>
      <c r="P245" s="143" t="s">
        <v>48</v>
      </c>
      <c r="W245" s="143" t="s">
        <v>49</v>
      </c>
      <c r="X245" s="143" t="s">
        <v>847</v>
      </c>
      <c r="Y245" s="143" t="s">
        <v>846</v>
      </c>
      <c r="Z245" s="143" t="s">
        <v>847</v>
      </c>
      <c r="AA245" s="143">
        <v>15</v>
      </c>
      <c r="AB245" s="170">
        <v>45773</v>
      </c>
      <c r="AG245" s="143" t="s">
        <v>96</v>
      </c>
    </row>
    <row r="246" spans="1:34">
      <c r="A246" s="143">
        <v>244</v>
      </c>
      <c r="B246" s="144">
        <v>45773</v>
      </c>
      <c r="C246" s="143" t="s">
        <v>40</v>
      </c>
      <c r="D246" s="143" t="s">
        <v>41</v>
      </c>
      <c r="F246" s="143" t="s">
        <v>851</v>
      </c>
      <c r="H246" s="143" t="s">
        <v>852</v>
      </c>
      <c r="I246" s="143" t="s">
        <v>853</v>
      </c>
      <c r="J246" s="143" t="s">
        <v>854</v>
      </c>
      <c r="K246" s="143">
        <v>150</v>
      </c>
      <c r="L246" s="143">
        <v>170</v>
      </c>
      <c r="O246" s="143" t="s">
        <v>47</v>
      </c>
      <c r="P246" s="143" t="s">
        <v>48</v>
      </c>
      <c r="W246" s="143" t="s">
        <v>49</v>
      </c>
      <c r="X246" s="143" t="s">
        <v>851</v>
      </c>
      <c r="Y246" s="143" t="s">
        <v>411</v>
      </c>
      <c r="Z246" s="143" t="s">
        <v>851</v>
      </c>
      <c r="AA246" s="143">
        <v>14.6</v>
      </c>
      <c r="AB246" s="170">
        <v>45773</v>
      </c>
      <c r="AG246" s="143" t="s">
        <v>96</v>
      </c>
    </row>
    <row r="247" spans="1:34">
      <c r="A247" s="143">
        <v>245</v>
      </c>
      <c r="B247" s="144">
        <v>45773</v>
      </c>
      <c r="C247" s="143" t="s">
        <v>40</v>
      </c>
      <c r="D247" s="143" t="s">
        <v>41</v>
      </c>
      <c r="F247" s="143" t="s">
        <v>855</v>
      </c>
      <c r="H247" s="143" t="s">
        <v>856</v>
      </c>
      <c r="I247" s="143" t="s">
        <v>857</v>
      </c>
      <c r="J247" s="143" t="s">
        <v>858</v>
      </c>
      <c r="K247" s="143">
        <v>150</v>
      </c>
      <c r="L247" s="143">
        <v>115</v>
      </c>
      <c r="O247" s="143" t="s">
        <v>47</v>
      </c>
      <c r="P247" s="143" t="s">
        <v>48</v>
      </c>
      <c r="W247" s="143" t="s">
        <v>49</v>
      </c>
      <c r="X247" s="143" t="s">
        <v>855</v>
      </c>
      <c r="Y247" s="143" t="s">
        <v>859</v>
      </c>
      <c r="Z247" s="143" t="s">
        <v>855</v>
      </c>
      <c r="AA247" s="143">
        <v>11.8</v>
      </c>
      <c r="AB247" s="170">
        <v>45773</v>
      </c>
      <c r="AG247" s="143" t="s">
        <v>96</v>
      </c>
    </row>
    <row r="248" spans="1:34">
      <c r="A248" s="143">
        <v>246</v>
      </c>
      <c r="B248" s="144">
        <v>45773</v>
      </c>
      <c r="C248" s="143" t="s">
        <v>40</v>
      </c>
      <c r="D248" s="143" t="s">
        <v>41</v>
      </c>
      <c r="F248" s="143" t="s">
        <v>860</v>
      </c>
      <c r="H248" s="143" t="s">
        <v>861</v>
      </c>
      <c r="I248" s="143" t="s">
        <v>857</v>
      </c>
      <c r="J248" s="143" t="s">
        <v>858</v>
      </c>
      <c r="K248" s="143">
        <v>150</v>
      </c>
      <c r="L248" s="143">
        <v>86</v>
      </c>
      <c r="O248" s="143" t="s">
        <v>47</v>
      </c>
      <c r="P248" s="143" t="s">
        <v>48</v>
      </c>
      <c r="W248" s="143" t="s">
        <v>49</v>
      </c>
      <c r="X248" s="143" t="s">
        <v>860</v>
      </c>
      <c r="Y248" s="143" t="s">
        <v>859</v>
      </c>
      <c r="Z248" s="143" t="s">
        <v>860</v>
      </c>
      <c r="AA248" s="143">
        <v>6.7</v>
      </c>
      <c r="AB248" s="170">
        <v>45773</v>
      </c>
      <c r="AG248" s="143" t="s">
        <v>96</v>
      </c>
    </row>
    <row r="249" spans="1:34">
      <c r="A249" s="143">
        <v>247</v>
      </c>
      <c r="B249" s="144">
        <v>45773</v>
      </c>
      <c r="C249" s="143" t="s">
        <v>40</v>
      </c>
      <c r="D249" s="143" t="s">
        <v>41</v>
      </c>
      <c r="F249" s="143" t="s">
        <v>862</v>
      </c>
      <c r="H249" s="143" t="s">
        <v>863</v>
      </c>
      <c r="I249" s="143" t="s">
        <v>864</v>
      </c>
      <c r="J249" s="143" t="s">
        <v>865</v>
      </c>
      <c r="K249" s="143">
        <v>148</v>
      </c>
      <c r="L249" s="143">
        <v>177</v>
      </c>
      <c r="O249" s="143" t="s">
        <v>47</v>
      </c>
      <c r="P249" s="143" t="s">
        <v>48</v>
      </c>
      <c r="Q249" s="143" t="s">
        <v>866</v>
      </c>
      <c r="W249" s="143" t="s">
        <v>49</v>
      </c>
      <c r="X249" s="143" t="s">
        <v>862</v>
      </c>
      <c r="Y249" s="143" t="s">
        <v>867</v>
      </c>
      <c r="Z249" s="143" t="s">
        <v>862</v>
      </c>
      <c r="AA249" s="143">
        <v>14.8</v>
      </c>
      <c r="AB249" s="170">
        <v>45773</v>
      </c>
      <c r="AG249" s="143" t="s">
        <v>96</v>
      </c>
      <c r="AH249" s="143" t="s">
        <v>866</v>
      </c>
    </row>
    <row r="250" spans="1:34">
      <c r="A250" s="143">
        <v>248</v>
      </c>
      <c r="B250" s="144">
        <v>45773</v>
      </c>
      <c r="C250" s="143" t="s">
        <v>40</v>
      </c>
      <c r="D250" s="143" t="s">
        <v>41</v>
      </c>
      <c r="F250" s="143" t="s">
        <v>868</v>
      </c>
      <c r="H250" s="143" t="s">
        <v>869</v>
      </c>
      <c r="I250" s="143" t="s">
        <v>870</v>
      </c>
      <c r="J250" s="143" t="s">
        <v>871</v>
      </c>
      <c r="K250" s="143">
        <v>150</v>
      </c>
      <c r="L250" s="143">
        <v>49</v>
      </c>
      <c r="O250" s="143" t="s">
        <v>47</v>
      </c>
      <c r="P250" s="143" t="s">
        <v>48</v>
      </c>
      <c r="W250" s="143" t="s">
        <v>49</v>
      </c>
      <c r="X250" s="143" t="s">
        <v>868</v>
      </c>
      <c r="Y250" s="143" t="s">
        <v>872</v>
      </c>
      <c r="Z250" s="143" t="s">
        <v>868</v>
      </c>
      <c r="AA250" s="143">
        <v>13</v>
      </c>
      <c r="AB250" s="170">
        <v>45773</v>
      </c>
      <c r="AG250" s="143" t="s">
        <v>96</v>
      </c>
    </row>
    <row r="251" spans="1:34">
      <c r="A251" s="143">
        <v>249</v>
      </c>
      <c r="B251" s="144">
        <v>45773</v>
      </c>
      <c r="C251" s="143" t="s">
        <v>40</v>
      </c>
      <c r="D251" s="143" t="s">
        <v>41</v>
      </c>
      <c r="F251" s="143" t="s">
        <v>873</v>
      </c>
      <c r="H251" s="143" t="s">
        <v>874</v>
      </c>
      <c r="I251" s="143" t="s">
        <v>875</v>
      </c>
      <c r="J251" s="143" t="s">
        <v>876</v>
      </c>
      <c r="K251" s="143">
        <v>150</v>
      </c>
      <c r="L251" s="143">
        <v>55</v>
      </c>
      <c r="O251" s="143" t="s">
        <v>47</v>
      </c>
      <c r="P251" s="143" t="s">
        <v>48</v>
      </c>
      <c r="W251" s="143" t="s">
        <v>49</v>
      </c>
      <c r="X251" s="143" t="s">
        <v>873</v>
      </c>
      <c r="Y251" s="143" t="s">
        <v>414</v>
      </c>
      <c r="Z251" s="143" t="s">
        <v>873</v>
      </c>
      <c r="AA251" s="143">
        <v>14.8</v>
      </c>
      <c r="AB251" s="170">
        <v>45773</v>
      </c>
      <c r="AG251" s="143" t="s">
        <v>96</v>
      </c>
    </row>
    <row r="252" spans="1:34">
      <c r="A252" s="143">
        <v>250</v>
      </c>
      <c r="B252" s="144">
        <v>45773</v>
      </c>
      <c r="C252" s="143" t="s">
        <v>40</v>
      </c>
      <c r="D252" s="143" t="s">
        <v>41</v>
      </c>
      <c r="F252" s="143" t="s">
        <v>877</v>
      </c>
      <c r="H252" s="143" t="s">
        <v>878</v>
      </c>
      <c r="I252" s="143" t="s">
        <v>879</v>
      </c>
      <c r="J252" s="143" t="s">
        <v>880</v>
      </c>
      <c r="K252" s="143">
        <v>150</v>
      </c>
      <c r="L252" s="143">
        <v>72</v>
      </c>
      <c r="O252" s="143" t="s">
        <v>47</v>
      </c>
      <c r="P252" s="143" t="s">
        <v>48</v>
      </c>
      <c r="Q252" s="143" t="s">
        <v>881</v>
      </c>
      <c r="W252" s="143" t="s">
        <v>49</v>
      </c>
      <c r="X252" s="143">
        <v>615</v>
      </c>
      <c r="Y252" s="143" t="s">
        <v>882</v>
      </c>
      <c r="Z252" s="143" t="s">
        <v>883</v>
      </c>
      <c r="AA252" s="143">
        <v>9.6</v>
      </c>
      <c r="AB252" s="170">
        <v>45773</v>
      </c>
      <c r="AG252" s="143" t="s">
        <v>96</v>
      </c>
    </row>
    <row r="253" spans="1:34">
      <c r="A253" s="143">
        <v>251</v>
      </c>
      <c r="B253" s="144">
        <v>45773</v>
      </c>
      <c r="C253" s="143" t="s">
        <v>40</v>
      </c>
      <c r="D253" s="143" t="s">
        <v>41</v>
      </c>
      <c r="F253" s="143" t="s">
        <v>884</v>
      </c>
      <c r="H253" s="143" t="s">
        <v>885</v>
      </c>
      <c r="I253" s="143" t="s">
        <v>886</v>
      </c>
      <c r="J253" s="143" t="s">
        <v>887</v>
      </c>
      <c r="K253" s="143">
        <v>150</v>
      </c>
      <c r="L253" s="143">
        <v>75</v>
      </c>
      <c r="O253" s="143" t="s">
        <v>47</v>
      </c>
      <c r="P253" s="143" t="s">
        <v>48</v>
      </c>
      <c r="Q253" s="143" t="s">
        <v>881</v>
      </c>
      <c r="W253" s="143" t="s">
        <v>49</v>
      </c>
      <c r="X253" s="143">
        <v>617</v>
      </c>
      <c r="Y253" s="143" t="s">
        <v>882</v>
      </c>
      <c r="Z253" s="143" t="s">
        <v>888</v>
      </c>
      <c r="AA253" s="143">
        <v>7.2</v>
      </c>
      <c r="AB253" s="170">
        <v>45773</v>
      </c>
      <c r="AG253" s="143" t="s">
        <v>96</v>
      </c>
    </row>
    <row r="254" spans="1:34">
      <c r="A254" s="143">
        <v>252</v>
      </c>
      <c r="B254" s="144">
        <v>45773</v>
      </c>
      <c r="C254" s="143" t="s">
        <v>40</v>
      </c>
      <c r="D254" s="143" t="s">
        <v>41</v>
      </c>
      <c r="F254" s="143">
        <v>28457</v>
      </c>
      <c r="H254" s="143" t="s">
        <v>889</v>
      </c>
      <c r="I254" s="143" t="s">
        <v>890</v>
      </c>
      <c r="J254" s="143" t="s">
        <v>891</v>
      </c>
      <c r="K254" s="143">
        <v>143</v>
      </c>
      <c r="L254" s="143">
        <v>87</v>
      </c>
      <c r="O254" s="143" t="s">
        <v>47</v>
      </c>
      <c r="P254" s="143" t="s">
        <v>48</v>
      </c>
      <c r="W254" s="143" t="s">
        <v>49</v>
      </c>
      <c r="X254" s="143">
        <v>28457</v>
      </c>
      <c r="Y254" s="143" t="s">
        <v>892</v>
      </c>
      <c r="Z254" s="143">
        <v>28457</v>
      </c>
      <c r="AA254" s="143">
        <v>15.2</v>
      </c>
      <c r="AB254" s="170">
        <v>45773</v>
      </c>
      <c r="AG254" s="143" t="s">
        <v>96</v>
      </c>
    </row>
    <row r="255" spans="1:34">
      <c r="A255" s="143">
        <v>253</v>
      </c>
      <c r="B255" s="144">
        <v>45773</v>
      </c>
      <c r="C255" s="143" t="s">
        <v>40</v>
      </c>
      <c r="D255" s="143" t="s">
        <v>41</v>
      </c>
      <c r="F255" s="143" t="s">
        <v>893</v>
      </c>
      <c r="H255" s="143" t="s">
        <v>894</v>
      </c>
      <c r="I255" s="143" t="s">
        <v>890</v>
      </c>
      <c r="J255" s="143" t="s">
        <v>891</v>
      </c>
      <c r="K255" s="143">
        <v>148</v>
      </c>
      <c r="L255" s="143">
        <v>92</v>
      </c>
      <c r="O255" s="143" t="s">
        <v>47</v>
      </c>
      <c r="P255" s="143" t="s">
        <v>48</v>
      </c>
      <c r="W255" s="143" t="s">
        <v>49</v>
      </c>
      <c r="X255" s="143" t="s">
        <v>893</v>
      </c>
      <c r="Y255" s="143" t="s">
        <v>892</v>
      </c>
      <c r="Z255" s="143" t="s">
        <v>893</v>
      </c>
      <c r="AA255" s="143">
        <v>16.6</v>
      </c>
      <c r="AB255" s="170">
        <v>45773</v>
      </c>
      <c r="AG255" s="143" t="s">
        <v>96</v>
      </c>
    </row>
    <row r="256" spans="1:34">
      <c r="A256" s="143">
        <v>254</v>
      </c>
      <c r="B256" s="144">
        <v>45786</v>
      </c>
      <c r="C256" s="143" t="s">
        <v>40</v>
      </c>
      <c r="D256" s="143" t="s">
        <v>41</v>
      </c>
      <c r="E256" s="145" t="s">
        <v>895</v>
      </c>
      <c r="F256" s="143">
        <v>1212</v>
      </c>
      <c r="H256" s="143" t="s">
        <v>896</v>
      </c>
      <c r="I256" s="143" t="s">
        <v>897</v>
      </c>
      <c r="J256" s="143" t="s">
        <v>898</v>
      </c>
      <c r="K256" s="143">
        <v>140</v>
      </c>
      <c r="L256" s="143">
        <v>210</v>
      </c>
      <c r="W256" s="143" t="s">
        <v>49</v>
      </c>
      <c r="X256" s="143">
        <v>1212</v>
      </c>
      <c r="Y256" s="143" t="s">
        <v>899</v>
      </c>
      <c r="Z256" s="143">
        <v>1212</v>
      </c>
      <c r="AA256" s="143">
        <v>12.8</v>
      </c>
      <c r="AB256" s="170">
        <v>45786</v>
      </c>
    </row>
    <row r="257" spans="1:34">
      <c r="A257" s="143">
        <v>255</v>
      </c>
      <c r="B257" s="144">
        <v>45786</v>
      </c>
      <c r="C257" s="143" t="s">
        <v>40</v>
      </c>
      <c r="D257" s="143" t="s">
        <v>41</v>
      </c>
      <c r="E257" s="145" t="s">
        <v>895</v>
      </c>
      <c r="F257" s="143" t="s">
        <v>900</v>
      </c>
      <c r="H257" s="143" t="s">
        <v>901</v>
      </c>
      <c r="I257" s="143" t="s">
        <v>902</v>
      </c>
      <c r="J257" s="143" t="s">
        <v>903</v>
      </c>
      <c r="K257" s="143">
        <v>140</v>
      </c>
      <c r="L257" s="143">
        <v>205</v>
      </c>
      <c r="W257" s="143" t="s">
        <v>49</v>
      </c>
      <c r="X257" s="143" t="s">
        <v>900</v>
      </c>
      <c r="Y257" s="143" t="s">
        <v>192</v>
      </c>
      <c r="Z257" s="143" t="s">
        <v>900</v>
      </c>
      <c r="AA257" s="143">
        <v>12.2</v>
      </c>
      <c r="AB257" s="170">
        <v>45786</v>
      </c>
    </row>
    <row r="258" spans="1:34">
      <c r="A258" s="143">
        <v>256</v>
      </c>
      <c r="B258" s="144">
        <v>45786</v>
      </c>
      <c r="C258" s="143" t="s">
        <v>40</v>
      </c>
      <c r="D258" s="143" t="s">
        <v>41</v>
      </c>
      <c r="E258" s="145" t="s">
        <v>895</v>
      </c>
      <c r="F258" s="143" t="s">
        <v>904</v>
      </c>
      <c r="H258" s="143" t="s">
        <v>905</v>
      </c>
      <c r="I258" s="143" t="s">
        <v>906</v>
      </c>
      <c r="J258" s="143" t="s">
        <v>907</v>
      </c>
      <c r="K258" s="143">
        <v>140</v>
      </c>
      <c r="L258" s="143">
        <v>128</v>
      </c>
      <c r="W258" s="143" t="s">
        <v>49</v>
      </c>
      <c r="X258" s="143" t="s">
        <v>904</v>
      </c>
      <c r="Y258" s="143" t="s">
        <v>908</v>
      </c>
      <c r="Z258" s="143" t="s">
        <v>904</v>
      </c>
      <c r="AA258" s="143">
        <v>10.5</v>
      </c>
      <c r="AB258" s="170">
        <v>45786</v>
      </c>
    </row>
    <row r="259" spans="1:34">
      <c r="A259" s="143">
        <v>257</v>
      </c>
      <c r="B259" s="144">
        <v>45786</v>
      </c>
      <c r="C259" s="143" t="s">
        <v>40</v>
      </c>
      <c r="D259" s="143" t="s">
        <v>41</v>
      </c>
      <c r="E259" s="145" t="s">
        <v>895</v>
      </c>
      <c r="F259" s="143" t="s">
        <v>909</v>
      </c>
      <c r="H259" s="143" t="s">
        <v>910</v>
      </c>
      <c r="I259" s="143" t="s">
        <v>911</v>
      </c>
      <c r="J259" s="143" t="s">
        <v>912</v>
      </c>
      <c r="K259" s="143">
        <v>148</v>
      </c>
      <c r="L259" s="143">
        <v>125</v>
      </c>
      <c r="W259" s="143" t="s">
        <v>49</v>
      </c>
      <c r="X259" s="143" t="s">
        <v>909</v>
      </c>
      <c r="Y259" s="143" t="s">
        <v>913</v>
      </c>
      <c r="Z259" s="143" t="s">
        <v>909</v>
      </c>
      <c r="AA259" s="143">
        <v>11.3</v>
      </c>
      <c r="AB259" s="170">
        <v>45786</v>
      </c>
    </row>
    <row r="260" spans="1:34">
      <c r="A260" s="143">
        <v>258</v>
      </c>
      <c r="B260" s="144">
        <v>45789</v>
      </c>
      <c r="C260" s="143" t="s">
        <v>40</v>
      </c>
      <c r="D260" s="143" t="s">
        <v>41</v>
      </c>
      <c r="E260" s="145" t="s">
        <v>447</v>
      </c>
      <c r="F260" s="143" t="s">
        <v>914</v>
      </c>
      <c r="H260" s="143" t="s">
        <v>915</v>
      </c>
      <c r="I260" s="143" t="s">
        <v>916</v>
      </c>
      <c r="J260" s="143" t="s">
        <v>917</v>
      </c>
      <c r="K260" s="143">
        <v>139</v>
      </c>
      <c r="L260" s="143">
        <v>108</v>
      </c>
      <c r="W260" s="143" t="s">
        <v>49</v>
      </c>
      <c r="X260" s="143" t="s">
        <v>914</v>
      </c>
      <c r="Y260" s="143" t="s">
        <v>918</v>
      </c>
      <c r="Z260" s="143" t="s">
        <v>914</v>
      </c>
      <c r="AA260" s="143">
        <v>38.6</v>
      </c>
      <c r="AB260" s="170">
        <v>45789</v>
      </c>
    </row>
    <row r="261" spans="1:34">
      <c r="A261" s="143">
        <v>259</v>
      </c>
      <c r="B261" s="144">
        <v>45789</v>
      </c>
      <c r="C261" s="143" t="s">
        <v>40</v>
      </c>
      <c r="D261" s="143" t="s">
        <v>41</v>
      </c>
      <c r="E261" s="145" t="s">
        <v>447</v>
      </c>
      <c r="F261" s="143">
        <v>11999</v>
      </c>
      <c r="H261" s="143" t="s">
        <v>919</v>
      </c>
      <c r="I261" s="143" t="s">
        <v>920</v>
      </c>
      <c r="J261" s="143" t="s">
        <v>921</v>
      </c>
      <c r="K261" s="143">
        <v>138</v>
      </c>
      <c r="L261" s="143">
        <v>123</v>
      </c>
      <c r="W261" s="143" t="s">
        <v>49</v>
      </c>
      <c r="X261" s="143">
        <v>11999</v>
      </c>
      <c r="Y261" s="143" t="s">
        <v>922</v>
      </c>
      <c r="Z261" s="143">
        <v>11999</v>
      </c>
      <c r="AA261" s="143">
        <v>23</v>
      </c>
      <c r="AB261" s="170">
        <v>45789</v>
      </c>
    </row>
    <row r="262" ht="16.5" spans="1:34">
      <c r="A262" s="143">
        <v>260</v>
      </c>
      <c r="B262" s="144">
        <v>45791</v>
      </c>
      <c r="C262" s="143" t="s">
        <v>40</v>
      </c>
      <c r="D262" s="143" t="s">
        <v>41</v>
      </c>
      <c r="F262" s="143" t="s">
        <v>923</v>
      </c>
      <c r="H262" s="143" t="s">
        <v>924</v>
      </c>
      <c r="I262" s="143" t="s">
        <v>925</v>
      </c>
      <c r="J262" s="143" t="s">
        <v>926</v>
      </c>
      <c r="K262" s="143">
        <v>173</v>
      </c>
      <c r="L262" s="143">
        <v>170</v>
      </c>
      <c r="M262" s="143" t="s">
        <v>927</v>
      </c>
      <c r="Q262" s="177" t="s">
        <v>928</v>
      </c>
      <c r="W262" s="143" t="s">
        <v>49</v>
      </c>
      <c r="X262" s="143" t="s">
        <v>929</v>
      </c>
      <c r="Y262" s="143" t="s">
        <v>930</v>
      </c>
      <c r="Z262" s="143" t="s">
        <v>929</v>
      </c>
      <c r="AA262" s="143">
        <v>13</v>
      </c>
      <c r="AB262" s="170">
        <v>45791</v>
      </c>
      <c r="AH262" s="143" t="s">
        <v>931</v>
      </c>
    </row>
    <row r="263" ht="16.5" spans="1:34">
      <c r="A263" s="143">
        <v>261</v>
      </c>
      <c r="B263" s="144">
        <v>45791</v>
      </c>
      <c r="C263" s="143" t="s">
        <v>40</v>
      </c>
      <c r="D263" s="143" t="s">
        <v>41</v>
      </c>
      <c r="F263" s="143" t="s">
        <v>932</v>
      </c>
      <c r="H263" s="143" t="s">
        <v>933</v>
      </c>
      <c r="I263" s="143" t="s">
        <v>934</v>
      </c>
      <c r="J263" s="143" t="s">
        <v>935</v>
      </c>
      <c r="K263" s="143">
        <v>170</v>
      </c>
      <c r="L263" s="143">
        <v>200</v>
      </c>
      <c r="M263" s="143" t="s">
        <v>927</v>
      </c>
      <c r="Q263" s="177" t="s">
        <v>928</v>
      </c>
      <c r="W263" s="143" t="s">
        <v>49</v>
      </c>
      <c r="X263" s="143" t="s">
        <v>936</v>
      </c>
      <c r="Y263" s="143" t="s">
        <v>930</v>
      </c>
      <c r="Z263" s="143" t="s">
        <v>936</v>
      </c>
      <c r="AA263" s="143">
        <v>15.5</v>
      </c>
      <c r="AB263" s="170">
        <v>45791</v>
      </c>
      <c r="AH263" s="143" t="s">
        <v>931</v>
      </c>
    </row>
    <row r="264" spans="1:34">
      <c r="A264" s="143">
        <v>262</v>
      </c>
      <c r="B264" s="144">
        <v>45791</v>
      </c>
      <c r="C264" s="143" t="s">
        <v>40</v>
      </c>
      <c r="D264" s="143" t="s">
        <v>41</v>
      </c>
      <c r="F264" s="143" t="s">
        <v>937</v>
      </c>
      <c r="H264" s="143" t="s">
        <v>938</v>
      </c>
      <c r="I264" s="143" t="s">
        <v>939</v>
      </c>
      <c r="J264" s="143" t="s">
        <v>940</v>
      </c>
      <c r="K264" s="143">
        <v>185</v>
      </c>
      <c r="L264" s="143">
        <v>180</v>
      </c>
      <c r="Q264" s="177" t="s">
        <v>941</v>
      </c>
      <c r="W264" s="143" t="s">
        <v>49</v>
      </c>
      <c r="X264" s="143" t="s">
        <v>942</v>
      </c>
      <c r="Y264" s="143" t="s">
        <v>943</v>
      </c>
      <c r="Z264" s="143" t="s">
        <v>942</v>
      </c>
      <c r="AA264" s="143">
        <v>15.5</v>
      </c>
      <c r="AB264" s="170">
        <v>45791</v>
      </c>
      <c r="AH264" s="143" t="s">
        <v>944</v>
      </c>
    </row>
    <row r="265" spans="1:34">
      <c r="A265" s="143">
        <v>263</v>
      </c>
      <c r="B265" s="144">
        <v>45791</v>
      </c>
      <c r="C265" s="143" t="s">
        <v>40</v>
      </c>
      <c r="D265" s="143" t="s">
        <v>41</v>
      </c>
      <c r="F265" s="143" t="s">
        <v>945</v>
      </c>
      <c r="H265" s="143" t="s">
        <v>946</v>
      </c>
      <c r="I265" s="143" t="s">
        <v>947</v>
      </c>
      <c r="J265" s="143" t="s">
        <v>948</v>
      </c>
      <c r="K265" s="143">
        <v>173</v>
      </c>
      <c r="L265" s="143">
        <v>180</v>
      </c>
      <c r="Q265" s="178" t="s">
        <v>949</v>
      </c>
      <c r="W265" s="143" t="s">
        <v>49</v>
      </c>
      <c r="X265" s="143" t="s">
        <v>950</v>
      </c>
      <c r="Y265" s="143" t="s">
        <v>943</v>
      </c>
      <c r="Z265" s="143" t="s">
        <v>950</v>
      </c>
      <c r="AA265" s="143">
        <v>12.5</v>
      </c>
      <c r="AB265" s="170">
        <v>45791</v>
      </c>
      <c r="AH265" s="143" t="s">
        <v>951</v>
      </c>
    </row>
    <row r="266" spans="1:34">
      <c r="A266" s="143">
        <v>264</v>
      </c>
      <c r="B266" s="144">
        <v>45791</v>
      </c>
      <c r="C266" s="143" t="s">
        <v>40</v>
      </c>
      <c r="D266" s="143" t="s">
        <v>41</v>
      </c>
      <c r="F266" s="143" t="s">
        <v>952</v>
      </c>
      <c r="H266" s="143" t="s">
        <v>953</v>
      </c>
      <c r="I266" s="143" t="s">
        <v>947</v>
      </c>
      <c r="J266" s="143" t="s">
        <v>948</v>
      </c>
      <c r="K266" s="143">
        <v>175</v>
      </c>
      <c r="L266" s="143">
        <v>190</v>
      </c>
      <c r="W266" s="143" t="s">
        <v>49</v>
      </c>
      <c r="X266" s="143" t="s">
        <v>952</v>
      </c>
      <c r="Y266" s="143" t="s">
        <v>954</v>
      </c>
      <c r="Z266" s="143" t="s">
        <v>952</v>
      </c>
      <c r="AA266" s="143">
        <v>23.5</v>
      </c>
      <c r="AB266" s="170">
        <v>45791</v>
      </c>
      <c r="AH266" s="143" t="s">
        <v>955</v>
      </c>
    </row>
    <row r="267" ht="16.5" spans="1:34">
      <c r="A267" s="143">
        <v>265</v>
      </c>
      <c r="B267" s="144">
        <v>45791</v>
      </c>
      <c r="C267" s="143" t="s">
        <v>40</v>
      </c>
      <c r="D267" s="143" t="s">
        <v>41</v>
      </c>
      <c r="F267" s="143" t="s">
        <v>956</v>
      </c>
      <c r="H267" s="143" t="s">
        <v>957</v>
      </c>
      <c r="I267" s="143" t="s">
        <v>958</v>
      </c>
      <c r="J267" s="143" t="s">
        <v>959</v>
      </c>
      <c r="K267" s="143">
        <v>165</v>
      </c>
      <c r="L267" s="143">
        <v>180</v>
      </c>
      <c r="W267" s="143" t="s">
        <v>49</v>
      </c>
      <c r="X267" s="143" t="s">
        <v>960</v>
      </c>
      <c r="Y267" s="143" t="s">
        <v>961</v>
      </c>
      <c r="Z267" s="143" t="s">
        <v>960</v>
      </c>
      <c r="AA267" s="143">
        <v>18.5</v>
      </c>
      <c r="AB267" s="170">
        <v>45791</v>
      </c>
      <c r="AH267" s="143" t="s">
        <v>962</v>
      </c>
    </row>
    <row r="268" ht="16.5" spans="1:34">
      <c r="A268" s="143">
        <v>266</v>
      </c>
      <c r="B268" s="144">
        <v>45791</v>
      </c>
      <c r="C268" s="143" t="s">
        <v>40</v>
      </c>
      <c r="D268" s="143" t="s">
        <v>41</v>
      </c>
      <c r="F268" s="143" t="s">
        <v>963</v>
      </c>
      <c r="H268" s="143" t="s">
        <v>964</v>
      </c>
      <c r="I268" s="143" t="s">
        <v>958</v>
      </c>
      <c r="J268" s="143" t="s">
        <v>959</v>
      </c>
      <c r="K268" s="143">
        <v>165</v>
      </c>
      <c r="L268" s="143">
        <v>180</v>
      </c>
      <c r="W268" s="143" t="s">
        <v>49</v>
      </c>
      <c r="X268" s="143" t="s">
        <v>965</v>
      </c>
      <c r="Y268" s="143" t="s">
        <v>961</v>
      </c>
      <c r="Z268" s="143" t="s">
        <v>965</v>
      </c>
      <c r="AA268" s="143">
        <v>17</v>
      </c>
      <c r="AB268" s="170">
        <v>45791</v>
      </c>
      <c r="AH268" s="143" t="s">
        <v>966</v>
      </c>
    </row>
    <row r="269" ht="16.5" spans="1:34">
      <c r="A269" s="143">
        <v>267</v>
      </c>
      <c r="B269" s="144">
        <v>45791</v>
      </c>
      <c r="C269" s="143" t="s">
        <v>40</v>
      </c>
      <c r="D269" s="143" t="s">
        <v>41</v>
      </c>
      <c r="F269" s="143" t="s">
        <v>967</v>
      </c>
      <c r="H269" s="143" t="s">
        <v>968</v>
      </c>
      <c r="I269" s="143" t="s">
        <v>969</v>
      </c>
      <c r="J269" s="143" t="s">
        <v>970</v>
      </c>
      <c r="K269" s="143">
        <v>185</v>
      </c>
      <c r="L269" s="143">
        <v>160</v>
      </c>
      <c r="W269" s="143" t="s">
        <v>49</v>
      </c>
      <c r="X269" s="143" t="s">
        <v>971</v>
      </c>
      <c r="Y269" s="143" t="s">
        <v>972</v>
      </c>
      <c r="Z269" s="143" t="s">
        <v>971</v>
      </c>
      <c r="AA269" s="143">
        <v>17.5</v>
      </c>
      <c r="AB269" s="170">
        <v>45791</v>
      </c>
      <c r="AH269" s="169" t="s">
        <v>973</v>
      </c>
    </row>
    <row r="270" ht="16.5" spans="1:34">
      <c r="A270" s="143">
        <v>268</v>
      </c>
      <c r="B270" s="144">
        <v>45791</v>
      </c>
      <c r="C270" s="143" t="s">
        <v>40</v>
      </c>
      <c r="D270" s="143" t="s">
        <v>41</v>
      </c>
      <c r="F270" s="143" t="s">
        <v>974</v>
      </c>
      <c r="H270" s="143" t="s">
        <v>975</v>
      </c>
      <c r="I270" s="143" t="s">
        <v>976</v>
      </c>
      <c r="J270" s="143" t="s">
        <v>977</v>
      </c>
      <c r="K270" s="143">
        <v>165</v>
      </c>
      <c r="L270" s="143">
        <v>180</v>
      </c>
      <c r="W270" s="143" t="s">
        <v>49</v>
      </c>
      <c r="X270" s="143" t="s">
        <v>978</v>
      </c>
      <c r="Y270" s="143" t="s">
        <v>979</v>
      </c>
      <c r="Z270" s="143" t="s">
        <v>978</v>
      </c>
      <c r="AA270" s="143">
        <v>17.5</v>
      </c>
      <c r="AB270" s="170">
        <v>45791</v>
      </c>
      <c r="AH270" s="143" t="s">
        <v>980</v>
      </c>
    </row>
    <row r="271" ht="16.5" spans="1:34">
      <c r="A271" s="143">
        <v>269</v>
      </c>
      <c r="B271" s="144">
        <v>45791</v>
      </c>
      <c r="C271" s="143" t="s">
        <v>40</v>
      </c>
      <c r="D271" s="143" t="s">
        <v>41</v>
      </c>
      <c r="F271" s="143" t="s">
        <v>981</v>
      </c>
      <c r="H271" s="143" t="s">
        <v>982</v>
      </c>
      <c r="I271" s="143" t="s">
        <v>983</v>
      </c>
      <c r="J271" s="143" t="s">
        <v>984</v>
      </c>
      <c r="K271" s="143">
        <v>140</v>
      </c>
      <c r="L271" s="143">
        <v>147</v>
      </c>
      <c r="W271" s="143" t="s">
        <v>49</v>
      </c>
      <c r="X271" s="143" t="s">
        <v>985</v>
      </c>
      <c r="Y271" s="143" t="s">
        <v>986</v>
      </c>
      <c r="Z271" s="143" t="s">
        <v>985</v>
      </c>
      <c r="AA271" s="143">
        <v>12.8</v>
      </c>
      <c r="AB271" s="170">
        <v>45791</v>
      </c>
    </row>
    <row r="272" ht="16.5" spans="1:34">
      <c r="A272" s="143">
        <v>270</v>
      </c>
      <c r="B272" s="144">
        <v>45791</v>
      </c>
      <c r="C272" s="143" t="s">
        <v>40</v>
      </c>
      <c r="D272" s="143" t="s">
        <v>41</v>
      </c>
      <c r="F272" s="143" t="s">
        <v>987</v>
      </c>
      <c r="H272" s="143" t="s">
        <v>988</v>
      </c>
      <c r="I272" s="143" t="s">
        <v>989</v>
      </c>
      <c r="J272" s="143" t="s">
        <v>990</v>
      </c>
      <c r="K272" s="143">
        <v>150</v>
      </c>
      <c r="L272" s="143">
        <v>160</v>
      </c>
      <c r="W272" s="143" t="s">
        <v>49</v>
      </c>
      <c r="X272" s="143" t="s">
        <v>987</v>
      </c>
      <c r="Y272" s="143" t="s">
        <v>986</v>
      </c>
      <c r="Z272" s="143" t="s">
        <v>987</v>
      </c>
      <c r="AA272" s="143">
        <v>13.2</v>
      </c>
      <c r="AB272" s="170">
        <v>45791</v>
      </c>
    </row>
    <row r="273" ht="16.5" spans="1:36">
      <c r="A273" s="143">
        <v>271</v>
      </c>
      <c r="B273" s="144">
        <v>45791</v>
      </c>
      <c r="C273" s="143" t="s">
        <v>40</v>
      </c>
      <c r="D273" s="143" t="s">
        <v>41</v>
      </c>
      <c r="F273" s="143" t="s">
        <v>991</v>
      </c>
      <c r="H273" s="143" t="s">
        <v>992</v>
      </c>
      <c r="I273" s="143" t="s">
        <v>993</v>
      </c>
      <c r="J273" s="143" t="s">
        <v>994</v>
      </c>
      <c r="K273" s="143">
        <v>140</v>
      </c>
      <c r="L273" s="143">
        <v>151</v>
      </c>
      <c r="W273" s="143" t="s">
        <v>49</v>
      </c>
      <c r="X273" s="143" t="s">
        <v>991</v>
      </c>
      <c r="Y273" s="143" t="s">
        <v>986</v>
      </c>
      <c r="Z273" s="143" t="s">
        <v>991</v>
      </c>
      <c r="AA273" s="143">
        <v>12.8</v>
      </c>
      <c r="AB273" s="170">
        <v>45791</v>
      </c>
    </row>
    <row r="274" spans="1:36">
      <c r="A274" s="143">
        <v>272</v>
      </c>
      <c r="B274" s="144">
        <v>45800</v>
      </c>
      <c r="C274" s="143" t="s">
        <v>40</v>
      </c>
      <c r="D274" s="143" t="s">
        <v>41</v>
      </c>
      <c r="F274" s="143" t="s">
        <v>995</v>
      </c>
      <c r="H274" s="143" t="s">
        <v>996</v>
      </c>
      <c r="I274" s="169" t="s">
        <v>997</v>
      </c>
      <c r="J274" s="143" t="s">
        <v>998</v>
      </c>
      <c r="K274" s="143">
        <v>150</v>
      </c>
      <c r="L274" s="143">
        <v>155</v>
      </c>
      <c r="W274" s="143" t="s">
        <v>49</v>
      </c>
      <c r="X274" s="143" t="s">
        <v>999</v>
      </c>
      <c r="Y274" s="143" t="s">
        <v>1000</v>
      </c>
      <c r="Z274" s="143" t="s">
        <v>999</v>
      </c>
      <c r="AA274" s="143">
        <v>11.8</v>
      </c>
      <c r="AB274" s="170">
        <v>45800</v>
      </c>
    </row>
    <row r="275" spans="1:36">
      <c r="A275" s="143">
        <v>273</v>
      </c>
      <c r="B275" s="144">
        <v>45800</v>
      </c>
      <c r="C275" s="143" t="s">
        <v>40</v>
      </c>
      <c r="D275" s="143" t="s">
        <v>41</v>
      </c>
      <c r="F275" s="143" t="s">
        <v>1001</v>
      </c>
      <c r="H275" s="143" t="s">
        <v>1002</v>
      </c>
      <c r="I275" s="169" t="s">
        <v>1003</v>
      </c>
      <c r="J275" s="143" t="s">
        <v>1004</v>
      </c>
      <c r="K275" s="143">
        <v>150</v>
      </c>
      <c r="L275" s="143">
        <v>180</v>
      </c>
      <c r="W275" s="143" t="s">
        <v>49</v>
      </c>
      <c r="X275" s="143" t="s">
        <v>1001</v>
      </c>
      <c r="Y275" s="143" t="s">
        <v>1000</v>
      </c>
      <c r="Z275" s="143" t="s">
        <v>1001</v>
      </c>
      <c r="AA275" s="143">
        <v>10.6</v>
      </c>
      <c r="AB275" s="170">
        <v>45800</v>
      </c>
    </row>
    <row r="276" spans="1:36">
      <c r="A276" s="143">
        <v>274</v>
      </c>
      <c r="B276" s="144">
        <v>45800</v>
      </c>
      <c r="C276" s="143" t="s">
        <v>40</v>
      </c>
      <c r="D276" s="143" t="s">
        <v>41</v>
      </c>
      <c r="F276" s="143" t="s">
        <v>1005</v>
      </c>
      <c r="H276" s="143" t="s">
        <v>1006</v>
      </c>
      <c r="I276" s="169" t="s">
        <v>1007</v>
      </c>
      <c r="J276" s="143" t="s">
        <v>1008</v>
      </c>
      <c r="K276" s="143">
        <v>150</v>
      </c>
      <c r="L276" s="143">
        <v>135</v>
      </c>
      <c r="W276" s="143" t="s">
        <v>49</v>
      </c>
      <c r="X276" s="143" t="s">
        <v>1005</v>
      </c>
      <c r="Y276" s="143" t="s">
        <v>1009</v>
      </c>
      <c r="Z276" s="143" t="s">
        <v>1005</v>
      </c>
      <c r="AA276" s="143">
        <v>10.2</v>
      </c>
      <c r="AB276" s="170">
        <v>45800</v>
      </c>
    </row>
    <row r="277" spans="1:36">
      <c r="A277" s="143">
        <v>275</v>
      </c>
      <c r="B277" s="144">
        <v>45800</v>
      </c>
      <c r="C277" s="143" t="s">
        <v>40</v>
      </c>
      <c r="D277" s="143" t="s">
        <v>41</v>
      </c>
      <c r="F277" s="143" t="s">
        <v>1010</v>
      </c>
      <c r="H277" s="143" t="s">
        <v>1011</v>
      </c>
      <c r="I277" s="169" t="s">
        <v>1012</v>
      </c>
      <c r="J277" s="143" t="s">
        <v>1013</v>
      </c>
      <c r="K277" s="143">
        <v>150</v>
      </c>
      <c r="L277" s="143">
        <v>165</v>
      </c>
      <c r="W277" s="143" t="s">
        <v>49</v>
      </c>
      <c r="X277" s="143" t="s">
        <v>1010</v>
      </c>
      <c r="Y277" s="143" t="s">
        <v>1000</v>
      </c>
      <c r="Z277" s="143" t="s">
        <v>1010</v>
      </c>
      <c r="AA277" s="143">
        <v>14.2</v>
      </c>
      <c r="AB277" s="170">
        <v>45800</v>
      </c>
    </row>
    <row r="278" spans="1:36">
      <c r="A278" s="143">
        <v>276</v>
      </c>
      <c r="B278" s="144">
        <v>45803</v>
      </c>
      <c r="C278" s="143" t="s">
        <v>40</v>
      </c>
      <c r="D278" s="143" t="s">
        <v>41</v>
      </c>
      <c r="F278" s="143" t="s">
        <v>1014</v>
      </c>
      <c r="H278" s="143" t="s">
        <v>1015</v>
      </c>
      <c r="I278" s="143" t="s">
        <v>1016</v>
      </c>
      <c r="J278" s="143" t="s">
        <v>1017</v>
      </c>
      <c r="K278" s="143">
        <v>175</v>
      </c>
      <c r="L278" s="143">
        <v>210</v>
      </c>
      <c r="W278" s="143" t="s">
        <v>49</v>
      </c>
      <c r="X278" s="143" t="s">
        <v>1014</v>
      </c>
      <c r="Y278" s="143" t="s">
        <v>220</v>
      </c>
      <c r="Z278" s="143" t="s">
        <v>1014</v>
      </c>
      <c r="AA278" s="143">
        <v>22</v>
      </c>
      <c r="AB278" s="170">
        <v>45803</v>
      </c>
    </row>
    <row r="279" spans="1:36">
      <c r="A279" s="143">
        <v>277</v>
      </c>
      <c r="C279" s="143" t="s">
        <v>193</v>
      </c>
      <c r="D279" s="143" t="s">
        <v>229</v>
      </c>
      <c r="H279" s="152" t="s">
        <v>1018</v>
      </c>
      <c r="I279" s="143" t="s">
        <v>1019</v>
      </c>
      <c r="J279" s="143" t="s">
        <v>1020</v>
      </c>
      <c r="K279" s="143">
        <v>148</v>
      </c>
      <c r="L279" s="143">
        <v>80</v>
      </c>
      <c r="W279" s="143" t="s">
        <v>49</v>
      </c>
      <c r="X279" s="143">
        <v>2527</v>
      </c>
      <c r="Y279" s="143" t="s">
        <v>1021</v>
      </c>
      <c r="Z279" s="143">
        <v>2527</v>
      </c>
      <c r="AB279" s="170"/>
      <c r="AG279" s="143" t="s">
        <v>1022</v>
      </c>
      <c r="AJ279" s="143" t="s">
        <v>1023</v>
      </c>
    </row>
    <row r="280" spans="1:36">
      <c r="A280" s="143">
        <v>278</v>
      </c>
      <c r="C280" s="143" t="s">
        <v>193</v>
      </c>
      <c r="D280" s="143" t="s">
        <v>229</v>
      </c>
      <c r="H280" s="152" t="s">
        <v>1024</v>
      </c>
      <c r="I280" s="143" t="s">
        <v>1025</v>
      </c>
      <c r="J280" s="143" t="s">
        <v>1026</v>
      </c>
      <c r="K280" s="143">
        <v>148</v>
      </c>
      <c r="W280" s="143" t="s">
        <v>49</v>
      </c>
      <c r="X280" s="143" t="s">
        <v>1027</v>
      </c>
      <c r="Y280" s="143" t="s">
        <v>543</v>
      </c>
      <c r="Z280" s="143" t="s">
        <v>1027</v>
      </c>
      <c r="AB280" s="170"/>
      <c r="AG280" s="143" t="s">
        <v>1022</v>
      </c>
      <c r="AJ280" s="143" t="s">
        <v>1023</v>
      </c>
    </row>
    <row r="281" spans="1:36">
      <c r="A281" s="143">
        <v>279</v>
      </c>
      <c r="C281" s="143" t="s">
        <v>193</v>
      </c>
      <c r="D281" s="143" t="s">
        <v>229</v>
      </c>
      <c r="H281" s="152" t="s">
        <v>1028</v>
      </c>
      <c r="I281" s="143" t="s">
        <v>1029</v>
      </c>
      <c r="J281" s="143" t="s">
        <v>1030</v>
      </c>
      <c r="K281" s="143">
        <v>150</v>
      </c>
      <c r="L281" s="143">
        <v>70</v>
      </c>
      <c r="W281" s="143" t="s">
        <v>49</v>
      </c>
      <c r="X281" s="143" t="s">
        <v>1031</v>
      </c>
      <c r="Y281" s="143" t="s">
        <v>591</v>
      </c>
      <c r="Z281" s="143" t="s">
        <v>1031</v>
      </c>
      <c r="AA281" s="143">
        <v>16.7</v>
      </c>
      <c r="AB281" s="170">
        <v>46043</v>
      </c>
      <c r="AG281" s="143" t="s">
        <v>1022</v>
      </c>
      <c r="AJ281" s="143" t="s">
        <v>1023</v>
      </c>
    </row>
    <row r="282" spans="1:36">
      <c r="A282" s="143">
        <v>280</v>
      </c>
      <c r="C282" s="143" t="s">
        <v>193</v>
      </c>
      <c r="D282" s="143" t="s">
        <v>229</v>
      </c>
      <c r="H282" s="152" t="s">
        <v>1032</v>
      </c>
      <c r="I282" s="143" t="s">
        <v>1033</v>
      </c>
      <c r="J282" s="143" t="s">
        <v>1034</v>
      </c>
      <c r="K282" s="143">
        <v>135</v>
      </c>
      <c r="L282" s="143">
        <v>60</v>
      </c>
      <c r="W282" s="143" t="s">
        <v>49</v>
      </c>
      <c r="X282" s="143" t="s">
        <v>1035</v>
      </c>
      <c r="Y282" s="143" t="s">
        <v>591</v>
      </c>
      <c r="Z282" s="143" t="s">
        <v>1035</v>
      </c>
      <c r="AB282" s="170"/>
      <c r="AG282" s="143" t="s">
        <v>1022</v>
      </c>
      <c r="AJ282" s="143" t="s">
        <v>1023</v>
      </c>
    </row>
    <row r="283" spans="1:36">
      <c r="A283" s="143">
        <v>281</v>
      </c>
      <c r="C283" s="143" t="s">
        <v>193</v>
      </c>
      <c r="D283" s="143" t="s">
        <v>229</v>
      </c>
      <c r="H283" s="152" t="s">
        <v>1036</v>
      </c>
      <c r="I283" s="143" t="s">
        <v>1037</v>
      </c>
      <c r="J283" s="143" t="s">
        <v>1038</v>
      </c>
      <c r="K283" s="143">
        <v>150</v>
      </c>
      <c r="L283" s="143">
        <v>64</v>
      </c>
      <c r="W283" s="143" t="s">
        <v>49</v>
      </c>
      <c r="X283" s="143" t="s">
        <v>1039</v>
      </c>
      <c r="Y283" s="143" t="s">
        <v>591</v>
      </c>
      <c r="Z283" s="143" t="s">
        <v>1039</v>
      </c>
      <c r="AB283" s="170"/>
      <c r="AG283" s="143" t="s">
        <v>1022</v>
      </c>
      <c r="AJ283" s="143" t="s">
        <v>1023</v>
      </c>
    </row>
    <row r="284" spans="1:36">
      <c r="A284" s="143">
        <v>282</v>
      </c>
      <c r="C284" s="143" t="s">
        <v>193</v>
      </c>
      <c r="D284" s="143" t="s">
        <v>229</v>
      </c>
      <c r="H284" s="152" t="s">
        <v>1040</v>
      </c>
      <c r="I284" s="143" t="s">
        <v>1041</v>
      </c>
      <c r="J284" s="143" t="s">
        <v>1042</v>
      </c>
      <c r="K284" s="143">
        <v>150</v>
      </c>
      <c r="L284" s="143">
        <v>170</v>
      </c>
      <c r="W284" s="143" t="s">
        <v>49</v>
      </c>
      <c r="X284" s="143" t="s">
        <v>1043</v>
      </c>
      <c r="Y284" s="143" t="s">
        <v>591</v>
      </c>
      <c r="Z284" s="143" t="s">
        <v>1043</v>
      </c>
      <c r="AB284" s="170"/>
      <c r="AG284" s="143" t="s">
        <v>1022</v>
      </c>
      <c r="AJ284" s="143" t="s">
        <v>1023</v>
      </c>
    </row>
    <row r="285" spans="1:36">
      <c r="A285" s="143">
        <v>283</v>
      </c>
      <c r="C285" s="143" t="s">
        <v>193</v>
      </c>
      <c r="D285" s="143" t="s">
        <v>229</v>
      </c>
      <c r="H285" s="152" t="s">
        <v>1044</v>
      </c>
      <c r="I285" s="143" t="s">
        <v>1045</v>
      </c>
      <c r="J285" s="143" t="s">
        <v>1046</v>
      </c>
      <c r="K285" s="143">
        <v>150</v>
      </c>
      <c r="L285" s="143">
        <v>195</v>
      </c>
      <c r="W285" s="143" t="s">
        <v>49</v>
      </c>
      <c r="X285" s="143" t="s">
        <v>1047</v>
      </c>
      <c r="Y285" s="143" t="s">
        <v>591</v>
      </c>
      <c r="Z285" s="143" t="s">
        <v>1047</v>
      </c>
      <c r="AA285" s="143">
        <v>25.3</v>
      </c>
      <c r="AB285" s="170">
        <v>46043</v>
      </c>
      <c r="AG285" s="143" t="s">
        <v>1022</v>
      </c>
      <c r="AJ285" s="143" t="s">
        <v>1023</v>
      </c>
    </row>
    <row r="286" spans="1:36">
      <c r="A286" s="143">
        <v>284</v>
      </c>
      <c r="C286" s="143" t="s">
        <v>193</v>
      </c>
      <c r="D286" s="143" t="s">
        <v>229</v>
      </c>
      <c r="H286" s="152" t="s">
        <v>1048</v>
      </c>
      <c r="I286" s="143" t="s">
        <v>1049</v>
      </c>
      <c r="J286" s="143" t="s">
        <v>1050</v>
      </c>
      <c r="K286" s="143">
        <v>145</v>
      </c>
      <c r="L286" s="143">
        <v>165</v>
      </c>
      <c r="W286" s="143" t="s">
        <v>49</v>
      </c>
      <c r="X286" s="143" t="s">
        <v>1051</v>
      </c>
      <c r="Y286" s="143" t="s">
        <v>591</v>
      </c>
      <c r="Z286" s="143" t="s">
        <v>1051</v>
      </c>
      <c r="AB286" s="170"/>
      <c r="AG286" s="143" t="s">
        <v>1022</v>
      </c>
      <c r="AJ286" s="143" t="s">
        <v>1023</v>
      </c>
    </row>
    <row r="287" spans="1:36">
      <c r="A287" s="143">
        <v>285</v>
      </c>
      <c r="C287" s="143" t="s">
        <v>193</v>
      </c>
      <c r="D287" s="143" t="s">
        <v>229</v>
      </c>
      <c r="H287" s="152" t="s">
        <v>1052</v>
      </c>
      <c r="I287" s="143" t="s">
        <v>1053</v>
      </c>
      <c r="J287" s="143" t="s">
        <v>1054</v>
      </c>
      <c r="K287" s="143">
        <v>150</v>
      </c>
      <c r="L287" s="143">
        <v>84</v>
      </c>
      <c r="W287" s="143" t="s">
        <v>49</v>
      </c>
      <c r="X287" s="143" t="s">
        <v>1055</v>
      </c>
      <c r="Y287" s="143" t="s">
        <v>591</v>
      </c>
      <c r="Z287" s="143" t="s">
        <v>1055</v>
      </c>
      <c r="AB287" s="170"/>
      <c r="AG287" s="143" t="s">
        <v>1022</v>
      </c>
      <c r="AJ287" s="143" t="s">
        <v>1023</v>
      </c>
    </row>
    <row r="288" spans="1:36">
      <c r="A288" s="143">
        <v>286</v>
      </c>
      <c r="C288" s="143" t="s">
        <v>193</v>
      </c>
      <c r="D288" s="143" t="s">
        <v>229</v>
      </c>
      <c r="H288" s="152" t="s">
        <v>1056</v>
      </c>
      <c r="I288" s="143" t="s">
        <v>1057</v>
      </c>
      <c r="J288" s="143" t="s">
        <v>1058</v>
      </c>
      <c r="K288" s="143">
        <v>150</v>
      </c>
      <c r="W288" s="143" t="s">
        <v>49</v>
      </c>
      <c r="X288" s="143">
        <v>2042</v>
      </c>
      <c r="Y288" s="143" t="s">
        <v>571</v>
      </c>
      <c r="Z288" s="143">
        <v>2042</v>
      </c>
      <c r="AB288" s="170"/>
      <c r="AG288" s="143" t="s">
        <v>1022</v>
      </c>
      <c r="AJ288" s="143" t="s">
        <v>1023</v>
      </c>
    </row>
    <row r="289" spans="1:36">
      <c r="A289" s="143">
        <v>287</v>
      </c>
      <c r="C289" s="143" t="s">
        <v>193</v>
      </c>
      <c r="D289" s="143" t="s">
        <v>229</v>
      </c>
      <c r="H289" s="152" t="s">
        <v>1059</v>
      </c>
      <c r="I289" s="143" t="s">
        <v>1029</v>
      </c>
      <c r="J289" s="143" t="s">
        <v>1030</v>
      </c>
      <c r="K289" s="143">
        <v>150</v>
      </c>
      <c r="W289" s="143" t="s">
        <v>49</v>
      </c>
      <c r="X289" s="143">
        <v>2447</v>
      </c>
      <c r="Y289" s="143" t="s">
        <v>571</v>
      </c>
      <c r="Z289" s="143">
        <v>2447</v>
      </c>
      <c r="AA289" s="143">
        <v>21.5</v>
      </c>
      <c r="AB289" s="170">
        <v>46043</v>
      </c>
      <c r="AG289" s="143" t="s">
        <v>1022</v>
      </c>
      <c r="AJ289" s="143" t="s">
        <v>1023</v>
      </c>
    </row>
    <row r="290" spans="1:36">
      <c r="A290" s="143">
        <v>288</v>
      </c>
      <c r="C290" s="143" t="s">
        <v>193</v>
      </c>
      <c r="D290" s="143" t="s">
        <v>229</v>
      </c>
      <c r="H290" s="152" t="s">
        <v>1060</v>
      </c>
      <c r="I290" s="143" t="s">
        <v>1057</v>
      </c>
      <c r="J290" s="143" t="s">
        <v>1058</v>
      </c>
      <c r="K290" s="143">
        <v>150</v>
      </c>
      <c r="W290" s="143" t="s">
        <v>49</v>
      </c>
      <c r="X290" s="143">
        <v>2042</v>
      </c>
      <c r="Y290" s="143" t="s">
        <v>571</v>
      </c>
      <c r="Z290" s="143">
        <v>2042</v>
      </c>
      <c r="AB290" s="170"/>
      <c r="AG290" s="143" t="s">
        <v>1022</v>
      </c>
      <c r="AJ290" s="143" t="s">
        <v>1023</v>
      </c>
    </row>
    <row r="291" spans="1:36">
      <c r="A291" s="143">
        <v>289</v>
      </c>
      <c r="C291" s="143" t="s">
        <v>193</v>
      </c>
      <c r="D291" s="143" t="s">
        <v>229</v>
      </c>
      <c r="H291" s="152" t="s">
        <v>1061</v>
      </c>
      <c r="I291" s="143" t="s">
        <v>1062</v>
      </c>
      <c r="J291" s="143" t="s">
        <v>1063</v>
      </c>
      <c r="K291" s="143">
        <v>150</v>
      </c>
      <c r="W291" s="143" t="s">
        <v>49</v>
      </c>
      <c r="X291" s="143" t="s">
        <v>1064</v>
      </c>
      <c r="Y291" s="143" t="s">
        <v>571</v>
      </c>
      <c r="Z291" s="143" t="s">
        <v>1064</v>
      </c>
      <c r="AB291" s="170"/>
      <c r="AG291" s="143" t="s">
        <v>1022</v>
      </c>
      <c r="AJ291" s="143" t="s">
        <v>1023</v>
      </c>
    </row>
    <row r="292" spans="1:36">
      <c r="A292" s="143">
        <v>290</v>
      </c>
      <c r="C292" s="143" t="s">
        <v>193</v>
      </c>
      <c r="D292" s="143" t="s">
        <v>229</v>
      </c>
      <c r="H292" s="152" t="s">
        <v>1065</v>
      </c>
      <c r="I292" s="143" t="s">
        <v>1066</v>
      </c>
      <c r="J292" s="143" t="s">
        <v>1067</v>
      </c>
      <c r="K292" s="143">
        <v>148</v>
      </c>
      <c r="W292" s="143" t="s">
        <v>49</v>
      </c>
      <c r="X292" s="143">
        <v>2133</v>
      </c>
      <c r="Y292" s="143" t="s">
        <v>571</v>
      </c>
      <c r="Z292" s="143">
        <v>2133</v>
      </c>
      <c r="AB292" s="170"/>
      <c r="AG292" s="143" t="s">
        <v>1022</v>
      </c>
      <c r="AJ292" s="143" t="s">
        <v>1023</v>
      </c>
    </row>
    <row r="293" spans="1:36">
      <c r="A293" s="143">
        <v>291</v>
      </c>
      <c r="C293" s="143" t="s">
        <v>193</v>
      </c>
      <c r="D293" s="143" t="s">
        <v>229</v>
      </c>
      <c r="H293" s="152" t="s">
        <v>1068</v>
      </c>
      <c r="I293" s="143" t="s">
        <v>1069</v>
      </c>
      <c r="J293" s="143" t="s">
        <v>1070</v>
      </c>
      <c r="K293" s="143">
        <v>148</v>
      </c>
      <c r="L293" s="143">
        <v>190</v>
      </c>
      <c r="W293" s="143" t="s">
        <v>49</v>
      </c>
      <c r="X293" s="143">
        <v>25413</v>
      </c>
      <c r="Y293" s="143" t="s">
        <v>551</v>
      </c>
      <c r="Z293" s="143">
        <v>25413</v>
      </c>
      <c r="AB293" s="170"/>
      <c r="AG293" s="143" t="s">
        <v>1071</v>
      </c>
      <c r="AJ293" s="143" t="s">
        <v>1072</v>
      </c>
    </row>
    <row r="294" spans="1:36">
      <c r="A294" s="143">
        <v>292</v>
      </c>
      <c r="C294" s="143" t="s">
        <v>193</v>
      </c>
      <c r="D294" s="143" t="s">
        <v>229</v>
      </c>
      <c r="H294" s="152" t="s">
        <v>1073</v>
      </c>
      <c r="I294" s="143" t="s">
        <v>1074</v>
      </c>
      <c r="J294" s="143" t="s">
        <v>1075</v>
      </c>
      <c r="K294" s="143">
        <v>145</v>
      </c>
      <c r="L294" s="143">
        <v>160</v>
      </c>
      <c r="W294" s="143" t="s">
        <v>49</v>
      </c>
      <c r="X294" s="143">
        <v>25230</v>
      </c>
      <c r="Y294" s="143" t="s">
        <v>551</v>
      </c>
      <c r="Z294" s="143">
        <v>25230</v>
      </c>
      <c r="AB294" s="170"/>
      <c r="AG294" s="143" t="s">
        <v>1071</v>
      </c>
      <c r="AJ294" s="143" t="s">
        <v>1076</v>
      </c>
    </row>
    <row r="295" spans="1:36">
      <c r="A295" s="143">
        <v>293</v>
      </c>
      <c r="B295" s="144">
        <v>45868</v>
      </c>
      <c r="C295" s="143" t="s">
        <v>193</v>
      </c>
      <c r="D295" s="143" t="s">
        <v>41</v>
      </c>
      <c r="F295" s="143">
        <v>25339</v>
      </c>
      <c r="H295" s="152" t="s">
        <v>1077</v>
      </c>
      <c r="I295" s="143" t="s">
        <v>1078</v>
      </c>
      <c r="J295" s="143" t="s">
        <v>1079</v>
      </c>
      <c r="K295" s="143">
        <v>145</v>
      </c>
      <c r="L295" s="143">
        <v>185</v>
      </c>
      <c r="W295" s="143" t="s">
        <v>49</v>
      </c>
      <c r="X295" s="143">
        <v>25339</v>
      </c>
      <c r="Y295" s="143" t="s">
        <v>551</v>
      </c>
      <c r="Z295" s="143">
        <v>25339</v>
      </c>
      <c r="AA295" s="143">
        <v>17.3</v>
      </c>
      <c r="AB295" s="170">
        <v>45868</v>
      </c>
      <c r="AG295" s="143" t="s">
        <v>1071</v>
      </c>
      <c r="AJ295" s="143" t="s">
        <v>1072</v>
      </c>
    </row>
    <row r="296" ht="15" spans="1:36">
      <c r="A296" s="143">
        <v>294</v>
      </c>
      <c r="C296" s="143" t="s">
        <v>193</v>
      </c>
      <c r="D296" s="143" t="s">
        <v>229</v>
      </c>
      <c r="H296" s="172" t="s">
        <v>1080</v>
      </c>
      <c r="I296" s="143" t="s">
        <v>1081</v>
      </c>
      <c r="J296" s="143" t="s">
        <v>1082</v>
      </c>
      <c r="K296" s="143">
        <v>148</v>
      </c>
      <c r="L296" s="143">
        <v>220</v>
      </c>
      <c r="W296" s="143" t="s">
        <v>49</v>
      </c>
      <c r="X296" s="143">
        <v>25400</v>
      </c>
      <c r="Y296" s="143" t="s">
        <v>551</v>
      </c>
      <c r="Z296" s="143">
        <v>25400</v>
      </c>
      <c r="AA296" s="173"/>
      <c r="AB296" s="170">
        <v>46104</v>
      </c>
      <c r="AG296" s="143" t="s">
        <v>1071</v>
      </c>
      <c r="AH296" s="143" t="s">
        <v>250</v>
      </c>
      <c r="AJ296" s="143" t="s">
        <v>1072</v>
      </c>
    </row>
    <row r="297" spans="1:36">
      <c r="A297" s="143">
        <v>295</v>
      </c>
      <c r="C297" s="143" t="s">
        <v>193</v>
      </c>
      <c r="D297" s="143" t="s">
        <v>229</v>
      </c>
      <c r="H297" s="152" t="s">
        <v>1083</v>
      </c>
      <c r="I297" s="143" t="s">
        <v>1084</v>
      </c>
      <c r="J297" s="143" t="s">
        <v>1085</v>
      </c>
      <c r="K297" s="143">
        <v>140</v>
      </c>
      <c r="L297" s="143" t="s">
        <v>1086</v>
      </c>
      <c r="W297" s="143" t="s">
        <v>49</v>
      </c>
      <c r="X297" s="143">
        <v>2414</v>
      </c>
      <c r="Y297" s="143" t="s">
        <v>571</v>
      </c>
      <c r="Z297" s="143">
        <v>2414</v>
      </c>
      <c r="AA297" s="143">
        <v>25.7</v>
      </c>
      <c r="AB297" s="170">
        <v>46043</v>
      </c>
      <c r="AG297" s="143" t="s">
        <v>1071</v>
      </c>
      <c r="AJ297" s="143" t="s">
        <v>1087</v>
      </c>
    </row>
    <row r="298" spans="1:36">
      <c r="A298" s="143">
        <v>296</v>
      </c>
      <c r="C298" s="143" t="s">
        <v>193</v>
      </c>
      <c r="D298" s="143" t="s">
        <v>229</v>
      </c>
      <c r="H298" s="152" t="s">
        <v>1088</v>
      </c>
      <c r="I298" s="143" t="s">
        <v>1089</v>
      </c>
      <c r="J298" s="143" t="s">
        <v>1090</v>
      </c>
      <c r="K298" s="143">
        <v>150</v>
      </c>
      <c r="L298" s="143" t="s">
        <v>1086</v>
      </c>
      <c r="W298" s="143" t="s">
        <v>49</v>
      </c>
      <c r="X298" s="143">
        <v>2164</v>
      </c>
      <c r="Y298" s="143" t="s">
        <v>571</v>
      </c>
      <c r="Z298" s="143">
        <v>2164</v>
      </c>
      <c r="AB298" s="170"/>
      <c r="AG298" s="143" t="s">
        <v>1071</v>
      </c>
      <c r="AJ298" s="143" t="s">
        <v>1076</v>
      </c>
    </row>
    <row r="299" ht="15" spans="1:36">
      <c r="A299" s="143">
        <v>297</v>
      </c>
      <c r="C299" s="143" t="s">
        <v>193</v>
      </c>
      <c r="D299" s="143" t="s">
        <v>229</v>
      </c>
      <c r="H299" s="172" t="s">
        <v>1091</v>
      </c>
      <c r="I299" s="143" t="s">
        <v>1092</v>
      </c>
      <c r="J299" s="143" t="s">
        <v>1093</v>
      </c>
      <c r="K299" s="143">
        <v>140</v>
      </c>
      <c r="L299" s="143">
        <v>160</v>
      </c>
      <c r="W299" s="143" t="s">
        <v>49</v>
      </c>
      <c r="X299" s="143">
        <v>2453</v>
      </c>
      <c r="Y299" s="143" t="s">
        <v>571</v>
      </c>
      <c r="Z299" s="143">
        <v>2453</v>
      </c>
      <c r="AA299" s="173">
        <v>23.6</v>
      </c>
      <c r="AB299" s="170">
        <v>46104</v>
      </c>
      <c r="AG299" s="143" t="s">
        <v>1071</v>
      </c>
      <c r="AH299" s="143" t="s">
        <v>250</v>
      </c>
      <c r="AJ299" s="143" t="s">
        <v>1087</v>
      </c>
    </row>
    <row r="300" spans="1:36">
      <c r="A300" s="143">
        <v>298</v>
      </c>
      <c r="C300" s="143" t="s">
        <v>193</v>
      </c>
      <c r="D300" s="143" t="s">
        <v>229</v>
      </c>
      <c r="H300" s="152" t="s">
        <v>1094</v>
      </c>
      <c r="I300" s="143" t="s">
        <v>1095</v>
      </c>
      <c r="J300" s="143" t="s">
        <v>1096</v>
      </c>
      <c r="K300" s="143">
        <v>142</v>
      </c>
      <c r="L300" s="143" t="s">
        <v>1086</v>
      </c>
      <c r="W300" s="143" t="s">
        <v>49</v>
      </c>
      <c r="X300" s="143">
        <v>2454</v>
      </c>
      <c r="Y300" s="143" t="s">
        <v>571</v>
      </c>
      <c r="Z300" s="143">
        <v>2454</v>
      </c>
      <c r="AB300" s="170"/>
      <c r="AG300" s="143" t="s">
        <v>249</v>
      </c>
      <c r="AJ300" s="143" t="s">
        <v>254</v>
      </c>
    </row>
    <row r="301" spans="1:36">
      <c r="A301" s="143">
        <v>299</v>
      </c>
      <c r="C301" s="143" t="s">
        <v>193</v>
      </c>
      <c r="D301" s="143" t="s">
        <v>229</v>
      </c>
      <c r="H301" s="152" t="s">
        <v>1097</v>
      </c>
      <c r="I301" s="143" t="s">
        <v>1098</v>
      </c>
      <c r="J301" s="143" t="s">
        <v>1099</v>
      </c>
      <c r="K301" s="143">
        <v>150</v>
      </c>
      <c r="L301" s="143" t="s">
        <v>1086</v>
      </c>
      <c r="W301" s="143" t="s">
        <v>49</v>
      </c>
      <c r="X301" s="143">
        <v>2370</v>
      </c>
      <c r="Y301" s="143" t="s">
        <v>571</v>
      </c>
      <c r="Z301" s="143">
        <v>2370</v>
      </c>
      <c r="AB301" s="170"/>
      <c r="AG301" s="143" t="s">
        <v>1071</v>
      </c>
      <c r="AJ301" s="143" t="s">
        <v>1072</v>
      </c>
    </row>
    <row r="302" spans="1:36">
      <c r="A302" s="143">
        <v>300</v>
      </c>
      <c r="C302" s="143" t="s">
        <v>193</v>
      </c>
      <c r="D302" s="143" t="s">
        <v>229</v>
      </c>
      <c r="H302" s="152" t="s">
        <v>1100</v>
      </c>
      <c r="I302" s="143" t="s">
        <v>1101</v>
      </c>
      <c r="J302" s="143" t="s">
        <v>1102</v>
      </c>
      <c r="K302" s="143">
        <v>150</v>
      </c>
      <c r="L302" s="143" t="s">
        <v>1086</v>
      </c>
      <c r="W302" s="143" t="s">
        <v>49</v>
      </c>
      <c r="X302" s="143">
        <v>2387</v>
      </c>
      <c r="Y302" s="143" t="s">
        <v>571</v>
      </c>
      <c r="Z302" s="143">
        <v>2387</v>
      </c>
      <c r="AB302" s="170"/>
      <c r="AG302" s="143" t="s">
        <v>1071</v>
      </c>
      <c r="AJ302" s="143" t="s">
        <v>1076</v>
      </c>
    </row>
    <row r="303" spans="1:36">
      <c r="A303" s="143">
        <v>301</v>
      </c>
      <c r="C303" s="143" t="s">
        <v>193</v>
      </c>
      <c r="D303" s="143" t="s">
        <v>229</v>
      </c>
      <c r="H303" s="152" t="s">
        <v>1103</v>
      </c>
      <c r="I303" s="143" t="s">
        <v>1104</v>
      </c>
      <c r="J303" s="143" t="s">
        <v>1105</v>
      </c>
      <c r="K303" s="143">
        <v>150</v>
      </c>
      <c r="L303" s="143" t="s">
        <v>1086</v>
      </c>
      <c r="W303" s="143" t="s">
        <v>49</v>
      </c>
      <c r="X303" s="143">
        <v>2456</v>
      </c>
      <c r="Y303" s="143" t="s">
        <v>571</v>
      </c>
      <c r="Z303" s="143">
        <v>2456</v>
      </c>
      <c r="AB303" s="170"/>
      <c r="AG303" s="143" t="s">
        <v>1071</v>
      </c>
      <c r="AJ303" s="143" t="s">
        <v>1076</v>
      </c>
    </row>
    <row r="304" spans="1:36">
      <c r="A304" s="143">
        <v>302</v>
      </c>
      <c r="C304" s="143" t="s">
        <v>193</v>
      </c>
      <c r="D304" s="143" t="s">
        <v>229</v>
      </c>
      <c r="H304" s="152" t="s">
        <v>1106</v>
      </c>
      <c r="I304" s="143" t="s">
        <v>1107</v>
      </c>
      <c r="J304" s="143" t="s">
        <v>1108</v>
      </c>
      <c r="K304" s="143">
        <v>150</v>
      </c>
      <c r="L304" s="143" t="s">
        <v>1086</v>
      </c>
      <c r="W304" s="143" t="s">
        <v>49</v>
      </c>
      <c r="X304" s="143">
        <v>2505</v>
      </c>
      <c r="Y304" s="143" t="s">
        <v>571</v>
      </c>
      <c r="Z304" s="143">
        <v>2505</v>
      </c>
      <c r="AA304" s="143">
        <v>20</v>
      </c>
      <c r="AB304" s="170">
        <v>46043</v>
      </c>
      <c r="AG304" s="143" t="s">
        <v>1071</v>
      </c>
      <c r="AJ304" s="143" t="s">
        <v>1076</v>
      </c>
    </row>
    <row r="305" spans="1:43">
      <c r="A305" s="143">
        <v>303</v>
      </c>
      <c r="C305" s="143" t="s">
        <v>193</v>
      </c>
      <c r="D305" s="143" t="s">
        <v>229</v>
      </c>
      <c r="H305" s="152" t="s">
        <v>1109</v>
      </c>
      <c r="I305" s="143" t="s">
        <v>1110</v>
      </c>
      <c r="J305" s="143" t="s">
        <v>1111</v>
      </c>
      <c r="K305" s="143">
        <v>145</v>
      </c>
      <c r="L305" s="143">
        <v>180</v>
      </c>
      <c r="W305" s="143" t="s">
        <v>49</v>
      </c>
      <c r="X305" s="143" t="s">
        <v>1112</v>
      </c>
      <c r="Y305" s="143" t="s">
        <v>612</v>
      </c>
      <c r="Z305" s="143" t="s">
        <v>1112</v>
      </c>
      <c r="AA305" s="143">
        <v>36.7</v>
      </c>
      <c r="AB305" s="170">
        <v>45868</v>
      </c>
      <c r="AG305" s="143" t="s">
        <v>1071</v>
      </c>
      <c r="AH305" s="143" t="s">
        <v>259</v>
      </c>
      <c r="AJ305" s="143" t="s">
        <v>1087</v>
      </c>
    </row>
    <row r="306" spans="1:43">
      <c r="A306" s="143">
        <v>304</v>
      </c>
      <c r="C306" s="143" t="s">
        <v>193</v>
      </c>
      <c r="D306" s="143" t="s">
        <v>229</v>
      </c>
      <c r="H306" s="152" t="s">
        <v>1113</v>
      </c>
      <c r="I306" s="143" t="s">
        <v>1114</v>
      </c>
      <c r="J306" s="143" t="s">
        <v>1111</v>
      </c>
      <c r="K306" s="143">
        <v>148</v>
      </c>
      <c r="L306" s="143">
        <v>185</v>
      </c>
      <c r="W306" s="143" t="s">
        <v>49</v>
      </c>
      <c r="X306" s="143" t="s">
        <v>1115</v>
      </c>
      <c r="Y306" s="143" t="s">
        <v>612</v>
      </c>
      <c r="Z306" s="143" t="s">
        <v>1115</v>
      </c>
      <c r="AB306" s="170"/>
      <c r="AG306" s="143" t="s">
        <v>1071</v>
      </c>
      <c r="AJ306" s="143" t="s">
        <v>1087</v>
      </c>
    </row>
    <row r="307" s="140" customFormat="1" ht="15" spans="1:43">
      <c r="A307" s="143">
        <v>305</v>
      </c>
      <c r="B307" s="144"/>
      <c r="C307" s="143" t="s">
        <v>193</v>
      </c>
      <c r="D307" s="143" t="s">
        <v>229</v>
      </c>
      <c r="E307" s="145"/>
      <c r="F307" s="143"/>
      <c r="G307" s="143"/>
      <c r="H307" s="152" t="s">
        <v>1116</v>
      </c>
      <c r="I307" s="143" t="s">
        <v>1117</v>
      </c>
      <c r="J307" s="143" t="s">
        <v>1118</v>
      </c>
      <c r="K307" s="143">
        <v>155</v>
      </c>
      <c r="L307" s="143">
        <v>49</v>
      </c>
      <c r="M307" s="143"/>
      <c r="N307" s="143"/>
      <c r="O307" s="143"/>
      <c r="P307" s="143"/>
      <c r="Q307" s="143"/>
      <c r="R307" s="143"/>
      <c r="S307" s="146"/>
      <c r="T307" s="146"/>
      <c r="U307" s="146"/>
      <c r="V307" s="147"/>
      <c r="W307" s="143" t="s">
        <v>49</v>
      </c>
      <c r="X307" s="143" t="s">
        <v>1119</v>
      </c>
      <c r="Y307" s="143" t="s">
        <v>612</v>
      </c>
      <c r="Z307" s="143" t="s">
        <v>1119</v>
      </c>
      <c r="AA307" s="143"/>
      <c r="AB307" s="170"/>
      <c r="AC307" s="143"/>
      <c r="AD307" s="143"/>
      <c r="AE307" s="143"/>
      <c r="AF307" s="143"/>
      <c r="AG307" s="143" t="s">
        <v>1071</v>
      </c>
      <c r="AH307" s="143"/>
      <c r="AI307" s="143"/>
      <c r="AJ307" s="143" t="s">
        <v>1087</v>
      </c>
      <c r="AK307" s="143"/>
      <c r="AL307" s="143"/>
      <c r="AM307" s="143"/>
      <c r="AN307" s="148"/>
      <c r="AO307" s="148"/>
      <c r="AP307" s="148"/>
      <c r="AQ307" s="148"/>
    </row>
    <row r="308" s="140" customFormat="1" ht="15" spans="1:43">
      <c r="A308" s="143">
        <v>306</v>
      </c>
      <c r="B308" s="144"/>
      <c r="C308" s="143" t="s">
        <v>193</v>
      </c>
      <c r="D308" s="143" t="s">
        <v>229</v>
      </c>
      <c r="E308" s="145"/>
      <c r="F308" s="143"/>
      <c r="G308" s="143"/>
      <c r="H308" s="152" t="s">
        <v>1120</v>
      </c>
      <c r="I308" s="143" t="s">
        <v>1121</v>
      </c>
      <c r="J308" s="143" t="s">
        <v>1122</v>
      </c>
      <c r="K308" s="143">
        <v>143</v>
      </c>
      <c r="L308" s="143" t="s">
        <v>1086</v>
      </c>
      <c r="M308" s="143"/>
      <c r="N308" s="143"/>
      <c r="O308" s="143"/>
      <c r="P308" s="143"/>
      <c r="Q308" s="143"/>
      <c r="R308" s="143"/>
      <c r="S308" s="146"/>
      <c r="T308" s="146"/>
      <c r="U308" s="146"/>
      <c r="V308" s="147"/>
      <c r="W308" s="143" t="s">
        <v>49</v>
      </c>
      <c r="X308" s="143" t="s">
        <v>1123</v>
      </c>
      <c r="Y308" s="143" t="s">
        <v>543</v>
      </c>
      <c r="Z308" s="143" t="s">
        <v>1123</v>
      </c>
      <c r="AA308" s="143"/>
      <c r="AB308" s="170"/>
      <c r="AC308" s="143"/>
      <c r="AD308" s="143"/>
      <c r="AE308" s="143"/>
      <c r="AF308" s="143"/>
      <c r="AG308" s="143" t="s">
        <v>233</v>
      </c>
      <c r="AH308" s="143"/>
      <c r="AI308" s="143"/>
      <c r="AJ308" s="143" t="s">
        <v>1124</v>
      </c>
      <c r="AK308" s="143"/>
      <c r="AL308" s="143"/>
      <c r="AM308" s="143"/>
    </row>
    <row r="309" s="140" customFormat="1" ht="15" spans="1:43">
      <c r="A309" s="143">
        <v>307</v>
      </c>
      <c r="B309" s="144"/>
      <c r="C309" s="143" t="s">
        <v>193</v>
      </c>
      <c r="D309" s="143" t="s">
        <v>229</v>
      </c>
      <c r="E309" s="145"/>
      <c r="F309" s="143"/>
      <c r="G309" s="143"/>
      <c r="H309" s="152" t="s">
        <v>1125</v>
      </c>
      <c r="I309" s="143" t="s">
        <v>1126</v>
      </c>
      <c r="J309" s="143" t="s">
        <v>1127</v>
      </c>
      <c r="K309" s="143">
        <v>150</v>
      </c>
      <c r="L309" s="143">
        <v>75</v>
      </c>
      <c r="M309" s="143"/>
      <c r="N309" s="143"/>
      <c r="O309" s="143"/>
      <c r="P309" s="143"/>
      <c r="Q309" s="143"/>
      <c r="R309" s="143"/>
      <c r="S309" s="146"/>
      <c r="T309" s="146"/>
      <c r="U309" s="146"/>
      <c r="V309" s="147"/>
      <c r="W309" s="143" t="s">
        <v>49</v>
      </c>
      <c r="X309" s="143" t="s">
        <v>1128</v>
      </c>
      <c r="Y309" s="143" t="s">
        <v>1129</v>
      </c>
      <c r="Z309" s="143" t="s">
        <v>1128</v>
      </c>
      <c r="AA309" s="143"/>
      <c r="AB309" s="170"/>
      <c r="AC309" s="143"/>
      <c r="AD309" s="143"/>
      <c r="AE309" s="143"/>
      <c r="AF309" s="143"/>
      <c r="AG309" s="143" t="s">
        <v>1071</v>
      </c>
      <c r="AH309" s="143"/>
      <c r="AI309" s="143"/>
      <c r="AJ309" s="143" t="s">
        <v>1076</v>
      </c>
      <c r="AK309" s="143"/>
      <c r="AL309" s="143"/>
      <c r="AM309" s="143"/>
    </row>
    <row r="310" s="140" customFormat="1" ht="15" spans="1:43">
      <c r="A310" s="143">
        <v>308</v>
      </c>
      <c r="B310" s="144"/>
      <c r="C310" s="143" t="s">
        <v>193</v>
      </c>
      <c r="D310" s="143" t="s">
        <v>229</v>
      </c>
      <c r="E310" s="145"/>
      <c r="F310" s="143"/>
      <c r="G310" s="143"/>
      <c r="H310" s="152" t="s">
        <v>1130</v>
      </c>
      <c r="I310" s="143" t="s">
        <v>1131</v>
      </c>
      <c r="J310" s="143" t="s">
        <v>1132</v>
      </c>
      <c r="K310" s="143">
        <v>127</v>
      </c>
      <c r="L310" s="143">
        <v>205</v>
      </c>
      <c r="M310" s="143"/>
      <c r="N310" s="143"/>
      <c r="O310" s="143"/>
      <c r="P310" s="143"/>
      <c r="Q310" s="143"/>
      <c r="R310" s="143"/>
      <c r="S310" s="146"/>
      <c r="T310" s="146"/>
      <c r="U310" s="146"/>
      <c r="V310" s="147"/>
      <c r="W310" s="143" t="s">
        <v>49</v>
      </c>
      <c r="X310" s="143" t="s">
        <v>1133</v>
      </c>
      <c r="Y310" s="143" t="s">
        <v>1134</v>
      </c>
      <c r="Z310" s="143" t="s">
        <v>1133</v>
      </c>
      <c r="AA310" s="143"/>
      <c r="AB310" s="170"/>
      <c r="AC310" s="143"/>
      <c r="AD310" s="143"/>
      <c r="AE310" s="143"/>
      <c r="AF310" s="143"/>
      <c r="AG310" s="143" t="s">
        <v>1071</v>
      </c>
      <c r="AH310" s="143"/>
      <c r="AI310" s="143"/>
      <c r="AJ310" s="143" t="s">
        <v>1087</v>
      </c>
      <c r="AK310" s="143"/>
      <c r="AL310" s="143"/>
      <c r="AM310" s="143"/>
    </row>
    <row r="311" s="140" customFormat="1" ht="15" spans="1:43">
      <c r="A311" s="143">
        <v>309</v>
      </c>
      <c r="B311" s="144"/>
      <c r="C311" s="143" t="s">
        <v>193</v>
      </c>
      <c r="D311" s="143" t="s">
        <v>229</v>
      </c>
      <c r="E311" s="145"/>
      <c r="F311" s="143"/>
      <c r="G311" s="143"/>
      <c r="H311" s="152" t="s">
        <v>1135</v>
      </c>
      <c r="I311" s="143" t="s">
        <v>1136</v>
      </c>
      <c r="J311" s="143" t="s">
        <v>1137</v>
      </c>
      <c r="K311" s="143">
        <v>132</v>
      </c>
      <c r="L311" s="143"/>
      <c r="M311" s="143"/>
      <c r="N311" s="143"/>
      <c r="O311" s="143"/>
      <c r="P311" s="143"/>
      <c r="Q311" s="143"/>
      <c r="R311" s="143"/>
      <c r="S311" s="146"/>
      <c r="T311" s="146"/>
      <c r="U311" s="146"/>
      <c r="V311" s="147"/>
      <c r="W311" s="143" t="s">
        <v>49</v>
      </c>
      <c r="X311" s="143">
        <v>4272</v>
      </c>
      <c r="Y311" s="143" t="s">
        <v>1138</v>
      </c>
      <c r="Z311" s="143">
        <v>4272</v>
      </c>
      <c r="AA311" s="143"/>
      <c r="AB311" s="170"/>
      <c r="AC311" s="143"/>
      <c r="AD311" s="143"/>
      <c r="AE311" s="143"/>
      <c r="AF311" s="143"/>
      <c r="AG311" s="143" t="s">
        <v>312</v>
      </c>
      <c r="AH311" s="143"/>
      <c r="AI311" s="143"/>
      <c r="AJ311" s="143" t="s">
        <v>313</v>
      </c>
      <c r="AK311" s="143"/>
      <c r="AL311" s="143"/>
      <c r="AM311" s="143"/>
    </row>
    <row r="312" s="140" customFormat="1" ht="15" spans="1:43">
      <c r="A312" s="143">
        <v>310</v>
      </c>
      <c r="B312" s="144"/>
      <c r="C312" s="143" t="s">
        <v>193</v>
      </c>
      <c r="D312" s="143" t="s">
        <v>229</v>
      </c>
      <c r="E312" s="145"/>
      <c r="F312" s="143"/>
      <c r="G312" s="143"/>
      <c r="H312" s="152" t="s">
        <v>1139</v>
      </c>
      <c r="I312" s="143" t="s">
        <v>1140</v>
      </c>
      <c r="J312" s="143" t="s">
        <v>1141</v>
      </c>
      <c r="K312" s="143">
        <v>132</v>
      </c>
      <c r="L312" s="143"/>
      <c r="M312" s="143"/>
      <c r="N312" s="143"/>
      <c r="O312" s="143"/>
      <c r="P312" s="143"/>
      <c r="Q312" s="143"/>
      <c r="R312" s="143"/>
      <c r="S312" s="146"/>
      <c r="T312" s="146"/>
      <c r="U312" s="146"/>
      <c r="V312" s="147"/>
      <c r="W312" s="143" t="s">
        <v>49</v>
      </c>
      <c r="X312" s="143" t="s">
        <v>1142</v>
      </c>
      <c r="Y312" s="143" t="s">
        <v>1138</v>
      </c>
      <c r="Z312" s="143" t="s">
        <v>1142</v>
      </c>
      <c r="AA312" s="143"/>
      <c r="AB312" s="170"/>
      <c r="AC312" s="143"/>
      <c r="AD312" s="143"/>
      <c r="AE312" s="143"/>
      <c r="AF312" s="143"/>
      <c r="AG312" s="143" t="s">
        <v>312</v>
      </c>
      <c r="AH312" s="143"/>
      <c r="AI312" s="143"/>
      <c r="AJ312" s="143" t="s">
        <v>313</v>
      </c>
      <c r="AK312" s="143"/>
      <c r="AL312" s="143"/>
      <c r="AM312" s="143"/>
      <c r="AO312" s="148"/>
      <c r="AP312" s="148"/>
      <c r="AQ312" s="148"/>
    </row>
    <row r="313" s="140" customFormat="1" ht="15" spans="1:43">
      <c r="A313" s="143">
        <v>311</v>
      </c>
      <c r="B313" s="144"/>
      <c r="C313" s="143" t="s">
        <v>193</v>
      </c>
      <c r="D313" s="143" t="s">
        <v>229</v>
      </c>
      <c r="E313" s="145"/>
      <c r="F313" s="143"/>
      <c r="G313" s="143"/>
      <c r="H313" s="152" t="s">
        <v>1143</v>
      </c>
      <c r="I313" s="143" t="s">
        <v>857</v>
      </c>
      <c r="J313" s="143" t="s">
        <v>1144</v>
      </c>
      <c r="K313" s="143">
        <v>130</v>
      </c>
      <c r="L313" s="143"/>
      <c r="M313" s="143"/>
      <c r="N313" s="143"/>
      <c r="O313" s="143"/>
      <c r="P313" s="143"/>
      <c r="Q313" s="143"/>
      <c r="R313" s="143"/>
      <c r="S313" s="146"/>
      <c r="T313" s="146"/>
      <c r="U313" s="146"/>
      <c r="V313" s="147"/>
      <c r="W313" s="143" t="s">
        <v>49</v>
      </c>
      <c r="X313" s="143">
        <v>4320</v>
      </c>
      <c r="Y313" s="143" t="s">
        <v>1138</v>
      </c>
      <c r="Z313" s="143">
        <v>4320</v>
      </c>
      <c r="AA313" s="143"/>
      <c r="AB313" s="170"/>
      <c r="AC313" s="143"/>
      <c r="AD313" s="143"/>
      <c r="AE313" s="143"/>
      <c r="AF313" s="143"/>
      <c r="AG313" s="143" t="s">
        <v>312</v>
      </c>
      <c r="AH313" s="143"/>
      <c r="AI313" s="143"/>
      <c r="AJ313" s="143" t="s">
        <v>313</v>
      </c>
      <c r="AK313" s="143"/>
      <c r="AL313" s="143"/>
      <c r="AM313" s="143"/>
    </row>
    <row r="314" s="140" customFormat="1" ht="15" spans="1:43">
      <c r="A314" s="143">
        <v>312</v>
      </c>
      <c r="B314" s="144"/>
      <c r="C314" s="143" t="s">
        <v>193</v>
      </c>
      <c r="D314" s="143" t="s">
        <v>229</v>
      </c>
      <c r="E314" s="145"/>
      <c r="F314" s="143"/>
      <c r="G314" s="143"/>
      <c r="H314" s="152" t="s">
        <v>1145</v>
      </c>
      <c r="I314" s="143" t="s">
        <v>1146</v>
      </c>
      <c r="J314" s="143" t="s">
        <v>1147</v>
      </c>
      <c r="K314" s="143">
        <v>138</v>
      </c>
      <c r="L314" s="143"/>
      <c r="M314" s="143"/>
      <c r="N314" s="143"/>
      <c r="O314" s="143"/>
      <c r="P314" s="143"/>
      <c r="Q314" s="143"/>
      <c r="R314" s="143"/>
      <c r="S314" s="146"/>
      <c r="T314" s="146"/>
      <c r="U314" s="146"/>
      <c r="V314" s="147"/>
      <c r="W314" s="143" t="s">
        <v>49</v>
      </c>
      <c r="X314" s="143">
        <v>33332</v>
      </c>
      <c r="Y314" s="143" t="s">
        <v>1138</v>
      </c>
      <c r="Z314" s="143">
        <v>33332</v>
      </c>
      <c r="AA314" s="143"/>
      <c r="AB314" s="170"/>
      <c r="AC314" s="143"/>
      <c r="AD314" s="143"/>
      <c r="AE314" s="143"/>
      <c r="AF314" s="143"/>
      <c r="AG314" s="143" t="s">
        <v>312</v>
      </c>
      <c r="AH314" s="143"/>
      <c r="AI314" s="143"/>
      <c r="AJ314" s="143" t="s">
        <v>313</v>
      </c>
      <c r="AK314" s="143"/>
      <c r="AL314" s="143"/>
      <c r="AM314" s="143"/>
    </row>
    <row r="315" s="140" customFormat="1" ht="15" spans="1:43">
      <c r="A315" s="143">
        <v>313</v>
      </c>
      <c r="B315" s="144"/>
      <c r="C315" s="143" t="s">
        <v>193</v>
      </c>
      <c r="D315" s="143" t="s">
        <v>229</v>
      </c>
      <c r="E315" s="145"/>
      <c r="F315" s="143"/>
      <c r="G315" s="143"/>
      <c r="H315" s="152" t="s">
        <v>1148</v>
      </c>
      <c r="I315" s="143" t="s">
        <v>1149</v>
      </c>
      <c r="J315" s="143" t="s">
        <v>1150</v>
      </c>
      <c r="K315" s="143">
        <v>150</v>
      </c>
      <c r="L315" s="143"/>
      <c r="M315" s="143"/>
      <c r="N315" s="143"/>
      <c r="O315" s="143"/>
      <c r="P315" s="143"/>
      <c r="Q315" s="143"/>
      <c r="R315" s="143"/>
      <c r="S315" s="146"/>
      <c r="T315" s="146"/>
      <c r="U315" s="146"/>
      <c r="V315" s="147"/>
      <c r="W315" s="143" t="s">
        <v>49</v>
      </c>
      <c r="X315" s="143">
        <v>401277</v>
      </c>
      <c r="Y315" s="143" t="s">
        <v>1138</v>
      </c>
      <c r="Z315" s="143">
        <v>401277</v>
      </c>
      <c r="AA315" s="143"/>
      <c r="AB315" s="170"/>
      <c r="AC315" s="143"/>
      <c r="AD315" s="143"/>
      <c r="AE315" s="143"/>
      <c r="AF315" s="143"/>
      <c r="AG315" s="143" t="s">
        <v>312</v>
      </c>
      <c r="AH315" s="143"/>
      <c r="AI315" s="143"/>
      <c r="AJ315" s="143" t="s">
        <v>313</v>
      </c>
      <c r="AK315" s="143"/>
      <c r="AL315" s="143"/>
      <c r="AM315" s="143"/>
    </row>
    <row r="316" s="140" customFormat="1" ht="15" spans="1:43">
      <c r="A316" s="143">
        <v>314</v>
      </c>
      <c r="B316" s="144"/>
      <c r="C316" s="143" t="s">
        <v>193</v>
      </c>
      <c r="D316" s="143" t="s">
        <v>229</v>
      </c>
      <c r="E316" s="145"/>
      <c r="F316" s="143"/>
      <c r="G316" s="143"/>
      <c r="H316" s="152" t="s">
        <v>1151</v>
      </c>
      <c r="I316" s="143" t="s">
        <v>857</v>
      </c>
      <c r="J316" s="143" t="s">
        <v>1144</v>
      </c>
      <c r="K316" s="143">
        <v>125</v>
      </c>
      <c r="L316" s="143"/>
      <c r="M316" s="143"/>
      <c r="N316" s="143"/>
      <c r="O316" s="143"/>
      <c r="P316" s="143"/>
      <c r="Q316" s="143"/>
      <c r="R316" s="143"/>
      <c r="S316" s="146"/>
      <c r="T316" s="146"/>
      <c r="U316" s="146"/>
      <c r="V316" s="147"/>
      <c r="W316" s="143" t="s">
        <v>49</v>
      </c>
      <c r="X316" s="143">
        <v>4402</v>
      </c>
      <c r="Y316" s="143" t="s">
        <v>1138</v>
      </c>
      <c r="Z316" s="143">
        <v>4402</v>
      </c>
      <c r="AA316" s="143"/>
      <c r="AB316" s="170"/>
      <c r="AC316" s="143"/>
      <c r="AD316" s="143"/>
      <c r="AE316" s="143"/>
      <c r="AF316" s="143"/>
      <c r="AG316" s="143" t="s">
        <v>312</v>
      </c>
      <c r="AH316" s="143"/>
      <c r="AI316" s="143"/>
      <c r="AJ316" s="143" t="s">
        <v>313</v>
      </c>
      <c r="AK316" s="143"/>
      <c r="AL316" s="143"/>
      <c r="AM316" s="143"/>
    </row>
    <row r="317" s="140" customFormat="1" ht="15" spans="1:43">
      <c r="A317" s="143">
        <v>315</v>
      </c>
      <c r="B317" s="144"/>
      <c r="C317" s="143" t="s">
        <v>193</v>
      </c>
      <c r="D317" s="143" t="s">
        <v>229</v>
      </c>
      <c r="E317" s="145"/>
      <c r="F317" s="143"/>
      <c r="G317" s="143"/>
      <c r="H317" s="152" t="s">
        <v>1152</v>
      </c>
      <c r="I317" s="143" t="s">
        <v>1057</v>
      </c>
      <c r="J317" s="143" t="s">
        <v>1058</v>
      </c>
      <c r="K317" s="143">
        <v>145</v>
      </c>
      <c r="L317" s="143"/>
      <c r="M317" s="143"/>
      <c r="N317" s="143"/>
      <c r="O317" s="143"/>
      <c r="P317" s="143"/>
      <c r="Q317" s="143"/>
      <c r="R317" s="143"/>
      <c r="S317" s="146"/>
      <c r="T317" s="146"/>
      <c r="U317" s="146"/>
      <c r="V317" s="147"/>
      <c r="W317" s="143" t="s">
        <v>49</v>
      </c>
      <c r="X317" s="143" t="s">
        <v>1153</v>
      </c>
      <c r="Y317" s="143" t="s">
        <v>543</v>
      </c>
      <c r="Z317" s="143" t="s">
        <v>1153</v>
      </c>
      <c r="AA317" s="143"/>
      <c r="AB317" s="170"/>
      <c r="AC317" s="143"/>
      <c r="AD317" s="143"/>
      <c r="AE317" s="143"/>
      <c r="AF317" s="143"/>
      <c r="AG317" s="143" t="s">
        <v>1022</v>
      </c>
      <c r="AH317" s="143"/>
      <c r="AI317" s="143"/>
      <c r="AJ317" s="143" t="s">
        <v>1023</v>
      </c>
      <c r="AK317" s="143"/>
      <c r="AL317" s="143"/>
      <c r="AM317" s="143"/>
    </row>
    <row r="318" s="140" customFormat="1" ht="15" spans="1:43">
      <c r="A318" s="143">
        <v>316</v>
      </c>
      <c r="B318" s="144"/>
      <c r="C318" s="143" t="s">
        <v>193</v>
      </c>
      <c r="D318" s="143" t="s">
        <v>229</v>
      </c>
      <c r="E318" s="145"/>
      <c r="F318" s="143"/>
      <c r="G318" s="143"/>
      <c r="H318" s="152" t="s">
        <v>1154</v>
      </c>
      <c r="I318" s="143" t="s">
        <v>1155</v>
      </c>
      <c r="J318" s="143" t="s">
        <v>1156</v>
      </c>
      <c r="K318" s="143">
        <v>148</v>
      </c>
      <c r="L318" s="143">
        <v>123</v>
      </c>
      <c r="M318" s="143"/>
      <c r="N318" s="143"/>
      <c r="O318" s="143"/>
      <c r="P318" s="143"/>
      <c r="Q318" s="143"/>
      <c r="R318" s="143"/>
      <c r="S318" s="146"/>
      <c r="T318" s="146"/>
      <c r="U318" s="146"/>
      <c r="V318" s="147"/>
      <c r="W318" s="143" t="s">
        <v>49</v>
      </c>
      <c r="X318" s="143" t="s">
        <v>1157</v>
      </c>
      <c r="Y318" s="143" t="s">
        <v>543</v>
      </c>
      <c r="Z318" s="143" t="s">
        <v>1157</v>
      </c>
      <c r="AA318" s="143"/>
      <c r="AB318" s="170"/>
      <c r="AC318" s="143"/>
      <c r="AD318" s="143"/>
      <c r="AE318" s="143"/>
      <c r="AF318" s="143"/>
      <c r="AG318" s="143" t="s">
        <v>233</v>
      </c>
      <c r="AH318" s="143"/>
      <c r="AI318" s="143"/>
      <c r="AJ318" s="143" t="s">
        <v>305</v>
      </c>
      <c r="AK318" s="143"/>
      <c r="AL318" s="143"/>
      <c r="AM318" s="143"/>
    </row>
    <row r="319" s="140" customFormat="1" ht="15" spans="1:43">
      <c r="A319" s="143">
        <v>317</v>
      </c>
      <c r="B319" s="144"/>
      <c r="C319" s="143" t="s">
        <v>193</v>
      </c>
      <c r="D319" s="143" t="s">
        <v>557</v>
      </c>
      <c r="E319" s="145"/>
      <c r="F319" s="143"/>
      <c r="G319" s="143"/>
      <c r="H319" s="152" t="s">
        <v>1158</v>
      </c>
      <c r="I319" s="143" t="s">
        <v>1159</v>
      </c>
      <c r="J319" s="143" t="s">
        <v>1160</v>
      </c>
      <c r="K319" s="143">
        <v>148</v>
      </c>
      <c r="L319" s="143">
        <v>160</v>
      </c>
      <c r="M319" s="143"/>
      <c r="N319" s="143"/>
      <c r="O319" s="143"/>
      <c r="P319" s="143"/>
      <c r="Q319" s="143"/>
      <c r="R319" s="143"/>
      <c r="S319" s="146"/>
      <c r="T319" s="146"/>
      <c r="U319" s="146"/>
      <c r="V319" s="147"/>
      <c r="W319" s="143" t="s">
        <v>49</v>
      </c>
      <c r="X319" s="143">
        <v>2957</v>
      </c>
      <c r="Y319" s="143" t="s">
        <v>543</v>
      </c>
      <c r="Z319" s="143">
        <v>2957</v>
      </c>
      <c r="AA319" s="143"/>
      <c r="AB319" s="170"/>
      <c r="AC319" s="143"/>
      <c r="AD319" s="143"/>
      <c r="AE319" s="143"/>
      <c r="AF319" s="143"/>
      <c r="AG319" s="143" t="s">
        <v>233</v>
      </c>
      <c r="AH319" s="143" t="s">
        <v>1161</v>
      </c>
      <c r="AI319" s="143"/>
      <c r="AJ319" s="143" t="s">
        <v>305</v>
      </c>
      <c r="AK319" s="143"/>
      <c r="AL319" s="143"/>
      <c r="AM319" s="143"/>
      <c r="AO319" s="148"/>
      <c r="AP319" s="148"/>
      <c r="AQ319" s="148"/>
    </row>
    <row r="320" s="140" customFormat="1" ht="15" spans="1:43">
      <c r="A320" s="143">
        <v>318</v>
      </c>
      <c r="B320" s="144"/>
      <c r="C320" s="143" t="s">
        <v>193</v>
      </c>
      <c r="D320" s="143" t="s">
        <v>557</v>
      </c>
      <c r="E320" s="145"/>
      <c r="F320" s="143"/>
      <c r="G320" s="143"/>
      <c r="H320" s="152" t="s">
        <v>1162</v>
      </c>
      <c r="I320" s="143" t="s">
        <v>1163</v>
      </c>
      <c r="J320" s="143" t="s">
        <v>1164</v>
      </c>
      <c r="K320" s="143">
        <v>148</v>
      </c>
      <c r="L320" s="143">
        <v>148</v>
      </c>
      <c r="M320" s="143"/>
      <c r="N320" s="143"/>
      <c r="O320" s="143"/>
      <c r="P320" s="143"/>
      <c r="Q320" s="143"/>
      <c r="R320" s="143"/>
      <c r="S320" s="146"/>
      <c r="T320" s="146"/>
      <c r="U320" s="146"/>
      <c r="V320" s="147"/>
      <c r="W320" s="143" t="s">
        <v>49</v>
      </c>
      <c r="X320" s="143">
        <v>25334</v>
      </c>
      <c r="Y320" s="143" t="s">
        <v>551</v>
      </c>
      <c r="Z320" s="143">
        <v>25334</v>
      </c>
      <c r="AA320" s="143">
        <v>17.3</v>
      </c>
      <c r="AB320" s="170">
        <v>45868</v>
      </c>
      <c r="AC320" s="143"/>
      <c r="AD320" s="143"/>
      <c r="AE320" s="143"/>
      <c r="AF320" s="143"/>
      <c r="AG320" s="143" t="s">
        <v>233</v>
      </c>
      <c r="AH320" s="143" t="s">
        <v>563</v>
      </c>
      <c r="AI320" s="143"/>
      <c r="AJ320" s="143" t="s">
        <v>1165</v>
      </c>
      <c r="AK320" s="143"/>
      <c r="AL320" s="143"/>
      <c r="AM320" s="143"/>
      <c r="AO320" s="148"/>
      <c r="AP320" s="148"/>
      <c r="AQ320" s="148"/>
    </row>
    <row r="321" s="140" customFormat="1" ht="15" spans="1:43">
      <c r="A321" s="143">
        <v>319</v>
      </c>
      <c r="B321" s="144"/>
      <c r="C321" s="143" t="s">
        <v>193</v>
      </c>
      <c r="D321" s="143" t="s">
        <v>229</v>
      </c>
      <c r="E321" s="145"/>
      <c r="F321" s="143"/>
      <c r="G321" s="143"/>
      <c r="H321" s="152" t="s">
        <v>1166</v>
      </c>
      <c r="I321" s="143" t="s">
        <v>1167</v>
      </c>
      <c r="J321" s="143" t="s">
        <v>1168</v>
      </c>
      <c r="K321" s="143">
        <v>150</v>
      </c>
      <c r="L321" s="143">
        <v>135</v>
      </c>
      <c r="M321" s="143"/>
      <c r="N321" s="143"/>
      <c r="O321" s="143"/>
      <c r="P321" s="143"/>
      <c r="Q321" s="143"/>
      <c r="R321" s="143"/>
      <c r="S321" s="146"/>
      <c r="T321" s="146"/>
      <c r="U321" s="146"/>
      <c r="V321" s="147"/>
      <c r="W321" s="143" t="s">
        <v>49</v>
      </c>
      <c r="X321" s="143">
        <v>25435</v>
      </c>
      <c r="Y321" s="143" t="s">
        <v>551</v>
      </c>
      <c r="Z321" s="143">
        <v>25435</v>
      </c>
      <c r="AA321" s="143"/>
      <c r="AB321" s="170"/>
      <c r="AC321" s="143"/>
      <c r="AD321" s="143"/>
      <c r="AE321" s="143"/>
      <c r="AF321" s="143"/>
      <c r="AG321" s="143" t="s">
        <v>301</v>
      </c>
      <c r="AH321" s="143"/>
      <c r="AI321" s="143"/>
      <c r="AJ321" s="143" t="s">
        <v>1169</v>
      </c>
      <c r="AK321" s="143"/>
      <c r="AL321" s="143"/>
      <c r="AM321" s="143"/>
    </row>
    <row r="322" s="140" customFormat="1" ht="15" spans="1:43">
      <c r="A322" s="143">
        <v>320</v>
      </c>
      <c r="B322" s="144"/>
      <c r="C322" s="143" t="s">
        <v>193</v>
      </c>
      <c r="D322" s="143" t="s">
        <v>229</v>
      </c>
      <c r="E322" s="145"/>
      <c r="F322" s="143"/>
      <c r="G322" s="143"/>
      <c r="H322" s="152" t="s">
        <v>1170</v>
      </c>
      <c r="I322" s="143" t="s">
        <v>1171</v>
      </c>
      <c r="J322" s="143" t="s">
        <v>1172</v>
      </c>
      <c r="K322" s="143">
        <v>145</v>
      </c>
      <c r="L322" s="143">
        <v>230</v>
      </c>
      <c r="M322" s="143"/>
      <c r="N322" s="143"/>
      <c r="O322" s="143"/>
      <c r="P322" s="143"/>
      <c r="Q322" s="143"/>
      <c r="R322" s="143"/>
      <c r="S322" s="146"/>
      <c r="T322" s="146"/>
      <c r="U322" s="146"/>
      <c r="V322" s="147"/>
      <c r="W322" s="143" t="s">
        <v>49</v>
      </c>
      <c r="X322" s="143">
        <v>25277</v>
      </c>
      <c r="Y322" s="143" t="s">
        <v>551</v>
      </c>
      <c r="Z322" s="143">
        <v>25277</v>
      </c>
      <c r="AA322" s="143"/>
      <c r="AB322" s="170"/>
      <c r="AC322" s="143"/>
      <c r="AD322" s="143"/>
      <c r="AE322" s="143"/>
      <c r="AF322" s="143"/>
      <c r="AG322" s="143" t="s">
        <v>1173</v>
      </c>
      <c r="AH322" s="143"/>
      <c r="AI322" s="143"/>
      <c r="AJ322" s="143" t="s">
        <v>1174</v>
      </c>
      <c r="AK322" s="143"/>
      <c r="AL322" s="143"/>
      <c r="AM322" s="143"/>
    </row>
    <row r="323" s="140" customFormat="1" ht="15" spans="1:43">
      <c r="A323" s="143">
        <v>321</v>
      </c>
      <c r="B323" s="144"/>
      <c r="C323" s="143" t="s">
        <v>193</v>
      </c>
      <c r="D323" s="143" t="s">
        <v>229</v>
      </c>
      <c r="E323" s="145"/>
      <c r="F323" s="143"/>
      <c r="G323" s="143"/>
      <c r="H323" s="152" t="s">
        <v>1175</v>
      </c>
      <c r="I323" s="143" t="s">
        <v>1176</v>
      </c>
      <c r="J323" s="143" t="s">
        <v>1177</v>
      </c>
      <c r="K323" s="143">
        <v>145</v>
      </c>
      <c r="L323" s="143">
        <v>220</v>
      </c>
      <c r="M323" s="143"/>
      <c r="N323" s="143"/>
      <c r="O323" s="143"/>
      <c r="P323" s="143"/>
      <c r="Q323" s="143"/>
      <c r="R323" s="143"/>
      <c r="S323" s="146"/>
      <c r="T323" s="146"/>
      <c r="U323" s="146"/>
      <c r="V323" s="147"/>
      <c r="W323" s="143" t="s">
        <v>49</v>
      </c>
      <c r="X323" s="143">
        <v>25420</v>
      </c>
      <c r="Y323" s="143" t="s">
        <v>551</v>
      </c>
      <c r="Z323" s="143">
        <v>25420</v>
      </c>
      <c r="AA323" s="143"/>
      <c r="AB323" s="170"/>
      <c r="AC323" s="143"/>
      <c r="AD323" s="143"/>
      <c r="AE323" s="143"/>
      <c r="AF323" s="143"/>
      <c r="AG323" s="143" t="s">
        <v>1173</v>
      </c>
      <c r="AH323" s="143"/>
      <c r="AI323" s="143"/>
      <c r="AJ323" s="143" t="s">
        <v>1174</v>
      </c>
      <c r="AK323" s="143"/>
      <c r="AL323" s="143"/>
      <c r="AM323" s="143"/>
    </row>
    <row r="324" s="140" customFormat="1" ht="15" spans="1:43">
      <c r="A324" s="143">
        <v>322</v>
      </c>
      <c r="B324" s="144"/>
      <c r="C324" s="143" t="s">
        <v>193</v>
      </c>
      <c r="D324" s="143" t="s">
        <v>229</v>
      </c>
      <c r="E324" s="145"/>
      <c r="F324" s="143"/>
      <c r="G324" s="143"/>
      <c r="H324" s="152" t="s">
        <v>1178</v>
      </c>
      <c r="I324" s="143" t="s">
        <v>1179</v>
      </c>
      <c r="J324" s="143" t="s">
        <v>1180</v>
      </c>
      <c r="K324" s="143">
        <v>148</v>
      </c>
      <c r="L324" s="143">
        <v>245</v>
      </c>
      <c r="M324" s="143"/>
      <c r="N324" s="143"/>
      <c r="O324" s="143"/>
      <c r="P324" s="143"/>
      <c r="Q324" s="143"/>
      <c r="R324" s="143"/>
      <c r="S324" s="146"/>
      <c r="T324" s="146"/>
      <c r="U324" s="146"/>
      <c r="V324" s="147"/>
      <c r="W324" s="143" t="s">
        <v>49</v>
      </c>
      <c r="X324" s="143" t="s">
        <v>1181</v>
      </c>
      <c r="Y324" s="143" t="s">
        <v>551</v>
      </c>
      <c r="Z324" s="143" t="s">
        <v>1181</v>
      </c>
      <c r="AA324" s="143">
        <v>24.6</v>
      </c>
      <c r="AB324" s="170">
        <v>46051</v>
      </c>
      <c r="AC324" s="143"/>
      <c r="AD324" s="143"/>
      <c r="AE324" s="143"/>
      <c r="AF324" s="143"/>
      <c r="AG324" s="143" t="s">
        <v>301</v>
      </c>
      <c r="AH324" s="143"/>
      <c r="AI324" s="143"/>
      <c r="AJ324" s="143" t="s">
        <v>302</v>
      </c>
      <c r="AK324" s="143"/>
      <c r="AL324" s="143"/>
      <c r="AM324" s="143"/>
      <c r="AO324" s="148"/>
      <c r="AP324" s="148"/>
      <c r="AQ324" s="148"/>
    </row>
    <row r="325" s="140" customFormat="1" ht="15" spans="1:43">
      <c r="A325" s="143">
        <v>323</v>
      </c>
      <c r="B325" s="144"/>
      <c r="C325" s="143" t="s">
        <v>193</v>
      </c>
      <c r="D325" s="143" t="s">
        <v>229</v>
      </c>
      <c r="E325" s="145"/>
      <c r="F325" s="143"/>
      <c r="G325" s="143"/>
      <c r="H325" s="152" t="s">
        <v>1182</v>
      </c>
      <c r="I325" s="143" t="s">
        <v>1183</v>
      </c>
      <c r="J325" s="143" t="s">
        <v>1184</v>
      </c>
      <c r="K325" s="143">
        <v>148</v>
      </c>
      <c r="L325" s="143">
        <v>62</v>
      </c>
      <c r="M325" s="143"/>
      <c r="N325" s="143"/>
      <c r="O325" s="143"/>
      <c r="P325" s="143"/>
      <c r="Q325" s="143"/>
      <c r="R325" s="143"/>
      <c r="S325" s="146"/>
      <c r="T325" s="146"/>
      <c r="U325" s="146"/>
      <c r="V325" s="147"/>
      <c r="W325" s="143" t="s">
        <v>49</v>
      </c>
      <c r="X325" s="143">
        <v>2539</v>
      </c>
      <c r="Y325" s="143" t="s">
        <v>551</v>
      </c>
      <c r="Z325" s="143">
        <v>2539</v>
      </c>
      <c r="AA325" s="143">
        <v>18.4</v>
      </c>
      <c r="AB325" s="170">
        <v>46051</v>
      </c>
      <c r="AC325" s="143"/>
      <c r="AD325" s="143"/>
      <c r="AE325" s="143"/>
      <c r="AF325" s="143"/>
      <c r="AG325" s="143" t="s">
        <v>233</v>
      </c>
      <c r="AH325" s="143"/>
      <c r="AI325" s="143"/>
      <c r="AJ325" s="143" t="s">
        <v>1165</v>
      </c>
      <c r="AK325" s="143"/>
      <c r="AL325" s="143"/>
      <c r="AM325" s="143"/>
      <c r="AO325" s="148"/>
      <c r="AP325" s="148"/>
      <c r="AQ325" s="148"/>
    </row>
    <row r="326" s="140" customFormat="1" ht="15" spans="1:43">
      <c r="A326" s="143">
        <v>324</v>
      </c>
      <c r="B326" s="144"/>
      <c r="C326" s="143" t="s">
        <v>193</v>
      </c>
      <c r="D326" s="143" t="s">
        <v>229</v>
      </c>
      <c r="E326" s="145"/>
      <c r="F326" s="143"/>
      <c r="G326" s="169" t="s">
        <v>1185</v>
      </c>
      <c r="H326" s="152" t="s">
        <v>1186</v>
      </c>
      <c r="I326" s="143" t="s">
        <v>1187</v>
      </c>
      <c r="J326" s="143" t="s">
        <v>1188</v>
      </c>
      <c r="K326" s="143">
        <v>148</v>
      </c>
      <c r="L326" s="143">
        <v>50</v>
      </c>
      <c r="M326" s="143"/>
      <c r="N326" s="143"/>
      <c r="O326" s="143"/>
      <c r="P326" s="143"/>
      <c r="Q326" s="143"/>
      <c r="R326" s="143"/>
      <c r="S326" s="146"/>
      <c r="T326" s="146"/>
      <c r="U326" s="146"/>
      <c r="V326" s="147"/>
      <c r="W326" s="143" t="s">
        <v>49</v>
      </c>
      <c r="X326" s="143">
        <v>25125</v>
      </c>
      <c r="Y326" s="143" t="s">
        <v>551</v>
      </c>
      <c r="Z326" s="143">
        <v>25125</v>
      </c>
      <c r="AA326" s="143">
        <v>20.8</v>
      </c>
      <c r="AB326" s="170">
        <v>46051</v>
      </c>
      <c r="AC326" s="143"/>
      <c r="AD326" s="143"/>
      <c r="AE326" s="143"/>
      <c r="AF326" s="143"/>
      <c r="AG326" s="143" t="s">
        <v>233</v>
      </c>
      <c r="AH326" s="143"/>
      <c r="AI326" s="143"/>
      <c r="AJ326" s="143" t="s">
        <v>1189</v>
      </c>
      <c r="AK326" s="143"/>
      <c r="AL326" s="143"/>
      <c r="AM326" s="143"/>
    </row>
    <row r="327" s="140" customFormat="1" ht="15" spans="1:43">
      <c r="A327" s="143">
        <v>325</v>
      </c>
      <c r="B327" s="144"/>
      <c r="C327" s="143" t="s">
        <v>193</v>
      </c>
      <c r="D327" s="143" t="s">
        <v>229</v>
      </c>
      <c r="E327" s="145"/>
      <c r="F327" s="143"/>
      <c r="G327" s="143"/>
      <c r="H327" s="152" t="s">
        <v>1190</v>
      </c>
      <c r="I327" s="143" t="s">
        <v>1191</v>
      </c>
      <c r="J327" s="143" t="s">
        <v>1192</v>
      </c>
      <c r="K327" s="143">
        <v>150</v>
      </c>
      <c r="L327" s="143">
        <v>185</v>
      </c>
      <c r="M327" s="143"/>
      <c r="N327" s="143"/>
      <c r="O327" s="143"/>
      <c r="P327" s="143"/>
      <c r="Q327" s="143"/>
      <c r="R327" s="143"/>
      <c r="S327" s="146"/>
      <c r="T327" s="146"/>
      <c r="U327" s="146"/>
      <c r="V327" s="147"/>
      <c r="W327" s="143" t="s">
        <v>49</v>
      </c>
      <c r="X327" s="143">
        <v>25445</v>
      </c>
      <c r="Y327" s="143" t="s">
        <v>551</v>
      </c>
      <c r="Z327" s="143">
        <v>25445</v>
      </c>
      <c r="AA327" s="143"/>
      <c r="AB327" s="170"/>
      <c r="AC327" s="143"/>
      <c r="AD327" s="143"/>
      <c r="AE327" s="143"/>
      <c r="AF327" s="143"/>
      <c r="AG327" s="143" t="s">
        <v>301</v>
      </c>
      <c r="AH327" s="143"/>
      <c r="AI327" s="143"/>
      <c r="AJ327" s="143" t="s">
        <v>544</v>
      </c>
      <c r="AK327" s="143"/>
      <c r="AL327" s="143"/>
      <c r="AM327" s="143"/>
    </row>
    <row r="328" s="140" customFormat="1" ht="15" spans="1:43">
      <c r="A328" s="143">
        <v>326</v>
      </c>
      <c r="B328" s="144"/>
      <c r="C328" s="143" t="s">
        <v>193</v>
      </c>
      <c r="D328" s="143" t="s">
        <v>229</v>
      </c>
      <c r="E328" s="145"/>
      <c r="F328" s="143"/>
      <c r="G328" s="143"/>
      <c r="H328" s="152" t="s">
        <v>1193</v>
      </c>
      <c r="I328" s="143" t="s">
        <v>1194</v>
      </c>
      <c r="J328" s="143" t="s">
        <v>1195</v>
      </c>
      <c r="K328" s="143">
        <v>145</v>
      </c>
      <c r="L328" s="143">
        <v>212</v>
      </c>
      <c r="M328" s="143"/>
      <c r="N328" s="143"/>
      <c r="O328" s="143"/>
      <c r="P328" s="143"/>
      <c r="Q328" s="143"/>
      <c r="R328" s="143"/>
      <c r="S328" s="146"/>
      <c r="T328" s="146"/>
      <c r="U328" s="146"/>
      <c r="V328" s="147"/>
      <c r="W328" s="143" t="s">
        <v>49</v>
      </c>
      <c r="X328" s="143">
        <v>25161</v>
      </c>
      <c r="Y328" s="143" t="s">
        <v>551</v>
      </c>
      <c r="Z328" s="143">
        <v>25161</v>
      </c>
      <c r="AA328" s="143"/>
      <c r="AB328" s="170"/>
      <c r="AC328" s="143"/>
      <c r="AD328" s="143"/>
      <c r="AE328" s="143"/>
      <c r="AF328" s="143"/>
      <c r="AG328" s="143" t="s">
        <v>1173</v>
      </c>
      <c r="AH328" s="143"/>
      <c r="AI328" s="143"/>
      <c r="AJ328" s="143" t="s">
        <v>1174</v>
      </c>
      <c r="AK328" s="143"/>
      <c r="AL328" s="143"/>
      <c r="AM328" s="143"/>
    </row>
    <row r="329" s="140" customFormat="1" ht="15" spans="1:43">
      <c r="A329" s="143">
        <v>327</v>
      </c>
      <c r="B329" s="144"/>
      <c r="C329" s="143" t="s">
        <v>193</v>
      </c>
      <c r="D329" s="143" t="s">
        <v>229</v>
      </c>
      <c r="E329" s="145"/>
      <c r="F329" s="143"/>
      <c r="G329" s="143"/>
      <c r="H329" s="152" t="s">
        <v>1196</v>
      </c>
      <c r="I329" s="143" t="s">
        <v>1197</v>
      </c>
      <c r="J329" s="143" t="s">
        <v>1198</v>
      </c>
      <c r="K329" s="143">
        <v>147</v>
      </c>
      <c r="L329" s="143">
        <v>110</v>
      </c>
      <c r="M329" s="143"/>
      <c r="N329" s="143"/>
      <c r="O329" s="143"/>
      <c r="P329" s="143"/>
      <c r="Q329" s="143"/>
      <c r="R329" s="143"/>
      <c r="S329" s="146"/>
      <c r="T329" s="146"/>
      <c r="U329" s="146"/>
      <c r="V329" s="147"/>
      <c r="W329" s="143" t="s">
        <v>49</v>
      </c>
      <c r="X329" s="143">
        <v>2567</v>
      </c>
      <c r="Y329" s="143" t="s">
        <v>551</v>
      </c>
      <c r="Z329" s="143">
        <v>2567</v>
      </c>
      <c r="AA329" s="143"/>
      <c r="AB329" s="170"/>
      <c r="AC329" s="143"/>
      <c r="AD329" s="143"/>
      <c r="AE329" s="143"/>
      <c r="AF329" s="143"/>
      <c r="AG329" s="143" t="s">
        <v>233</v>
      </c>
      <c r="AH329" s="143"/>
      <c r="AI329" s="143"/>
      <c r="AJ329" s="143" t="s">
        <v>1189</v>
      </c>
      <c r="AK329" s="143"/>
      <c r="AL329" s="143"/>
      <c r="AM329" s="143"/>
    </row>
    <row r="330" s="140" customFormat="1" ht="15" spans="1:43">
      <c r="A330" s="143">
        <v>328</v>
      </c>
      <c r="B330" s="144"/>
      <c r="C330" s="143" t="s">
        <v>193</v>
      </c>
      <c r="D330" s="143" t="s">
        <v>229</v>
      </c>
      <c r="E330" s="145"/>
      <c r="F330" s="143"/>
      <c r="G330" s="143"/>
      <c r="H330" s="152" t="s">
        <v>1199</v>
      </c>
      <c r="I330" s="143" t="s">
        <v>1200</v>
      </c>
      <c r="J330" s="143" t="s">
        <v>1201</v>
      </c>
      <c r="K330" s="143">
        <v>146</v>
      </c>
      <c r="L330" s="143">
        <v>132</v>
      </c>
      <c r="M330" s="143"/>
      <c r="N330" s="143"/>
      <c r="O330" s="143"/>
      <c r="P330" s="143"/>
      <c r="Q330" s="143"/>
      <c r="R330" s="143"/>
      <c r="S330" s="146"/>
      <c r="T330" s="146"/>
      <c r="U330" s="146"/>
      <c r="V330" s="147"/>
      <c r="W330" s="143" t="s">
        <v>49</v>
      </c>
      <c r="X330" s="143">
        <v>25284</v>
      </c>
      <c r="Y330" s="143" t="s">
        <v>551</v>
      </c>
      <c r="Z330" s="143">
        <v>25284</v>
      </c>
      <c r="AA330" s="143"/>
      <c r="AB330" s="170"/>
      <c r="AC330" s="143"/>
      <c r="AD330" s="143"/>
      <c r="AE330" s="143"/>
      <c r="AF330" s="143"/>
      <c r="AG330" s="143" t="s">
        <v>233</v>
      </c>
      <c r="AH330" s="143"/>
      <c r="AI330" s="143"/>
      <c r="AJ330" s="143" t="s">
        <v>1189</v>
      </c>
      <c r="AK330" s="143"/>
      <c r="AL330" s="143"/>
      <c r="AM330" s="143"/>
    </row>
    <row r="331" s="140" customFormat="1" ht="15" spans="1:43">
      <c r="A331" s="143">
        <v>329</v>
      </c>
      <c r="B331" s="144"/>
      <c r="C331" s="143" t="s">
        <v>193</v>
      </c>
      <c r="D331" s="143" t="s">
        <v>229</v>
      </c>
      <c r="E331" s="145"/>
      <c r="F331" s="143"/>
      <c r="G331" s="143"/>
      <c r="H331" s="152" t="s">
        <v>1202</v>
      </c>
      <c r="I331" s="143" t="s">
        <v>1203</v>
      </c>
      <c r="J331" s="143" t="s">
        <v>1204</v>
      </c>
      <c r="K331" s="143">
        <v>140</v>
      </c>
      <c r="L331" s="143">
        <v>102</v>
      </c>
      <c r="M331" s="143"/>
      <c r="N331" s="143"/>
      <c r="O331" s="143"/>
      <c r="P331" s="143"/>
      <c r="Q331" s="143"/>
      <c r="R331" s="143"/>
      <c r="S331" s="146"/>
      <c r="T331" s="146"/>
      <c r="U331" s="146"/>
      <c r="V331" s="147"/>
      <c r="W331" s="143" t="s">
        <v>49</v>
      </c>
      <c r="X331" s="143">
        <v>25396</v>
      </c>
      <c r="Y331" s="143" t="s">
        <v>551</v>
      </c>
      <c r="Z331" s="143">
        <v>25396</v>
      </c>
      <c r="AA331" s="143"/>
      <c r="AB331" s="170"/>
      <c r="AC331" s="143"/>
      <c r="AD331" s="143"/>
      <c r="AE331" s="143"/>
      <c r="AF331" s="143"/>
      <c r="AG331" s="143" t="s">
        <v>233</v>
      </c>
      <c r="AH331" s="143"/>
      <c r="AI331" s="143"/>
      <c r="AJ331" s="143" t="s">
        <v>1165</v>
      </c>
      <c r="AK331" s="143"/>
      <c r="AL331" s="143"/>
      <c r="AM331" s="143"/>
      <c r="AO331" s="148"/>
      <c r="AP331" s="148"/>
      <c r="AQ331" s="148"/>
    </row>
    <row r="332" s="140" customFormat="1" ht="15" spans="1:43">
      <c r="A332" s="143">
        <v>330</v>
      </c>
      <c r="B332" s="144"/>
      <c r="C332" s="143" t="s">
        <v>193</v>
      </c>
      <c r="D332" s="143" t="s">
        <v>229</v>
      </c>
      <c r="E332" s="145"/>
      <c r="F332" s="143"/>
      <c r="G332" s="143"/>
      <c r="H332" s="152" t="s">
        <v>1205</v>
      </c>
      <c r="I332" s="143" t="s">
        <v>1206</v>
      </c>
      <c r="J332" s="143" t="s">
        <v>1207</v>
      </c>
      <c r="K332" s="143">
        <v>145</v>
      </c>
      <c r="L332" s="143"/>
      <c r="M332" s="143"/>
      <c r="N332" s="143"/>
      <c r="O332" s="143"/>
      <c r="P332" s="143"/>
      <c r="Q332" s="143"/>
      <c r="R332" s="143"/>
      <c r="S332" s="146"/>
      <c r="T332" s="146"/>
      <c r="U332" s="146"/>
      <c r="V332" s="147"/>
      <c r="W332" s="143" t="s">
        <v>49</v>
      </c>
      <c r="X332" s="143">
        <v>2486</v>
      </c>
      <c r="Y332" s="143" t="s">
        <v>571</v>
      </c>
      <c r="Z332" s="143">
        <v>2486</v>
      </c>
      <c r="AA332" s="143"/>
      <c r="AB332" s="170"/>
      <c r="AC332" s="143"/>
      <c r="AD332" s="143"/>
      <c r="AE332" s="143"/>
      <c r="AF332" s="143"/>
      <c r="AG332" s="143" t="s">
        <v>249</v>
      </c>
      <c r="AH332" s="143"/>
      <c r="AI332" s="143"/>
      <c r="AJ332" s="143" t="s">
        <v>254</v>
      </c>
      <c r="AK332" s="143"/>
      <c r="AL332" s="143"/>
      <c r="AM332" s="143"/>
      <c r="AO332" s="148"/>
      <c r="AP332" s="148"/>
      <c r="AQ332" s="148"/>
    </row>
    <row r="333" s="140" customFormat="1" ht="16.5" spans="1:43">
      <c r="A333" s="143">
        <v>331</v>
      </c>
      <c r="B333" s="144">
        <v>45804</v>
      </c>
      <c r="C333" s="143" t="s">
        <v>40</v>
      </c>
      <c r="D333" s="143" t="s">
        <v>41</v>
      </c>
      <c r="E333" s="145"/>
      <c r="F333" s="143" t="s">
        <v>1208</v>
      </c>
      <c r="G333" s="143"/>
      <c r="H333" s="143" t="s">
        <v>1209</v>
      </c>
      <c r="I333" s="143" t="s">
        <v>1210</v>
      </c>
      <c r="J333" s="143" t="s">
        <v>1211</v>
      </c>
      <c r="K333" s="143">
        <v>170</v>
      </c>
      <c r="L333" s="143">
        <v>215</v>
      </c>
      <c r="M333" s="143"/>
      <c r="N333" s="143"/>
      <c r="O333" s="143"/>
      <c r="P333" s="143"/>
      <c r="Q333" s="143"/>
      <c r="R333" s="143"/>
      <c r="S333" s="146"/>
      <c r="T333" s="146"/>
      <c r="U333" s="146"/>
      <c r="V333" s="147"/>
      <c r="W333" s="143" t="s">
        <v>49</v>
      </c>
      <c r="X333" s="143" t="s">
        <v>1208</v>
      </c>
      <c r="Y333" s="143" t="s">
        <v>1212</v>
      </c>
      <c r="Z333" s="143" t="s">
        <v>1208</v>
      </c>
      <c r="AA333" s="143">
        <v>20.5</v>
      </c>
      <c r="AB333" s="170">
        <v>45804</v>
      </c>
      <c r="AC333" s="143"/>
      <c r="AD333" s="143"/>
      <c r="AE333" s="143"/>
      <c r="AF333" s="143"/>
      <c r="AG333" s="143"/>
      <c r="AH333" s="143"/>
      <c r="AI333" s="143"/>
      <c r="AJ333" s="143"/>
      <c r="AK333" s="143"/>
      <c r="AL333" s="143"/>
      <c r="AM333" s="143"/>
      <c r="AN333" s="148"/>
    </row>
    <row r="334" s="140" customFormat="1" ht="15" spans="1:43">
      <c r="A334" s="143">
        <v>332</v>
      </c>
      <c r="B334" s="144"/>
      <c r="C334" s="143" t="s">
        <v>193</v>
      </c>
      <c r="D334" s="143" t="s">
        <v>229</v>
      </c>
      <c r="E334" s="145"/>
      <c r="F334" s="143"/>
      <c r="G334" s="143"/>
      <c r="H334" s="152" t="s">
        <v>1213</v>
      </c>
      <c r="I334" s="143" t="s">
        <v>1214</v>
      </c>
      <c r="J334" s="143" t="s">
        <v>1215</v>
      </c>
      <c r="K334" s="143">
        <v>160</v>
      </c>
      <c r="L334" s="143">
        <v>250</v>
      </c>
      <c r="M334" s="143"/>
      <c r="N334" s="143"/>
      <c r="O334" s="143"/>
      <c r="P334" s="143"/>
      <c r="Q334" s="143"/>
      <c r="R334" s="143"/>
      <c r="S334" s="146"/>
      <c r="T334" s="146"/>
      <c r="U334" s="146"/>
      <c r="V334" s="147"/>
      <c r="W334" s="143" t="s">
        <v>49</v>
      </c>
      <c r="X334" s="143">
        <v>3200</v>
      </c>
      <c r="Y334" s="143" t="s">
        <v>268</v>
      </c>
      <c r="Z334" s="143">
        <v>3200</v>
      </c>
      <c r="AA334" s="143"/>
      <c r="AB334" s="170"/>
      <c r="AC334" s="143"/>
      <c r="AD334" s="143"/>
      <c r="AE334" s="143"/>
      <c r="AF334" s="143"/>
      <c r="AG334" s="143" t="s">
        <v>269</v>
      </c>
      <c r="AH334" s="143"/>
      <c r="AI334" s="143"/>
      <c r="AJ334" s="143" t="s">
        <v>270</v>
      </c>
      <c r="AK334" s="143"/>
      <c r="AL334" s="143"/>
      <c r="AM334" s="143"/>
      <c r="AN334" s="148"/>
    </row>
    <row r="335" s="140" customFormat="1" ht="15" spans="1:43">
      <c r="A335" s="143">
        <v>333</v>
      </c>
      <c r="B335" s="144"/>
      <c r="C335" s="143" t="s">
        <v>193</v>
      </c>
      <c r="D335" s="143" t="s">
        <v>229</v>
      </c>
      <c r="E335" s="145"/>
      <c r="F335" s="143"/>
      <c r="G335" s="143"/>
      <c r="H335" s="152" t="s">
        <v>1216</v>
      </c>
      <c r="I335" s="143" t="s">
        <v>1217</v>
      </c>
      <c r="J335" s="143" t="s">
        <v>1218</v>
      </c>
      <c r="K335" s="143">
        <v>178</v>
      </c>
      <c r="L335" s="143">
        <v>260</v>
      </c>
      <c r="M335" s="143"/>
      <c r="N335" s="143"/>
      <c r="O335" s="143"/>
      <c r="P335" s="143"/>
      <c r="Q335" s="143"/>
      <c r="R335" s="143"/>
      <c r="S335" s="146"/>
      <c r="T335" s="146"/>
      <c r="U335" s="146"/>
      <c r="V335" s="147"/>
      <c r="W335" s="143" t="s">
        <v>49</v>
      </c>
      <c r="X335" s="143">
        <v>11503</v>
      </c>
      <c r="Y335" s="143" t="s">
        <v>268</v>
      </c>
      <c r="Z335" s="143">
        <v>11503</v>
      </c>
      <c r="AA335" s="143"/>
      <c r="AB335" s="170"/>
      <c r="AC335" s="143"/>
      <c r="AD335" s="143"/>
      <c r="AE335" s="143"/>
      <c r="AF335" s="143"/>
      <c r="AG335" s="143" t="s">
        <v>562</v>
      </c>
      <c r="AH335" s="143"/>
      <c r="AI335" s="143"/>
      <c r="AJ335" s="143" t="s">
        <v>564</v>
      </c>
      <c r="AK335" s="143"/>
      <c r="AL335" s="143"/>
      <c r="AM335" s="143"/>
    </row>
    <row r="336" s="140" customFormat="1" ht="15" spans="1:43">
      <c r="A336" s="143">
        <v>334</v>
      </c>
      <c r="B336" s="144"/>
      <c r="C336" s="143" t="s">
        <v>193</v>
      </c>
      <c r="D336" s="143" t="s">
        <v>229</v>
      </c>
      <c r="E336" s="145"/>
      <c r="F336" s="143"/>
      <c r="G336" s="143"/>
      <c r="H336" s="152" t="s">
        <v>1219</v>
      </c>
      <c r="I336" s="143" t="s">
        <v>1220</v>
      </c>
      <c r="J336" s="143" t="s">
        <v>1221</v>
      </c>
      <c r="K336" s="143">
        <v>150</v>
      </c>
      <c r="L336" s="143">
        <v>250</v>
      </c>
      <c r="M336" s="143"/>
      <c r="N336" s="143"/>
      <c r="O336" s="143"/>
      <c r="P336" s="143"/>
      <c r="Q336" s="143"/>
      <c r="R336" s="143"/>
      <c r="S336" s="146"/>
      <c r="T336" s="146"/>
      <c r="U336" s="146"/>
      <c r="V336" s="147"/>
      <c r="W336" s="143" t="s">
        <v>49</v>
      </c>
      <c r="X336" s="143" t="s">
        <v>1222</v>
      </c>
      <c r="Y336" s="143" t="s">
        <v>567</v>
      </c>
      <c r="Z336" s="143" t="s">
        <v>1222</v>
      </c>
      <c r="AA336" s="143"/>
      <c r="AB336" s="170"/>
      <c r="AC336" s="143"/>
      <c r="AD336" s="143"/>
      <c r="AE336" s="143"/>
      <c r="AF336" s="143"/>
      <c r="AG336" s="143" t="s">
        <v>562</v>
      </c>
      <c r="AH336" s="143"/>
      <c r="AI336" s="143"/>
      <c r="AJ336" s="143" t="s">
        <v>564</v>
      </c>
      <c r="AK336" s="143"/>
      <c r="AL336" s="143"/>
      <c r="AM336" s="143"/>
    </row>
    <row r="337" s="140" customFormat="1" ht="15" spans="1:43">
      <c r="A337" s="143">
        <v>335</v>
      </c>
      <c r="B337" s="144"/>
      <c r="C337" s="143" t="s">
        <v>193</v>
      </c>
      <c r="D337" s="143" t="s">
        <v>229</v>
      </c>
      <c r="E337" s="145"/>
      <c r="F337" s="143"/>
      <c r="G337" s="143"/>
      <c r="H337" s="152" t="s">
        <v>1223</v>
      </c>
      <c r="I337" s="143" t="s">
        <v>1224</v>
      </c>
      <c r="J337" s="143" t="s">
        <v>1225</v>
      </c>
      <c r="K337" s="143">
        <v>160</v>
      </c>
      <c r="L337" s="143">
        <v>130</v>
      </c>
      <c r="M337" s="143"/>
      <c r="N337" s="143"/>
      <c r="O337" s="143"/>
      <c r="P337" s="143"/>
      <c r="Q337" s="143"/>
      <c r="R337" s="143"/>
      <c r="S337" s="146"/>
      <c r="T337" s="146"/>
      <c r="U337" s="146"/>
      <c r="V337" s="147"/>
      <c r="W337" s="143" t="s">
        <v>49</v>
      </c>
      <c r="X337" s="143" t="s">
        <v>1226</v>
      </c>
      <c r="Y337" s="143" t="s">
        <v>1227</v>
      </c>
      <c r="Z337" s="143" t="s">
        <v>1226</v>
      </c>
      <c r="AA337" s="143"/>
      <c r="AB337" s="170"/>
      <c r="AC337" s="143"/>
      <c r="AD337" s="143"/>
      <c r="AE337" s="143"/>
      <c r="AF337" s="143"/>
      <c r="AG337" s="143" t="s">
        <v>269</v>
      </c>
      <c r="AH337" s="143"/>
      <c r="AI337" s="143"/>
      <c r="AJ337" s="143" t="s">
        <v>270</v>
      </c>
      <c r="AK337" s="143"/>
      <c r="AL337" s="143"/>
      <c r="AM337" s="143"/>
      <c r="AN337" s="148"/>
    </row>
    <row r="338" s="140" customFormat="1" ht="15" spans="1:43">
      <c r="A338" s="143">
        <v>336</v>
      </c>
      <c r="B338" s="144"/>
      <c r="C338" s="143" t="s">
        <v>193</v>
      </c>
      <c r="D338" s="143" t="s">
        <v>229</v>
      </c>
      <c r="E338" s="145"/>
      <c r="F338" s="143"/>
      <c r="G338" s="143"/>
      <c r="H338" s="152" t="s">
        <v>1228</v>
      </c>
      <c r="I338" s="143" t="s">
        <v>1229</v>
      </c>
      <c r="J338" s="143" t="s">
        <v>1230</v>
      </c>
      <c r="K338" s="143">
        <v>165</v>
      </c>
      <c r="L338" s="143">
        <v>220</v>
      </c>
      <c r="M338" s="143"/>
      <c r="N338" s="143"/>
      <c r="O338" s="143"/>
      <c r="P338" s="143"/>
      <c r="Q338" s="143"/>
      <c r="R338" s="143"/>
      <c r="S338" s="146"/>
      <c r="T338" s="146"/>
      <c r="U338" s="146"/>
      <c r="V338" s="147"/>
      <c r="W338" s="143" t="s">
        <v>49</v>
      </c>
      <c r="X338" s="143" t="s">
        <v>1231</v>
      </c>
      <c r="Y338" s="143" t="s">
        <v>567</v>
      </c>
      <c r="Z338" s="143" t="s">
        <v>1231</v>
      </c>
      <c r="AA338" s="143"/>
      <c r="AB338" s="170"/>
      <c r="AC338" s="143"/>
      <c r="AD338" s="143"/>
      <c r="AE338" s="143"/>
      <c r="AF338" s="143"/>
      <c r="AG338" s="143" t="s">
        <v>562</v>
      </c>
      <c r="AH338" s="143"/>
      <c r="AI338" s="143"/>
      <c r="AJ338" s="143" t="s">
        <v>564</v>
      </c>
      <c r="AK338" s="143"/>
      <c r="AL338" s="143"/>
      <c r="AM338" s="143"/>
      <c r="AN338" s="148"/>
    </row>
    <row r="339" s="140" customFormat="1" ht="15" spans="1:43">
      <c r="A339" s="143">
        <v>337</v>
      </c>
      <c r="B339" s="144"/>
      <c r="C339" s="143" t="s">
        <v>193</v>
      </c>
      <c r="D339" s="143" t="s">
        <v>229</v>
      </c>
      <c r="E339" s="145"/>
      <c r="F339" s="143"/>
      <c r="G339" s="143"/>
      <c r="H339" s="152" t="s">
        <v>1232</v>
      </c>
      <c r="I339" s="143" t="s">
        <v>1233</v>
      </c>
      <c r="J339" s="143" t="s">
        <v>1234</v>
      </c>
      <c r="K339" s="143">
        <v>148</v>
      </c>
      <c r="L339" s="143">
        <v>175</v>
      </c>
      <c r="M339" s="143"/>
      <c r="N339" s="143"/>
      <c r="O339" s="143"/>
      <c r="P339" s="143"/>
      <c r="Q339" s="143"/>
      <c r="R339" s="143"/>
      <c r="S339" s="146"/>
      <c r="T339" s="146"/>
      <c r="U339" s="146"/>
      <c r="V339" s="147"/>
      <c r="W339" s="143" t="s">
        <v>49</v>
      </c>
      <c r="X339" s="143" t="s">
        <v>1235</v>
      </c>
      <c r="Y339" s="143" t="s">
        <v>1236</v>
      </c>
      <c r="Z339" s="143" t="s">
        <v>1235</v>
      </c>
      <c r="AA339" s="143"/>
      <c r="AB339" s="170"/>
      <c r="AC339" s="143"/>
      <c r="AD339" s="143"/>
      <c r="AE339" s="143"/>
      <c r="AF339" s="143"/>
      <c r="AG339" s="143" t="s">
        <v>249</v>
      </c>
      <c r="AH339" s="143"/>
      <c r="AI339" s="143"/>
      <c r="AJ339" s="143" t="s">
        <v>251</v>
      </c>
      <c r="AK339" s="143"/>
      <c r="AL339" s="143"/>
      <c r="AM339" s="143"/>
    </row>
    <row r="340" s="140" customFormat="1" ht="15" spans="1:43">
      <c r="A340" s="143">
        <v>338</v>
      </c>
      <c r="B340" s="144"/>
      <c r="C340" s="143" t="s">
        <v>193</v>
      </c>
      <c r="D340" s="143" t="s">
        <v>229</v>
      </c>
      <c r="E340" s="145"/>
      <c r="F340" s="143"/>
      <c r="G340" s="143"/>
      <c r="H340" s="152" t="s">
        <v>1237</v>
      </c>
      <c r="I340" s="143" t="s">
        <v>1238</v>
      </c>
      <c r="J340" s="143" t="s">
        <v>1239</v>
      </c>
      <c r="K340" s="143">
        <v>150</v>
      </c>
      <c r="L340" s="143"/>
      <c r="M340" s="143"/>
      <c r="N340" s="143"/>
      <c r="O340" s="143"/>
      <c r="P340" s="143"/>
      <c r="Q340" s="143"/>
      <c r="R340" s="143"/>
      <c r="S340" s="146"/>
      <c r="T340" s="146"/>
      <c r="U340" s="146"/>
      <c r="V340" s="147"/>
      <c r="W340" s="143" t="s">
        <v>49</v>
      </c>
      <c r="X340" s="143" t="s">
        <v>1240</v>
      </c>
      <c r="Y340" s="143" t="s">
        <v>1236</v>
      </c>
      <c r="Z340" s="143" t="s">
        <v>1240</v>
      </c>
      <c r="AA340" s="143"/>
      <c r="AB340" s="170"/>
      <c r="AC340" s="143"/>
      <c r="AD340" s="143"/>
      <c r="AE340" s="143"/>
      <c r="AF340" s="143"/>
      <c r="AG340" s="143" t="s">
        <v>249</v>
      </c>
      <c r="AH340" s="143"/>
      <c r="AI340" s="143"/>
      <c r="AJ340" s="143" t="s">
        <v>251</v>
      </c>
      <c r="AK340" s="143"/>
      <c r="AL340" s="143"/>
      <c r="AM340" s="143"/>
      <c r="AO340" s="148"/>
      <c r="AP340" s="148"/>
      <c r="AQ340" s="148"/>
    </row>
    <row r="341" s="140" customFormat="1" ht="15" spans="1:43">
      <c r="A341" s="143">
        <v>339</v>
      </c>
      <c r="B341" s="144"/>
      <c r="C341" s="143" t="s">
        <v>193</v>
      </c>
      <c r="D341" s="143" t="s">
        <v>229</v>
      </c>
      <c r="E341" s="145"/>
      <c r="F341" s="143"/>
      <c r="G341" s="143"/>
      <c r="H341" s="152" t="s">
        <v>1241</v>
      </c>
      <c r="I341" s="143" t="s">
        <v>1242</v>
      </c>
      <c r="J341" s="143" t="s">
        <v>1243</v>
      </c>
      <c r="K341" s="143">
        <v>150</v>
      </c>
      <c r="L341" s="143"/>
      <c r="M341" s="143"/>
      <c r="N341" s="143"/>
      <c r="O341" s="143"/>
      <c r="P341" s="143"/>
      <c r="Q341" s="143"/>
      <c r="R341" s="143"/>
      <c r="S341" s="146"/>
      <c r="T341" s="146"/>
      <c r="U341" s="146"/>
      <c r="V341" s="147"/>
      <c r="W341" s="143" t="s">
        <v>49</v>
      </c>
      <c r="X341" s="143">
        <v>2131</v>
      </c>
      <c r="Y341" s="143" t="s">
        <v>571</v>
      </c>
      <c r="Z341" s="143">
        <v>2131</v>
      </c>
      <c r="AA341" s="143"/>
      <c r="AB341" s="170"/>
      <c r="AC341" s="143"/>
      <c r="AD341" s="143"/>
      <c r="AE341" s="143"/>
      <c r="AF341" s="143"/>
      <c r="AG341" s="143" t="s">
        <v>312</v>
      </c>
      <c r="AH341" s="143"/>
      <c r="AI341" s="143"/>
      <c r="AJ341" s="143" t="s">
        <v>313</v>
      </c>
      <c r="AK341" s="143"/>
      <c r="AL341" s="143"/>
      <c r="AM341" s="143"/>
    </row>
    <row r="342" s="140" customFormat="1" ht="15" spans="1:43">
      <c r="A342" s="143">
        <v>340</v>
      </c>
      <c r="B342" s="144"/>
      <c r="C342" s="143" t="s">
        <v>193</v>
      </c>
      <c r="D342" s="143" t="s">
        <v>229</v>
      </c>
      <c r="E342" s="145"/>
      <c r="F342" s="143"/>
      <c r="G342" s="143"/>
      <c r="H342" s="152" t="s">
        <v>1244</v>
      </c>
      <c r="I342" s="143" t="s">
        <v>1245</v>
      </c>
      <c r="J342" s="143" t="s">
        <v>1246</v>
      </c>
      <c r="K342" s="143">
        <v>150</v>
      </c>
      <c r="L342" s="143"/>
      <c r="M342" s="143"/>
      <c r="N342" s="143"/>
      <c r="O342" s="143"/>
      <c r="P342" s="143"/>
      <c r="Q342" s="143"/>
      <c r="R342" s="143"/>
      <c r="S342" s="146"/>
      <c r="T342" s="146"/>
      <c r="U342" s="146"/>
      <c r="V342" s="147"/>
      <c r="W342" s="143" t="s">
        <v>49</v>
      </c>
      <c r="X342" s="143">
        <v>2497</v>
      </c>
      <c r="Y342" s="143" t="s">
        <v>571</v>
      </c>
      <c r="Z342" s="143">
        <v>2497</v>
      </c>
      <c r="AA342" s="143"/>
      <c r="AB342" s="170"/>
      <c r="AC342" s="143"/>
      <c r="AD342" s="143"/>
      <c r="AE342" s="143"/>
      <c r="AF342" s="143"/>
      <c r="AG342" s="143" t="s">
        <v>312</v>
      </c>
      <c r="AH342" s="143"/>
      <c r="AI342" s="143"/>
      <c r="AJ342" s="143" t="s">
        <v>313</v>
      </c>
      <c r="AK342" s="143"/>
      <c r="AL342" s="143"/>
      <c r="AM342" s="143"/>
    </row>
    <row r="343" s="140" customFormat="1" ht="15" spans="1:43">
      <c r="A343" s="143">
        <v>341</v>
      </c>
      <c r="B343" s="144">
        <v>45868</v>
      </c>
      <c r="C343" s="143" t="s">
        <v>193</v>
      </c>
      <c r="D343" s="143" t="s">
        <v>41</v>
      </c>
      <c r="E343" s="145"/>
      <c r="F343" s="143" t="s">
        <v>1247</v>
      </c>
      <c r="G343" s="143"/>
      <c r="H343" s="152" t="s">
        <v>1248</v>
      </c>
      <c r="I343" s="143" t="s">
        <v>1249</v>
      </c>
      <c r="J343" s="143" t="s">
        <v>1250</v>
      </c>
      <c r="K343" s="143">
        <v>150</v>
      </c>
      <c r="L343" s="143">
        <v>146</v>
      </c>
      <c r="M343" s="143"/>
      <c r="N343" s="143"/>
      <c r="O343" s="143"/>
      <c r="P343" s="143"/>
      <c r="Q343" s="143"/>
      <c r="R343" s="143"/>
      <c r="S343" s="146"/>
      <c r="T343" s="146"/>
      <c r="U343" s="146"/>
      <c r="V343" s="147"/>
      <c r="W343" s="143" t="s">
        <v>49</v>
      </c>
      <c r="X343" s="143" t="s">
        <v>1247</v>
      </c>
      <c r="Y343" s="143" t="s">
        <v>1251</v>
      </c>
      <c r="Z343" s="143" t="s">
        <v>1247</v>
      </c>
      <c r="AA343" s="143">
        <v>10.6</v>
      </c>
      <c r="AB343" s="170">
        <v>45868</v>
      </c>
      <c r="AC343" s="143"/>
      <c r="AD343" s="143"/>
      <c r="AE343" s="143"/>
      <c r="AF343" s="143"/>
      <c r="AG343" s="143" t="s">
        <v>249</v>
      </c>
      <c r="AH343" s="143"/>
      <c r="AI343" s="143"/>
      <c r="AJ343" s="143" t="s">
        <v>251</v>
      </c>
      <c r="AK343" s="143"/>
      <c r="AL343" s="143"/>
      <c r="AM343" s="143"/>
    </row>
    <row r="344" s="140" customFormat="1" ht="15" spans="1:43">
      <c r="A344" s="143">
        <v>342</v>
      </c>
      <c r="B344" s="144"/>
      <c r="C344" s="143" t="s">
        <v>193</v>
      </c>
      <c r="D344" s="143" t="s">
        <v>229</v>
      </c>
      <c r="E344" s="145"/>
      <c r="F344" s="143"/>
      <c r="G344" s="169" t="s">
        <v>1185</v>
      </c>
      <c r="H344" s="152" t="s">
        <v>1252</v>
      </c>
      <c r="I344" s="143" t="s">
        <v>1253</v>
      </c>
      <c r="J344" s="143" t="s">
        <v>1254</v>
      </c>
      <c r="K344" s="143">
        <v>145</v>
      </c>
      <c r="L344" s="143"/>
      <c r="M344" s="143"/>
      <c r="N344" s="143"/>
      <c r="O344" s="143"/>
      <c r="P344" s="143"/>
      <c r="Q344" s="143"/>
      <c r="R344" s="143"/>
      <c r="S344" s="146"/>
      <c r="T344" s="146"/>
      <c r="U344" s="146"/>
      <c r="V344" s="147"/>
      <c r="W344" s="143" t="s">
        <v>49</v>
      </c>
      <c r="X344" s="143" t="s">
        <v>1255</v>
      </c>
      <c r="Y344" s="143" t="s">
        <v>248</v>
      </c>
      <c r="Z344" s="143" t="s">
        <v>1255</v>
      </c>
      <c r="AA344" s="143">
        <v>28.8</v>
      </c>
      <c r="AB344" s="170">
        <v>46052</v>
      </c>
      <c r="AC344" s="143"/>
      <c r="AD344" s="143"/>
      <c r="AE344" s="143"/>
      <c r="AF344" s="143"/>
      <c r="AG344" s="143" t="s">
        <v>249</v>
      </c>
      <c r="AH344" s="143"/>
      <c r="AI344" s="143"/>
      <c r="AJ344" s="143" t="s">
        <v>251</v>
      </c>
      <c r="AK344" s="143"/>
      <c r="AL344" s="143"/>
      <c r="AM344" s="143"/>
    </row>
    <row r="345" s="140" customFormat="1" ht="15" spans="1:43">
      <c r="A345" s="143">
        <v>343</v>
      </c>
      <c r="B345" s="144"/>
      <c r="C345" s="143" t="s">
        <v>193</v>
      </c>
      <c r="D345" s="143" t="s">
        <v>557</v>
      </c>
      <c r="E345" s="145"/>
      <c r="F345" s="143"/>
      <c r="G345" s="143"/>
      <c r="H345" s="152" t="s">
        <v>1256</v>
      </c>
      <c r="I345" s="143" t="s">
        <v>1257</v>
      </c>
      <c r="J345" s="143" t="s">
        <v>1258</v>
      </c>
      <c r="K345" s="143">
        <v>138</v>
      </c>
      <c r="L345" s="143">
        <v>280</v>
      </c>
      <c r="M345" s="143"/>
      <c r="N345" s="143"/>
      <c r="O345" s="143"/>
      <c r="P345" s="143"/>
      <c r="Q345" s="143"/>
      <c r="R345" s="143"/>
      <c r="S345" s="146"/>
      <c r="T345" s="146"/>
      <c r="U345" s="146"/>
      <c r="V345" s="147"/>
      <c r="W345" s="143" t="s">
        <v>49</v>
      </c>
      <c r="X345" s="143" t="s">
        <v>1259</v>
      </c>
      <c r="Y345" s="143" t="s">
        <v>248</v>
      </c>
      <c r="Z345" s="143" t="s">
        <v>1259</v>
      </c>
      <c r="AA345" s="143">
        <v>32.5</v>
      </c>
      <c r="AB345" s="170">
        <v>45861</v>
      </c>
      <c r="AC345" s="143"/>
      <c r="AD345" s="143"/>
      <c r="AE345" s="143"/>
      <c r="AF345" s="143"/>
      <c r="AG345" s="143" t="s">
        <v>1071</v>
      </c>
      <c r="AH345" s="143" t="s">
        <v>563</v>
      </c>
      <c r="AI345" s="143"/>
      <c r="AJ345" s="143" t="s">
        <v>1076</v>
      </c>
      <c r="AK345" s="143"/>
      <c r="AL345" s="143"/>
      <c r="AM345" s="143"/>
    </row>
    <row r="346" s="140" customFormat="1" ht="15" spans="1:43">
      <c r="A346" s="143">
        <v>344</v>
      </c>
      <c r="B346" s="144"/>
      <c r="C346" s="143" t="s">
        <v>193</v>
      </c>
      <c r="D346" s="143" t="s">
        <v>229</v>
      </c>
      <c r="E346" s="145"/>
      <c r="F346" s="143"/>
      <c r="G346" s="143"/>
      <c r="H346" s="152" t="s">
        <v>1260</v>
      </c>
      <c r="I346" s="143" t="s">
        <v>1261</v>
      </c>
      <c r="J346" s="143" t="s">
        <v>1262</v>
      </c>
      <c r="K346" s="143">
        <v>148</v>
      </c>
      <c r="L346" s="143">
        <v>175</v>
      </c>
      <c r="M346" s="143"/>
      <c r="N346" s="143"/>
      <c r="O346" s="143"/>
      <c r="P346" s="143"/>
      <c r="Q346" s="143"/>
      <c r="R346" s="143"/>
      <c r="S346" s="146"/>
      <c r="T346" s="146"/>
      <c r="U346" s="146"/>
      <c r="V346" s="147"/>
      <c r="W346" s="143" t="s">
        <v>49</v>
      </c>
      <c r="X346" s="143" t="s">
        <v>1263</v>
      </c>
      <c r="Y346" s="143" t="s">
        <v>1251</v>
      </c>
      <c r="Z346" s="143" t="s">
        <v>1263</v>
      </c>
      <c r="AA346" s="143"/>
      <c r="AB346" s="170"/>
      <c r="AC346" s="143"/>
      <c r="AD346" s="143"/>
      <c r="AE346" s="143"/>
      <c r="AF346" s="143"/>
      <c r="AG346" s="143" t="s">
        <v>1071</v>
      </c>
      <c r="AH346" s="143"/>
      <c r="AI346" s="143"/>
      <c r="AJ346" s="143" t="s">
        <v>1072</v>
      </c>
      <c r="AK346" s="143"/>
      <c r="AL346" s="143"/>
      <c r="AM346" s="143"/>
    </row>
    <row r="347" s="140" customFormat="1" ht="15" spans="1:43">
      <c r="A347" s="143">
        <v>345</v>
      </c>
      <c r="B347" s="144"/>
      <c r="C347" s="143" t="s">
        <v>193</v>
      </c>
      <c r="D347" s="143" t="s">
        <v>229</v>
      </c>
      <c r="E347" s="145"/>
      <c r="F347" s="143"/>
      <c r="G347" s="143"/>
      <c r="H347" s="152" t="s">
        <v>1264</v>
      </c>
      <c r="I347" s="143" t="s">
        <v>1265</v>
      </c>
      <c r="J347" s="143" t="s">
        <v>1266</v>
      </c>
      <c r="K347" s="143">
        <v>150</v>
      </c>
      <c r="L347" s="143">
        <v>163</v>
      </c>
      <c r="M347" s="143"/>
      <c r="N347" s="143"/>
      <c r="O347" s="143"/>
      <c r="P347" s="143"/>
      <c r="Q347" s="143"/>
      <c r="R347" s="143"/>
      <c r="S347" s="146"/>
      <c r="T347" s="146"/>
      <c r="U347" s="146"/>
      <c r="V347" s="147"/>
      <c r="W347" s="143" t="s">
        <v>49</v>
      </c>
      <c r="X347" s="143" t="s">
        <v>1267</v>
      </c>
      <c r="Y347" s="143" t="s">
        <v>1251</v>
      </c>
      <c r="Z347" s="143" t="s">
        <v>1267</v>
      </c>
      <c r="AA347" s="143"/>
      <c r="AB347" s="170"/>
      <c r="AC347" s="143"/>
      <c r="AD347" s="143"/>
      <c r="AE347" s="143"/>
      <c r="AF347" s="143"/>
      <c r="AG347" s="143" t="s">
        <v>1071</v>
      </c>
      <c r="AH347" s="143"/>
      <c r="AI347" s="143"/>
      <c r="AJ347" s="143" t="s">
        <v>1072</v>
      </c>
      <c r="AK347" s="143"/>
      <c r="AL347" s="143"/>
      <c r="AM347" s="143"/>
    </row>
    <row r="348" s="140" customFormat="1" ht="15" spans="1:43">
      <c r="A348" s="143">
        <v>346</v>
      </c>
      <c r="B348" s="144"/>
      <c r="C348" s="143" t="s">
        <v>193</v>
      </c>
      <c r="D348" s="143" t="s">
        <v>229</v>
      </c>
      <c r="E348" s="145"/>
      <c r="F348" s="143"/>
      <c r="G348" s="143"/>
      <c r="H348" s="152" t="s">
        <v>1268</v>
      </c>
      <c r="I348" s="143" t="s">
        <v>1269</v>
      </c>
      <c r="J348" s="143" t="s">
        <v>1270</v>
      </c>
      <c r="K348" s="143">
        <v>150</v>
      </c>
      <c r="L348" s="143">
        <v>75</v>
      </c>
      <c r="M348" s="143"/>
      <c r="N348" s="143"/>
      <c r="O348" s="143"/>
      <c r="P348" s="143"/>
      <c r="Q348" s="143"/>
      <c r="R348" s="143"/>
      <c r="S348" s="146"/>
      <c r="T348" s="146"/>
      <c r="U348" s="146"/>
      <c r="V348" s="147"/>
      <c r="W348" s="143" t="s">
        <v>49</v>
      </c>
      <c r="X348" s="143" t="s">
        <v>1271</v>
      </c>
      <c r="Y348" s="143" t="s">
        <v>1251</v>
      </c>
      <c r="Z348" s="143" t="s">
        <v>1271</v>
      </c>
      <c r="AA348" s="143"/>
      <c r="AB348" s="170"/>
      <c r="AC348" s="143"/>
      <c r="AD348" s="143"/>
      <c r="AE348" s="143"/>
      <c r="AF348" s="143"/>
      <c r="AG348" s="143" t="s">
        <v>1071</v>
      </c>
      <c r="AH348" s="143"/>
      <c r="AI348" s="143"/>
      <c r="AJ348" s="143" t="s">
        <v>1076</v>
      </c>
      <c r="AK348" s="143"/>
      <c r="AL348" s="143"/>
      <c r="AM348" s="143"/>
      <c r="AN348" s="148"/>
    </row>
    <row r="349" s="140" customFormat="1" ht="15" spans="1:43">
      <c r="A349" s="143">
        <v>347</v>
      </c>
      <c r="B349" s="144"/>
      <c r="C349" s="143" t="s">
        <v>193</v>
      </c>
      <c r="D349" s="143" t="s">
        <v>229</v>
      </c>
      <c r="E349" s="145"/>
      <c r="F349" s="143"/>
      <c r="G349" s="143"/>
      <c r="H349" s="152" t="s">
        <v>1272</v>
      </c>
      <c r="I349" s="143" t="s">
        <v>1273</v>
      </c>
      <c r="J349" s="143" t="s">
        <v>1274</v>
      </c>
      <c r="K349" s="143">
        <v>145</v>
      </c>
      <c r="L349" s="143">
        <v>160</v>
      </c>
      <c r="M349" s="143"/>
      <c r="N349" s="143"/>
      <c r="O349" s="143"/>
      <c r="P349" s="143"/>
      <c r="Q349" s="143"/>
      <c r="R349" s="143"/>
      <c r="S349" s="146"/>
      <c r="T349" s="146"/>
      <c r="U349" s="146"/>
      <c r="V349" s="147"/>
      <c r="W349" s="143" t="s">
        <v>49</v>
      </c>
      <c r="X349" s="143" t="s">
        <v>1275</v>
      </c>
      <c r="Y349" s="143" t="s">
        <v>1251</v>
      </c>
      <c r="Z349" s="143" t="s">
        <v>1275</v>
      </c>
      <c r="AA349" s="143"/>
      <c r="AB349" s="170"/>
      <c r="AC349" s="143"/>
      <c r="AD349" s="143"/>
      <c r="AE349" s="143"/>
      <c r="AF349" s="143"/>
      <c r="AG349" s="143" t="s">
        <v>1071</v>
      </c>
      <c r="AH349" s="143"/>
      <c r="AI349" s="143"/>
      <c r="AJ349" s="143" t="s">
        <v>1076</v>
      </c>
      <c r="AK349" s="143"/>
      <c r="AL349" s="143"/>
      <c r="AM349" s="143"/>
      <c r="AN349" s="148"/>
    </row>
    <row r="350" s="140" customFormat="1" ht="15" spans="1:43">
      <c r="A350" s="143">
        <v>348</v>
      </c>
      <c r="B350" s="144"/>
      <c r="C350" s="143" t="s">
        <v>193</v>
      </c>
      <c r="D350" s="143" t="s">
        <v>229</v>
      </c>
      <c r="E350" s="145"/>
      <c r="F350" s="143"/>
      <c r="G350" s="143"/>
      <c r="H350" s="152" t="s">
        <v>1276</v>
      </c>
      <c r="I350" s="143" t="s">
        <v>1277</v>
      </c>
      <c r="J350" s="143" t="s">
        <v>1278</v>
      </c>
      <c r="K350" s="143">
        <v>150</v>
      </c>
      <c r="L350" s="143">
        <v>165</v>
      </c>
      <c r="M350" s="143"/>
      <c r="N350" s="143"/>
      <c r="O350" s="143"/>
      <c r="P350" s="143"/>
      <c r="Q350" s="143"/>
      <c r="R350" s="143"/>
      <c r="S350" s="146"/>
      <c r="T350" s="146"/>
      <c r="U350" s="146"/>
      <c r="V350" s="147"/>
      <c r="W350" s="143" t="s">
        <v>49</v>
      </c>
      <c r="X350" s="143" t="s">
        <v>1279</v>
      </c>
      <c r="Y350" s="143" t="s">
        <v>1251</v>
      </c>
      <c r="Z350" s="143" t="s">
        <v>1279</v>
      </c>
      <c r="AA350" s="143"/>
      <c r="AB350" s="170"/>
      <c r="AC350" s="143"/>
      <c r="AD350" s="143"/>
      <c r="AE350" s="143"/>
      <c r="AF350" s="143"/>
      <c r="AG350" s="143" t="s">
        <v>1071</v>
      </c>
      <c r="AH350" s="143"/>
      <c r="AI350" s="143"/>
      <c r="AJ350" s="143" t="s">
        <v>1072</v>
      </c>
      <c r="AK350" s="143"/>
      <c r="AL350" s="143"/>
      <c r="AM350" s="143"/>
    </row>
    <row r="351" s="140" customFormat="1" ht="15" spans="1:43">
      <c r="A351" s="143">
        <v>349</v>
      </c>
      <c r="B351" s="144"/>
      <c r="C351" s="143" t="s">
        <v>193</v>
      </c>
      <c r="D351" s="143" t="s">
        <v>229</v>
      </c>
      <c r="E351" s="145"/>
      <c r="F351" s="143"/>
      <c r="G351" s="143"/>
      <c r="H351" s="152" t="s">
        <v>1280</v>
      </c>
      <c r="I351" s="143" t="s">
        <v>1281</v>
      </c>
      <c r="J351" s="143" t="s">
        <v>1282</v>
      </c>
      <c r="K351" s="143">
        <v>150</v>
      </c>
      <c r="L351" s="143">
        <v>163</v>
      </c>
      <c r="M351" s="143"/>
      <c r="N351" s="143"/>
      <c r="O351" s="143"/>
      <c r="P351" s="143"/>
      <c r="Q351" s="143"/>
      <c r="R351" s="143"/>
      <c r="S351" s="146"/>
      <c r="T351" s="146"/>
      <c r="U351" s="146"/>
      <c r="V351" s="147"/>
      <c r="W351" s="143" t="s">
        <v>49</v>
      </c>
      <c r="X351" s="143" t="s">
        <v>1283</v>
      </c>
      <c r="Y351" s="143" t="s">
        <v>1251</v>
      </c>
      <c r="Z351" s="143" t="s">
        <v>1283</v>
      </c>
      <c r="AA351" s="143"/>
      <c r="AB351" s="170"/>
      <c r="AC351" s="143"/>
      <c r="AD351" s="143"/>
      <c r="AE351" s="143"/>
      <c r="AF351" s="143"/>
      <c r="AG351" s="143" t="s">
        <v>1071</v>
      </c>
      <c r="AH351" s="143"/>
      <c r="AI351" s="143"/>
      <c r="AJ351" s="143" t="s">
        <v>1072</v>
      </c>
      <c r="AK351" s="143"/>
      <c r="AL351" s="143"/>
      <c r="AM351" s="143"/>
    </row>
    <row r="352" s="140" customFormat="1" ht="15" spans="1:43">
      <c r="A352" s="143">
        <v>350</v>
      </c>
      <c r="B352" s="144"/>
      <c r="C352" s="143" t="s">
        <v>193</v>
      </c>
      <c r="D352" s="143" t="s">
        <v>229</v>
      </c>
      <c r="E352" s="145"/>
      <c r="F352" s="143"/>
      <c r="G352" s="143"/>
      <c r="H352" s="152" t="s">
        <v>1284</v>
      </c>
      <c r="I352" s="143" t="s">
        <v>1285</v>
      </c>
      <c r="J352" s="143" t="s">
        <v>1286</v>
      </c>
      <c r="K352" s="143">
        <v>185</v>
      </c>
      <c r="L352" s="143">
        <v>190</v>
      </c>
      <c r="M352" s="143"/>
      <c r="N352" s="143"/>
      <c r="O352" s="143"/>
      <c r="P352" s="143"/>
      <c r="Q352" s="143"/>
      <c r="R352" s="143"/>
      <c r="S352" s="146"/>
      <c r="T352" s="146"/>
      <c r="U352" s="146"/>
      <c r="V352" s="147"/>
      <c r="W352" s="143" t="s">
        <v>49</v>
      </c>
      <c r="X352" s="143" t="s">
        <v>1287</v>
      </c>
      <c r="Y352" s="143" t="s">
        <v>268</v>
      </c>
      <c r="Z352" s="143" t="s">
        <v>1287</v>
      </c>
      <c r="AA352" s="143"/>
      <c r="AB352" s="170"/>
      <c r="AC352" s="143"/>
      <c r="AD352" s="143"/>
      <c r="AE352" s="143"/>
      <c r="AF352" s="143"/>
      <c r="AG352" s="143" t="s">
        <v>269</v>
      </c>
      <c r="AH352" s="143"/>
      <c r="AI352" s="143"/>
      <c r="AJ352" s="143" t="s">
        <v>270</v>
      </c>
      <c r="AK352" s="143"/>
      <c r="AL352" s="143"/>
      <c r="AM352" s="143"/>
    </row>
    <row r="353" s="140" customFormat="1" ht="15" spans="1:43">
      <c r="A353" s="143">
        <v>351</v>
      </c>
      <c r="B353" s="144"/>
      <c r="C353" s="143" t="s">
        <v>193</v>
      </c>
      <c r="D353" s="143" t="s">
        <v>229</v>
      </c>
      <c r="E353" s="145"/>
      <c r="F353" s="143"/>
      <c r="G353" s="143"/>
      <c r="H353" s="152" t="s">
        <v>1288</v>
      </c>
      <c r="I353" s="143" t="s">
        <v>1289</v>
      </c>
      <c r="J353" s="143" t="s">
        <v>1290</v>
      </c>
      <c r="K353" s="143">
        <v>165</v>
      </c>
      <c r="L353" s="143">
        <v>130</v>
      </c>
      <c r="M353" s="143"/>
      <c r="N353" s="143"/>
      <c r="O353" s="143"/>
      <c r="P353" s="143"/>
      <c r="Q353" s="143"/>
      <c r="R353" s="143"/>
      <c r="S353" s="146"/>
      <c r="T353" s="146"/>
      <c r="U353" s="146"/>
      <c r="V353" s="147"/>
      <c r="W353" s="143" t="s">
        <v>49</v>
      </c>
      <c r="X353" s="143" t="s">
        <v>1291</v>
      </c>
      <c r="Y353" s="143" t="s">
        <v>268</v>
      </c>
      <c r="Z353" s="143" t="s">
        <v>1291</v>
      </c>
      <c r="AA353" s="143"/>
      <c r="AB353" s="170"/>
      <c r="AC353" s="143"/>
      <c r="AD353" s="143"/>
      <c r="AE353" s="143"/>
      <c r="AF353" s="143"/>
      <c r="AG353" s="143" t="s">
        <v>269</v>
      </c>
      <c r="AH353" s="143"/>
      <c r="AI353" s="143"/>
      <c r="AJ353" s="143" t="s">
        <v>270</v>
      </c>
      <c r="AK353" s="143"/>
      <c r="AL353" s="143"/>
      <c r="AM353" s="143"/>
    </row>
    <row r="354" s="140" customFormat="1" ht="15" spans="1:43">
      <c r="A354" s="143">
        <v>352</v>
      </c>
      <c r="B354" s="144"/>
      <c r="C354" s="143" t="s">
        <v>193</v>
      </c>
      <c r="D354" s="143" t="s">
        <v>557</v>
      </c>
      <c r="E354" s="145"/>
      <c r="F354" s="143"/>
      <c r="G354" s="143"/>
      <c r="H354" s="152" t="s">
        <v>1292</v>
      </c>
      <c r="I354" s="143" t="s">
        <v>1293</v>
      </c>
      <c r="J354" s="143" t="s">
        <v>1294</v>
      </c>
      <c r="K354" s="143">
        <v>150</v>
      </c>
      <c r="L354" s="143">
        <v>280</v>
      </c>
      <c r="M354" s="143"/>
      <c r="N354" s="143"/>
      <c r="O354" s="143"/>
      <c r="P354" s="143"/>
      <c r="Q354" s="143"/>
      <c r="R354" s="143"/>
      <c r="S354" s="146"/>
      <c r="T354" s="146"/>
      <c r="U354" s="146"/>
      <c r="V354" s="147"/>
      <c r="W354" s="143" t="s">
        <v>49</v>
      </c>
      <c r="X354" s="143">
        <v>352781</v>
      </c>
      <c r="Y354" s="143" t="s">
        <v>268</v>
      </c>
      <c r="Z354" s="143">
        <v>352781</v>
      </c>
      <c r="AA354" s="143"/>
      <c r="AB354" s="170"/>
      <c r="AC354" s="143"/>
      <c r="AD354" s="143"/>
      <c r="AE354" s="143"/>
      <c r="AF354" s="143"/>
      <c r="AG354" s="143" t="s">
        <v>269</v>
      </c>
      <c r="AH354" s="143" t="s">
        <v>1161</v>
      </c>
      <c r="AI354" s="143"/>
      <c r="AJ354" s="143" t="s">
        <v>270</v>
      </c>
      <c r="AK354" s="143"/>
      <c r="AL354" s="143"/>
      <c r="AM354" s="143"/>
      <c r="AN354" s="148"/>
      <c r="AO354" s="148"/>
      <c r="AP354" s="148"/>
      <c r="AQ354" s="148"/>
    </row>
    <row r="355" s="140" customFormat="1" ht="15" spans="1:43">
      <c r="A355" s="143">
        <v>353</v>
      </c>
      <c r="B355" s="144"/>
      <c r="C355" s="143" t="s">
        <v>193</v>
      </c>
      <c r="D355" s="143" t="s">
        <v>557</v>
      </c>
      <c r="E355" s="145"/>
      <c r="F355" s="143"/>
      <c r="G355" s="143"/>
      <c r="H355" s="152" t="s">
        <v>1295</v>
      </c>
      <c r="I355" s="143" t="s">
        <v>1296</v>
      </c>
      <c r="J355" s="143" t="s">
        <v>1297</v>
      </c>
      <c r="K355" s="143">
        <v>175</v>
      </c>
      <c r="L355" s="143">
        <v>270</v>
      </c>
      <c r="M355" s="143"/>
      <c r="N355" s="143"/>
      <c r="O355" s="143"/>
      <c r="P355" s="143"/>
      <c r="Q355" s="143"/>
      <c r="R355" s="143"/>
      <c r="S355" s="146"/>
      <c r="T355" s="146"/>
      <c r="U355" s="146"/>
      <c r="V355" s="147"/>
      <c r="W355" s="143" t="s">
        <v>49</v>
      </c>
      <c r="X355" s="143" t="s">
        <v>1298</v>
      </c>
      <c r="Y355" s="143" t="s">
        <v>1299</v>
      </c>
      <c r="Z355" s="143" t="s">
        <v>1298</v>
      </c>
      <c r="AA355" s="143"/>
      <c r="AB355" s="170"/>
      <c r="AC355" s="143"/>
      <c r="AD355" s="143"/>
      <c r="AE355" s="143"/>
      <c r="AF355" s="143"/>
      <c r="AG355" s="143" t="s">
        <v>269</v>
      </c>
      <c r="AH355" s="143" t="s">
        <v>1161</v>
      </c>
      <c r="AI355" s="143"/>
      <c r="AJ355" s="143" t="s">
        <v>270</v>
      </c>
      <c r="AK355" s="143"/>
      <c r="AL355" s="143"/>
      <c r="AM355" s="143"/>
      <c r="AN355" s="148"/>
    </row>
    <row r="356" s="140" customFormat="1" ht="15" spans="1:43">
      <c r="A356" s="143">
        <v>354</v>
      </c>
      <c r="B356" s="144"/>
      <c r="C356" s="143" t="s">
        <v>193</v>
      </c>
      <c r="D356" s="143" t="s">
        <v>229</v>
      </c>
      <c r="E356" s="145"/>
      <c r="F356" s="143"/>
      <c r="G356" s="143"/>
      <c r="H356" s="152" t="s">
        <v>1300</v>
      </c>
      <c r="I356" s="143" t="s">
        <v>1301</v>
      </c>
      <c r="J356" s="143" t="s">
        <v>1302</v>
      </c>
      <c r="K356" s="143" t="s">
        <v>1303</v>
      </c>
      <c r="L356" s="143"/>
      <c r="M356" s="143"/>
      <c r="N356" s="143"/>
      <c r="O356" s="143"/>
      <c r="P356" s="143"/>
      <c r="Q356" s="143"/>
      <c r="R356" s="143"/>
      <c r="S356" s="146"/>
      <c r="T356" s="146"/>
      <c r="U356" s="146"/>
      <c r="V356" s="147"/>
      <c r="W356" s="143" t="s">
        <v>49</v>
      </c>
      <c r="X356" s="143" t="s">
        <v>1304</v>
      </c>
      <c r="Y356" s="143" t="s">
        <v>616</v>
      </c>
      <c r="Z356" s="143" t="s">
        <v>1304</v>
      </c>
      <c r="AA356" s="143"/>
      <c r="AB356" s="170"/>
      <c r="AC356" s="143"/>
      <c r="AD356" s="143"/>
      <c r="AE356" s="143"/>
      <c r="AF356" s="143"/>
      <c r="AG356" s="143" t="s">
        <v>1022</v>
      </c>
      <c r="AH356" s="143"/>
      <c r="AI356" s="143"/>
      <c r="AJ356" s="143" t="s">
        <v>1023</v>
      </c>
      <c r="AK356" s="143"/>
      <c r="AL356" s="143"/>
      <c r="AM356" s="143"/>
      <c r="AN356" s="148"/>
    </row>
    <row r="357" s="140" customFormat="1" ht="15" spans="1:43">
      <c r="A357" s="143">
        <v>355</v>
      </c>
      <c r="B357" s="144"/>
      <c r="C357" s="143" t="s">
        <v>193</v>
      </c>
      <c r="D357" s="143" t="s">
        <v>229</v>
      </c>
      <c r="E357" s="145"/>
      <c r="F357" s="143"/>
      <c r="G357" s="143"/>
      <c r="H357" s="152" t="s">
        <v>1305</v>
      </c>
      <c r="I357" s="143" t="s">
        <v>1306</v>
      </c>
      <c r="J357" s="143" t="s">
        <v>1307</v>
      </c>
      <c r="K357" s="143" t="s">
        <v>1303</v>
      </c>
      <c r="L357" s="143"/>
      <c r="M357" s="143"/>
      <c r="N357" s="143"/>
      <c r="O357" s="143"/>
      <c r="P357" s="143"/>
      <c r="Q357" s="143"/>
      <c r="R357" s="143"/>
      <c r="S357" s="146"/>
      <c r="T357" s="146"/>
      <c r="U357" s="146"/>
      <c r="V357" s="147"/>
      <c r="W357" s="143" t="s">
        <v>49</v>
      </c>
      <c r="X357" s="143" t="s">
        <v>1308</v>
      </c>
      <c r="Y357" s="143" t="s">
        <v>616</v>
      </c>
      <c r="Z357" s="143" t="s">
        <v>1308</v>
      </c>
      <c r="AA357" s="143"/>
      <c r="AB357" s="170"/>
      <c r="AC357" s="143"/>
      <c r="AD357" s="143"/>
      <c r="AE357" s="143"/>
      <c r="AF357" s="143"/>
      <c r="AG357" s="143" t="s">
        <v>1022</v>
      </c>
      <c r="AH357" s="143"/>
      <c r="AI357" s="143"/>
      <c r="AJ357" s="143" t="s">
        <v>1023</v>
      </c>
      <c r="AK357" s="143"/>
      <c r="AL357" s="143"/>
      <c r="AM357" s="143"/>
    </row>
    <row r="358" s="140" customFormat="1" ht="15" spans="1:43">
      <c r="A358" s="143">
        <v>356</v>
      </c>
      <c r="B358" s="144"/>
      <c r="C358" s="143" t="s">
        <v>193</v>
      </c>
      <c r="D358" s="143" t="s">
        <v>229</v>
      </c>
      <c r="E358" s="145"/>
      <c r="F358" s="143"/>
      <c r="G358" s="143"/>
      <c r="H358" s="152" t="s">
        <v>1309</v>
      </c>
      <c r="I358" s="143" t="s">
        <v>1310</v>
      </c>
      <c r="J358" s="143" t="s">
        <v>1311</v>
      </c>
      <c r="K358" s="143" t="s">
        <v>1303</v>
      </c>
      <c r="L358" s="143"/>
      <c r="M358" s="143"/>
      <c r="N358" s="143"/>
      <c r="O358" s="143"/>
      <c r="P358" s="143"/>
      <c r="Q358" s="143"/>
      <c r="R358" s="143"/>
      <c r="S358" s="146"/>
      <c r="T358" s="146"/>
      <c r="U358" s="146"/>
      <c r="V358" s="147"/>
      <c r="W358" s="143" t="s">
        <v>49</v>
      </c>
      <c r="X358" s="143" t="s">
        <v>1312</v>
      </c>
      <c r="Y358" s="143" t="s">
        <v>616</v>
      </c>
      <c r="Z358" s="143" t="s">
        <v>1312</v>
      </c>
      <c r="AA358" s="143"/>
      <c r="AB358" s="170"/>
      <c r="AC358" s="143"/>
      <c r="AD358" s="143"/>
      <c r="AE358" s="143"/>
      <c r="AF358" s="143"/>
      <c r="AG358" s="143" t="s">
        <v>1022</v>
      </c>
      <c r="AH358" s="143"/>
      <c r="AI358" s="143"/>
      <c r="AJ358" s="143" t="s">
        <v>1023</v>
      </c>
      <c r="AK358" s="143"/>
      <c r="AL358" s="143"/>
      <c r="AM358" s="143"/>
    </row>
    <row r="359" s="140" customFormat="1" ht="15" spans="1:43">
      <c r="A359" s="143">
        <v>357</v>
      </c>
      <c r="B359" s="144"/>
      <c r="C359" s="143" t="s">
        <v>193</v>
      </c>
      <c r="D359" s="143" t="s">
        <v>229</v>
      </c>
      <c r="E359" s="145"/>
      <c r="F359" s="143"/>
      <c r="G359" s="143"/>
      <c r="H359" s="152" t="s">
        <v>1313</v>
      </c>
      <c r="I359" s="143" t="s">
        <v>1314</v>
      </c>
      <c r="J359" s="143" t="s">
        <v>880</v>
      </c>
      <c r="K359" s="143" t="s">
        <v>1303</v>
      </c>
      <c r="L359" s="143"/>
      <c r="M359" s="143"/>
      <c r="N359" s="143"/>
      <c r="O359" s="143"/>
      <c r="P359" s="143"/>
      <c r="Q359" s="143"/>
      <c r="R359" s="143"/>
      <c r="S359" s="146"/>
      <c r="T359" s="146"/>
      <c r="U359" s="146"/>
      <c r="V359" s="147"/>
      <c r="W359" s="143" t="s">
        <v>49</v>
      </c>
      <c r="X359" s="143" t="s">
        <v>1315</v>
      </c>
      <c r="Y359" s="143" t="s">
        <v>616</v>
      </c>
      <c r="Z359" s="143" t="s">
        <v>1315</v>
      </c>
      <c r="AA359" s="143"/>
      <c r="AB359" s="170"/>
      <c r="AC359" s="143"/>
      <c r="AD359" s="143"/>
      <c r="AE359" s="143"/>
      <c r="AF359" s="143"/>
      <c r="AG359" s="143" t="s">
        <v>1022</v>
      </c>
      <c r="AH359" s="143"/>
      <c r="AI359" s="143"/>
      <c r="AJ359" s="143" t="s">
        <v>1023</v>
      </c>
      <c r="AK359" s="143"/>
      <c r="AL359" s="143"/>
      <c r="AM359" s="143"/>
    </row>
    <row r="360" s="140" customFormat="1" ht="15" spans="1:43">
      <c r="A360" s="143">
        <v>358</v>
      </c>
      <c r="B360" s="144"/>
      <c r="C360" s="143" t="s">
        <v>193</v>
      </c>
      <c r="D360" s="143" t="s">
        <v>229</v>
      </c>
      <c r="E360" s="145"/>
      <c r="F360" s="143"/>
      <c r="G360" s="143"/>
      <c r="H360" s="152" t="s">
        <v>1316</v>
      </c>
      <c r="I360" s="143" t="s">
        <v>1317</v>
      </c>
      <c r="J360" s="143" t="s">
        <v>1318</v>
      </c>
      <c r="K360" s="143">
        <v>145</v>
      </c>
      <c r="L360" s="143"/>
      <c r="M360" s="143"/>
      <c r="N360" s="143"/>
      <c r="O360" s="143"/>
      <c r="P360" s="143"/>
      <c r="Q360" s="143"/>
      <c r="R360" s="143"/>
      <c r="S360" s="146"/>
      <c r="T360" s="146"/>
      <c r="U360" s="146"/>
      <c r="V360" s="147"/>
      <c r="W360" s="143" t="s">
        <v>49</v>
      </c>
      <c r="X360" s="143" t="s">
        <v>1319</v>
      </c>
      <c r="Y360" s="143" t="s">
        <v>1320</v>
      </c>
      <c r="Z360" s="143" t="s">
        <v>1319</v>
      </c>
      <c r="AA360" s="143">
        <v>43.2</v>
      </c>
      <c r="AB360" s="170">
        <v>46051</v>
      </c>
      <c r="AC360" s="143"/>
      <c r="AD360" s="143"/>
      <c r="AE360" s="143"/>
      <c r="AF360" s="143"/>
      <c r="AG360" s="143" t="s">
        <v>1022</v>
      </c>
      <c r="AH360" s="143"/>
      <c r="AI360" s="143"/>
      <c r="AJ360" s="143" t="s">
        <v>1023</v>
      </c>
      <c r="AK360" s="143"/>
      <c r="AL360" s="143"/>
      <c r="AM360" s="143"/>
      <c r="AN360" s="148"/>
    </row>
    <row r="361" s="140" customFormat="1" ht="15" spans="1:43">
      <c r="A361" s="143">
        <v>359</v>
      </c>
      <c r="B361" s="144"/>
      <c r="C361" s="143" t="s">
        <v>193</v>
      </c>
      <c r="D361" s="143" t="s">
        <v>229</v>
      </c>
      <c r="E361" s="145"/>
      <c r="F361" s="143"/>
      <c r="G361" s="143"/>
      <c r="H361" s="152" t="s">
        <v>1321</v>
      </c>
      <c r="I361" s="143" t="s">
        <v>1322</v>
      </c>
      <c r="J361" s="143" t="s">
        <v>1323</v>
      </c>
      <c r="K361" s="143">
        <v>150</v>
      </c>
      <c r="L361" s="143"/>
      <c r="M361" s="143"/>
      <c r="N361" s="143"/>
      <c r="O361" s="143"/>
      <c r="P361" s="143"/>
      <c r="Q361" s="143"/>
      <c r="R361" s="143"/>
      <c r="S361" s="146"/>
      <c r="T361" s="146"/>
      <c r="U361" s="146"/>
      <c r="V361" s="147"/>
      <c r="W361" s="143" t="s">
        <v>49</v>
      </c>
      <c r="X361" s="143" t="s">
        <v>1324</v>
      </c>
      <c r="Y361" s="143" t="s">
        <v>1320</v>
      </c>
      <c r="Z361" s="143" t="s">
        <v>1324</v>
      </c>
      <c r="AA361" s="143"/>
      <c r="AB361" s="170"/>
      <c r="AC361" s="143"/>
      <c r="AD361" s="143"/>
      <c r="AE361" s="143"/>
      <c r="AF361" s="143"/>
      <c r="AG361" s="143" t="s">
        <v>312</v>
      </c>
      <c r="AH361" s="143"/>
      <c r="AI361" s="143"/>
      <c r="AJ361" s="143" t="s">
        <v>313</v>
      </c>
      <c r="AK361" s="143"/>
      <c r="AL361" s="143"/>
      <c r="AM361" s="143"/>
    </row>
    <row r="362" s="140" customFormat="1" ht="15" spans="1:43">
      <c r="A362" s="143">
        <v>360</v>
      </c>
      <c r="B362" s="144"/>
      <c r="C362" s="143" t="s">
        <v>193</v>
      </c>
      <c r="D362" s="143" t="s">
        <v>229</v>
      </c>
      <c r="E362" s="145"/>
      <c r="F362" s="143"/>
      <c r="G362" s="143"/>
      <c r="H362" s="152" t="s">
        <v>1325</v>
      </c>
      <c r="I362" s="143" t="s">
        <v>1326</v>
      </c>
      <c r="J362" s="143" t="s">
        <v>1327</v>
      </c>
      <c r="K362" s="143">
        <v>130</v>
      </c>
      <c r="L362" s="143">
        <v>125</v>
      </c>
      <c r="M362" s="143"/>
      <c r="N362" s="143"/>
      <c r="O362" s="143"/>
      <c r="P362" s="143"/>
      <c r="Q362" s="143"/>
      <c r="R362" s="143"/>
      <c r="S362" s="146"/>
      <c r="T362" s="146"/>
      <c r="U362" s="146"/>
      <c r="V362" s="147"/>
      <c r="W362" s="143" t="s">
        <v>49</v>
      </c>
      <c r="X362" s="143" t="s">
        <v>1328</v>
      </c>
      <c r="Y362" s="143" t="s">
        <v>539</v>
      </c>
      <c r="Z362" s="143" t="s">
        <v>1328</v>
      </c>
      <c r="AA362" s="143"/>
      <c r="AB362" s="170"/>
      <c r="AC362" s="143"/>
      <c r="AD362" s="143"/>
      <c r="AE362" s="143"/>
      <c r="AF362" s="143"/>
      <c r="AG362" s="143" t="s">
        <v>274</v>
      </c>
      <c r="AH362" s="143"/>
      <c r="AI362" s="143"/>
      <c r="AJ362" s="143" t="s">
        <v>275</v>
      </c>
      <c r="AK362" s="143"/>
      <c r="AL362" s="143"/>
      <c r="AM362" s="143"/>
    </row>
    <row r="363" s="140" customFormat="1" ht="15" spans="1:43">
      <c r="A363" s="143">
        <v>361</v>
      </c>
      <c r="B363" s="144"/>
      <c r="C363" s="143" t="s">
        <v>193</v>
      </c>
      <c r="D363" s="143" t="s">
        <v>229</v>
      </c>
      <c r="E363" s="145"/>
      <c r="F363" s="143"/>
      <c r="G363" s="143"/>
      <c r="H363" s="152" t="s">
        <v>1329</v>
      </c>
      <c r="I363" s="143" t="s">
        <v>1330</v>
      </c>
      <c r="J363" s="143" t="s">
        <v>1331</v>
      </c>
      <c r="K363" s="143">
        <v>140</v>
      </c>
      <c r="L363" s="143">
        <v>230</v>
      </c>
      <c r="M363" s="143"/>
      <c r="N363" s="143"/>
      <c r="O363" s="143"/>
      <c r="P363" s="143"/>
      <c r="Q363" s="143"/>
      <c r="R363" s="143"/>
      <c r="S363" s="146"/>
      <c r="T363" s="146"/>
      <c r="U363" s="146"/>
      <c r="V363" s="147"/>
      <c r="W363" s="143" t="s">
        <v>49</v>
      </c>
      <c r="X363" s="143">
        <v>7889</v>
      </c>
      <c r="Y363" s="143" t="s">
        <v>1332</v>
      </c>
      <c r="Z363" s="143">
        <v>7889</v>
      </c>
      <c r="AA363" s="143"/>
      <c r="AB363" s="170"/>
      <c r="AC363" s="143"/>
      <c r="AD363" s="143"/>
      <c r="AE363" s="143"/>
      <c r="AF363" s="143"/>
      <c r="AG363" s="143" t="s">
        <v>274</v>
      </c>
      <c r="AH363" s="143"/>
      <c r="AI363" s="143"/>
      <c r="AJ363" s="143" t="s">
        <v>275</v>
      </c>
      <c r="AK363" s="143"/>
      <c r="AL363" s="143"/>
      <c r="AM363" s="143"/>
    </row>
    <row r="364" s="140" customFormat="1" ht="15" spans="1:43">
      <c r="A364" s="143">
        <v>362</v>
      </c>
      <c r="B364" s="144"/>
      <c r="C364" s="143" t="s">
        <v>193</v>
      </c>
      <c r="D364" s="143" t="s">
        <v>229</v>
      </c>
      <c r="E364" s="145"/>
      <c r="F364" s="143"/>
      <c r="G364" s="143"/>
      <c r="H364" s="152" t="s">
        <v>1333</v>
      </c>
      <c r="I364" s="143" t="s">
        <v>1334</v>
      </c>
      <c r="J364" s="143" t="s">
        <v>1335</v>
      </c>
      <c r="K364" s="143">
        <v>143</v>
      </c>
      <c r="L364" s="143">
        <v>280</v>
      </c>
      <c r="M364" s="143"/>
      <c r="N364" s="143"/>
      <c r="O364" s="143"/>
      <c r="P364" s="143"/>
      <c r="Q364" s="143"/>
      <c r="R364" s="143"/>
      <c r="S364" s="146"/>
      <c r="T364" s="146"/>
      <c r="U364" s="146"/>
      <c r="V364" s="147"/>
      <c r="W364" s="143" t="s">
        <v>49</v>
      </c>
      <c r="X364" s="143">
        <v>9142</v>
      </c>
      <c r="Y364" s="143" t="s">
        <v>1332</v>
      </c>
      <c r="Z364" s="143">
        <v>9142</v>
      </c>
      <c r="AA364" s="143"/>
      <c r="AB364" s="170"/>
      <c r="AC364" s="143"/>
      <c r="AD364" s="143"/>
      <c r="AE364" s="143"/>
      <c r="AF364" s="143"/>
      <c r="AG364" s="143" t="s">
        <v>269</v>
      </c>
      <c r="AH364" s="143"/>
      <c r="AI364" s="143"/>
      <c r="AJ364" s="143" t="s">
        <v>270</v>
      </c>
      <c r="AK364" s="143"/>
      <c r="AL364" s="143"/>
      <c r="AM364" s="143"/>
    </row>
    <row r="365" s="140" customFormat="1" ht="15" spans="1:43">
      <c r="A365" s="143">
        <v>363</v>
      </c>
      <c r="B365" s="144"/>
      <c r="C365" s="143" t="s">
        <v>193</v>
      </c>
      <c r="D365" s="143" t="s">
        <v>557</v>
      </c>
      <c r="E365" s="145"/>
      <c r="F365" s="143"/>
      <c r="G365" s="143"/>
      <c r="H365" s="152" t="s">
        <v>1336</v>
      </c>
      <c r="I365" s="143" t="s">
        <v>1337</v>
      </c>
      <c r="J365" s="143" t="s">
        <v>1338</v>
      </c>
      <c r="K365" s="143">
        <v>160</v>
      </c>
      <c r="L365" s="143">
        <v>180</v>
      </c>
      <c r="M365" s="143"/>
      <c r="N365" s="143"/>
      <c r="O365" s="143"/>
      <c r="P365" s="143"/>
      <c r="Q365" s="143"/>
      <c r="R365" s="143"/>
      <c r="S365" s="146"/>
      <c r="T365" s="146"/>
      <c r="U365" s="146"/>
      <c r="V365" s="147"/>
      <c r="W365" s="143" t="s">
        <v>49</v>
      </c>
      <c r="X365" s="143">
        <v>21023</v>
      </c>
      <c r="Y365" s="143" t="s">
        <v>1332</v>
      </c>
      <c r="Z365" s="143">
        <v>21023</v>
      </c>
      <c r="AA365" s="143"/>
      <c r="AB365" s="170"/>
      <c r="AC365" s="143"/>
      <c r="AD365" s="143"/>
      <c r="AE365" s="143"/>
      <c r="AF365" s="143"/>
      <c r="AG365" s="143" t="s">
        <v>562</v>
      </c>
      <c r="AH365" s="143" t="s">
        <v>1161</v>
      </c>
      <c r="AI365" s="143"/>
      <c r="AJ365" s="143" t="s">
        <v>564</v>
      </c>
      <c r="AK365" s="143"/>
      <c r="AL365" s="143"/>
      <c r="AM365" s="143"/>
    </row>
    <row r="366" s="140" customFormat="1" ht="15" spans="1:43">
      <c r="A366" s="143">
        <v>364</v>
      </c>
      <c r="B366" s="144"/>
      <c r="C366" s="143" t="s">
        <v>193</v>
      </c>
      <c r="D366" s="143" t="s">
        <v>229</v>
      </c>
      <c r="E366" s="145"/>
      <c r="F366" s="143"/>
      <c r="G366" s="143"/>
      <c r="H366" s="152" t="s">
        <v>1339</v>
      </c>
      <c r="I366" s="143" t="s">
        <v>1340</v>
      </c>
      <c r="J366" s="143" t="s">
        <v>1341</v>
      </c>
      <c r="K366" s="143">
        <v>155</v>
      </c>
      <c r="L366" s="143">
        <v>290</v>
      </c>
      <c r="M366" s="143"/>
      <c r="N366" s="143"/>
      <c r="O366" s="143"/>
      <c r="P366" s="143"/>
      <c r="Q366" s="143"/>
      <c r="R366" s="143"/>
      <c r="S366" s="146"/>
      <c r="T366" s="146"/>
      <c r="U366" s="146"/>
      <c r="V366" s="147"/>
      <c r="W366" s="143" t="s">
        <v>49</v>
      </c>
      <c r="X366" s="143">
        <v>9143</v>
      </c>
      <c r="Y366" s="143" t="s">
        <v>1332</v>
      </c>
      <c r="Z366" s="143">
        <v>9143</v>
      </c>
      <c r="AA366" s="143"/>
      <c r="AB366" s="170"/>
      <c r="AC366" s="143"/>
      <c r="AD366" s="143"/>
      <c r="AE366" s="143"/>
      <c r="AF366" s="143"/>
      <c r="AG366" s="143" t="s">
        <v>269</v>
      </c>
      <c r="AH366" s="143"/>
      <c r="AI366" s="143"/>
      <c r="AJ366" s="143" t="s">
        <v>270</v>
      </c>
      <c r="AK366" s="143"/>
      <c r="AL366" s="143"/>
      <c r="AM366" s="143"/>
    </row>
    <row r="367" s="140" customFormat="1" ht="15" spans="1:43">
      <c r="A367" s="143">
        <v>365</v>
      </c>
      <c r="B367" s="144"/>
      <c r="C367" s="143" t="s">
        <v>193</v>
      </c>
      <c r="D367" s="143" t="s">
        <v>229</v>
      </c>
      <c r="E367" s="145"/>
      <c r="F367" s="143"/>
      <c r="G367" s="143"/>
      <c r="H367" s="152" t="s">
        <v>1342</v>
      </c>
      <c r="I367" s="143" t="s">
        <v>1343</v>
      </c>
      <c r="J367" s="143" t="s">
        <v>1344</v>
      </c>
      <c r="K367" s="143">
        <v>160</v>
      </c>
      <c r="L367" s="143">
        <v>250</v>
      </c>
      <c r="M367" s="143"/>
      <c r="N367" s="143"/>
      <c r="O367" s="143"/>
      <c r="P367" s="143"/>
      <c r="Q367" s="143"/>
      <c r="R367" s="143"/>
      <c r="S367" s="146"/>
      <c r="T367" s="146"/>
      <c r="U367" s="146"/>
      <c r="V367" s="147"/>
      <c r="W367" s="143" t="s">
        <v>49</v>
      </c>
      <c r="X367" s="143">
        <v>88495</v>
      </c>
      <c r="Y367" s="143" t="s">
        <v>273</v>
      </c>
      <c r="Z367" s="143">
        <v>88495</v>
      </c>
      <c r="AA367" s="143"/>
      <c r="AB367" s="170"/>
      <c r="AC367" s="143"/>
      <c r="AD367" s="143"/>
      <c r="AE367" s="143"/>
      <c r="AF367" s="143"/>
      <c r="AG367" s="143" t="s">
        <v>274</v>
      </c>
      <c r="AH367" s="143"/>
      <c r="AI367" s="143"/>
      <c r="AJ367" s="143" t="s">
        <v>275</v>
      </c>
      <c r="AK367" s="143"/>
      <c r="AL367" s="143"/>
      <c r="AM367" s="143"/>
    </row>
    <row r="368" s="140" customFormat="1" ht="15" spans="1:43">
      <c r="A368" s="143">
        <v>366</v>
      </c>
      <c r="B368" s="144"/>
      <c r="C368" s="143" t="s">
        <v>193</v>
      </c>
      <c r="D368" s="143" t="s">
        <v>557</v>
      </c>
      <c r="E368" s="145"/>
      <c r="F368" s="143"/>
      <c r="G368" s="143"/>
      <c r="H368" s="152" t="s">
        <v>1345</v>
      </c>
      <c r="I368" s="143" t="s">
        <v>1346</v>
      </c>
      <c r="J368" s="143" t="s">
        <v>1347</v>
      </c>
      <c r="K368" s="143">
        <v>145</v>
      </c>
      <c r="L368" s="143">
        <v>200</v>
      </c>
      <c r="M368" s="143"/>
      <c r="N368" s="143"/>
      <c r="O368" s="143"/>
      <c r="P368" s="143"/>
      <c r="Q368" s="143"/>
      <c r="R368" s="143"/>
      <c r="S368" s="146"/>
      <c r="T368" s="146"/>
      <c r="U368" s="146"/>
      <c r="V368" s="147"/>
      <c r="W368" s="143" t="s">
        <v>49</v>
      </c>
      <c r="X368" s="143" t="s">
        <v>1348</v>
      </c>
      <c r="Y368" s="143" t="s">
        <v>311</v>
      </c>
      <c r="Z368" s="143" t="s">
        <v>1348</v>
      </c>
      <c r="AA368" s="143">
        <v>19</v>
      </c>
      <c r="AB368" s="170">
        <v>45862</v>
      </c>
      <c r="AC368" s="143"/>
      <c r="AD368" s="143"/>
      <c r="AE368" s="143"/>
      <c r="AF368" s="143"/>
      <c r="AG368" s="143" t="s">
        <v>312</v>
      </c>
      <c r="AH368" s="143" t="s">
        <v>563</v>
      </c>
      <c r="AI368" s="143"/>
      <c r="AJ368" s="143" t="s">
        <v>313</v>
      </c>
      <c r="AK368" s="143"/>
      <c r="AL368" s="143"/>
      <c r="AM368" s="143"/>
      <c r="AN368" s="148"/>
    </row>
    <row r="369" s="140" customFormat="1" ht="15" spans="1:43">
      <c r="A369" s="143">
        <v>367</v>
      </c>
      <c r="B369" s="144"/>
      <c r="C369" s="143" t="s">
        <v>193</v>
      </c>
      <c r="D369" s="143" t="s">
        <v>229</v>
      </c>
      <c r="E369" s="145"/>
      <c r="F369" s="143"/>
      <c r="G369" s="143"/>
      <c r="H369" s="152" t="s">
        <v>1349</v>
      </c>
      <c r="I369" s="143" t="s">
        <v>1350</v>
      </c>
      <c r="J369" s="143" t="s">
        <v>1351</v>
      </c>
      <c r="K369" s="143">
        <v>145</v>
      </c>
      <c r="L369" s="143"/>
      <c r="M369" s="143"/>
      <c r="N369" s="143"/>
      <c r="O369" s="143"/>
      <c r="P369" s="143"/>
      <c r="Q369" s="143"/>
      <c r="R369" s="143"/>
      <c r="S369" s="146"/>
      <c r="T369" s="146"/>
      <c r="U369" s="146"/>
      <c r="V369" s="147"/>
      <c r="W369" s="143" t="s">
        <v>49</v>
      </c>
      <c r="X369" s="143" t="s">
        <v>1352</v>
      </c>
      <c r="Y369" s="143" t="s">
        <v>311</v>
      </c>
      <c r="Z369" s="143" t="s">
        <v>1352</v>
      </c>
      <c r="AA369" s="143"/>
      <c r="AB369" s="170"/>
      <c r="AC369" s="143"/>
      <c r="AD369" s="143"/>
      <c r="AE369" s="143"/>
      <c r="AF369" s="143"/>
      <c r="AG369" s="143" t="s">
        <v>1022</v>
      </c>
      <c r="AH369" s="143"/>
      <c r="AI369" s="143"/>
      <c r="AJ369" s="143" t="s">
        <v>1023</v>
      </c>
      <c r="AK369" s="143"/>
      <c r="AL369" s="143"/>
      <c r="AM369" s="143"/>
      <c r="AN369" s="148"/>
    </row>
    <row r="370" s="140" customFormat="1" ht="15" spans="1:43">
      <c r="A370" s="143">
        <v>368</v>
      </c>
      <c r="B370" s="144"/>
      <c r="C370" s="143" t="s">
        <v>193</v>
      </c>
      <c r="D370" s="143" t="s">
        <v>229</v>
      </c>
      <c r="E370" s="145"/>
      <c r="F370" s="143"/>
      <c r="G370" s="143"/>
      <c r="H370" s="152" t="s">
        <v>1353</v>
      </c>
      <c r="I370" s="143" t="s">
        <v>1354</v>
      </c>
      <c r="J370" s="143" t="s">
        <v>1355</v>
      </c>
      <c r="K370" s="143">
        <v>145</v>
      </c>
      <c r="L370" s="143"/>
      <c r="M370" s="143"/>
      <c r="N370" s="143"/>
      <c r="O370" s="143"/>
      <c r="P370" s="143"/>
      <c r="Q370" s="143"/>
      <c r="R370" s="143"/>
      <c r="S370" s="146"/>
      <c r="T370" s="146"/>
      <c r="U370" s="146"/>
      <c r="V370" s="147"/>
      <c r="W370" s="143" t="s">
        <v>49</v>
      </c>
      <c r="X370" s="143" t="s">
        <v>1356</v>
      </c>
      <c r="Y370" s="143" t="s">
        <v>311</v>
      </c>
      <c r="Z370" s="143" t="s">
        <v>1356</v>
      </c>
      <c r="AA370" s="143"/>
      <c r="AB370" s="170"/>
      <c r="AC370" s="143"/>
      <c r="AD370" s="143"/>
      <c r="AE370" s="143"/>
      <c r="AF370" s="143"/>
      <c r="AG370" s="143" t="s">
        <v>1071</v>
      </c>
      <c r="AH370" s="143"/>
      <c r="AI370" s="143"/>
      <c r="AJ370" s="143" t="s">
        <v>1076</v>
      </c>
      <c r="AK370" s="143"/>
      <c r="AL370" s="143"/>
      <c r="AM370" s="143"/>
      <c r="AN370" s="148"/>
    </row>
    <row r="371" s="140" customFormat="1" ht="15" spans="1:43">
      <c r="A371" s="143">
        <v>369</v>
      </c>
      <c r="B371" s="144"/>
      <c r="C371" s="143" t="s">
        <v>193</v>
      </c>
      <c r="D371" s="143" t="s">
        <v>229</v>
      </c>
      <c r="E371" s="145"/>
      <c r="F371" s="143"/>
      <c r="G371" s="143"/>
      <c r="H371" s="152" t="s">
        <v>1357</v>
      </c>
      <c r="I371" s="143" t="s">
        <v>1358</v>
      </c>
      <c r="J371" s="143" t="s">
        <v>1359</v>
      </c>
      <c r="K371" s="143">
        <v>145</v>
      </c>
      <c r="L371" s="143"/>
      <c r="M371" s="143"/>
      <c r="N371" s="143"/>
      <c r="O371" s="143"/>
      <c r="P371" s="143"/>
      <c r="Q371" s="143"/>
      <c r="R371" s="143"/>
      <c r="S371" s="146"/>
      <c r="T371" s="146"/>
      <c r="U371" s="146"/>
      <c r="V371" s="147"/>
      <c r="W371" s="143" t="s">
        <v>49</v>
      </c>
      <c r="X371" s="143" t="s">
        <v>1360</v>
      </c>
      <c r="Y371" s="143" t="s">
        <v>311</v>
      </c>
      <c r="Z371" s="143" t="s">
        <v>1360</v>
      </c>
      <c r="AA371" s="143"/>
      <c r="AB371" s="170"/>
      <c r="AC371" s="143"/>
      <c r="AD371" s="143"/>
      <c r="AE371" s="143"/>
      <c r="AF371" s="143"/>
      <c r="AG371" s="143" t="s">
        <v>249</v>
      </c>
      <c r="AH371" s="143"/>
      <c r="AI371" s="143"/>
      <c r="AJ371" s="143" t="s">
        <v>251</v>
      </c>
      <c r="AK371" s="143"/>
      <c r="AL371" s="143"/>
      <c r="AM371" s="143"/>
    </row>
    <row r="372" s="140" customFormat="1" ht="15" spans="1:43">
      <c r="A372" s="143">
        <v>370</v>
      </c>
      <c r="B372" s="144"/>
      <c r="C372" s="143" t="s">
        <v>193</v>
      </c>
      <c r="D372" s="143" t="s">
        <v>229</v>
      </c>
      <c r="E372" s="145"/>
      <c r="F372" s="143"/>
      <c r="G372" s="143"/>
      <c r="H372" s="152" t="s">
        <v>1361</v>
      </c>
      <c r="I372" s="143" t="s">
        <v>1362</v>
      </c>
      <c r="J372" s="143" t="s">
        <v>1363</v>
      </c>
      <c r="K372" s="143">
        <v>145</v>
      </c>
      <c r="L372" s="143"/>
      <c r="M372" s="143"/>
      <c r="N372" s="143"/>
      <c r="O372" s="143"/>
      <c r="P372" s="143"/>
      <c r="Q372" s="143"/>
      <c r="R372" s="143"/>
      <c r="S372" s="146"/>
      <c r="T372" s="146"/>
      <c r="U372" s="146"/>
      <c r="V372" s="147"/>
      <c r="W372" s="143" t="s">
        <v>49</v>
      </c>
      <c r="X372" s="143" t="s">
        <v>1364</v>
      </c>
      <c r="Y372" s="143" t="s">
        <v>311</v>
      </c>
      <c r="Z372" s="143" t="s">
        <v>1364</v>
      </c>
      <c r="AA372" s="143"/>
      <c r="AB372" s="170"/>
      <c r="AC372" s="143"/>
      <c r="AD372" s="143"/>
      <c r="AE372" s="143"/>
      <c r="AF372" s="143"/>
      <c r="AG372" s="143" t="s">
        <v>312</v>
      </c>
      <c r="AH372" s="143"/>
      <c r="AI372" s="143"/>
      <c r="AJ372" s="143" t="s">
        <v>313</v>
      </c>
      <c r="AK372" s="143"/>
      <c r="AL372" s="143"/>
      <c r="AM372" s="143"/>
    </row>
    <row r="373" s="140" customFormat="1" ht="15" spans="1:43">
      <c r="A373" s="143">
        <v>371</v>
      </c>
      <c r="B373" s="144"/>
      <c r="C373" s="143" t="s">
        <v>193</v>
      </c>
      <c r="D373" s="143" t="s">
        <v>229</v>
      </c>
      <c r="E373" s="145"/>
      <c r="F373" s="143"/>
      <c r="G373" s="143"/>
      <c r="H373" s="152" t="s">
        <v>1365</v>
      </c>
      <c r="I373" s="143" t="s">
        <v>1366</v>
      </c>
      <c r="J373" s="143" t="s">
        <v>1367</v>
      </c>
      <c r="K373" s="143">
        <v>150</v>
      </c>
      <c r="L373" s="143">
        <v>159</v>
      </c>
      <c r="M373" s="143"/>
      <c r="N373" s="143"/>
      <c r="O373" s="143"/>
      <c r="P373" s="143"/>
      <c r="Q373" s="143"/>
      <c r="R373" s="143"/>
      <c r="S373" s="146"/>
      <c r="T373" s="146"/>
      <c r="U373" s="146"/>
      <c r="V373" s="147"/>
      <c r="W373" s="143" t="s">
        <v>49</v>
      </c>
      <c r="X373" s="143">
        <v>16130</v>
      </c>
      <c r="Y373" s="143" t="s">
        <v>591</v>
      </c>
      <c r="Z373" s="143">
        <v>16130</v>
      </c>
      <c r="AA373" s="143"/>
      <c r="AB373" s="170"/>
      <c r="AC373" s="143"/>
      <c r="AD373" s="143"/>
      <c r="AE373" s="143"/>
      <c r="AF373" s="143"/>
      <c r="AG373" s="143" t="s">
        <v>506</v>
      </c>
      <c r="AH373" s="143"/>
      <c r="AI373" s="143"/>
      <c r="AJ373" s="143" t="s">
        <v>508</v>
      </c>
      <c r="AK373" s="143"/>
      <c r="AL373" s="143"/>
      <c r="AM373" s="143"/>
    </row>
    <row r="374" s="140" customFormat="1" ht="15" spans="1:43">
      <c r="A374" s="143">
        <v>372</v>
      </c>
      <c r="B374" s="144"/>
      <c r="C374" s="143" t="s">
        <v>193</v>
      </c>
      <c r="D374" s="143" t="s">
        <v>229</v>
      </c>
      <c r="E374" s="145"/>
      <c r="F374" s="143"/>
      <c r="G374" s="143"/>
      <c r="H374" s="152" t="s">
        <v>1368</v>
      </c>
      <c r="I374" s="143" t="s">
        <v>1369</v>
      </c>
      <c r="J374" s="143" t="s">
        <v>1370</v>
      </c>
      <c r="K374" s="143">
        <v>146</v>
      </c>
      <c r="L374" s="143">
        <v>70</v>
      </c>
      <c r="M374" s="143"/>
      <c r="N374" s="143"/>
      <c r="O374" s="143"/>
      <c r="P374" s="143"/>
      <c r="Q374" s="143"/>
      <c r="R374" s="143"/>
      <c r="S374" s="146"/>
      <c r="T374" s="146"/>
      <c r="U374" s="146"/>
      <c r="V374" s="147"/>
      <c r="W374" s="143" t="s">
        <v>49</v>
      </c>
      <c r="X374" s="143" t="s">
        <v>1371</v>
      </c>
      <c r="Y374" s="143" t="s">
        <v>591</v>
      </c>
      <c r="Z374" s="143" t="s">
        <v>1371</v>
      </c>
      <c r="AA374" s="143"/>
      <c r="AB374" s="170"/>
      <c r="AC374" s="143"/>
      <c r="AD374" s="143"/>
      <c r="AE374" s="143"/>
      <c r="AF374" s="143"/>
      <c r="AG374" s="143" t="s">
        <v>506</v>
      </c>
      <c r="AH374" s="143"/>
      <c r="AI374" s="143"/>
      <c r="AJ374" s="143" t="s">
        <v>508</v>
      </c>
      <c r="AK374" s="143"/>
      <c r="AL374" s="143"/>
      <c r="AM374" s="143"/>
      <c r="AN374" s="148"/>
    </row>
    <row r="375" s="140" customFormat="1" ht="15" spans="1:43">
      <c r="A375" s="143">
        <v>373</v>
      </c>
      <c r="B375" s="144"/>
      <c r="C375" s="143" t="s">
        <v>193</v>
      </c>
      <c r="D375" s="143" t="s">
        <v>229</v>
      </c>
      <c r="E375" s="145"/>
      <c r="F375" s="143"/>
      <c r="G375" s="143"/>
      <c r="H375" s="152" t="s">
        <v>1372</v>
      </c>
      <c r="I375" s="143" t="s">
        <v>1373</v>
      </c>
      <c r="J375" s="143" t="s">
        <v>1374</v>
      </c>
      <c r="K375" s="143">
        <v>145</v>
      </c>
      <c r="L375" s="143"/>
      <c r="M375" s="143"/>
      <c r="N375" s="143"/>
      <c r="O375" s="143"/>
      <c r="P375" s="143"/>
      <c r="Q375" s="143"/>
      <c r="R375" s="143"/>
      <c r="S375" s="146"/>
      <c r="T375" s="146"/>
      <c r="U375" s="146"/>
      <c r="V375" s="147"/>
      <c r="W375" s="143" t="s">
        <v>49</v>
      </c>
      <c r="X375" s="143" t="s">
        <v>1375</v>
      </c>
      <c r="Y375" s="143" t="s">
        <v>571</v>
      </c>
      <c r="Z375" s="143" t="s">
        <v>1375</v>
      </c>
      <c r="AA375" s="143"/>
      <c r="AB375" s="170"/>
      <c r="AC375" s="143"/>
      <c r="AD375" s="143"/>
      <c r="AE375" s="143"/>
      <c r="AF375" s="143"/>
      <c r="AG375" s="143" t="s">
        <v>506</v>
      </c>
      <c r="AH375" s="143"/>
      <c r="AI375" s="143"/>
      <c r="AJ375" s="143" t="s">
        <v>508</v>
      </c>
      <c r="AK375" s="143"/>
      <c r="AL375" s="143"/>
      <c r="AM375" s="143"/>
      <c r="AN375" s="148"/>
    </row>
    <row r="376" s="140" customFormat="1" ht="15" spans="1:43">
      <c r="A376" s="143">
        <v>374</v>
      </c>
      <c r="B376" s="144"/>
      <c r="C376" s="143" t="s">
        <v>193</v>
      </c>
      <c r="D376" s="143" t="s">
        <v>229</v>
      </c>
      <c r="E376" s="145"/>
      <c r="F376" s="143"/>
      <c r="G376" s="143"/>
      <c r="H376" s="152" t="s">
        <v>1376</v>
      </c>
      <c r="I376" s="143" t="s">
        <v>1377</v>
      </c>
      <c r="J376" s="143" t="s">
        <v>1378</v>
      </c>
      <c r="K376" s="143">
        <v>150</v>
      </c>
      <c r="L376" s="143"/>
      <c r="M376" s="143"/>
      <c r="N376" s="143"/>
      <c r="O376" s="143"/>
      <c r="P376" s="143"/>
      <c r="Q376" s="143"/>
      <c r="R376" s="143"/>
      <c r="S376" s="146"/>
      <c r="T376" s="146"/>
      <c r="U376" s="146"/>
      <c r="V376" s="147"/>
      <c r="W376" s="143" t="s">
        <v>49</v>
      </c>
      <c r="X376" s="143" t="s">
        <v>1379</v>
      </c>
      <c r="Y376" s="143" t="s">
        <v>571</v>
      </c>
      <c r="Z376" s="143" t="s">
        <v>1379</v>
      </c>
      <c r="AA376" s="143"/>
      <c r="AB376" s="170"/>
      <c r="AC376" s="143"/>
      <c r="AD376" s="143"/>
      <c r="AE376" s="143"/>
      <c r="AF376" s="143"/>
      <c r="AG376" s="143" t="s">
        <v>312</v>
      </c>
      <c r="AH376" s="143"/>
      <c r="AI376" s="143"/>
      <c r="AJ376" s="143" t="s">
        <v>313</v>
      </c>
      <c r="AK376" s="143"/>
      <c r="AL376" s="143"/>
      <c r="AM376" s="143"/>
    </row>
    <row r="377" s="140" customFormat="1" ht="15" spans="1:43">
      <c r="A377" s="143">
        <v>375</v>
      </c>
      <c r="B377" s="144"/>
      <c r="C377" s="143" t="s">
        <v>193</v>
      </c>
      <c r="D377" s="143" t="s">
        <v>229</v>
      </c>
      <c r="E377" s="145"/>
      <c r="F377" s="143"/>
      <c r="G377" s="143"/>
      <c r="H377" s="152" t="s">
        <v>1380</v>
      </c>
      <c r="I377" s="143" t="s">
        <v>1381</v>
      </c>
      <c r="J377" s="143" t="s">
        <v>1382</v>
      </c>
      <c r="K377" s="143">
        <v>146</v>
      </c>
      <c r="L377" s="143">
        <v>278</v>
      </c>
      <c r="M377" s="143"/>
      <c r="N377" s="143"/>
      <c r="O377" s="143"/>
      <c r="P377" s="143"/>
      <c r="Q377" s="143"/>
      <c r="R377" s="143"/>
      <c r="S377" s="146"/>
      <c r="T377" s="146"/>
      <c r="U377" s="146"/>
      <c r="V377" s="147"/>
      <c r="W377" s="143" t="s">
        <v>49</v>
      </c>
      <c r="X377" s="143" t="s">
        <v>1383</v>
      </c>
      <c r="Y377" s="143" t="s">
        <v>543</v>
      </c>
      <c r="Z377" s="143" t="s">
        <v>1383</v>
      </c>
      <c r="AA377" s="143"/>
      <c r="AB377" s="170"/>
      <c r="AC377" s="143"/>
      <c r="AD377" s="143"/>
      <c r="AE377" s="143"/>
      <c r="AF377" s="143"/>
      <c r="AG377" s="143" t="s">
        <v>506</v>
      </c>
      <c r="AH377" s="143"/>
      <c r="AI377" s="143"/>
      <c r="AJ377" s="143" t="s">
        <v>508</v>
      </c>
      <c r="AK377" s="143"/>
      <c r="AL377" s="143"/>
      <c r="AM377" s="143"/>
      <c r="AO377" s="148"/>
      <c r="AP377" s="148"/>
      <c r="AQ377" s="148"/>
    </row>
    <row r="378" s="140" customFormat="1" ht="15" spans="1:43">
      <c r="A378" s="143">
        <v>376</v>
      </c>
      <c r="B378" s="144"/>
      <c r="C378" s="143" t="s">
        <v>193</v>
      </c>
      <c r="D378" s="143" t="s">
        <v>229</v>
      </c>
      <c r="E378" s="145"/>
      <c r="F378" s="143"/>
      <c r="G378" s="143"/>
      <c r="H378" s="152" t="s">
        <v>1384</v>
      </c>
      <c r="I378" s="143" t="s">
        <v>1385</v>
      </c>
      <c r="J378" s="143" t="s">
        <v>1386</v>
      </c>
      <c r="K378" s="143">
        <v>148</v>
      </c>
      <c r="L378" s="143">
        <v>219</v>
      </c>
      <c r="M378" s="143"/>
      <c r="N378" s="143"/>
      <c r="O378" s="143"/>
      <c r="P378" s="143"/>
      <c r="Q378" s="143"/>
      <c r="R378" s="143"/>
      <c r="S378" s="146"/>
      <c r="T378" s="146"/>
      <c r="U378" s="146"/>
      <c r="V378" s="147"/>
      <c r="W378" s="143" t="s">
        <v>49</v>
      </c>
      <c r="X378" s="143" t="s">
        <v>1387</v>
      </c>
      <c r="Y378" s="143" t="s">
        <v>612</v>
      </c>
      <c r="Z378" s="143" t="s">
        <v>1387</v>
      </c>
      <c r="AA378" s="143"/>
      <c r="AB378" s="170"/>
      <c r="AC378" s="143"/>
      <c r="AD378" s="143"/>
      <c r="AE378" s="143"/>
      <c r="AF378" s="143"/>
      <c r="AG378" s="143" t="s">
        <v>1173</v>
      </c>
      <c r="AH378" s="143"/>
      <c r="AI378" s="143"/>
      <c r="AJ378" s="143" t="s">
        <v>1388</v>
      </c>
      <c r="AK378" s="143"/>
      <c r="AL378" s="143"/>
      <c r="AM378" s="143"/>
    </row>
    <row r="379" s="140" customFormat="1" ht="15" spans="1:43">
      <c r="A379" s="143">
        <v>377</v>
      </c>
      <c r="B379" s="144"/>
      <c r="C379" s="143" t="s">
        <v>193</v>
      </c>
      <c r="D379" s="143" t="s">
        <v>229</v>
      </c>
      <c r="E379" s="145"/>
      <c r="F379" s="143"/>
      <c r="G379" s="143"/>
      <c r="H379" s="152" t="s">
        <v>1389</v>
      </c>
      <c r="I379" s="143" t="s">
        <v>1390</v>
      </c>
      <c r="J379" s="143" t="s">
        <v>1391</v>
      </c>
      <c r="K379" s="143">
        <v>145</v>
      </c>
      <c r="L379" s="143">
        <v>65</v>
      </c>
      <c r="M379" s="143"/>
      <c r="N379" s="143"/>
      <c r="O379" s="143"/>
      <c r="P379" s="143"/>
      <c r="Q379" s="143"/>
      <c r="R379" s="143"/>
      <c r="S379" s="146"/>
      <c r="T379" s="146"/>
      <c r="U379" s="146"/>
      <c r="V379" s="147"/>
      <c r="W379" s="143" t="s">
        <v>49</v>
      </c>
      <c r="X379" s="143" t="s">
        <v>1392</v>
      </c>
      <c r="Y379" s="143" t="s">
        <v>612</v>
      </c>
      <c r="Z379" s="143" t="s">
        <v>1392</v>
      </c>
      <c r="AA379" s="143"/>
      <c r="AB379" s="170"/>
      <c r="AC379" s="143"/>
      <c r="AD379" s="143"/>
      <c r="AE379" s="143"/>
      <c r="AF379" s="143"/>
      <c r="AG379" s="143" t="s">
        <v>312</v>
      </c>
      <c r="AH379" s="143"/>
      <c r="AI379" s="143"/>
      <c r="AJ379" s="143" t="s">
        <v>313</v>
      </c>
      <c r="AK379" s="143"/>
      <c r="AL379" s="143"/>
      <c r="AM379" s="143"/>
    </row>
    <row r="380" s="140" customFormat="1" ht="15" spans="1:43">
      <c r="A380" s="143">
        <v>378</v>
      </c>
      <c r="B380" s="144"/>
      <c r="C380" s="143" t="s">
        <v>193</v>
      </c>
      <c r="D380" s="143" t="s">
        <v>229</v>
      </c>
      <c r="E380" s="145"/>
      <c r="F380" s="143"/>
      <c r="G380" s="143"/>
      <c r="H380" s="152" t="s">
        <v>1393</v>
      </c>
      <c r="I380" s="143" t="s">
        <v>1394</v>
      </c>
      <c r="J380" s="143" t="s">
        <v>1395</v>
      </c>
      <c r="K380" s="143">
        <v>150</v>
      </c>
      <c r="L380" s="143">
        <v>220</v>
      </c>
      <c r="M380" s="143"/>
      <c r="N380" s="143"/>
      <c r="O380" s="143"/>
      <c r="P380" s="143"/>
      <c r="Q380" s="143"/>
      <c r="R380" s="143"/>
      <c r="S380" s="146"/>
      <c r="T380" s="146"/>
      <c r="U380" s="146"/>
      <c r="V380" s="147"/>
      <c r="W380" s="143" t="s">
        <v>49</v>
      </c>
      <c r="X380" s="143">
        <v>18573</v>
      </c>
      <c r="Y380" s="143" t="s">
        <v>513</v>
      </c>
      <c r="Z380" s="143">
        <v>18573</v>
      </c>
      <c r="AA380" s="143"/>
      <c r="AB380" s="170"/>
      <c r="AC380" s="143"/>
      <c r="AD380" s="143"/>
      <c r="AE380" s="143"/>
      <c r="AF380" s="143"/>
      <c r="AG380" s="143" t="s">
        <v>1396</v>
      </c>
      <c r="AH380" s="143"/>
      <c r="AI380" s="143"/>
      <c r="AJ380" s="143" t="s">
        <v>1397</v>
      </c>
      <c r="AK380" s="143"/>
      <c r="AL380" s="143"/>
      <c r="AM380" s="143"/>
    </row>
    <row r="381" s="140" customFormat="1" ht="15" spans="1:43">
      <c r="A381" s="143">
        <v>379</v>
      </c>
      <c r="B381" s="144"/>
      <c r="C381" s="143" t="s">
        <v>193</v>
      </c>
      <c r="D381" s="143" t="s">
        <v>229</v>
      </c>
      <c r="E381" s="145"/>
      <c r="F381" s="143"/>
      <c r="G381" s="143"/>
      <c r="H381" s="152" t="s">
        <v>1398</v>
      </c>
      <c r="I381" s="143" t="s">
        <v>1399</v>
      </c>
      <c r="J381" s="143" t="s">
        <v>1400</v>
      </c>
      <c r="K381" s="143">
        <v>150</v>
      </c>
      <c r="L381" s="143">
        <v>166</v>
      </c>
      <c r="M381" s="143"/>
      <c r="N381" s="143"/>
      <c r="O381" s="143"/>
      <c r="P381" s="143"/>
      <c r="Q381" s="143"/>
      <c r="R381" s="143"/>
      <c r="S381" s="146"/>
      <c r="T381" s="146"/>
      <c r="U381" s="146"/>
      <c r="V381" s="147"/>
      <c r="W381" s="143" t="s">
        <v>49</v>
      </c>
      <c r="X381" s="143" t="s">
        <v>1401</v>
      </c>
      <c r="Y381" s="143" t="s">
        <v>1402</v>
      </c>
      <c r="Z381" s="143" t="s">
        <v>1401</v>
      </c>
      <c r="AA381" s="143"/>
      <c r="AB381" s="170"/>
      <c r="AC381" s="143"/>
      <c r="AD381" s="143"/>
      <c r="AE381" s="143"/>
      <c r="AF381" s="143"/>
      <c r="AG381" s="143" t="s">
        <v>1396</v>
      </c>
      <c r="AH381" s="143"/>
      <c r="AI381" s="143"/>
      <c r="AJ381" s="143" t="s">
        <v>1397</v>
      </c>
      <c r="AK381" s="143"/>
      <c r="AL381" s="143"/>
      <c r="AM381" s="143"/>
    </row>
    <row r="382" s="140" customFormat="1" ht="15" spans="1:43">
      <c r="A382" s="143">
        <v>380</v>
      </c>
      <c r="B382" s="144"/>
      <c r="C382" s="143" t="s">
        <v>193</v>
      </c>
      <c r="D382" s="143" t="s">
        <v>229</v>
      </c>
      <c r="E382" s="145"/>
      <c r="F382" s="143"/>
      <c r="G382" s="143"/>
      <c r="H382" s="152" t="s">
        <v>1403</v>
      </c>
      <c r="I382" s="143"/>
      <c r="J382" s="143"/>
      <c r="K382" s="143">
        <v>150</v>
      </c>
      <c r="L382" s="143">
        <v>200</v>
      </c>
      <c r="M382" s="143"/>
      <c r="N382" s="143"/>
      <c r="O382" s="143"/>
      <c r="P382" s="143"/>
      <c r="Q382" s="143"/>
      <c r="R382" s="143"/>
      <c r="S382" s="146"/>
      <c r="T382" s="146"/>
      <c r="U382" s="146"/>
      <c r="V382" s="147"/>
      <c r="W382" s="143" t="s">
        <v>49</v>
      </c>
      <c r="X382" s="143" t="s">
        <v>1404</v>
      </c>
      <c r="Y382" s="143" t="s">
        <v>1402</v>
      </c>
      <c r="Z382" s="143" t="s">
        <v>1404</v>
      </c>
      <c r="AA382" s="143"/>
      <c r="AB382" s="170"/>
      <c r="AC382" s="143"/>
      <c r="AD382" s="143"/>
      <c r="AE382" s="143"/>
      <c r="AF382" s="143"/>
      <c r="AG382" s="143" t="s">
        <v>1173</v>
      </c>
      <c r="AH382" s="143"/>
      <c r="AI382" s="143"/>
      <c r="AJ382" s="143" t="s">
        <v>1388</v>
      </c>
      <c r="AK382" s="143"/>
      <c r="AL382" s="143"/>
      <c r="AM382" s="143"/>
      <c r="AN382" s="148"/>
    </row>
    <row r="383" s="140" customFormat="1" ht="15" spans="1:43">
      <c r="A383" s="143">
        <v>381</v>
      </c>
      <c r="B383" s="144"/>
      <c r="C383" s="143" t="s">
        <v>193</v>
      </c>
      <c r="D383" s="143" t="s">
        <v>229</v>
      </c>
      <c r="E383" s="145"/>
      <c r="F383" s="143"/>
      <c r="G383" s="143"/>
      <c r="H383" s="152" t="s">
        <v>1405</v>
      </c>
      <c r="I383" s="143"/>
      <c r="J383" s="143"/>
      <c r="K383" s="143">
        <v>150</v>
      </c>
      <c r="L383" s="143">
        <v>263</v>
      </c>
      <c r="M383" s="143"/>
      <c r="N383" s="143"/>
      <c r="O383" s="143"/>
      <c r="P383" s="143"/>
      <c r="Q383" s="143"/>
      <c r="R383" s="143"/>
      <c r="S383" s="146"/>
      <c r="T383" s="146"/>
      <c r="U383" s="146"/>
      <c r="V383" s="147"/>
      <c r="W383" s="143" t="s">
        <v>49</v>
      </c>
      <c r="X383" s="143" t="s">
        <v>1406</v>
      </c>
      <c r="Y383" s="143" t="s">
        <v>1402</v>
      </c>
      <c r="Z383" s="143" t="s">
        <v>1406</v>
      </c>
      <c r="AA383" s="143"/>
      <c r="AB383" s="170"/>
      <c r="AC383" s="143"/>
      <c r="AD383" s="143"/>
      <c r="AE383" s="143"/>
      <c r="AF383" s="143"/>
      <c r="AG383" s="143" t="s">
        <v>1173</v>
      </c>
      <c r="AH383" s="143"/>
      <c r="AI383" s="143"/>
      <c r="AJ383" s="143" t="s">
        <v>1174</v>
      </c>
      <c r="AK383" s="143"/>
      <c r="AL383" s="143"/>
      <c r="AM383" s="143"/>
    </row>
    <row r="384" s="140" customFormat="1" ht="15" spans="1:43">
      <c r="A384" s="143">
        <v>382</v>
      </c>
      <c r="B384" s="144"/>
      <c r="C384" s="143" t="s">
        <v>193</v>
      </c>
      <c r="D384" s="143" t="s">
        <v>229</v>
      </c>
      <c r="E384" s="145"/>
      <c r="F384" s="143"/>
      <c r="G384" s="143"/>
      <c r="H384" s="152" t="s">
        <v>1407</v>
      </c>
      <c r="I384" s="143"/>
      <c r="J384" s="143"/>
      <c r="K384" s="143">
        <v>150</v>
      </c>
      <c r="L384" s="143">
        <v>180</v>
      </c>
      <c r="M384" s="143"/>
      <c r="N384" s="143"/>
      <c r="O384" s="143"/>
      <c r="P384" s="143"/>
      <c r="Q384" s="143"/>
      <c r="R384" s="143"/>
      <c r="S384" s="146"/>
      <c r="T384" s="146"/>
      <c r="U384" s="146"/>
      <c r="V384" s="147"/>
      <c r="W384" s="143" t="s">
        <v>49</v>
      </c>
      <c r="X384" s="143" t="s">
        <v>1408</v>
      </c>
      <c r="Y384" s="143" t="s">
        <v>1402</v>
      </c>
      <c r="Z384" s="143" t="s">
        <v>1408</v>
      </c>
      <c r="AA384" s="143"/>
      <c r="AB384" s="170"/>
      <c r="AC384" s="143"/>
      <c r="AD384" s="143"/>
      <c r="AE384" s="143"/>
      <c r="AF384" s="143"/>
      <c r="AG384" s="143" t="s">
        <v>1173</v>
      </c>
      <c r="AH384" s="143"/>
      <c r="AI384" s="143"/>
      <c r="AJ384" s="143" t="s">
        <v>1174</v>
      </c>
      <c r="AK384" s="143"/>
      <c r="AL384" s="143"/>
      <c r="AM384" s="143"/>
    </row>
    <row r="385" s="140" customFormat="1" ht="15" spans="1:40">
      <c r="A385" s="143">
        <v>383</v>
      </c>
      <c r="B385" s="144"/>
      <c r="C385" s="143" t="s">
        <v>193</v>
      </c>
      <c r="D385" s="143" t="s">
        <v>229</v>
      </c>
      <c r="E385" s="145"/>
      <c r="F385" s="143"/>
      <c r="G385" s="143"/>
      <c r="H385" s="152" t="s">
        <v>1409</v>
      </c>
      <c r="I385" s="143"/>
      <c r="J385" s="143"/>
      <c r="K385" s="143">
        <v>150</v>
      </c>
      <c r="L385" s="143">
        <v>186</v>
      </c>
      <c r="M385" s="143"/>
      <c r="N385" s="143"/>
      <c r="O385" s="143"/>
      <c r="P385" s="143"/>
      <c r="Q385" s="143"/>
      <c r="R385" s="143"/>
      <c r="S385" s="146"/>
      <c r="T385" s="146"/>
      <c r="U385" s="146"/>
      <c r="V385" s="147"/>
      <c r="W385" s="143" t="s">
        <v>49</v>
      </c>
      <c r="X385" s="143" t="s">
        <v>1410</v>
      </c>
      <c r="Y385" s="143" t="s">
        <v>1402</v>
      </c>
      <c r="Z385" s="143" t="s">
        <v>1410</v>
      </c>
      <c r="AA385" s="143"/>
      <c r="AB385" s="170"/>
      <c r="AC385" s="143"/>
      <c r="AD385" s="143"/>
      <c r="AE385" s="143"/>
      <c r="AF385" s="143"/>
      <c r="AG385" s="143" t="s">
        <v>1173</v>
      </c>
      <c r="AH385" s="143"/>
      <c r="AI385" s="143"/>
      <c r="AJ385" s="143" t="s">
        <v>1174</v>
      </c>
      <c r="AK385" s="143"/>
      <c r="AL385" s="143"/>
      <c r="AM385" s="143"/>
    </row>
    <row r="386" s="140" customFormat="1" ht="15" spans="1:40">
      <c r="A386" s="143">
        <v>384</v>
      </c>
      <c r="B386" s="144"/>
      <c r="C386" s="143" t="s">
        <v>193</v>
      </c>
      <c r="D386" s="143" t="s">
        <v>229</v>
      </c>
      <c r="E386" s="145"/>
      <c r="F386" s="143"/>
      <c r="G386" s="143"/>
      <c r="H386" s="152" t="s">
        <v>1411</v>
      </c>
      <c r="I386" s="143"/>
      <c r="J386" s="143"/>
      <c r="K386" s="143">
        <v>145</v>
      </c>
      <c r="L386" s="143">
        <v>240</v>
      </c>
      <c r="M386" s="143"/>
      <c r="N386" s="143"/>
      <c r="O386" s="143"/>
      <c r="P386" s="143"/>
      <c r="Q386" s="143"/>
      <c r="R386" s="143"/>
      <c r="S386" s="146"/>
      <c r="T386" s="146"/>
      <c r="U386" s="146"/>
      <c r="V386" s="147"/>
      <c r="W386" s="143" t="s">
        <v>49</v>
      </c>
      <c r="X386" s="143" t="s">
        <v>1412</v>
      </c>
      <c r="Y386" s="143" t="s">
        <v>1402</v>
      </c>
      <c r="Z386" s="143" t="s">
        <v>1412</v>
      </c>
      <c r="AA386" s="143"/>
      <c r="AB386" s="170"/>
      <c r="AC386" s="143"/>
      <c r="AD386" s="143"/>
      <c r="AE386" s="143"/>
      <c r="AF386" s="143"/>
      <c r="AG386" s="143" t="s">
        <v>1173</v>
      </c>
      <c r="AH386" s="143"/>
      <c r="AI386" s="143"/>
      <c r="AJ386" s="143" t="s">
        <v>1174</v>
      </c>
      <c r="AK386" s="143"/>
      <c r="AL386" s="143"/>
      <c r="AM386" s="143"/>
    </row>
    <row r="387" s="140" customFormat="1" ht="15" spans="1:40">
      <c r="A387" s="143">
        <v>385</v>
      </c>
      <c r="B387" s="144"/>
      <c r="C387" s="143" t="s">
        <v>193</v>
      </c>
      <c r="D387" s="143" t="s">
        <v>229</v>
      </c>
      <c r="E387" s="145"/>
      <c r="F387" s="143"/>
      <c r="G387" s="143"/>
      <c r="H387" s="152" t="s">
        <v>1413</v>
      </c>
      <c r="I387" s="143"/>
      <c r="J387" s="143"/>
      <c r="K387" s="143">
        <v>150</v>
      </c>
      <c r="L387" s="143">
        <v>260</v>
      </c>
      <c r="M387" s="143"/>
      <c r="N387" s="143"/>
      <c r="O387" s="143"/>
      <c r="P387" s="143"/>
      <c r="Q387" s="143"/>
      <c r="R387" s="143"/>
      <c r="S387" s="146"/>
      <c r="T387" s="146"/>
      <c r="U387" s="146"/>
      <c r="V387" s="147"/>
      <c r="W387" s="143" t="s">
        <v>49</v>
      </c>
      <c r="X387" s="143" t="s">
        <v>1414</v>
      </c>
      <c r="Y387" s="143" t="s">
        <v>1402</v>
      </c>
      <c r="Z387" s="143" t="s">
        <v>1414</v>
      </c>
      <c r="AA387" s="143"/>
      <c r="AB387" s="170"/>
      <c r="AC387" s="143"/>
      <c r="AD387" s="143"/>
      <c r="AE387" s="143"/>
      <c r="AF387" s="143"/>
      <c r="AG387" s="143" t="s">
        <v>1173</v>
      </c>
      <c r="AH387" s="143"/>
      <c r="AI387" s="143"/>
      <c r="AJ387" s="143" t="s">
        <v>1174</v>
      </c>
      <c r="AK387" s="143"/>
      <c r="AL387" s="143"/>
      <c r="AM387" s="143"/>
    </row>
    <row r="388" s="140" customFormat="1" ht="15" spans="1:40">
      <c r="A388" s="143">
        <v>386</v>
      </c>
      <c r="B388" s="144"/>
      <c r="C388" s="143" t="s">
        <v>193</v>
      </c>
      <c r="D388" s="143" t="s">
        <v>229</v>
      </c>
      <c r="E388" s="145"/>
      <c r="F388" s="143"/>
      <c r="G388" s="143"/>
      <c r="H388" s="152" t="s">
        <v>1415</v>
      </c>
      <c r="I388" s="143"/>
      <c r="J388" s="143"/>
      <c r="K388" s="143">
        <v>150</v>
      </c>
      <c r="L388" s="143">
        <v>226</v>
      </c>
      <c r="M388" s="143"/>
      <c r="N388" s="143"/>
      <c r="O388" s="143"/>
      <c r="P388" s="143"/>
      <c r="Q388" s="143"/>
      <c r="R388" s="143"/>
      <c r="S388" s="146"/>
      <c r="T388" s="146"/>
      <c r="U388" s="146"/>
      <c r="V388" s="147"/>
      <c r="W388" s="143" t="s">
        <v>49</v>
      </c>
      <c r="X388" s="143" t="s">
        <v>1416</v>
      </c>
      <c r="Y388" s="143" t="s">
        <v>1402</v>
      </c>
      <c r="Z388" s="143" t="s">
        <v>1416</v>
      </c>
      <c r="AA388" s="143"/>
      <c r="AB388" s="170"/>
      <c r="AC388" s="143"/>
      <c r="AD388" s="143"/>
      <c r="AE388" s="143"/>
      <c r="AF388" s="143"/>
      <c r="AG388" s="143" t="s">
        <v>1173</v>
      </c>
      <c r="AH388" s="143"/>
      <c r="AI388" s="143"/>
      <c r="AJ388" s="143" t="s">
        <v>1388</v>
      </c>
      <c r="AK388" s="143"/>
      <c r="AL388" s="143"/>
      <c r="AM388" s="143"/>
    </row>
    <row r="389" s="140" customFormat="1" ht="15" spans="1:40">
      <c r="A389" s="143">
        <v>387</v>
      </c>
      <c r="B389" s="144"/>
      <c r="C389" s="143" t="s">
        <v>193</v>
      </c>
      <c r="D389" s="143" t="s">
        <v>229</v>
      </c>
      <c r="E389" s="145"/>
      <c r="F389" s="143"/>
      <c r="G389" s="143"/>
      <c r="H389" s="152" t="s">
        <v>1417</v>
      </c>
      <c r="I389" s="143"/>
      <c r="J389" s="143"/>
      <c r="K389" s="143">
        <v>150</v>
      </c>
      <c r="L389" s="143">
        <v>210</v>
      </c>
      <c r="M389" s="143"/>
      <c r="N389" s="143"/>
      <c r="O389" s="143"/>
      <c r="P389" s="143"/>
      <c r="Q389" s="143"/>
      <c r="R389" s="143"/>
      <c r="S389" s="146"/>
      <c r="T389" s="146"/>
      <c r="U389" s="146"/>
      <c r="V389" s="147"/>
      <c r="W389" s="143" t="s">
        <v>49</v>
      </c>
      <c r="X389" s="143" t="s">
        <v>1418</v>
      </c>
      <c r="Y389" s="143" t="s">
        <v>1402</v>
      </c>
      <c r="Z389" s="143" t="s">
        <v>1418</v>
      </c>
      <c r="AA389" s="143"/>
      <c r="AB389" s="170"/>
      <c r="AC389" s="143"/>
      <c r="AD389" s="143"/>
      <c r="AE389" s="143"/>
      <c r="AF389" s="143"/>
      <c r="AG389" s="143" t="s">
        <v>1173</v>
      </c>
      <c r="AH389" s="143"/>
      <c r="AI389" s="143"/>
      <c r="AJ389" s="143" t="s">
        <v>1174</v>
      </c>
      <c r="AK389" s="143"/>
      <c r="AL389" s="143"/>
      <c r="AM389" s="143"/>
    </row>
    <row r="390" s="140" customFormat="1" ht="15" spans="1:40">
      <c r="A390" s="143">
        <v>388</v>
      </c>
      <c r="B390" s="144"/>
      <c r="C390" s="143" t="s">
        <v>193</v>
      </c>
      <c r="D390" s="143" t="s">
        <v>229</v>
      </c>
      <c r="E390" s="145"/>
      <c r="F390" s="143"/>
      <c r="G390" s="143"/>
      <c r="H390" s="152" t="s">
        <v>1419</v>
      </c>
      <c r="I390" s="143"/>
      <c r="J390" s="143"/>
      <c r="K390" s="143">
        <v>150</v>
      </c>
      <c r="L390" s="143">
        <v>240</v>
      </c>
      <c r="M390" s="143"/>
      <c r="N390" s="143"/>
      <c r="O390" s="143"/>
      <c r="P390" s="143"/>
      <c r="Q390" s="143"/>
      <c r="R390" s="143"/>
      <c r="S390" s="146"/>
      <c r="T390" s="146"/>
      <c r="U390" s="146"/>
      <c r="V390" s="147"/>
      <c r="W390" s="143" t="s">
        <v>49</v>
      </c>
      <c r="X390" s="143" t="s">
        <v>1420</v>
      </c>
      <c r="Y390" s="143" t="s">
        <v>1402</v>
      </c>
      <c r="Z390" s="143" t="s">
        <v>1420</v>
      </c>
      <c r="AA390" s="143"/>
      <c r="AB390" s="170"/>
      <c r="AC390" s="143"/>
      <c r="AD390" s="143"/>
      <c r="AE390" s="143"/>
      <c r="AF390" s="143"/>
      <c r="AG390" s="143" t="s">
        <v>1173</v>
      </c>
      <c r="AH390" s="143"/>
      <c r="AI390" s="143"/>
      <c r="AJ390" s="143" t="s">
        <v>1388</v>
      </c>
      <c r="AK390" s="143"/>
      <c r="AL390" s="143"/>
      <c r="AM390" s="143"/>
    </row>
    <row r="391" s="140" customFormat="1" ht="15" spans="1:40">
      <c r="A391" s="143">
        <v>389</v>
      </c>
      <c r="B391" s="144"/>
      <c r="C391" s="143" t="s">
        <v>193</v>
      </c>
      <c r="D391" s="143" t="s">
        <v>229</v>
      </c>
      <c r="E391" s="145"/>
      <c r="F391" s="143"/>
      <c r="G391" s="143"/>
      <c r="H391" s="152" t="s">
        <v>1421</v>
      </c>
      <c r="I391" s="143"/>
      <c r="J391" s="143"/>
      <c r="K391" s="143">
        <v>150</v>
      </c>
      <c r="L391" s="143">
        <v>300</v>
      </c>
      <c r="M391" s="143"/>
      <c r="N391" s="143"/>
      <c r="O391" s="143"/>
      <c r="P391" s="143"/>
      <c r="Q391" s="143"/>
      <c r="R391" s="143"/>
      <c r="S391" s="146"/>
      <c r="T391" s="146"/>
      <c r="U391" s="146"/>
      <c r="V391" s="147"/>
      <c r="W391" s="143" t="s">
        <v>49</v>
      </c>
      <c r="X391" s="143" t="s">
        <v>1422</v>
      </c>
      <c r="Y391" s="143" t="s">
        <v>1402</v>
      </c>
      <c r="Z391" s="143" t="s">
        <v>1422</v>
      </c>
      <c r="AA391" s="143"/>
      <c r="AB391" s="170"/>
      <c r="AC391" s="143"/>
      <c r="AD391" s="143"/>
      <c r="AE391" s="143"/>
      <c r="AF391" s="143"/>
      <c r="AG391" s="143" t="s">
        <v>1173</v>
      </c>
      <c r="AH391" s="143"/>
      <c r="AI391" s="143"/>
      <c r="AJ391" s="143" t="s">
        <v>1388</v>
      </c>
      <c r="AK391" s="143"/>
      <c r="AL391" s="143"/>
      <c r="AM391" s="143"/>
    </row>
    <row r="392" s="140" customFormat="1" ht="15" spans="1:40">
      <c r="A392" s="143">
        <v>390</v>
      </c>
      <c r="B392" s="144"/>
      <c r="C392" s="143" t="s">
        <v>193</v>
      </c>
      <c r="D392" s="143" t="s">
        <v>229</v>
      </c>
      <c r="E392" s="145"/>
      <c r="F392" s="143"/>
      <c r="G392" s="143"/>
      <c r="H392" s="152" t="s">
        <v>1423</v>
      </c>
      <c r="I392" s="143" t="s">
        <v>1424</v>
      </c>
      <c r="J392" s="143" t="s">
        <v>1425</v>
      </c>
      <c r="K392" s="143">
        <v>150</v>
      </c>
      <c r="L392" s="143">
        <v>240</v>
      </c>
      <c r="M392" s="143"/>
      <c r="N392" s="143"/>
      <c r="O392" s="143"/>
      <c r="P392" s="143"/>
      <c r="Q392" s="143"/>
      <c r="R392" s="143"/>
      <c r="S392" s="146"/>
      <c r="T392" s="146"/>
      <c r="U392" s="146"/>
      <c r="V392" s="147"/>
      <c r="W392" s="143" t="s">
        <v>49</v>
      </c>
      <c r="X392" s="143" t="s">
        <v>1426</v>
      </c>
      <c r="Y392" s="143" t="s">
        <v>1402</v>
      </c>
      <c r="Z392" s="143" t="s">
        <v>1426</v>
      </c>
      <c r="AA392" s="143">
        <v>20</v>
      </c>
      <c r="AB392" s="170">
        <v>45868</v>
      </c>
      <c r="AC392" s="143"/>
      <c r="AD392" s="143"/>
      <c r="AE392" s="143"/>
      <c r="AF392" s="143"/>
      <c r="AG392" s="143" t="s">
        <v>1173</v>
      </c>
      <c r="AH392" s="143" t="s">
        <v>259</v>
      </c>
      <c r="AI392" s="143"/>
      <c r="AJ392" s="143" t="s">
        <v>1388</v>
      </c>
      <c r="AK392" s="143"/>
      <c r="AL392" s="143"/>
      <c r="AM392" s="143"/>
    </row>
    <row r="393" s="140" customFormat="1" ht="15" spans="1:40">
      <c r="A393" s="143">
        <v>391</v>
      </c>
      <c r="B393" s="144"/>
      <c r="C393" s="143" t="s">
        <v>193</v>
      </c>
      <c r="D393" s="143" t="s">
        <v>229</v>
      </c>
      <c r="E393" s="145"/>
      <c r="F393" s="143"/>
      <c r="G393" s="143"/>
      <c r="H393" s="152" t="s">
        <v>1427</v>
      </c>
      <c r="I393" s="143" t="s">
        <v>1428</v>
      </c>
      <c r="J393" s="143" t="s">
        <v>1429</v>
      </c>
      <c r="K393" s="143">
        <v>150</v>
      </c>
      <c r="L393" s="143">
        <v>180</v>
      </c>
      <c r="M393" s="143"/>
      <c r="N393" s="143"/>
      <c r="O393" s="143"/>
      <c r="P393" s="143"/>
      <c r="Q393" s="143"/>
      <c r="R393" s="143"/>
      <c r="S393" s="146"/>
      <c r="T393" s="146"/>
      <c r="U393" s="146"/>
      <c r="V393" s="147"/>
      <c r="W393" s="143" t="s">
        <v>49</v>
      </c>
      <c r="X393" s="143" t="s">
        <v>1430</v>
      </c>
      <c r="Y393" s="143" t="s">
        <v>1431</v>
      </c>
      <c r="Z393" s="143" t="s">
        <v>1430</v>
      </c>
      <c r="AA393" s="143"/>
      <c r="AB393" s="170"/>
      <c r="AC393" s="143"/>
      <c r="AD393" s="143"/>
      <c r="AE393" s="143"/>
      <c r="AF393" s="143"/>
      <c r="AG393" s="143" t="s">
        <v>1022</v>
      </c>
      <c r="AH393" s="143"/>
      <c r="AI393" s="143"/>
      <c r="AJ393" s="143" t="s">
        <v>1432</v>
      </c>
      <c r="AK393" s="143"/>
      <c r="AL393" s="143"/>
      <c r="AM393" s="143"/>
    </row>
    <row r="394" s="140" customFormat="1" ht="15" spans="1:40">
      <c r="A394" s="143">
        <v>392</v>
      </c>
      <c r="B394" s="144"/>
      <c r="C394" s="143" t="s">
        <v>193</v>
      </c>
      <c r="D394" s="143" t="s">
        <v>557</v>
      </c>
      <c r="E394" s="145"/>
      <c r="F394" s="143"/>
      <c r="G394" s="143"/>
      <c r="H394" s="152" t="s">
        <v>1433</v>
      </c>
      <c r="I394" s="143" t="s">
        <v>1434</v>
      </c>
      <c r="J394" s="143" t="s">
        <v>1435</v>
      </c>
      <c r="K394" s="143">
        <v>150</v>
      </c>
      <c r="L394" s="143">
        <v>245</v>
      </c>
      <c r="M394" s="143"/>
      <c r="N394" s="143"/>
      <c r="O394" s="143"/>
      <c r="P394" s="143"/>
      <c r="Q394" s="143"/>
      <c r="R394" s="143"/>
      <c r="S394" s="146"/>
      <c r="T394" s="146"/>
      <c r="U394" s="146"/>
      <c r="V394" s="147"/>
      <c r="W394" s="143" t="s">
        <v>49</v>
      </c>
      <c r="X394" s="143" t="s">
        <v>1436</v>
      </c>
      <c r="Y394" s="143" t="s">
        <v>1431</v>
      </c>
      <c r="Z394" s="143" t="s">
        <v>1436</v>
      </c>
      <c r="AA394" s="143"/>
      <c r="AB394" s="170"/>
      <c r="AC394" s="143"/>
      <c r="AD394" s="143"/>
      <c r="AE394" s="143"/>
      <c r="AF394" s="143"/>
      <c r="AG394" s="143" t="s">
        <v>1071</v>
      </c>
      <c r="AH394" s="143" t="s">
        <v>1161</v>
      </c>
      <c r="AI394" s="143"/>
      <c r="AJ394" s="143" t="s">
        <v>1076</v>
      </c>
      <c r="AK394" s="143"/>
      <c r="AL394" s="143"/>
      <c r="AM394" s="143"/>
    </row>
    <row r="395" s="140" customFormat="1" ht="15" spans="1:40">
      <c r="A395" s="143">
        <v>393</v>
      </c>
      <c r="B395" s="144"/>
      <c r="C395" s="143" t="s">
        <v>193</v>
      </c>
      <c r="D395" s="143" t="s">
        <v>229</v>
      </c>
      <c r="E395" s="145"/>
      <c r="F395" s="143"/>
      <c r="G395" s="143"/>
      <c r="H395" s="152" t="s">
        <v>1437</v>
      </c>
      <c r="I395" s="143" t="s">
        <v>1438</v>
      </c>
      <c r="J395" s="143" t="s">
        <v>1439</v>
      </c>
      <c r="K395" s="143">
        <v>140</v>
      </c>
      <c r="L395" s="143">
        <v>157</v>
      </c>
      <c r="M395" s="143"/>
      <c r="N395" s="143"/>
      <c r="O395" s="143"/>
      <c r="P395" s="143"/>
      <c r="Q395" s="143"/>
      <c r="R395" s="143"/>
      <c r="S395" s="146"/>
      <c r="T395" s="146"/>
      <c r="U395" s="146"/>
      <c r="V395" s="147"/>
      <c r="W395" s="143" t="s">
        <v>49</v>
      </c>
      <c r="X395" s="143" t="s">
        <v>1440</v>
      </c>
      <c r="Y395" s="143" t="s">
        <v>1431</v>
      </c>
      <c r="Z395" s="143" t="s">
        <v>1440</v>
      </c>
      <c r="AA395" s="143">
        <v>54.5</v>
      </c>
      <c r="AB395" s="170">
        <v>46043</v>
      </c>
      <c r="AC395" s="143"/>
      <c r="AD395" s="143"/>
      <c r="AE395" s="143"/>
      <c r="AF395" s="143"/>
      <c r="AG395" s="143" t="s">
        <v>233</v>
      </c>
      <c r="AH395" s="143"/>
      <c r="AI395" s="143"/>
      <c r="AJ395" s="143" t="s">
        <v>621</v>
      </c>
      <c r="AK395" s="143"/>
      <c r="AL395" s="143"/>
      <c r="AM395" s="143"/>
      <c r="AN395" s="148"/>
    </row>
    <row r="396" s="140" customFormat="1" ht="15" spans="1:40">
      <c r="A396" s="143">
        <v>394</v>
      </c>
      <c r="B396" s="144"/>
      <c r="C396" s="143" t="s">
        <v>193</v>
      </c>
      <c r="D396" s="143" t="s">
        <v>229</v>
      </c>
      <c r="E396" s="145"/>
      <c r="F396" s="143"/>
      <c r="G396" s="143"/>
      <c r="H396" s="152" t="s">
        <v>1441</v>
      </c>
      <c r="I396" s="143" t="s">
        <v>1442</v>
      </c>
      <c r="J396" s="143" t="s">
        <v>1443</v>
      </c>
      <c r="K396" s="143">
        <v>140</v>
      </c>
      <c r="L396" s="143">
        <v>200</v>
      </c>
      <c r="M396" s="143"/>
      <c r="N396" s="143"/>
      <c r="O396" s="143"/>
      <c r="P396" s="143"/>
      <c r="Q396" s="143"/>
      <c r="R396" s="143"/>
      <c r="S396" s="146"/>
      <c r="T396" s="146"/>
      <c r="U396" s="146"/>
      <c r="V396" s="147"/>
      <c r="W396" s="143" t="s">
        <v>49</v>
      </c>
      <c r="X396" s="143" t="s">
        <v>1444</v>
      </c>
      <c r="Y396" s="143" t="s">
        <v>612</v>
      </c>
      <c r="Z396" s="143" t="s">
        <v>1444</v>
      </c>
      <c r="AA396" s="143"/>
      <c r="AB396" s="170"/>
      <c r="AC396" s="143"/>
      <c r="AD396" s="143"/>
      <c r="AE396" s="143"/>
      <c r="AF396" s="143"/>
      <c r="AG396" s="143" t="s">
        <v>233</v>
      </c>
      <c r="AH396" s="143"/>
      <c r="AI396" s="143"/>
      <c r="AJ396" s="143" t="s">
        <v>613</v>
      </c>
      <c r="AK396" s="143"/>
      <c r="AL396" s="143"/>
      <c r="AM396" s="143"/>
    </row>
    <row r="397" s="140" customFormat="1" ht="15" spans="1:40">
      <c r="A397" s="143">
        <v>395</v>
      </c>
      <c r="B397" s="144"/>
      <c r="C397" s="143" t="s">
        <v>193</v>
      </c>
      <c r="D397" s="143" t="s">
        <v>229</v>
      </c>
      <c r="E397" s="145"/>
      <c r="F397" s="143"/>
      <c r="G397" s="143"/>
      <c r="H397" s="152" t="s">
        <v>1445</v>
      </c>
      <c r="I397" s="143" t="s">
        <v>1446</v>
      </c>
      <c r="J397" s="143" t="s">
        <v>1447</v>
      </c>
      <c r="K397" s="143">
        <v>138</v>
      </c>
      <c r="L397" s="143">
        <v>60</v>
      </c>
      <c r="M397" s="143"/>
      <c r="N397" s="143"/>
      <c r="O397" s="143"/>
      <c r="P397" s="143"/>
      <c r="Q397" s="143"/>
      <c r="R397" s="143"/>
      <c r="S397" s="146"/>
      <c r="T397" s="146"/>
      <c r="U397" s="146"/>
      <c r="V397" s="147"/>
      <c r="W397" s="143" t="s">
        <v>49</v>
      </c>
      <c r="X397" s="143" t="s">
        <v>1448</v>
      </c>
      <c r="Y397" s="143" t="s">
        <v>612</v>
      </c>
      <c r="Z397" s="143" t="s">
        <v>1448</v>
      </c>
      <c r="AA397" s="143">
        <v>19.2</v>
      </c>
      <c r="AB397" s="170">
        <v>46051</v>
      </c>
      <c r="AC397" s="143"/>
      <c r="AD397" s="143"/>
      <c r="AE397" s="143"/>
      <c r="AF397" s="143"/>
      <c r="AG397" s="143" t="s">
        <v>233</v>
      </c>
      <c r="AH397" s="143"/>
      <c r="AI397" s="143"/>
      <c r="AJ397" s="143" t="s">
        <v>1449</v>
      </c>
      <c r="AK397" s="143"/>
      <c r="AL397" s="143"/>
      <c r="AM397" s="143"/>
    </row>
    <row r="398" s="140" customFormat="1" ht="15" spans="1:40">
      <c r="A398" s="143">
        <v>396</v>
      </c>
      <c r="B398" s="144"/>
      <c r="C398" s="143" t="s">
        <v>193</v>
      </c>
      <c r="D398" s="143" t="s">
        <v>229</v>
      </c>
      <c r="E398" s="145"/>
      <c r="F398" s="143"/>
      <c r="G398" s="143"/>
      <c r="H398" s="152" t="s">
        <v>1450</v>
      </c>
      <c r="I398" s="143" t="s">
        <v>1451</v>
      </c>
      <c r="J398" s="143" t="s">
        <v>1452</v>
      </c>
      <c r="K398" s="143">
        <v>145</v>
      </c>
      <c r="L398" s="143">
        <v>200</v>
      </c>
      <c r="M398" s="143"/>
      <c r="N398" s="143"/>
      <c r="O398" s="143"/>
      <c r="P398" s="143"/>
      <c r="Q398" s="143"/>
      <c r="R398" s="143"/>
      <c r="S398" s="146"/>
      <c r="T398" s="146"/>
      <c r="U398" s="146"/>
      <c r="V398" s="147"/>
      <c r="W398" s="143" t="s">
        <v>49</v>
      </c>
      <c r="X398" s="143" t="s">
        <v>1453</v>
      </c>
      <c r="Y398" s="143" t="s">
        <v>1431</v>
      </c>
      <c r="Z398" s="143" t="s">
        <v>1453</v>
      </c>
      <c r="AA398" s="143">
        <v>24.2</v>
      </c>
      <c r="AB398" s="170">
        <v>46043</v>
      </c>
      <c r="AC398" s="143"/>
      <c r="AD398" s="143"/>
      <c r="AE398" s="143"/>
      <c r="AF398" s="143"/>
      <c r="AG398" s="143" t="s">
        <v>233</v>
      </c>
      <c r="AH398" s="143"/>
      <c r="AI398" s="143"/>
      <c r="AJ398" s="143" t="s">
        <v>648</v>
      </c>
      <c r="AK398" s="143"/>
      <c r="AL398" s="143"/>
      <c r="AM398" s="143"/>
    </row>
    <row r="399" s="140" customFormat="1" ht="15" spans="1:40">
      <c r="A399" s="143">
        <v>397</v>
      </c>
      <c r="B399" s="144"/>
      <c r="C399" s="143" t="s">
        <v>193</v>
      </c>
      <c r="D399" s="143" t="s">
        <v>229</v>
      </c>
      <c r="E399" s="145"/>
      <c r="F399" s="143"/>
      <c r="G399" s="143"/>
      <c r="H399" s="152" t="s">
        <v>1454</v>
      </c>
      <c r="I399" s="143" t="s">
        <v>1455</v>
      </c>
      <c r="J399" s="143" t="s">
        <v>1456</v>
      </c>
      <c r="K399" s="143">
        <v>140</v>
      </c>
      <c r="L399" s="143">
        <v>90</v>
      </c>
      <c r="M399" s="143"/>
      <c r="N399" s="143"/>
      <c r="O399" s="143"/>
      <c r="P399" s="143"/>
      <c r="Q399" s="143"/>
      <c r="R399" s="143"/>
      <c r="S399" s="146"/>
      <c r="T399" s="146"/>
      <c r="U399" s="146"/>
      <c r="V399" s="147"/>
      <c r="W399" s="143" t="s">
        <v>49</v>
      </c>
      <c r="X399" s="143" t="s">
        <v>1457</v>
      </c>
      <c r="Y399" s="143" t="s">
        <v>1458</v>
      </c>
      <c r="Z399" s="143" t="s">
        <v>1457</v>
      </c>
      <c r="AA399" s="143"/>
      <c r="AB399" s="170"/>
      <c r="AC399" s="143"/>
      <c r="AD399" s="143"/>
      <c r="AE399" s="143"/>
      <c r="AF399" s="143"/>
      <c r="AG399" s="143" t="s">
        <v>233</v>
      </c>
      <c r="AH399" s="143"/>
      <c r="AI399" s="143"/>
      <c r="AJ399" s="143" t="s">
        <v>648</v>
      </c>
      <c r="AK399" s="143"/>
      <c r="AL399" s="143"/>
      <c r="AM399" s="143"/>
    </row>
    <row r="400" s="140" customFormat="1" ht="15" spans="1:40">
      <c r="A400" s="143">
        <v>398</v>
      </c>
      <c r="B400" s="144"/>
      <c r="C400" s="143" t="s">
        <v>193</v>
      </c>
      <c r="D400" s="143" t="s">
        <v>229</v>
      </c>
      <c r="E400" s="145"/>
      <c r="F400" s="143"/>
      <c r="G400" s="143"/>
      <c r="H400" s="152" t="s">
        <v>1459</v>
      </c>
      <c r="I400" s="143" t="s">
        <v>672</v>
      </c>
      <c r="J400" s="143" t="s">
        <v>1460</v>
      </c>
      <c r="K400" s="143">
        <v>140</v>
      </c>
      <c r="L400" s="143">
        <v>144</v>
      </c>
      <c r="M400" s="143"/>
      <c r="N400" s="143"/>
      <c r="O400" s="143"/>
      <c r="P400" s="143"/>
      <c r="Q400" s="143"/>
      <c r="R400" s="143"/>
      <c r="S400" s="146"/>
      <c r="T400" s="146"/>
      <c r="U400" s="146"/>
      <c r="V400" s="147"/>
      <c r="W400" s="143" t="s">
        <v>49</v>
      </c>
      <c r="X400" s="143" t="s">
        <v>1461</v>
      </c>
      <c r="Y400" s="143" t="s">
        <v>1458</v>
      </c>
      <c r="Z400" s="143" t="s">
        <v>1461</v>
      </c>
      <c r="AA400" s="143"/>
      <c r="AB400" s="170"/>
      <c r="AC400" s="143"/>
      <c r="AD400" s="143"/>
      <c r="AE400" s="143"/>
      <c r="AF400" s="143"/>
      <c r="AG400" s="143" t="s">
        <v>233</v>
      </c>
      <c r="AH400" s="143"/>
      <c r="AI400" s="143"/>
      <c r="AJ400" s="143" t="s">
        <v>613</v>
      </c>
      <c r="AK400" s="143"/>
      <c r="AL400" s="143"/>
      <c r="AM400" s="143"/>
    </row>
    <row r="401" s="140" customFormat="1" ht="15" spans="1:43">
      <c r="A401" s="143">
        <v>399</v>
      </c>
      <c r="B401" s="144"/>
      <c r="C401" s="143" t="s">
        <v>193</v>
      </c>
      <c r="D401" s="143" t="s">
        <v>229</v>
      </c>
      <c r="E401" s="145"/>
      <c r="F401" s="143"/>
      <c r="G401" s="143"/>
      <c r="H401" s="152" t="s">
        <v>1462</v>
      </c>
      <c r="I401" s="143" t="s">
        <v>1463</v>
      </c>
      <c r="J401" s="143" t="s">
        <v>1464</v>
      </c>
      <c r="K401" s="143">
        <v>140</v>
      </c>
      <c r="L401" s="143">
        <v>220</v>
      </c>
      <c r="M401" s="143"/>
      <c r="N401" s="143"/>
      <c r="O401" s="143"/>
      <c r="P401" s="143"/>
      <c r="Q401" s="143"/>
      <c r="R401" s="143"/>
      <c r="S401" s="146"/>
      <c r="T401" s="146"/>
      <c r="U401" s="146"/>
      <c r="V401" s="147"/>
      <c r="W401" s="143" t="s">
        <v>49</v>
      </c>
      <c r="X401" s="143" t="s">
        <v>1465</v>
      </c>
      <c r="Y401" s="143" t="s">
        <v>1458</v>
      </c>
      <c r="Z401" s="143" t="s">
        <v>1465</v>
      </c>
      <c r="AA401" s="143"/>
      <c r="AB401" s="170"/>
      <c r="AC401" s="143"/>
      <c r="AD401" s="143"/>
      <c r="AE401" s="143"/>
      <c r="AF401" s="143"/>
      <c r="AG401" s="143" t="s">
        <v>233</v>
      </c>
      <c r="AH401" s="143"/>
      <c r="AI401" s="143"/>
      <c r="AJ401" s="143" t="s">
        <v>632</v>
      </c>
      <c r="AK401" s="143"/>
      <c r="AL401" s="143"/>
      <c r="AM401" s="143"/>
    </row>
    <row r="402" s="140" customFormat="1" ht="15" spans="1:43">
      <c r="A402" s="143">
        <v>400</v>
      </c>
      <c r="B402" s="144"/>
      <c r="C402" s="143" t="s">
        <v>193</v>
      </c>
      <c r="D402" s="143" t="s">
        <v>229</v>
      </c>
      <c r="E402" s="145"/>
      <c r="F402" s="143"/>
      <c r="G402" s="143"/>
      <c r="H402" s="152" t="s">
        <v>1466</v>
      </c>
      <c r="I402" s="143" t="s">
        <v>1467</v>
      </c>
      <c r="J402" s="143" t="s">
        <v>1468</v>
      </c>
      <c r="K402" s="143">
        <v>145</v>
      </c>
      <c r="L402" s="143">
        <v>240</v>
      </c>
      <c r="M402" s="143"/>
      <c r="N402" s="143"/>
      <c r="O402" s="143"/>
      <c r="P402" s="143"/>
      <c r="Q402" s="143"/>
      <c r="R402" s="143"/>
      <c r="S402" s="146"/>
      <c r="T402" s="146"/>
      <c r="U402" s="146"/>
      <c r="V402" s="147"/>
      <c r="W402" s="143" t="s">
        <v>49</v>
      </c>
      <c r="X402" s="143" t="s">
        <v>1469</v>
      </c>
      <c r="Y402" s="143" t="s">
        <v>1458</v>
      </c>
      <c r="Z402" s="143" t="s">
        <v>1469</v>
      </c>
      <c r="AA402" s="143"/>
      <c r="AB402" s="170"/>
      <c r="AC402" s="143"/>
      <c r="AD402" s="143"/>
      <c r="AE402" s="143"/>
      <c r="AF402" s="143"/>
      <c r="AG402" s="143" t="s">
        <v>233</v>
      </c>
      <c r="AH402" s="143"/>
      <c r="AI402" s="143"/>
      <c r="AJ402" s="143" t="s">
        <v>621</v>
      </c>
      <c r="AK402" s="143"/>
      <c r="AL402" s="143"/>
      <c r="AM402" s="143"/>
    </row>
    <row r="403" s="140" customFormat="1" ht="15" spans="1:43">
      <c r="A403" s="143">
        <v>401</v>
      </c>
      <c r="B403" s="144"/>
      <c r="C403" s="143" t="s">
        <v>193</v>
      </c>
      <c r="D403" s="143" t="s">
        <v>229</v>
      </c>
      <c r="E403" s="145"/>
      <c r="F403" s="143"/>
      <c r="G403" s="143"/>
      <c r="H403" s="152" t="s">
        <v>1470</v>
      </c>
      <c r="I403" s="143" t="s">
        <v>1471</v>
      </c>
      <c r="J403" s="143" t="s">
        <v>1472</v>
      </c>
      <c r="K403" s="143">
        <v>160</v>
      </c>
      <c r="L403" s="143">
        <v>200</v>
      </c>
      <c r="M403" s="143"/>
      <c r="N403" s="143"/>
      <c r="O403" s="143"/>
      <c r="P403" s="143"/>
      <c r="Q403" s="143"/>
      <c r="R403" s="143"/>
      <c r="S403" s="146"/>
      <c r="T403" s="146"/>
      <c r="U403" s="146"/>
      <c r="V403" s="147"/>
      <c r="W403" s="143" t="s">
        <v>49</v>
      </c>
      <c r="X403" s="143" t="s">
        <v>1473</v>
      </c>
      <c r="Y403" s="143" t="s">
        <v>1474</v>
      </c>
      <c r="Z403" s="143" t="s">
        <v>1473</v>
      </c>
      <c r="AA403" s="143"/>
      <c r="AB403" s="170"/>
      <c r="AC403" s="143"/>
      <c r="AD403" s="143"/>
      <c r="AE403" s="143"/>
      <c r="AF403" s="143"/>
      <c r="AG403" s="143" t="s">
        <v>274</v>
      </c>
      <c r="AH403" s="143"/>
      <c r="AI403" s="143"/>
      <c r="AJ403" s="143" t="s">
        <v>275</v>
      </c>
      <c r="AK403" s="143"/>
      <c r="AL403" s="143"/>
      <c r="AM403" s="143"/>
      <c r="AO403" s="148"/>
      <c r="AP403" s="148"/>
      <c r="AQ403" s="148"/>
    </row>
    <row r="404" s="140" customFormat="1" ht="15" spans="1:43">
      <c r="A404" s="143">
        <v>402</v>
      </c>
      <c r="B404" s="144">
        <v>45805</v>
      </c>
      <c r="C404" s="143" t="s">
        <v>40</v>
      </c>
      <c r="D404" s="143" t="s">
        <v>41</v>
      </c>
      <c r="E404" s="145"/>
      <c r="F404" s="143" t="s">
        <v>1475</v>
      </c>
      <c r="G404" s="143"/>
      <c r="H404" s="143" t="s">
        <v>1476</v>
      </c>
      <c r="I404" s="143" t="s">
        <v>1477</v>
      </c>
      <c r="J404" s="143" t="s">
        <v>1478</v>
      </c>
      <c r="K404" s="143">
        <v>150</v>
      </c>
      <c r="L404" s="143">
        <v>107</v>
      </c>
      <c r="M404" s="143"/>
      <c r="N404" s="143"/>
      <c r="O404" s="143"/>
      <c r="P404" s="143"/>
      <c r="Q404" s="143"/>
      <c r="R404" s="143"/>
      <c r="S404" s="146"/>
      <c r="T404" s="146"/>
      <c r="U404" s="146"/>
      <c r="V404" s="147"/>
      <c r="W404" s="143" t="s">
        <v>49</v>
      </c>
      <c r="X404" s="143" t="s">
        <v>1475</v>
      </c>
      <c r="Y404" s="143" t="s">
        <v>1479</v>
      </c>
      <c r="Z404" s="143" t="s">
        <v>1475</v>
      </c>
      <c r="AA404" s="143">
        <v>16</v>
      </c>
      <c r="AB404" s="170">
        <v>45805</v>
      </c>
      <c r="AC404" s="143"/>
      <c r="AD404" s="143"/>
      <c r="AE404" s="143"/>
      <c r="AF404" s="143"/>
      <c r="AG404" s="143"/>
      <c r="AH404" s="143"/>
      <c r="AI404" s="143"/>
      <c r="AJ404" s="143"/>
      <c r="AK404" s="143"/>
      <c r="AL404" s="143"/>
      <c r="AM404" s="143"/>
    </row>
    <row r="405" s="140" customFormat="1" ht="15" spans="1:43">
      <c r="A405" s="143">
        <v>403</v>
      </c>
      <c r="B405" s="144">
        <v>45805</v>
      </c>
      <c r="C405" s="143" t="s">
        <v>40</v>
      </c>
      <c r="D405" s="143" t="s">
        <v>41</v>
      </c>
      <c r="E405" s="145"/>
      <c r="F405" s="143" t="s">
        <v>1480</v>
      </c>
      <c r="G405" s="143"/>
      <c r="H405" s="143" t="s">
        <v>1481</v>
      </c>
      <c r="I405" s="143" t="s">
        <v>1482</v>
      </c>
      <c r="J405" s="143" t="s">
        <v>1483</v>
      </c>
      <c r="K405" s="143">
        <v>150</v>
      </c>
      <c r="L405" s="143">
        <v>84</v>
      </c>
      <c r="M405" s="143"/>
      <c r="N405" s="143"/>
      <c r="O405" s="143"/>
      <c r="P405" s="143"/>
      <c r="Q405" s="143"/>
      <c r="R405" s="143"/>
      <c r="S405" s="146"/>
      <c r="T405" s="146"/>
      <c r="U405" s="146"/>
      <c r="V405" s="147"/>
      <c r="W405" s="143" t="s">
        <v>49</v>
      </c>
      <c r="X405" s="143" t="s">
        <v>1480</v>
      </c>
      <c r="Y405" s="143" t="s">
        <v>1484</v>
      </c>
      <c r="Z405" s="143" t="s">
        <v>1480</v>
      </c>
      <c r="AA405" s="143">
        <v>8</v>
      </c>
      <c r="AB405" s="170">
        <v>45805</v>
      </c>
      <c r="AC405" s="143"/>
      <c r="AD405" s="143"/>
      <c r="AE405" s="143"/>
      <c r="AF405" s="143"/>
      <c r="AG405" s="143"/>
      <c r="AH405" s="143"/>
      <c r="AI405" s="143"/>
      <c r="AJ405" s="143"/>
      <c r="AK405" s="143"/>
      <c r="AL405" s="143"/>
      <c r="AM405" s="143"/>
    </row>
    <row r="406" s="140" customFormat="1" ht="15" spans="1:43">
      <c r="A406" s="143">
        <v>404</v>
      </c>
      <c r="B406" s="144">
        <v>45805</v>
      </c>
      <c r="C406" s="143" t="s">
        <v>40</v>
      </c>
      <c r="D406" s="143" t="s">
        <v>41</v>
      </c>
      <c r="E406" s="145"/>
      <c r="F406" s="143" t="s">
        <v>1485</v>
      </c>
      <c r="G406" s="143"/>
      <c r="H406" s="143" t="s">
        <v>1486</v>
      </c>
      <c r="I406" s="143" t="s">
        <v>1487</v>
      </c>
      <c r="J406" s="143" t="s">
        <v>1488</v>
      </c>
      <c r="K406" s="143">
        <v>150</v>
      </c>
      <c r="L406" s="143">
        <v>124</v>
      </c>
      <c r="M406" s="143"/>
      <c r="N406" s="143"/>
      <c r="O406" s="143"/>
      <c r="P406" s="143"/>
      <c r="Q406" s="143"/>
      <c r="R406" s="143"/>
      <c r="S406" s="146"/>
      <c r="T406" s="146"/>
      <c r="U406" s="146"/>
      <c r="V406" s="147"/>
      <c r="W406" s="143" t="s">
        <v>49</v>
      </c>
      <c r="X406" s="143" t="s">
        <v>1485</v>
      </c>
      <c r="Y406" s="143" t="s">
        <v>1484</v>
      </c>
      <c r="Z406" s="143" t="s">
        <v>1485</v>
      </c>
      <c r="AA406" s="143">
        <v>18</v>
      </c>
      <c r="AB406" s="170">
        <v>45805</v>
      </c>
      <c r="AC406" s="143"/>
      <c r="AD406" s="143"/>
      <c r="AE406" s="143"/>
      <c r="AF406" s="143"/>
      <c r="AG406" s="143"/>
      <c r="AH406" s="143"/>
      <c r="AI406" s="143"/>
      <c r="AJ406" s="143"/>
      <c r="AK406" s="143"/>
      <c r="AL406" s="143"/>
      <c r="AM406" s="143"/>
    </row>
    <row r="407" s="140" customFormat="1" ht="15" spans="1:43">
      <c r="A407" s="143">
        <v>405</v>
      </c>
      <c r="B407" s="144">
        <v>45805</v>
      </c>
      <c r="C407" s="143" t="s">
        <v>40</v>
      </c>
      <c r="D407" s="143" t="s">
        <v>41</v>
      </c>
      <c r="E407" s="145"/>
      <c r="F407" s="143" t="s">
        <v>1489</v>
      </c>
      <c r="G407" s="143"/>
      <c r="H407" s="143" t="s">
        <v>1490</v>
      </c>
      <c r="I407" s="143" t="s">
        <v>1491</v>
      </c>
      <c r="J407" s="143" t="s">
        <v>1492</v>
      </c>
      <c r="K407" s="143">
        <v>150</v>
      </c>
      <c r="L407" s="143">
        <v>79</v>
      </c>
      <c r="M407" s="143"/>
      <c r="N407" s="143"/>
      <c r="O407" s="143"/>
      <c r="P407" s="143"/>
      <c r="Q407" s="143"/>
      <c r="R407" s="143"/>
      <c r="S407" s="146"/>
      <c r="T407" s="146"/>
      <c r="U407" s="146"/>
      <c r="V407" s="147"/>
      <c r="W407" s="143" t="s">
        <v>49</v>
      </c>
      <c r="X407" s="143" t="s">
        <v>1489</v>
      </c>
      <c r="Y407" s="143" t="s">
        <v>1493</v>
      </c>
      <c r="Z407" s="143" t="s">
        <v>1489</v>
      </c>
      <c r="AA407" s="143">
        <v>6.5</v>
      </c>
      <c r="AB407" s="170">
        <v>45805</v>
      </c>
      <c r="AC407" s="143"/>
      <c r="AD407" s="143"/>
      <c r="AE407" s="143"/>
      <c r="AF407" s="143"/>
      <c r="AG407" s="143"/>
      <c r="AH407" s="143"/>
      <c r="AI407" s="143"/>
      <c r="AJ407" s="143"/>
      <c r="AK407" s="143"/>
      <c r="AL407" s="143"/>
      <c r="AM407" s="143"/>
    </row>
    <row r="408" s="140" customFormat="1" ht="15" spans="1:43">
      <c r="A408" s="143">
        <v>406</v>
      </c>
      <c r="B408" s="144">
        <v>45805</v>
      </c>
      <c r="C408" s="143" t="s">
        <v>40</v>
      </c>
      <c r="D408" s="143" t="s">
        <v>41</v>
      </c>
      <c r="E408" s="145"/>
      <c r="F408" s="143" t="s">
        <v>1494</v>
      </c>
      <c r="G408" s="143"/>
      <c r="H408" s="143" t="s">
        <v>1495</v>
      </c>
      <c r="I408" s="143" t="s">
        <v>1496</v>
      </c>
      <c r="J408" s="143" t="s">
        <v>1497</v>
      </c>
      <c r="K408" s="143">
        <v>150</v>
      </c>
      <c r="L408" s="143">
        <v>105</v>
      </c>
      <c r="M408" s="143"/>
      <c r="N408" s="143"/>
      <c r="O408" s="143"/>
      <c r="P408" s="143"/>
      <c r="Q408" s="143"/>
      <c r="R408" s="143"/>
      <c r="S408" s="146"/>
      <c r="T408" s="146"/>
      <c r="U408" s="146"/>
      <c r="V408" s="147"/>
      <c r="W408" s="143" t="s">
        <v>49</v>
      </c>
      <c r="X408" s="143" t="s">
        <v>1494</v>
      </c>
      <c r="Y408" s="143" t="s">
        <v>1479</v>
      </c>
      <c r="Z408" s="143" t="s">
        <v>1494</v>
      </c>
      <c r="AA408" s="143">
        <v>9.1</v>
      </c>
      <c r="AB408" s="170">
        <v>45805</v>
      </c>
      <c r="AC408" s="143"/>
      <c r="AD408" s="143"/>
      <c r="AE408" s="143"/>
      <c r="AF408" s="143"/>
      <c r="AG408" s="143"/>
      <c r="AH408" s="143"/>
      <c r="AI408" s="143"/>
      <c r="AJ408" s="143"/>
      <c r="AK408" s="143"/>
      <c r="AL408" s="143"/>
      <c r="AM408" s="143"/>
    </row>
    <row r="409" s="140" customFormat="1" ht="15" spans="1:43">
      <c r="A409" s="143">
        <v>407</v>
      </c>
      <c r="B409" s="144">
        <v>45805</v>
      </c>
      <c r="C409" s="143" t="s">
        <v>40</v>
      </c>
      <c r="D409" s="143" t="s">
        <v>41</v>
      </c>
      <c r="E409" s="145"/>
      <c r="F409" s="143" t="s">
        <v>1498</v>
      </c>
      <c r="G409" s="143"/>
      <c r="H409" s="143" t="s">
        <v>1499</v>
      </c>
      <c r="I409" s="143" t="s">
        <v>1500</v>
      </c>
      <c r="J409" s="143" t="s">
        <v>1501</v>
      </c>
      <c r="K409" s="143">
        <v>150</v>
      </c>
      <c r="L409" s="143">
        <v>110</v>
      </c>
      <c r="M409" s="143"/>
      <c r="N409" s="143"/>
      <c r="O409" s="143"/>
      <c r="P409" s="143"/>
      <c r="Q409" s="143"/>
      <c r="R409" s="143"/>
      <c r="S409" s="146"/>
      <c r="T409" s="146"/>
      <c r="U409" s="146"/>
      <c r="V409" s="147"/>
      <c r="W409" s="143" t="s">
        <v>49</v>
      </c>
      <c r="X409" s="143" t="s">
        <v>1498</v>
      </c>
      <c r="Y409" s="143" t="s">
        <v>1479</v>
      </c>
      <c r="Z409" s="143" t="s">
        <v>1498</v>
      </c>
      <c r="AA409" s="143">
        <v>8.3</v>
      </c>
      <c r="AB409" s="170">
        <v>45805</v>
      </c>
      <c r="AC409" s="143"/>
      <c r="AD409" s="143"/>
      <c r="AE409" s="143"/>
      <c r="AF409" s="143"/>
      <c r="AG409" s="143"/>
      <c r="AH409" s="143"/>
      <c r="AI409" s="143"/>
      <c r="AJ409" s="143"/>
      <c r="AK409" s="143"/>
      <c r="AL409" s="143"/>
      <c r="AM409" s="143"/>
    </row>
    <row r="410" s="140" customFormat="1" ht="15" spans="1:43">
      <c r="A410" s="143">
        <v>408</v>
      </c>
      <c r="B410" s="144">
        <v>45805</v>
      </c>
      <c r="C410" s="143" t="s">
        <v>40</v>
      </c>
      <c r="D410" s="143" t="s">
        <v>41</v>
      </c>
      <c r="E410" s="145"/>
      <c r="F410" s="143" t="s">
        <v>1502</v>
      </c>
      <c r="G410" s="143"/>
      <c r="H410" s="143" t="s">
        <v>1503</v>
      </c>
      <c r="I410" s="143" t="s">
        <v>1504</v>
      </c>
      <c r="J410" s="143" t="s">
        <v>1505</v>
      </c>
      <c r="K410" s="143">
        <v>150</v>
      </c>
      <c r="L410" s="143">
        <v>82</v>
      </c>
      <c r="M410" s="143"/>
      <c r="N410" s="143"/>
      <c r="O410" s="143"/>
      <c r="P410" s="143"/>
      <c r="Q410" s="143"/>
      <c r="R410" s="143"/>
      <c r="S410" s="146"/>
      <c r="T410" s="146"/>
      <c r="U410" s="146"/>
      <c r="V410" s="147"/>
      <c r="W410" s="143" t="s">
        <v>49</v>
      </c>
      <c r="X410" s="143" t="s">
        <v>1502</v>
      </c>
      <c r="Y410" s="143" t="s">
        <v>1479</v>
      </c>
      <c r="Z410" s="143" t="s">
        <v>1502</v>
      </c>
      <c r="AA410" s="143">
        <v>6.8</v>
      </c>
      <c r="AB410" s="170">
        <v>45805</v>
      </c>
      <c r="AC410" s="143"/>
      <c r="AD410" s="143"/>
      <c r="AE410" s="143"/>
      <c r="AF410" s="143"/>
      <c r="AG410" s="143"/>
      <c r="AH410" s="143"/>
      <c r="AI410" s="143"/>
      <c r="AJ410" s="143"/>
      <c r="AK410" s="143"/>
      <c r="AL410" s="143"/>
      <c r="AM410" s="143"/>
    </row>
    <row r="411" s="140" customFormat="1" ht="15" spans="1:43">
      <c r="A411" s="143">
        <v>409</v>
      </c>
      <c r="B411" s="144">
        <v>45805</v>
      </c>
      <c r="C411" s="143" t="s">
        <v>40</v>
      </c>
      <c r="D411" s="143" t="s">
        <v>41</v>
      </c>
      <c r="E411" s="145"/>
      <c r="F411" s="143" t="s">
        <v>1506</v>
      </c>
      <c r="G411" s="143"/>
      <c r="H411" s="143" t="s">
        <v>1507</v>
      </c>
      <c r="I411" s="143" t="s">
        <v>1508</v>
      </c>
      <c r="J411" s="143" t="s">
        <v>1509</v>
      </c>
      <c r="K411" s="143">
        <v>140</v>
      </c>
      <c r="L411" s="143">
        <v>80</v>
      </c>
      <c r="M411" s="143"/>
      <c r="N411" s="143"/>
      <c r="O411" s="143"/>
      <c r="P411" s="143"/>
      <c r="Q411" s="143"/>
      <c r="R411" s="143"/>
      <c r="S411" s="146"/>
      <c r="T411" s="146"/>
      <c r="U411" s="146"/>
      <c r="V411" s="147"/>
      <c r="W411" s="143" t="s">
        <v>49</v>
      </c>
      <c r="X411" s="143" t="s">
        <v>1506</v>
      </c>
      <c r="Y411" s="143" t="s">
        <v>1510</v>
      </c>
      <c r="Z411" s="143" t="s">
        <v>1506</v>
      </c>
      <c r="AA411" s="143">
        <v>15.7</v>
      </c>
      <c r="AB411" s="170">
        <v>45805</v>
      </c>
      <c r="AC411" s="143"/>
      <c r="AD411" s="143"/>
      <c r="AE411" s="143"/>
      <c r="AF411" s="143"/>
      <c r="AG411" s="143"/>
      <c r="AH411" s="143"/>
      <c r="AI411" s="143"/>
      <c r="AJ411" s="143"/>
      <c r="AK411" s="143"/>
      <c r="AL411" s="143"/>
      <c r="AM411" s="143"/>
      <c r="AN411" s="148"/>
    </row>
    <row r="412" s="140" customFormat="1" ht="16.5" spans="1:43">
      <c r="A412" s="143">
        <v>410</v>
      </c>
      <c r="B412" s="144">
        <v>45805</v>
      </c>
      <c r="C412" s="143" t="s">
        <v>40</v>
      </c>
      <c r="D412" s="143" t="s">
        <v>41</v>
      </c>
      <c r="E412" s="145"/>
      <c r="F412" s="143" t="s">
        <v>1511</v>
      </c>
      <c r="G412" s="143"/>
      <c r="H412" s="143" t="s">
        <v>1512</v>
      </c>
      <c r="I412" s="179" t="s">
        <v>1513</v>
      </c>
      <c r="J412" s="143" t="s">
        <v>1514</v>
      </c>
      <c r="K412" s="143">
        <v>150</v>
      </c>
      <c r="L412" s="143">
        <v>84</v>
      </c>
      <c r="M412" s="143"/>
      <c r="N412" s="143"/>
      <c r="O412" s="143"/>
      <c r="P412" s="143"/>
      <c r="Q412" s="143"/>
      <c r="R412" s="143"/>
      <c r="S412" s="146"/>
      <c r="T412" s="146"/>
      <c r="U412" s="146"/>
      <c r="V412" s="147"/>
      <c r="W412" s="143" t="s">
        <v>49</v>
      </c>
      <c r="X412" s="143" t="s">
        <v>1511</v>
      </c>
      <c r="Y412" s="143" t="s">
        <v>1510</v>
      </c>
      <c r="Z412" s="143" t="s">
        <v>1511</v>
      </c>
      <c r="AA412" s="143">
        <v>17.3</v>
      </c>
      <c r="AB412" s="170">
        <v>45805</v>
      </c>
      <c r="AC412" s="143"/>
      <c r="AD412" s="143"/>
      <c r="AE412" s="143"/>
      <c r="AF412" s="143"/>
      <c r="AG412" s="143"/>
      <c r="AH412" s="143"/>
      <c r="AI412" s="143"/>
      <c r="AJ412" s="143"/>
      <c r="AK412" s="143"/>
      <c r="AL412" s="143"/>
      <c r="AM412" s="143"/>
      <c r="AN412" s="148"/>
    </row>
    <row r="413" s="140" customFormat="1" ht="15" spans="1:43">
      <c r="A413" s="143">
        <v>411</v>
      </c>
      <c r="B413" s="144">
        <v>45805</v>
      </c>
      <c r="C413" s="143" t="s">
        <v>40</v>
      </c>
      <c r="D413" s="143" t="s">
        <v>41</v>
      </c>
      <c r="E413" s="145"/>
      <c r="F413" s="143" t="s">
        <v>1515</v>
      </c>
      <c r="G413" s="143"/>
      <c r="H413" s="143" t="s">
        <v>1516</v>
      </c>
      <c r="I413" s="143" t="s">
        <v>1517</v>
      </c>
      <c r="J413" s="143" t="s">
        <v>1518</v>
      </c>
      <c r="K413" s="143">
        <v>150</v>
      </c>
      <c r="L413" s="143">
        <v>106</v>
      </c>
      <c r="M413" s="143"/>
      <c r="N413" s="143"/>
      <c r="O413" s="143"/>
      <c r="P413" s="143"/>
      <c r="Q413" s="143"/>
      <c r="R413" s="143"/>
      <c r="S413" s="146"/>
      <c r="T413" s="146"/>
      <c r="U413" s="146"/>
      <c r="V413" s="147"/>
      <c r="W413" s="143" t="s">
        <v>49</v>
      </c>
      <c r="X413" s="143" t="s">
        <v>1515</v>
      </c>
      <c r="Y413" s="143" t="s">
        <v>1519</v>
      </c>
      <c r="Z413" s="143" t="s">
        <v>1515</v>
      </c>
      <c r="AA413" s="143">
        <v>11.2</v>
      </c>
      <c r="AB413" s="170">
        <v>45805</v>
      </c>
      <c r="AC413" s="143"/>
      <c r="AD413" s="143"/>
      <c r="AE413" s="143"/>
      <c r="AF413" s="143"/>
      <c r="AG413" s="143"/>
      <c r="AH413" s="143"/>
      <c r="AI413" s="143"/>
      <c r="AJ413" s="143"/>
      <c r="AK413" s="143"/>
      <c r="AL413" s="143"/>
      <c r="AM413" s="143"/>
      <c r="AN413" s="148"/>
    </row>
    <row r="414" s="140" customFormat="1" ht="15" spans="1:43">
      <c r="A414" s="143">
        <v>412</v>
      </c>
      <c r="B414" s="144">
        <v>45805</v>
      </c>
      <c r="C414" s="143" t="s">
        <v>40</v>
      </c>
      <c r="D414" s="143" t="s">
        <v>41</v>
      </c>
      <c r="E414" s="145"/>
      <c r="F414" s="143" t="s">
        <v>1520</v>
      </c>
      <c r="G414" s="143"/>
      <c r="H414" s="143" t="s">
        <v>1521</v>
      </c>
      <c r="I414" s="143" t="s">
        <v>1522</v>
      </c>
      <c r="J414" s="143" t="s">
        <v>1523</v>
      </c>
      <c r="K414" s="143">
        <v>150</v>
      </c>
      <c r="L414" s="143">
        <v>179</v>
      </c>
      <c r="M414" s="143"/>
      <c r="N414" s="143"/>
      <c r="O414" s="143"/>
      <c r="P414" s="143"/>
      <c r="Q414" s="143"/>
      <c r="R414" s="143"/>
      <c r="S414" s="146"/>
      <c r="T414" s="146"/>
      <c r="U414" s="146"/>
      <c r="V414" s="147"/>
      <c r="W414" s="143" t="s">
        <v>49</v>
      </c>
      <c r="X414" s="143" t="s">
        <v>1520</v>
      </c>
      <c r="Y414" s="143" t="s">
        <v>1519</v>
      </c>
      <c r="Z414" s="143" t="s">
        <v>1520</v>
      </c>
      <c r="AA414" s="143">
        <v>15.6</v>
      </c>
      <c r="AB414" s="170">
        <v>45805</v>
      </c>
      <c r="AC414" s="143"/>
      <c r="AD414" s="143"/>
      <c r="AE414" s="143"/>
      <c r="AF414" s="143"/>
      <c r="AG414" s="143"/>
      <c r="AH414" s="143"/>
      <c r="AI414" s="143"/>
      <c r="AJ414" s="143"/>
      <c r="AK414" s="143"/>
      <c r="AL414" s="143"/>
      <c r="AM414" s="143"/>
      <c r="AN414" s="148"/>
    </row>
    <row r="415" s="140" customFormat="1" ht="15" spans="1:43">
      <c r="A415" s="143">
        <v>413</v>
      </c>
      <c r="B415" s="144"/>
      <c r="C415" s="143" t="s">
        <v>193</v>
      </c>
      <c r="D415" s="143" t="s">
        <v>229</v>
      </c>
      <c r="E415" s="145"/>
      <c r="F415" s="143"/>
      <c r="G415" s="143"/>
      <c r="H415" s="152" t="s">
        <v>1524</v>
      </c>
      <c r="I415" s="143"/>
      <c r="J415" s="143"/>
      <c r="K415" s="143">
        <v>148</v>
      </c>
      <c r="L415" s="143"/>
      <c r="M415" s="143"/>
      <c r="N415" s="143"/>
      <c r="O415" s="143"/>
      <c r="P415" s="143"/>
      <c r="Q415" s="143"/>
      <c r="R415" s="143"/>
      <c r="S415" s="146"/>
      <c r="T415" s="146"/>
      <c r="U415" s="146"/>
      <c r="V415" s="147"/>
      <c r="W415" s="143" t="s">
        <v>49</v>
      </c>
      <c r="X415" s="143" t="s">
        <v>1525</v>
      </c>
      <c r="Y415" s="143" t="s">
        <v>1526</v>
      </c>
      <c r="Z415" s="143" t="s">
        <v>1525</v>
      </c>
      <c r="AA415" s="143"/>
      <c r="AB415" s="170"/>
      <c r="AC415" s="143"/>
      <c r="AD415" s="143"/>
      <c r="AE415" s="143"/>
      <c r="AF415" s="143"/>
      <c r="AG415" s="143" t="s">
        <v>312</v>
      </c>
      <c r="AH415" s="143"/>
      <c r="AI415" s="143"/>
      <c r="AJ415" s="143" t="s">
        <v>313</v>
      </c>
      <c r="AK415" s="143"/>
      <c r="AL415" s="143"/>
      <c r="AM415" s="143"/>
    </row>
    <row r="416" s="140" customFormat="1" ht="15" spans="1:43">
      <c r="A416" s="143">
        <v>414</v>
      </c>
      <c r="B416" s="144"/>
      <c r="C416" s="143" t="s">
        <v>193</v>
      </c>
      <c r="D416" s="143" t="s">
        <v>229</v>
      </c>
      <c r="E416" s="145"/>
      <c r="F416" s="143"/>
      <c r="G416" s="143"/>
      <c r="H416" s="152" t="s">
        <v>1527</v>
      </c>
      <c r="I416" s="143"/>
      <c r="J416" s="143"/>
      <c r="K416" s="143">
        <v>148</v>
      </c>
      <c r="L416" s="143"/>
      <c r="M416" s="143"/>
      <c r="N416" s="143"/>
      <c r="O416" s="143"/>
      <c r="P416" s="143"/>
      <c r="Q416" s="143"/>
      <c r="R416" s="143"/>
      <c r="S416" s="146"/>
      <c r="T416" s="146"/>
      <c r="U416" s="146"/>
      <c r="V416" s="147"/>
      <c r="W416" s="143" t="s">
        <v>49</v>
      </c>
      <c r="X416" s="143" t="s">
        <v>1528</v>
      </c>
      <c r="Y416" s="143" t="s">
        <v>1526</v>
      </c>
      <c r="Z416" s="143" t="s">
        <v>1528</v>
      </c>
      <c r="AA416" s="143"/>
      <c r="AB416" s="170"/>
      <c r="AC416" s="143"/>
      <c r="AD416" s="143"/>
      <c r="AE416" s="143"/>
      <c r="AF416" s="143"/>
      <c r="AG416" s="143" t="s">
        <v>312</v>
      </c>
      <c r="AH416" s="143"/>
      <c r="AI416" s="143"/>
      <c r="AJ416" s="143" t="s">
        <v>313</v>
      </c>
      <c r="AK416" s="143"/>
      <c r="AL416" s="143"/>
      <c r="AM416" s="143"/>
    </row>
    <row r="417" s="140" customFormat="1" ht="15" spans="1:43">
      <c r="A417" s="143">
        <v>415</v>
      </c>
      <c r="B417" s="144"/>
      <c r="C417" s="143" t="s">
        <v>193</v>
      </c>
      <c r="D417" s="143" t="s">
        <v>229</v>
      </c>
      <c r="E417" s="145"/>
      <c r="F417" s="143"/>
      <c r="G417" s="143"/>
      <c r="H417" s="152" t="s">
        <v>1529</v>
      </c>
      <c r="I417" s="143"/>
      <c r="J417" s="143"/>
      <c r="K417" s="143">
        <v>148</v>
      </c>
      <c r="L417" s="143"/>
      <c r="M417" s="143"/>
      <c r="N417" s="143"/>
      <c r="O417" s="143"/>
      <c r="P417" s="143"/>
      <c r="Q417" s="143"/>
      <c r="R417" s="143"/>
      <c r="S417" s="146"/>
      <c r="T417" s="146"/>
      <c r="U417" s="146"/>
      <c r="V417" s="147"/>
      <c r="W417" s="143" t="s">
        <v>49</v>
      </c>
      <c r="X417" s="143" t="s">
        <v>1525</v>
      </c>
      <c r="Y417" s="143" t="s">
        <v>1526</v>
      </c>
      <c r="Z417" s="143" t="s">
        <v>1525</v>
      </c>
      <c r="AA417" s="143"/>
      <c r="AB417" s="170"/>
      <c r="AC417" s="143"/>
      <c r="AD417" s="143"/>
      <c r="AE417" s="143"/>
      <c r="AF417" s="143"/>
      <c r="AG417" s="143" t="s">
        <v>312</v>
      </c>
      <c r="AH417" s="143"/>
      <c r="AI417" s="143"/>
      <c r="AJ417" s="143" t="s">
        <v>313</v>
      </c>
      <c r="AK417" s="143"/>
      <c r="AL417" s="143"/>
      <c r="AM417" s="143"/>
    </row>
    <row r="418" s="140" customFormat="1" ht="15" spans="1:43">
      <c r="A418" s="143">
        <v>416</v>
      </c>
      <c r="B418" s="144"/>
      <c r="C418" s="143" t="s">
        <v>193</v>
      </c>
      <c r="D418" s="143" t="s">
        <v>229</v>
      </c>
      <c r="E418" s="145"/>
      <c r="F418" s="143"/>
      <c r="G418" s="143"/>
      <c r="H418" s="152" t="s">
        <v>1530</v>
      </c>
      <c r="I418" s="143"/>
      <c r="J418" s="143"/>
      <c r="K418" s="143">
        <v>148</v>
      </c>
      <c r="L418" s="143"/>
      <c r="M418" s="143"/>
      <c r="N418" s="143"/>
      <c r="O418" s="143"/>
      <c r="P418" s="143"/>
      <c r="Q418" s="143"/>
      <c r="R418" s="143"/>
      <c r="S418" s="146"/>
      <c r="T418" s="146"/>
      <c r="U418" s="146"/>
      <c r="V418" s="147"/>
      <c r="W418" s="143" t="s">
        <v>49</v>
      </c>
      <c r="X418" s="143" t="s">
        <v>1531</v>
      </c>
      <c r="Y418" s="143" t="s">
        <v>1526</v>
      </c>
      <c r="Z418" s="143" t="s">
        <v>1531</v>
      </c>
      <c r="AA418" s="143"/>
      <c r="AB418" s="170"/>
      <c r="AC418" s="143"/>
      <c r="AD418" s="143"/>
      <c r="AE418" s="143"/>
      <c r="AF418" s="143"/>
      <c r="AG418" s="143" t="s">
        <v>312</v>
      </c>
      <c r="AH418" s="143"/>
      <c r="AI418" s="143"/>
      <c r="AJ418" s="143" t="s">
        <v>313</v>
      </c>
      <c r="AK418" s="143"/>
      <c r="AL418" s="143"/>
      <c r="AM418" s="143"/>
    </row>
    <row r="419" s="140" customFormat="1" ht="15" spans="1:43">
      <c r="A419" s="143">
        <v>417</v>
      </c>
      <c r="B419" s="144"/>
      <c r="C419" s="143" t="s">
        <v>193</v>
      </c>
      <c r="D419" s="143" t="s">
        <v>229</v>
      </c>
      <c r="E419" s="145"/>
      <c r="F419" s="143"/>
      <c r="G419" s="143"/>
      <c r="H419" s="152" t="s">
        <v>1532</v>
      </c>
      <c r="I419" s="143" t="s">
        <v>1533</v>
      </c>
      <c r="J419" s="143" t="s">
        <v>1533</v>
      </c>
      <c r="K419" s="143">
        <v>150</v>
      </c>
      <c r="L419" s="143"/>
      <c r="M419" s="143"/>
      <c r="N419" s="143"/>
      <c r="O419" s="143"/>
      <c r="P419" s="143"/>
      <c r="Q419" s="143"/>
      <c r="R419" s="143"/>
      <c r="S419" s="146"/>
      <c r="T419" s="146"/>
      <c r="U419" s="146"/>
      <c r="V419" s="147"/>
      <c r="W419" s="143" t="s">
        <v>49</v>
      </c>
      <c r="X419" s="143">
        <v>2021</v>
      </c>
      <c r="Y419" s="143" t="s">
        <v>571</v>
      </c>
      <c r="Z419" s="143">
        <v>2021</v>
      </c>
      <c r="AA419" s="143"/>
      <c r="AB419" s="170"/>
      <c r="AC419" s="143"/>
      <c r="AD419" s="143"/>
      <c r="AE419" s="143"/>
      <c r="AF419" s="143"/>
      <c r="AG419" s="143" t="s">
        <v>312</v>
      </c>
      <c r="AH419" s="143"/>
      <c r="AI419" s="143"/>
      <c r="AJ419" s="143" t="s">
        <v>313</v>
      </c>
      <c r="AK419" s="143"/>
      <c r="AL419" s="143"/>
      <c r="AM419" s="143"/>
    </row>
    <row r="420" s="140" customFormat="1" ht="15" spans="1:43">
      <c r="A420" s="143">
        <v>418</v>
      </c>
      <c r="B420" s="144"/>
      <c r="C420" s="143" t="s">
        <v>193</v>
      </c>
      <c r="D420" s="143" t="s">
        <v>229</v>
      </c>
      <c r="E420" s="145"/>
      <c r="F420" s="143"/>
      <c r="G420" s="143"/>
      <c r="H420" s="152" t="s">
        <v>1534</v>
      </c>
      <c r="I420" s="143"/>
      <c r="J420" s="143"/>
      <c r="K420" s="143">
        <v>165</v>
      </c>
      <c r="L420" s="143">
        <v>140</v>
      </c>
      <c r="M420" s="143"/>
      <c r="N420" s="143"/>
      <c r="O420" s="143"/>
      <c r="P420" s="143"/>
      <c r="Q420" s="143"/>
      <c r="R420" s="143"/>
      <c r="S420" s="146"/>
      <c r="T420" s="146"/>
      <c r="U420" s="146"/>
      <c r="V420" s="147"/>
      <c r="W420" s="143" t="s">
        <v>49</v>
      </c>
      <c r="X420" s="143">
        <v>8199</v>
      </c>
      <c r="Y420" s="143" t="s">
        <v>1227</v>
      </c>
      <c r="Z420" s="143">
        <v>8199</v>
      </c>
      <c r="AA420" s="143"/>
      <c r="AB420" s="170"/>
      <c r="AC420" s="143"/>
      <c r="AD420" s="143"/>
      <c r="AE420" s="143"/>
      <c r="AF420" s="143"/>
      <c r="AG420" s="143" t="s">
        <v>274</v>
      </c>
      <c r="AH420" s="143"/>
      <c r="AI420" s="143"/>
      <c r="AJ420" s="143" t="s">
        <v>275</v>
      </c>
      <c r="AK420" s="143"/>
      <c r="AL420" s="143"/>
      <c r="AM420" s="143"/>
    </row>
    <row r="421" s="140" customFormat="1" ht="15" spans="1:43">
      <c r="A421" s="143">
        <v>419</v>
      </c>
      <c r="B421" s="144"/>
      <c r="C421" s="143" t="s">
        <v>193</v>
      </c>
      <c r="D421" s="143" t="s">
        <v>229</v>
      </c>
      <c r="E421" s="145"/>
      <c r="F421" s="143"/>
      <c r="G421" s="143"/>
      <c r="H421" s="152" t="s">
        <v>1535</v>
      </c>
      <c r="I421" s="143"/>
      <c r="J421" s="143"/>
      <c r="K421" s="143">
        <v>150</v>
      </c>
      <c r="L421" s="143">
        <v>190</v>
      </c>
      <c r="M421" s="143"/>
      <c r="N421" s="143"/>
      <c r="O421" s="143"/>
      <c r="P421" s="143"/>
      <c r="Q421" s="143"/>
      <c r="R421" s="143"/>
      <c r="S421" s="146"/>
      <c r="T421" s="146"/>
      <c r="U421" s="146"/>
      <c r="V421" s="147"/>
      <c r="W421" s="143" t="s">
        <v>49</v>
      </c>
      <c r="X421" s="143">
        <v>8340</v>
      </c>
      <c r="Y421" s="143" t="s">
        <v>1227</v>
      </c>
      <c r="Z421" s="143">
        <v>8340</v>
      </c>
      <c r="AA421" s="143"/>
      <c r="AB421" s="170"/>
      <c r="AC421" s="143"/>
      <c r="AD421" s="143"/>
      <c r="AE421" s="143"/>
      <c r="AF421" s="143"/>
      <c r="AG421" s="143" t="s">
        <v>562</v>
      </c>
      <c r="AH421" s="143"/>
      <c r="AI421" s="143"/>
      <c r="AJ421" s="143" t="s">
        <v>564</v>
      </c>
      <c r="AK421" s="143"/>
      <c r="AL421" s="143"/>
      <c r="AM421" s="143"/>
    </row>
    <row r="422" s="140" customFormat="1" ht="15" spans="1:43">
      <c r="A422" s="143">
        <v>420</v>
      </c>
      <c r="B422" s="144"/>
      <c r="C422" s="143" t="s">
        <v>193</v>
      </c>
      <c r="D422" s="143" t="s">
        <v>229</v>
      </c>
      <c r="E422" s="145"/>
      <c r="F422" s="143"/>
      <c r="G422" s="143"/>
      <c r="H422" s="152" t="s">
        <v>1536</v>
      </c>
      <c r="I422" s="143"/>
      <c r="J422" s="143"/>
      <c r="K422" s="143">
        <v>145</v>
      </c>
      <c r="L422" s="143">
        <v>300</v>
      </c>
      <c r="M422" s="143"/>
      <c r="N422" s="143"/>
      <c r="O422" s="143"/>
      <c r="P422" s="143"/>
      <c r="Q422" s="143"/>
      <c r="R422" s="143"/>
      <c r="S422" s="146"/>
      <c r="T422" s="146"/>
      <c r="U422" s="146"/>
      <c r="V422" s="147"/>
      <c r="W422" s="143" t="s">
        <v>49</v>
      </c>
      <c r="X422" s="143">
        <v>9785</v>
      </c>
      <c r="Y422" s="143" t="s">
        <v>1227</v>
      </c>
      <c r="Z422" s="143">
        <v>9785</v>
      </c>
      <c r="AA422" s="143"/>
      <c r="AB422" s="170"/>
      <c r="AC422" s="143"/>
      <c r="AD422" s="143"/>
      <c r="AE422" s="143"/>
      <c r="AF422" s="143"/>
      <c r="AG422" s="143" t="s">
        <v>562</v>
      </c>
      <c r="AH422" s="143"/>
      <c r="AI422" s="143"/>
      <c r="AJ422" s="143" t="s">
        <v>564</v>
      </c>
      <c r="AK422" s="143"/>
      <c r="AL422" s="143"/>
      <c r="AM422" s="143"/>
    </row>
    <row r="423" s="140" customFormat="1" ht="15" spans="1:43">
      <c r="A423" s="143">
        <v>421</v>
      </c>
      <c r="B423" s="144"/>
      <c r="C423" s="143" t="s">
        <v>193</v>
      </c>
      <c r="D423" s="143" t="s">
        <v>229</v>
      </c>
      <c r="E423" s="145"/>
      <c r="F423" s="143"/>
      <c r="G423" s="143"/>
      <c r="H423" s="152" t="s">
        <v>1537</v>
      </c>
      <c r="I423" s="143"/>
      <c r="J423" s="143"/>
      <c r="K423" s="143">
        <v>170</v>
      </c>
      <c r="L423" s="143">
        <v>210</v>
      </c>
      <c r="M423" s="143"/>
      <c r="N423" s="143"/>
      <c r="O423" s="143"/>
      <c r="P423" s="143"/>
      <c r="Q423" s="143"/>
      <c r="R423" s="143"/>
      <c r="S423" s="146"/>
      <c r="T423" s="146"/>
      <c r="U423" s="146"/>
      <c r="V423" s="147"/>
      <c r="W423" s="143" t="s">
        <v>49</v>
      </c>
      <c r="X423" s="143" t="s">
        <v>1538</v>
      </c>
      <c r="Y423" s="143" t="s">
        <v>1539</v>
      </c>
      <c r="Z423" s="143" t="s">
        <v>1538</v>
      </c>
      <c r="AA423" s="143"/>
      <c r="AB423" s="170"/>
      <c r="AC423" s="143"/>
      <c r="AD423" s="143"/>
      <c r="AE423" s="143"/>
      <c r="AF423" s="143"/>
      <c r="AG423" s="143" t="s">
        <v>269</v>
      </c>
      <c r="AH423" s="143"/>
      <c r="AI423" s="143"/>
      <c r="AJ423" s="143" t="s">
        <v>270</v>
      </c>
      <c r="AK423" s="143"/>
      <c r="AL423" s="143"/>
      <c r="AM423" s="143"/>
    </row>
    <row r="424" s="140" customFormat="1" ht="15" spans="1:43">
      <c r="A424" s="143">
        <v>422</v>
      </c>
      <c r="B424" s="144"/>
      <c r="C424" s="143" t="s">
        <v>193</v>
      </c>
      <c r="D424" s="143" t="s">
        <v>229</v>
      </c>
      <c r="E424" s="145"/>
      <c r="F424" s="143"/>
      <c r="G424" s="143"/>
      <c r="H424" s="152" t="s">
        <v>1540</v>
      </c>
      <c r="I424" s="143"/>
      <c r="J424" s="143"/>
      <c r="K424" s="143">
        <v>165</v>
      </c>
      <c r="L424" s="143">
        <v>155</v>
      </c>
      <c r="M424" s="143"/>
      <c r="N424" s="143"/>
      <c r="O424" s="143"/>
      <c r="P424" s="143"/>
      <c r="Q424" s="143"/>
      <c r="R424" s="143"/>
      <c r="S424" s="146"/>
      <c r="T424" s="146"/>
      <c r="U424" s="146"/>
      <c r="V424" s="147"/>
      <c r="W424" s="143" t="s">
        <v>49</v>
      </c>
      <c r="X424" s="143" t="s">
        <v>1541</v>
      </c>
      <c r="Y424" s="143" t="s">
        <v>1539</v>
      </c>
      <c r="Z424" s="143" t="s">
        <v>1541</v>
      </c>
      <c r="AA424" s="143"/>
      <c r="AB424" s="170"/>
      <c r="AC424" s="143"/>
      <c r="AD424" s="143"/>
      <c r="AE424" s="143"/>
      <c r="AF424" s="143"/>
      <c r="AG424" s="143" t="s">
        <v>562</v>
      </c>
      <c r="AH424" s="143"/>
      <c r="AI424" s="143"/>
      <c r="AJ424" s="143" t="s">
        <v>564</v>
      </c>
      <c r="AK424" s="143"/>
      <c r="AL424" s="143"/>
      <c r="AM424" s="143"/>
    </row>
    <row r="425" s="140" customFormat="1" ht="15" spans="1:43">
      <c r="A425" s="143">
        <v>423</v>
      </c>
      <c r="B425" s="144"/>
      <c r="C425" s="143" t="s">
        <v>193</v>
      </c>
      <c r="D425" s="143" t="s">
        <v>229</v>
      </c>
      <c r="E425" s="145"/>
      <c r="F425" s="143"/>
      <c r="G425" s="143"/>
      <c r="H425" s="152" t="s">
        <v>1542</v>
      </c>
      <c r="I425" s="143"/>
      <c r="J425" s="143"/>
      <c r="K425" s="143">
        <v>163</v>
      </c>
      <c r="L425" s="143">
        <v>275</v>
      </c>
      <c r="M425" s="143"/>
      <c r="N425" s="143"/>
      <c r="O425" s="143"/>
      <c r="P425" s="143"/>
      <c r="Q425" s="143"/>
      <c r="R425" s="143"/>
      <c r="S425" s="146"/>
      <c r="T425" s="146"/>
      <c r="U425" s="146"/>
      <c r="V425" s="147"/>
      <c r="W425" s="143" t="s">
        <v>49</v>
      </c>
      <c r="X425" s="143" t="s">
        <v>1543</v>
      </c>
      <c r="Y425" s="143" t="s">
        <v>1539</v>
      </c>
      <c r="Z425" s="143" t="s">
        <v>1543</v>
      </c>
      <c r="AA425" s="143"/>
      <c r="AB425" s="170"/>
      <c r="AC425" s="143"/>
      <c r="AD425" s="143"/>
      <c r="AE425" s="143"/>
      <c r="AF425" s="143"/>
      <c r="AG425" s="143" t="s">
        <v>562</v>
      </c>
      <c r="AH425" s="143"/>
      <c r="AI425" s="143"/>
      <c r="AJ425" s="143" t="s">
        <v>564</v>
      </c>
      <c r="AK425" s="143"/>
      <c r="AL425" s="143"/>
      <c r="AM425" s="143"/>
    </row>
    <row r="426" s="140" customFormat="1" ht="15" spans="1:43">
      <c r="A426" s="143">
        <v>424</v>
      </c>
      <c r="B426" s="144"/>
      <c r="C426" s="143" t="s">
        <v>193</v>
      </c>
      <c r="D426" s="143" t="s">
        <v>229</v>
      </c>
      <c r="E426" s="145"/>
      <c r="F426" s="143"/>
      <c r="G426" s="143"/>
      <c r="H426" s="152" t="s">
        <v>1544</v>
      </c>
      <c r="I426" s="143"/>
      <c r="J426" s="143"/>
      <c r="K426" s="143">
        <v>165</v>
      </c>
      <c r="L426" s="143">
        <v>220</v>
      </c>
      <c r="M426" s="143"/>
      <c r="N426" s="143"/>
      <c r="O426" s="143"/>
      <c r="P426" s="143"/>
      <c r="Q426" s="143"/>
      <c r="R426" s="143"/>
      <c r="S426" s="146"/>
      <c r="T426" s="146"/>
      <c r="U426" s="146"/>
      <c r="V426" s="147"/>
      <c r="W426" s="143" t="s">
        <v>49</v>
      </c>
      <c r="X426" s="143" t="s">
        <v>1545</v>
      </c>
      <c r="Y426" s="143" t="s">
        <v>1539</v>
      </c>
      <c r="Z426" s="143" t="s">
        <v>1545</v>
      </c>
      <c r="AA426" s="143"/>
      <c r="AB426" s="170"/>
      <c r="AC426" s="143"/>
      <c r="AD426" s="143"/>
      <c r="AE426" s="143"/>
      <c r="AF426" s="143"/>
      <c r="AG426" s="143" t="s">
        <v>562</v>
      </c>
      <c r="AH426" s="143"/>
      <c r="AI426" s="143"/>
      <c r="AJ426" s="143" t="s">
        <v>564</v>
      </c>
      <c r="AK426" s="143"/>
      <c r="AL426" s="143"/>
      <c r="AM426" s="143"/>
    </row>
    <row r="427" s="140" customFormat="1" ht="15" spans="1:43">
      <c r="A427" s="143">
        <v>425</v>
      </c>
      <c r="B427" s="144"/>
      <c r="C427" s="143" t="s">
        <v>193</v>
      </c>
      <c r="D427" s="143" t="s">
        <v>229</v>
      </c>
      <c r="E427" s="145"/>
      <c r="F427" s="143"/>
      <c r="G427" s="143"/>
      <c r="H427" s="152" t="s">
        <v>1546</v>
      </c>
      <c r="I427" s="143"/>
      <c r="J427" s="143"/>
      <c r="K427" s="143">
        <v>145</v>
      </c>
      <c r="L427" s="143">
        <v>210</v>
      </c>
      <c r="M427" s="143"/>
      <c r="N427" s="143"/>
      <c r="O427" s="143"/>
      <c r="P427" s="143"/>
      <c r="Q427" s="143"/>
      <c r="R427" s="143"/>
      <c r="S427" s="146"/>
      <c r="T427" s="146"/>
      <c r="U427" s="146"/>
      <c r="V427" s="147"/>
      <c r="W427" s="143" t="s">
        <v>49</v>
      </c>
      <c r="X427" s="143">
        <v>1838</v>
      </c>
      <c r="Y427" s="143" t="s">
        <v>1227</v>
      </c>
      <c r="Z427" s="143">
        <v>1838</v>
      </c>
      <c r="AA427" s="143"/>
      <c r="AB427" s="170"/>
      <c r="AC427" s="143"/>
      <c r="AD427" s="143"/>
      <c r="AE427" s="143"/>
      <c r="AF427" s="143"/>
      <c r="AG427" s="143" t="s">
        <v>562</v>
      </c>
      <c r="AH427" s="143"/>
      <c r="AI427" s="143"/>
      <c r="AJ427" s="143" t="s">
        <v>564</v>
      </c>
      <c r="AK427" s="143"/>
      <c r="AL427" s="143"/>
      <c r="AM427" s="143"/>
    </row>
    <row r="428" s="140" customFormat="1" ht="15" spans="1:43">
      <c r="A428" s="143">
        <v>426</v>
      </c>
      <c r="B428" s="144"/>
      <c r="C428" s="143" t="s">
        <v>193</v>
      </c>
      <c r="D428" s="143" t="s">
        <v>229</v>
      </c>
      <c r="E428" s="145"/>
      <c r="F428" s="143"/>
      <c r="G428" s="143"/>
      <c r="H428" s="152" t="s">
        <v>1547</v>
      </c>
      <c r="I428" s="143"/>
      <c r="J428" s="143"/>
      <c r="K428" s="143">
        <v>145</v>
      </c>
      <c r="L428" s="143">
        <v>240</v>
      </c>
      <c r="M428" s="143"/>
      <c r="N428" s="143"/>
      <c r="O428" s="143"/>
      <c r="P428" s="143"/>
      <c r="Q428" s="143"/>
      <c r="R428" s="143"/>
      <c r="S428" s="146"/>
      <c r="T428" s="146"/>
      <c r="U428" s="146"/>
      <c r="V428" s="147"/>
      <c r="W428" s="143" t="s">
        <v>49</v>
      </c>
      <c r="X428" s="143">
        <v>1562</v>
      </c>
      <c r="Y428" s="143" t="s">
        <v>1227</v>
      </c>
      <c r="Z428" s="143">
        <v>1562</v>
      </c>
      <c r="AA428" s="143"/>
      <c r="AB428" s="170"/>
      <c r="AC428" s="143"/>
      <c r="AD428" s="143"/>
      <c r="AE428" s="143"/>
      <c r="AF428" s="143"/>
      <c r="AG428" s="143" t="s">
        <v>562</v>
      </c>
      <c r="AH428" s="143"/>
      <c r="AI428" s="143"/>
      <c r="AJ428" s="143" t="s">
        <v>564</v>
      </c>
      <c r="AK428" s="143"/>
      <c r="AL428" s="143"/>
      <c r="AM428" s="143"/>
    </row>
    <row r="429" s="140" customFormat="1" ht="15" spans="1:43">
      <c r="A429" s="143">
        <v>427</v>
      </c>
      <c r="B429" s="144"/>
      <c r="C429" s="143" t="s">
        <v>193</v>
      </c>
      <c r="D429" s="143" t="s">
        <v>229</v>
      </c>
      <c r="E429" s="145"/>
      <c r="F429" s="143"/>
      <c r="G429" s="143"/>
      <c r="H429" s="152" t="s">
        <v>1548</v>
      </c>
      <c r="I429" s="143"/>
      <c r="J429" s="143"/>
      <c r="K429" s="143">
        <v>148</v>
      </c>
      <c r="L429" s="143"/>
      <c r="M429" s="143"/>
      <c r="N429" s="143"/>
      <c r="O429" s="143"/>
      <c r="P429" s="143"/>
      <c r="Q429" s="143"/>
      <c r="R429" s="143"/>
      <c r="S429" s="146"/>
      <c r="T429" s="146"/>
      <c r="U429" s="146"/>
      <c r="V429" s="147"/>
      <c r="W429" s="143" t="s">
        <v>49</v>
      </c>
      <c r="X429" s="143" t="s">
        <v>1549</v>
      </c>
      <c r="Y429" s="143" t="s">
        <v>1550</v>
      </c>
      <c r="Z429" s="143" t="s">
        <v>1549</v>
      </c>
      <c r="AA429" s="143"/>
      <c r="AB429" s="170"/>
      <c r="AC429" s="143"/>
      <c r="AD429" s="143"/>
      <c r="AE429" s="143"/>
      <c r="AF429" s="143"/>
      <c r="AG429" s="143" t="s">
        <v>506</v>
      </c>
      <c r="AH429" s="143"/>
      <c r="AI429" s="143"/>
      <c r="AJ429" s="143" t="s">
        <v>508</v>
      </c>
      <c r="AK429" s="143"/>
      <c r="AL429" s="143"/>
      <c r="AM429" s="143"/>
      <c r="AO429" s="148"/>
      <c r="AP429" s="148"/>
      <c r="AQ429" s="148"/>
    </row>
    <row r="430" s="140" customFormat="1" ht="15" spans="1:43">
      <c r="A430" s="143">
        <v>428</v>
      </c>
      <c r="B430" s="144"/>
      <c r="C430" s="143" t="s">
        <v>193</v>
      </c>
      <c r="D430" s="143" t="s">
        <v>557</v>
      </c>
      <c r="E430" s="145"/>
      <c r="F430" s="143"/>
      <c r="G430" s="143"/>
      <c r="H430" s="152" t="s">
        <v>1551</v>
      </c>
      <c r="I430" s="143" t="s">
        <v>1552</v>
      </c>
      <c r="J430" s="143" t="s">
        <v>1553</v>
      </c>
      <c r="K430" s="143">
        <v>150</v>
      </c>
      <c r="L430" s="143">
        <v>150</v>
      </c>
      <c r="M430" s="143"/>
      <c r="N430" s="143"/>
      <c r="O430" s="143"/>
      <c r="P430" s="143"/>
      <c r="Q430" s="143"/>
      <c r="R430" s="143"/>
      <c r="S430" s="146"/>
      <c r="T430" s="146"/>
      <c r="U430" s="146"/>
      <c r="V430" s="147"/>
      <c r="W430" s="143" t="s">
        <v>49</v>
      </c>
      <c r="X430" s="143" t="s">
        <v>1554</v>
      </c>
      <c r="Y430" s="143" t="s">
        <v>567</v>
      </c>
      <c r="Z430" s="143" t="s">
        <v>1554</v>
      </c>
      <c r="AA430" s="143">
        <v>44.5</v>
      </c>
      <c r="AB430" s="170">
        <v>45861</v>
      </c>
      <c r="AC430" s="143"/>
      <c r="AD430" s="143"/>
      <c r="AE430" s="143"/>
      <c r="AF430" s="143"/>
      <c r="AG430" s="143" t="s">
        <v>506</v>
      </c>
      <c r="AH430" s="143" t="s">
        <v>563</v>
      </c>
      <c r="AI430" s="143"/>
      <c r="AJ430" s="143" t="s">
        <v>508</v>
      </c>
      <c r="AK430" s="143"/>
      <c r="AL430" s="143"/>
      <c r="AM430" s="143"/>
      <c r="AN430" s="148" t="s">
        <v>1555</v>
      </c>
    </row>
    <row r="431" s="140" customFormat="1" ht="15" spans="1:43">
      <c r="A431" s="143">
        <v>429</v>
      </c>
      <c r="B431" s="144"/>
      <c r="C431" s="143" t="s">
        <v>193</v>
      </c>
      <c r="D431" s="143" t="s">
        <v>229</v>
      </c>
      <c r="E431" s="145"/>
      <c r="F431" s="143"/>
      <c r="G431" s="143"/>
      <c r="H431" s="152" t="s">
        <v>1556</v>
      </c>
      <c r="I431" s="143"/>
      <c r="J431" s="143"/>
      <c r="K431" s="143">
        <v>145</v>
      </c>
      <c r="L431" s="143">
        <v>200</v>
      </c>
      <c r="M431" s="143"/>
      <c r="N431" s="143"/>
      <c r="O431" s="143"/>
      <c r="P431" s="143"/>
      <c r="Q431" s="143"/>
      <c r="R431" s="143"/>
      <c r="S431" s="146"/>
      <c r="T431" s="146"/>
      <c r="U431" s="146"/>
      <c r="V431" s="147"/>
      <c r="W431" s="143" t="s">
        <v>49</v>
      </c>
      <c r="X431" s="143" t="s">
        <v>1557</v>
      </c>
      <c r="Y431" s="143" t="s">
        <v>1558</v>
      </c>
      <c r="Z431" s="143" t="s">
        <v>1557</v>
      </c>
      <c r="AA431" s="143"/>
      <c r="AB431" s="170"/>
      <c r="AC431" s="143"/>
      <c r="AD431" s="143"/>
      <c r="AE431" s="143"/>
      <c r="AF431" s="143"/>
      <c r="AG431" s="143" t="s">
        <v>312</v>
      </c>
      <c r="AH431" s="143"/>
      <c r="AI431" s="143"/>
      <c r="AJ431" s="143" t="s">
        <v>313</v>
      </c>
      <c r="AK431" s="143"/>
      <c r="AL431" s="143"/>
      <c r="AM431" s="143"/>
    </row>
    <row r="432" s="140" customFormat="1" ht="15" spans="1:43">
      <c r="A432" s="143">
        <v>430</v>
      </c>
      <c r="B432" s="144"/>
      <c r="C432" s="143" t="s">
        <v>193</v>
      </c>
      <c r="D432" s="143" t="s">
        <v>229</v>
      </c>
      <c r="E432" s="145"/>
      <c r="F432" s="143"/>
      <c r="G432" s="143"/>
      <c r="H432" s="152" t="s">
        <v>1559</v>
      </c>
      <c r="I432" s="143"/>
      <c r="J432" s="143"/>
      <c r="K432" s="143">
        <v>160</v>
      </c>
      <c r="L432" s="143">
        <v>177</v>
      </c>
      <c r="M432" s="143"/>
      <c r="N432" s="143"/>
      <c r="O432" s="143"/>
      <c r="P432" s="143"/>
      <c r="Q432" s="143"/>
      <c r="R432" s="143"/>
      <c r="S432" s="146"/>
      <c r="T432" s="146"/>
      <c r="U432" s="146"/>
      <c r="V432" s="147"/>
      <c r="W432" s="143" t="s">
        <v>49</v>
      </c>
      <c r="X432" s="143" t="s">
        <v>1560</v>
      </c>
      <c r="Y432" s="143" t="s">
        <v>1558</v>
      </c>
      <c r="Z432" s="143" t="s">
        <v>1560</v>
      </c>
      <c r="AA432" s="143"/>
      <c r="AB432" s="170"/>
      <c r="AC432" s="143"/>
      <c r="AD432" s="143"/>
      <c r="AE432" s="143"/>
      <c r="AF432" s="143"/>
      <c r="AG432" s="143" t="s">
        <v>312</v>
      </c>
      <c r="AH432" s="143"/>
      <c r="AI432" s="143"/>
      <c r="AJ432" s="143" t="s">
        <v>313</v>
      </c>
      <c r="AK432" s="143"/>
      <c r="AL432" s="143"/>
      <c r="AM432" s="143"/>
    </row>
    <row r="433" s="140" customFormat="1" ht="15" spans="1:39">
      <c r="A433" s="143">
        <v>431</v>
      </c>
      <c r="B433" s="144"/>
      <c r="C433" s="143" t="s">
        <v>193</v>
      </c>
      <c r="D433" s="143" t="s">
        <v>229</v>
      </c>
      <c r="E433" s="145"/>
      <c r="F433" s="143"/>
      <c r="G433" s="143"/>
      <c r="H433" s="152" t="s">
        <v>1561</v>
      </c>
      <c r="I433" s="143"/>
      <c r="J433" s="143"/>
      <c r="K433" s="143">
        <v>155</v>
      </c>
      <c r="L433" s="143">
        <v>245</v>
      </c>
      <c r="M433" s="143"/>
      <c r="N433" s="143"/>
      <c r="O433" s="143"/>
      <c r="P433" s="143"/>
      <c r="Q433" s="143"/>
      <c r="R433" s="143"/>
      <c r="S433" s="146"/>
      <c r="T433" s="146"/>
      <c r="U433" s="146"/>
      <c r="V433" s="147"/>
      <c r="W433" s="143" t="s">
        <v>49</v>
      </c>
      <c r="X433" s="143" t="s">
        <v>1562</v>
      </c>
      <c r="Y433" s="143" t="s">
        <v>1558</v>
      </c>
      <c r="Z433" s="143" t="s">
        <v>1562</v>
      </c>
      <c r="AA433" s="143"/>
      <c r="AB433" s="170"/>
      <c r="AC433" s="143"/>
      <c r="AD433" s="143"/>
      <c r="AE433" s="143"/>
      <c r="AF433" s="143"/>
      <c r="AG433" s="143" t="s">
        <v>312</v>
      </c>
      <c r="AH433" s="143"/>
      <c r="AI433" s="143"/>
      <c r="AJ433" s="143" t="s">
        <v>313</v>
      </c>
      <c r="AK433" s="143"/>
      <c r="AL433" s="143"/>
      <c r="AM433" s="143"/>
    </row>
    <row r="434" s="140" customFormat="1" ht="15" spans="1:39">
      <c r="A434" s="143">
        <v>432</v>
      </c>
      <c r="B434" s="144"/>
      <c r="C434" s="143" t="s">
        <v>193</v>
      </c>
      <c r="D434" s="143" t="s">
        <v>229</v>
      </c>
      <c r="E434" s="145"/>
      <c r="F434" s="143"/>
      <c r="G434" s="143"/>
      <c r="H434" s="152" t="s">
        <v>1563</v>
      </c>
      <c r="I434" s="143"/>
      <c r="J434" s="143"/>
      <c r="K434" s="143">
        <v>185</v>
      </c>
      <c r="L434" s="143">
        <v>260</v>
      </c>
      <c r="M434" s="143"/>
      <c r="N434" s="143"/>
      <c r="O434" s="143"/>
      <c r="P434" s="143"/>
      <c r="Q434" s="143"/>
      <c r="R434" s="143"/>
      <c r="S434" s="146"/>
      <c r="T434" s="146"/>
      <c r="U434" s="146"/>
      <c r="V434" s="147"/>
      <c r="W434" s="143" t="s">
        <v>49</v>
      </c>
      <c r="X434" s="143">
        <v>6833</v>
      </c>
      <c r="Y434" s="143" t="s">
        <v>1564</v>
      </c>
      <c r="Z434" s="143">
        <v>6833</v>
      </c>
      <c r="AA434" s="143"/>
      <c r="AB434" s="170"/>
      <c r="AC434" s="143"/>
      <c r="AD434" s="143"/>
      <c r="AE434" s="143"/>
      <c r="AF434" s="143"/>
      <c r="AG434" s="143" t="s">
        <v>562</v>
      </c>
      <c r="AH434" s="143"/>
      <c r="AI434" s="143"/>
      <c r="AJ434" s="143" t="s">
        <v>564</v>
      </c>
      <c r="AK434" s="143"/>
      <c r="AL434" s="143"/>
      <c r="AM434" s="143"/>
    </row>
    <row r="435" s="140" customFormat="1" ht="15" spans="1:39">
      <c r="A435" s="143">
        <v>433</v>
      </c>
      <c r="B435" s="144"/>
      <c r="C435" s="143" t="s">
        <v>193</v>
      </c>
      <c r="D435" s="143" t="s">
        <v>229</v>
      </c>
      <c r="E435" s="145"/>
      <c r="F435" s="143"/>
      <c r="G435" s="143"/>
      <c r="H435" s="152" t="s">
        <v>1565</v>
      </c>
      <c r="I435" s="143"/>
      <c r="J435" s="143"/>
      <c r="K435" s="143">
        <v>160</v>
      </c>
      <c r="L435" s="143">
        <v>240</v>
      </c>
      <c r="M435" s="143"/>
      <c r="N435" s="143"/>
      <c r="O435" s="143"/>
      <c r="P435" s="143"/>
      <c r="Q435" s="143"/>
      <c r="R435" s="143"/>
      <c r="S435" s="146"/>
      <c r="T435" s="146"/>
      <c r="U435" s="146"/>
      <c r="V435" s="147"/>
      <c r="W435" s="143" t="s">
        <v>49</v>
      </c>
      <c r="X435" s="143" t="s">
        <v>1566</v>
      </c>
      <c r="Y435" s="143" t="s">
        <v>1567</v>
      </c>
      <c r="Z435" s="143" t="s">
        <v>1566</v>
      </c>
      <c r="AA435" s="143"/>
      <c r="AB435" s="170"/>
      <c r="AC435" s="143"/>
      <c r="AD435" s="143"/>
      <c r="AE435" s="143"/>
      <c r="AF435" s="143"/>
      <c r="AG435" s="143" t="s">
        <v>562</v>
      </c>
      <c r="AH435" s="143"/>
      <c r="AI435" s="143"/>
      <c r="AJ435" s="143" t="s">
        <v>564</v>
      </c>
      <c r="AK435" s="143"/>
      <c r="AL435" s="143"/>
      <c r="AM435" s="143"/>
    </row>
    <row r="436" s="140" customFormat="1" ht="15" spans="1:39">
      <c r="A436" s="143">
        <v>434</v>
      </c>
      <c r="B436" s="144"/>
      <c r="C436" s="143" t="s">
        <v>193</v>
      </c>
      <c r="D436" s="143" t="s">
        <v>229</v>
      </c>
      <c r="E436" s="145"/>
      <c r="F436" s="143"/>
      <c r="G436" s="143"/>
      <c r="H436" s="152" t="s">
        <v>1568</v>
      </c>
      <c r="I436" s="143"/>
      <c r="J436" s="143"/>
      <c r="K436" s="143">
        <v>165</v>
      </c>
      <c r="L436" s="143">
        <v>250</v>
      </c>
      <c r="M436" s="143"/>
      <c r="N436" s="143"/>
      <c r="O436" s="143"/>
      <c r="P436" s="143"/>
      <c r="Q436" s="143"/>
      <c r="R436" s="143"/>
      <c r="S436" s="146"/>
      <c r="T436" s="146"/>
      <c r="U436" s="146"/>
      <c r="V436" s="147"/>
      <c r="W436" s="143" t="s">
        <v>49</v>
      </c>
      <c r="X436" s="143">
        <v>776850</v>
      </c>
      <c r="Y436" s="143" t="s">
        <v>1564</v>
      </c>
      <c r="Z436" s="143">
        <v>776850</v>
      </c>
      <c r="AA436" s="143"/>
      <c r="AB436" s="170"/>
      <c r="AC436" s="143"/>
      <c r="AD436" s="143"/>
      <c r="AE436" s="143"/>
      <c r="AF436" s="143"/>
      <c r="AG436" s="143" t="s">
        <v>562</v>
      </c>
      <c r="AH436" s="143"/>
      <c r="AI436" s="143"/>
      <c r="AJ436" s="143" t="s">
        <v>564</v>
      </c>
      <c r="AK436" s="143"/>
      <c r="AL436" s="143"/>
      <c r="AM436" s="143"/>
    </row>
    <row r="437" s="140" customFormat="1" ht="15" spans="1:39">
      <c r="A437" s="143">
        <v>435</v>
      </c>
      <c r="B437" s="144"/>
      <c r="C437" s="143" t="s">
        <v>193</v>
      </c>
      <c r="D437" s="143" t="s">
        <v>229</v>
      </c>
      <c r="E437" s="145"/>
      <c r="F437" s="143"/>
      <c r="G437" s="143"/>
      <c r="H437" s="152" t="s">
        <v>1569</v>
      </c>
      <c r="I437" s="143"/>
      <c r="J437" s="143"/>
      <c r="K437" s="143">
        <v>170</v>
      </c>
      <c r="L437" s="143">
        <v>210</v>
      </c>
      <c r="M437" s="143"/>
      <c r="N437" s="143"/>
      <c r="O437" s="143"/>
      <c r="P437" s="143"/>
      <c r="Q437" s="143"/>
      <c r="R437" s="143"/>
      <c r="S437" s="146"/>
      <c r="T437" s="146"/>
      <c r="U437" s="146"/>
      <c r="V437" s="147"/>
      <c r="W437" s="143" t="s">
        <v>49</v>
      </c>
      <c r="X437" s="143">
        <v>759005</v>
      </c>
      <c r="Y437" s="143" t="s">
        <v>1564</v>
      </c>
      <c r="Z437" s="143">
        <v>759005</v>
      </c>
      <c r="AA437" s="143"/>
      <c r="AB437" s="170"/>
      <c r="AC437" s="143"/>
      <c r="AD437" s="143"/>
      <c r="AE437" s="143"/>
      <c r="AF437" s="143"/>
      <c r="AG437" s="143" t="s">
        <v>562</v>
      </c>
      <c r="AH437" s="143"/>
      <c r="AI437" s="143"/>
      <c r="AJ437" s="143" t="s">
        <v>564</v>
      </c>
      <c r="AK437" s="143"/>
      <c r="AL437" s="143"/>
      <c r="AM437" s="143"/>
    </row>
    <row r="438" s="140" customFormat="1" ht="15" spans="1:39">
      <c r="A438" s="143">
        <v>436</v>
      </c>
      <c r="B438" s="144"/>
      <c r="C438" s="143" t="s">
        <v>193</v>
      </c>
      <c r="D438" s="143" t="s">
        <v>229</v>
      </c>
      <c r="E438" s="145"/>
      <c r="F438" s="143"/>
      <c r="G438" s="143"/>
      <c r="H438" s="152" t="s">
        <v>1570</v>
      </c>
      <c r="I438" s="143"/>
      <c r="J438" s="143"/>
      <c r="K438" s="143">
        <v>165</v>
      </c>
      <c r="L438" s="143">
        <v>250</v>
      </c>
      <c r="M438" s="143"/>
      <c r="N438" s="143"/>
      <c r="O438" s="143"/>
      <c r="P438" s="143"/>
      <c r="Q438" s="143"/>
      <c r="R438" s="143"/>
      <c r="S438" s="146"/>
      <c r="T438" s="146"/>
      <c r="U438" s="146"/>
      <c r="V438" s="147"/>
      <c r="W438" s="143" t="s">
        <v>49</v>
      </c>
      <c r="X438" s="143">
        <v>212523</v>
      </c>
      <c r="Y438" s="143" t="s">
        <v>1564</v>
      </c>
      <c r="Z438" s="143">
        <v>212523</v>
      </c>
      <c r="AA438" s="143"/>
      <c r="AB438" s="170"/>
      <c r="AC438" s="143"/>
      <c r="AD438" s="143"/>
      <c r="AE438" s="143"/>
      <c r="AF438" s="143"/>
      <c r="AG438" s="143" t="s">
        <v>562</v>
      </c>
      <c r="AH438" s="143"/>
      <c r="AI438" s="143"/>
      <c r="AJ438" s="143" t="s">
        <v>564</v>
      </c>
      <c r="AK438" s="143"/>
      <c r="AL438" s="143"/>
      <c r="AM438" s="143"/>
    </row>
    <row r="439" s="140" customFormat="1" ht="15" spans="1:39">
      <c r="A439" s="143">
        <v>437</v>
      </c>
      <c r="B439" s="144"/>
      <c r="C439" s="143" t="s">
        <v>193</v>
      </c>
      <c r="D439" s="143" t="s">
        <v>229</v>
      </c>
      <c r="E439" s="145"/>
      <c r="F439" s="143"/>
      <c r="G439" s="143"/>
      <c r="H439" s="152" t="s">
        <v>1571</v>
      </c>
      <c r="I439" s="143" t="s">
        <v>45</v>
      </c>
      <c r="J439" s="143" t="s">
        <v>1572</v>
      </c>
      <c r="K439" s="143">
        <v>175</v>
      </c>
      <c r="L439" s="143">
        <v>150</v>
      </c>
      <c r="M439" s="143"/>
      <c r="N439" s="143"/>
      <c r="O439" s="143"/>
      <c r="P439" s="143"/>
      <c r="Q439" s="143"/>
      <c r="R439" s="143"/>
      <c r="S439" s="146"/>
      <c r="T439" s="146"/>
      <c r="U439" s="146"/>
      <c r="V439" s="147"/>
      <c r="W439" s="143" t="s">
        <v>49</v>
      </c>
      <c r="X439" s="143" t="s">
        <v>1573</v>
      </c>
      <c r="Y439" s="143" t="s">
        <v>1574</v>
      </c>
      <c r="Z439" s="143" t="s">
        <v>1573</v>
      </c>
      <c r="AA439" s="143"/>
      <c r="AB439" s="170"/>
      <c r="AC439" s="143"/>
      <c r="AD439" s="143"/>
      <c r="AE439" s="143"/>
      <c r="AF439" s="143"/>
      <c r="AG439" s="143" t="s">
        <v>1022</v>
      </c>
      <c r="AH439" s="143"/>
      <c r="AI439" s="143"/>
      <c r="AJ439" s="143" t="s">
        <v>1023</v>
      </c>
      <c r="AK439" s="143"/>
      <c r="AL439" s="143"/>
      <c r="AM439" s="143"/>
    </row>
    <row r="440" s="140" customFormat="1" ht="15" spans="1:39">
      <c r="A440" s="143">
        <v>438</v>
      </c>
      <c r="B440" s="144">
        <v>45807</v>
      </c>
      <c r="C440" s="143" t="s">
        <v>40</v>
      </c>
      <c r="D440" s="143" t="s">
        <v>41</v>
      </c>
      <c r="E440" s="145"/>
      <c r="F440" s="143" t="s">
        <v>1575</v>
      </c>
      <c r="G440" s="143"/>
      <c r="H440" s="143" t="s">
        <v>1576</v>
      </c>
      <c r="I440" s="143" t="s">
        <v>324</v>
      </c>
      <c r="J440" s="143" t="s">
        <v>1577</v>
      </c>
      <c r="K440" s="143">
        <v>150</v>
      </c>
      <c r="L440" s="143">
        <v>130</v>
      </c>
      <c r="M440" s="143"/>
      <c r="N440" s="143"/>
      <c r="O440" s="143"/>
      <c r="P440" s="143"/>
      <c r="Q440" s="143"/>
      <c r="R440" s="143"/>
      <c r="S440" s="146"/>
      <c r="T440" s="146"/>
      <c r="U440" s="146"/>
      <c r="V440" s="147"/>
      <c r="W440" s="143" t="s">
        <v>49</v>
      </c>
      <c r="X440" s="143" t="s">
        <v>1575</v>
      </c>
      <c r="Y440" s="143" t="s">
        <v>1578</v>
      </c>
      <c r="Z440" s="143" t="s">
        <v>1575</v>
      </c>
      <c r="AA440" s="143">
        <v>10.1</v>
      </c>
      <c r="AB440" s="170">
        <v>45807</v>
      </c>
      <c r="AC440" s="143"/>
      <c r="AD440" s="143"/>
      <c r="AE440" s="143"/>
      <c r="AF440" s="143"/>
      <c r="AG440" s="143"/>
      <c r="AH440" s="143"/>
      <c r="AI440" s="143"/>
      <c r="AJ440" s="143"/>
      <c r="AK440" s="143"/>
      <c r="AL440" s="143"/>
      <c r="AM440" s="143"/>
    </row>
    <row r="441" s="140" customFormat="1" ht="15" spans="1:39">
      <c r="A441" s="143">
        <v>439</v>
      </c>
      <c r="B441" s="144">
        <v>45807</v>
      </c>
      <c r="C441" s="143" t="s">
        <v>40</v>
      </c>
      <c r="D441" s="143" t="s">
        <v>41</v>
      </c>
      <c r="E441" s="145"/>
      <c r="F441" s="143" t="s">
        <v>1579</v>
      </c>
      <c r="G441" s="143"/>
      <c r="H441" s="143" t="s">
        <v>1580</v>
      </c>
      <c r="I441" s="143" t="s">
        <v>324</v>
      </c>
      <c r="J441" s="143" t="s">
        <v>1577</v>
      </c>
      <c r="K441" s="143">
        <v>150</v>
      </c>
      <c r="L441" s="143">
        <v>123</v>
      </c>
      <c r="M441" s="143"/>
      <c r="N441" s="143"/>
      <c r="O441" s="143"/>
      <c r="P441" s="143"/>
      <c r="Q441" s="143"/>
      <c r="R441" s="143"/>
      <c r="S441" s="146"/>
      <c r="T441" s="146"/>
      <c r="U441" s="146"/>
      <c r="V441" s="147"/>
      <c r="W441" s="143" t="s">
        <v>49</v>
      </c>
      <c r="X441" s="143" t="s">
        <v>1579</v>
      </c>
      <c r="Y441" s="143" t="s">
        <v>1581</v>
      </c>
      <c r="Z441" s="143" t="s">
        <v>1579</v>
      </c>
      <c r="AA441" s="143">
        <v>8.5</v>
      </c>
      <c r="AB441" s="170">
        <v>45807</v>
      </c>
      <c r="AC441" s="143"/>
      <c r="AD441" s="143"/>
      <c r="AE441" s="143"/>
      <c r="AF441" s="143"/>
      <c r="AG441" s="143"/>
      <c r="AH441" s="143"/>
      <c r="AI441" s="143"/>
      <c r="AJ441" s="143"/>
      <c r="AK441" s="143"/>
      <c r="AL441" s="143"/>
      <c r="AM441" s="143"/>
    </row>
    <row r="442" s="140" customFormat="1" ht="15" spans="1:39">
      <c r="A442" s="143">
        <v>440</v>
      </c>
      <c r="B442" s="144">
        <v>45807</v>
      </c>
      <c r="C442" s="143" t="s">
        <v>40</v>
      </c>
      <c r="D442" s="143" t="s">
        <v>41</v>
      </c>
      <c r="E442" s="145"/>
      <c r="F442" s="143" t="s">
        <v>1582</v>
      </c>
      <c r="G442" s="143"/>
      <c r="H442" s="143" t="s">
        <v>1583</v>
      </c>
      <c r="I442" s="143" t="s">
        <v>324</v>
      </c>
      <c r="J442" s="143" t="s">
        <v>1577</v>
      </c>
      <c r="K442" s="143">
        <v>150</v>
      </c>
      <c r="L442" s="143">
        <v>175</v>
      </c>
      <c r="M442" s="143"/>
      <c r="N442" s="143"/>
      <c r="O442" s="143"/>
      <c r="P442" s="143"/>
      <c r="Q442" s="143"/>
      <c r="R442" s="143"/>
      <c r="S442" s="146"/>
      <c r="T442" s="146"/>
      <c r="U442" s="146"/>
      <c r="V442" s="147"/>
      <c r="W442" s="143" t="s">
        <v>49</v>
      </c>
      <c r="X442" s="143" t="s">
        <v>1582</v>
      </c>
      <c r="Y442" s="143" t="s">
        <v>480</v>
      </c>
      <c r="Z442" s="143" t="s">
        <v>1582</v>
      </c>
      <c r="AA442" s="143">
        <v>8.9</v>
      </c>
      <c r="AB442" s="170">
        <v>45807</v>
      </c>
      <c r="AC442" s="143"/>
      <c r="AD442" s="143"/>
      <c r="AE442" s="143"/>
      <c r="AF442" s="143"/>
      <c r="AG442" s="143"/>
      <c r="AH442" s="143"/>
      <c r="AI442" s="143"/>
      <c r="AJ442" s="143"/>
      <c r="AK442" s="143"/>
      <c r="AL442" s="143"/>
      <c r="AM442" s="143"/>
    </row>
    <row r="443" s="140" customFormat="1" ht="15" spans="1:39">
      <c r="A443" s="143">
        <v>441</v>
      </c>
      <c r="B443" s="144">
        <v>45807</v>
      </c>
      <c r="C443" s="143" t="s">
        <v>40</v>
      </c>
      <c r="D443" s="143" t="s">
        <v>41</v>
      </c>
      <c r="E443" s="145"/>
      <c r="F443" s="143" t="s">
        <v>1584</v>
      </c>
      <c r="G443" s="143"/>
      <c r="H443" s="143" t="s">
        <v>1585</v>
      </c>
      <c r="I443" s="143" t="s">
        <v>324</v>
      </c>
      <c r="J443" s="143" t="s">
        <v>1577</v>
      </c>
      <c r="K443" s="143">
        <v>150</v>
      </c>
      <c r="L443" s="143">
        <v>164</v>
      </c>
      <c r="M443" s="143"/>
      <c r="N443" s="143"/>
      <c r="O443" s="143"/>
      <c r="P443" s="143"/>
      <c r="Q443" s="143"/>
      <c r="R443" s="143"/>
      <c r="S443" s="146"/>
      <c r="T443" s="146"/>
      <c r="U443" s="146"/>
      <c r="V443" s="147"/>
      <c r="W443" s="143" t="s">
        <v>49</v>
      </c>
      <c r="X443" s="143" t="s">
        <v>1584</v>
      </c>
      <c r="Y443" s="143" t="s">
        <v>480</v>
      </c>
      <c r="Z443" s="143" t="s">
        <v>1584</v>
      </c>
      <c r="AA443" s="143">
        <v>8.7</v>
      </c>
      <c r="AB443" s="170">
        <v>45807</v>
      </c>
      <c r="AC443" s="143"/>
      <c r="AD443" s="143"/>
      <c r="AE443" s="143"/>
      <c r="AF443" s="143"/>
      <c r="AG443" s="143"/>
      <c r="AH443" s="143"/>
      <c r="AI443" s="143"/>
      <c r="AJ443" s="143"/>
      <c r="AK443" s="143"/>
      <c r="AL443" s="143"/>
      <c r="AM443" s="143"/>
    </row>
    <row r="444" s="140" customFormat="1" ht="15" spans="1:39">
      <c r="A444" s="143">
        <v>442</v>
      </c>
      <c r="B444" s="144">
        <v>45807</v>
      </c>
      <c r="C444" s="143" t="s">
        <v>40</v>
      </c>
      <c r="D444" s="143" t="s">
        <v>41</v>
      </c>
      <c r="E444" s="145"/>
      <c r="F444" s="143" t="s">
        <v>1586</v>
      </c>
      <c r="G444" s="143"/>
      <c r="H444" s="143" t="s">
        <v>1587</v>
      </c>
      <c r="I444" s="143" t="s">
        <v>478</v>
      </c>
      <c r="J444" s="143" t="s">
        <v>1588</v>
      </c>
      <c r="K444" s="143">
        <v>150</v>
      </c>
      <c r="L444" s="143">
        <v>138</v>
      </c>
      <c r="M444" s="143"/>
      <c r="N444" s="143"/>
      <c r="O444" s="143"/>
      <c r="P444" s="143"/>
      <c r="Q444" s="143"/>
      <c r="R444" s="143"/>
      <c r="S444" s="146"/>
      <c r="T444" s="146"/>
      <c r="U444" s="146"/>
      <c r="V444" s="147"/>
      <c r="W444" s="143" t="s">
        <v>49</v>
      </c>
      <c r="X444" s="143" t="s">
        <v>1586</v>
      </c>
      <c r="Y444" s="143" t="s">
        <v>1589</v>
      </c>
      <c r="Z444" s="143" t="s">
        <v>1586</v>
      </c>
      <c r="AA444" s="143">
        <v>7.8</v>
      </c>
      <c r="AB444" s="170">
        <v>45807</v>
      </c>
      <c r="AC444" s="143"/>
      <c r="AD444" s="143"/>
      <c r="AE444" s="143"/>
      <c r="AF444" s="143"/>
      <c r="AG444" s="143"/>
      <c r="AH444" s="143"/>
      <c r="AI444" s="143"/>
      <c r="AJ444" s="143"/>
      <c r="AK444" s="143"/>
      <c r="AL444" s="143"/>
      <c r="AM444" s="143"/>
    </row>
    <row r="445" s="140" customFormat="1" ht="15" spans="1:39">
      <c r="A445" s="143">
        <v>443</v>
      </c>
      <c r="B445" s="144">
        <v>45807</v>
      </c>
      <c r="C445" s="143" t="s">
        <v>40</v>
      </c>
      <c r="D445" s="143" t="s">
        <v>41</v>
      </c>
      <c r="E445" s="145"/>
      <c r="F445" s="143" t="s">
        <v>1590</v>
      </c>
      <c r="G445" s="143"/>
      <c r="H445" s="143" t="s">
        <v>1591</v>
      </c>
      <c r="I445" s="143" t="s">
        <v>1592</v>
      </c>
      <c r="J445" s="143" t="s">
        <v>854</v>
      </c>
      <c r="K445" s="143">
        <v>150</v>
      </c>
      <c r="L445" s="143">
        <v>110</v>
      </c>
      <c r="M445" s="143"/>
      <c r="N445" s="143"/>
      <c r="O445" s="143"/>
      <c r="P445" s="143"/>
      <c r="Q445" s="143"/>
      <c r="R445" s="143"/>
      <c r="S445" s="146"/>
      <c r="T445" s="146"/>
      <c r="U445" s="146"/>
      <c r="V445" s="147"/>
      <c r="W445" s="143" t="s">
        <v>49</v>
      </c>
      <c r="X445" s="143" t="s">
        <v>1590</v>
      </c>
      <c r="Y445" s="143" t="s">
        <v>859</v>
      </c>
      <c r="Z445" s="143" t="s">
        <v>1590</v>
      </c>
      <c r="AA445" s="143">
        <v>15.8</v>
      </c>
      <c r="AB445" s="170">
        <v>45807</v>
      </c>
      <c r="AC445" s="143"/>
      <c r="AD445" s="143"/>
      <c r="AE445" s="143"/>
      <c r="AF445" s="143"/>
      <c r="AG445" s="143"/>
      <c r="AH445" s="143"/>
      <c r="AI445" s="143"/>
      <c r="AJ445" s="143"/>
      <c r="AK445" s="143"/>
      <c r="AL445" s="143"/>
      <c r="AM445" s="143"/>
    </row>
    <row r="446" s="140" customFormat="1" ht="15" spans="1:39">
      <c r="A446" s="143">
        <v>444</v>
      </c>
      <c r="B446" s="144">
        <v>45807</v>
      </c>
      <c r="C446" s="143" t="s">
        <v>40</v>
      </c>
      <c r="D446" s="143" t="s">
        <v>41</v>
      </c>
      <c r="E446" s="145"/>
      <c r="F446" s="143">
        <v>1562</v>
      </c>
      <c r="G446" s="143"/>
      <c r="H446" s="143" t="s">
        <v>1593</v>
      </c>
      <c r="I446" s="143" t="s">
        <v>324</v>
      </c>
      <c r="J446" s="143" t="s">
        <v>1577</v>
      </c>
      <c r="K446" s="143">
        <v>150</v>
      </c>
      <c r="L446" s="143">
        <v>98</v>
      </c>
      <c r="M446" s="143"/>
      <c r="N446" s="143"/>
      <c r="O446" s="143"/>
      <c r="P446" s="143"/>
      <c r="Q446" s="143"/>
      <c r="R446" s="143"/>
      <c r="S446" s="146"/>
      <c r="T446" s="146"/>
      <c r="U446" s="146"/>
      <c r="V446" s="147"/>
      <c r="W446" s="143" t="s">
        <v>49</v>
      </c>
      <c r="X446" s="143">
        <v>1562</v>
      </c>
      <c r="Y446" s="169" t="s">
        <v>1594</v>
      </c>
      <c r="Z446" s="143">
        <v>1562</v>
      </c>
      <c r="AA446" s="143">
        <v>6.8</v>
      </c>
      <c r="AB446" s="170">
        <v>45807</v>
      </c>
      <c r="AC446" s="143"/>
      <c r="AD446" s="143"/>
      <c r="AE446" s="143"/>
      <c r="AF446" s="143"/>
      <c r="AG446" s="143"/>
      <c r="AH446" s="143"/>
      <c r="AI446" s="143"/>
      <c r="AJ446" s="143"/>
      <c r="AK446" s="143"/>
      <c r="AL446" s="143"/>
      <c r="AM446" s="143"/>
    </row>
    <row r="447" s="140" customFormat="1" ht="15" spans="1:39">
      <c r="A447" s="143">
        <v>445</v>
      </c>
      <c r="B447" s="144"/>
      <c r="C447" s="143" t="s">
        <v>193</v>
      </c>
      <c r="D447" s="143" t="s">
        <v>229</v>
      </c>
      <c r="E447" s="145"/>
      <c r="F447" s="143"/>
      <c r="G447" s="143"/>
      <c r="H447" s="152" t="s">
        <v>1595</v>
      </c>
      <c r="I447" s="143"/>
      <c r="J447" s="143"/>
      <c r="K447" s="143">
        <v>140</v>
      </c>
      <c r="L447" s="143"/>
      <c r="M447" s="143"/>
      <c r="N447" s="143"/>
      <c r="O447" s="143"/>
      <c r="P447" s="143"/>
      <c r="Q447" s="143"/>
      <c r="R447" s="143"/>
      <c r="S447" s="146"/>
      <c r="T447" s="146"/>
      <c r="U447" s="146"/>
      <c r="V447" s="147"/>
      <c r="W447" s="143" t="s">
        <v>49</v>
      </c>
      <c r="X447" s="143">
        <v>35416</v>
      </c>
      <c r="Y447" s="143" t="s">
        <v>1596</v>
      </c>
      <c r="Z447" s="143">
        <v>35416</v>
      </c>
      <c r="AA447" s="143"/>
      <c r="AB447" s="170"/>
      <c r="AC447" s="143"/>
      <c r="AD447" s="143"/>
      <c r="AE447" s="143"/>
      <c r="AF447" s="143"/>
      <c r="AG447" s="143" t="s">
        <v>312</v>
      </c>
      <c r="AH447" s="143"/>
      <c r="AI447" s="143"/>
      <c r="AJ447" s="143" t="s">
        <v>313</v>
      </c>
      <c r="AK447" s="143"/>
      <c r="AL447" s="143"/>
      <c r="AM447" s="143"/>
    </row>
    <row r="448" s="140" customFormat="1" ht="15" spans="1:39">
      <c r="A448" s="143">
        <v>446</v>
      </c>
      <c r="B448" s="144"/>
      <c r="C448" s="143" t="s">
        <v>193</v>
      </c>
      <c r="D448" s="143" t="s">
        <v>229</v>
      </c>
      <c r="E448" s="145"/>
      <c r="F448" s="143"/>
      <c r="G448" s="143"/>
      <c r="H448" s="152" t="s">
        <v>1597</v>
      </c>
      <c r="I448" s="143"/>
      <c r="J448" s="143"/>
      <c r="K448" s="143">
        <v>140</v>
      </c>
      <c r="L448" s="143"/>
      <c r="M448" s="143"/>
      <c r="N448" s="143"/>
      <c r="O448" s="143"/>
      <c r="P448" s="143"/>
      <c r="Q448" s="143"/>
      <c r="R448" s="143"/>
      <c r="S448" s="146"/>
      <c r="T448" s="146"/>
      <c r="U448" s="146"/>
      <c r="V448" s="147"/>
      <c r="W448" s="143" t="s">
        <v>49</v>
      </c>
      <c r="X448" s="143">
        <v>36695</v>
      </c>
      <c r="Y448" s="143" t="s">
        <v>1596</v>
      </c>
      <c r="Z448" s="143">
        <v>36695</v>
      </c>
      <c r="AA448" s="143"/>
      <c r="AB448" s="170"/>
      <c r="AC448" s="143"/>
      <c r="AD448" s="143"/>
      <c r="AE448" s="143"/>
      <c r="AF448" s="143"/>
      <c r="AG448" s="143" t="s">
        <v>312</v>
      </c>
      <c r="AH448" s="143"/>
      <c r="AI448" s="143"/>
      <c r="AJ448" s="143" t="s">
        <v>313</v>
      </c>
      <c r="AK448" s="143"/>
      <c r="AL448" s="143"/>
      <c r="AM448" s="143"/>
    </row>
    <row r="449" s="140" customFormat="1" ht="15" spans="1:43">
      <c r="A449" s="143">
        <v>447</v>
      </c>
      <c r="B449" s="144"/>
      <c r="C449" s="143" t="s">
        <v>193</v>
      </c>
      <c r="D449" s="143" t="s">
        <v>229</v>
      </c>
      <c r="E449" s="145"/>
      <c r="F449" s="143"/>
      <c r="G449" s="143"/>
      <c r="H449" s="152" t="s">
        <v>1598</v>
      </c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6"/>
      <c r="T449" s="146"/>
      <c r="U449" s="146"/>
      <c r="V449" s="147"/>
      <c r="W449" s="143" t="s">
        <v>49</v>
      </c>
      <c r="X449" s="143" t="s">
        <v>1599</v>
      </c>
      <c r="Y449" s="143" t="s">
        <v>1600</v>
      </c>
      <c r="Z449" s="143" t="s">
        <v>1599</v>
      </c>
      <c r="AA449" s="143"/>
      <c r="AB449" s="170"/>
      <c r="AC449" s="143"/>
      <c r="AD449" s="143"/>
      <c r="AE449" s="143"/>
      <c r="AF449" s="143"/>
      <c r="AG449" s="143" t="s">
        <v>269</v>
      </c>
      <c r="AH449" s="143"/>
      <c r="AI449" s="143"/>
      <c r="AJ449" s="143" t="s">
        <v>270</v>
      </c>
      <c r="AK449" s="143"/>
      <c r="AL449" s="143"/>
      <c r="AM449" s="143"/>
    </row>
    <row r="450" s="140" customFormat="1" ht="15" spans="1:43">
      <c r="A450" s="143">
        <v>448</v>
      </c>
      <c r="B450" s="144"/>
      <c r="C450" s="143" t="s">
        <v>193</v>
      </c>
      <c r="D450" s="143" t="s">
        <v>229</v>
      </c>
      <c r="E450" s="145"/>
      <c r="F450" s="143"/>
      <c r="G450" s="143"/>
      <c r="H450" s="152" t="s">
        <v>1601</v>
      </c>
      <c r="I450" s="143"/>
      <c r="J450" s="143"/>
      <c r="K450" s="143">
        <v>160</v>
      </c>
      <c r="L450" s="143">
        <v>260</v>
      </c>
      <c r="M450" s="143"/>
      <c r="N450" s="143"/>
      <c r="O450" s="143"/>
      <c r="P450" s="143"/>
      <c r="Q450" s="143"/>
      <c r="R450" s="143"/>
      <c r="S450" s="146"/>
      <c r="T450" s="146"/>
      <c r="U450" s="146"/>
      <c r="V450" s="147"/>
      <c r="W450" s="143" t="s">
        <v>49</v>
      </c>
      <c r="X450" s="143" t="s">
        <v>1602</v>
      </c>
      <c r="Y450" s="143" t="s">
        <v>1600</v>
      </c>
      <c r="Z450" s="143" t="s">
        <v>1602</v>
      </c>
      <c r="AA450" s="143"/>
      <c r="AB450" s="170"/>
      <c r="AC450" s="143"/>
      <c r="AD450" s="143"/>
      <c r="AE450" s="143"/>
      <c r="AF450" s="143"/>
      <c r="AG450" s="143" t="s">
        <v>269</v>
      </c>
      <c r="AH450" s="143"/>
      <c r="AI450" s="143"/>
      <c r="AJ450" s="143" t="s">
        <v>270</v>
      </c>
      <c r="AK450" s="143"/>
      <c r="AL450" s="143"/>
      <c r="AM450" s="143"/>
    </row>
    <row r="451" s="140" customFormat="1" ht="15" spans="1:43">
      <c r="A451" s="143">
        <v>449</v>
      </c>
      <c r="B451" s="144"/>
      <c r="C451" s="143" t="s">
        <v>193</v>
      </c>
      <c r="D451" s="143" t="s">
        <v>229</v>
      </c>
      <c r="E451" s="145"/>
      <c r="F451" s="143"/>
      <c r="G451" s="143"/>
      <c r="H451" s="152" t="s">
        <v>1603</v>
      </c>
      <c r="I451" s="143"/>
      <c r="J451" s="143"/>
      <c r="K451" s="143">
        <v>158</v>
      </c>
      <c r="L451" s="143">
        <v>190</v>
      </c>
      <c r="M451" s="143"/>
      <c r="N451" s="143"/>
      <c r="O451" s="143"/>
      <c r="P451" s="143"/>
      <c r="Q451" s="143"/>
      <c r="R451" s="143"/>
      <c r="S451" s="146"/>
      <c r="T451" s="146"/>
      <c r="U451" s="146"/>
      <c r="V451" s="147"/>
      <c r="W451" s="143" t="s">
        <v>49</v>
      </c>
      <c r="X451" s="143" t="s">
        <v>1604</v>
      </c>
      <c r="Y451" s="143" t="s">
        <v>1600</v>
      </c>
      <c r="Z451" s="143" t="s">
        <v>1604</v>
      </c>
      <c r="AA451" s="143"/>
      <c r="AB451" s="170"/>
      <c r="AC451" s="143"/>
      <c r="AD451" s="143"/>
      <c r="AE451" s="143"/>
      <c r="AF451" s="143"/>
      <c r="AG451" s="143" t="s">
        <v>269</v>
      </c>
      <c r="AH451" s="143"/>
      <c r="AI451" s="143"/>
      <c r="AJ451" s="143" t="s">
        <v>270</v>
      </c>
      <c r="AK451" s="143"/>
      <c r="AL451" s="143"/>
      <c r="AM451" s="143"/>
    </row>
    <row r="452" s="140" customFormat="1" ht="15" spans="1:43">
      <c r="A452" s="143">
        <v>450</v>
      </c>
      <c r="B452" s="144"/>
      <c r="C452" s="143" t="s">
        <v>193</v>
      </c>
      <c r="D452" s="143" t="s">
        <v>229</v>
      </c>
      <c r="E452" s="145"/>
      <c r="F452" s="143"/>
      <c r="G452" s="143"/>
      <c r="H452" s="152" t="s">
        <v>1605</v>
      </c>
      <c r="I452" s="143" t="s">
        <v>1606</v>
      </c>
      <c r="J452" s="143" t="s">
        <v>1607</v>
      </c>
      <c r="K452" s="143">
        <v>150</v>
      </c>
      <c r="L452" s="143">
        <v>135</v>
      </c>
      <c r="M452" s="143"/>
      <c r="N452" s="143"/>
      <c r="O452" s="143"/>
      <c r="P452" s="143"/>
      <c r="Q452" s="143"/>
      <c r="R452" s="143"/>
      <c r="S452" s="146"/>
      <c r="T452" s="146"/>
      <c r="U452" s="146"/>
      <c r="V452" s="147"/>
      <c r="W452" s="143" t="s">
        <v>49</v>
      </c>
      <c r="X452" s="143" t="s">
        <v>1555</v>
      </c>
      <c r="Y452" s="143" t="s">
        <v>1608</v>
      </c>
      <c r="Z452" s="143" t="s">
        <v>1555</v>
      </c>
      <c r="AA452" s="143"/>
      <c r="AB452" s="170"/>
      <c r="AC452" s="143"/>
      <c r="AD452" s="143"/>
      <c r="AE452" s="143"/>
      <c r="AF452" s="143"/>
      <c r="AG452" s="143" t="s">
        <v>1071</v>
      </c>
      <c r="AH452" s="143"/>
      <c r="AI452" s="143"/>
      <c r="AJ452" s="143" t="s">
        <v>1076</v>
      </c>
      <c r="AK452" s="143"/>
      <c r="AL452" s="143"/>
      <c r="AM452" s="143" t="s">
        <v>1608</v>
      </c>
    </row>
    <row r="453" s="140" customFormat="1" ht="15" spans="1:43">
      <c r="A453" s="143">
        <v>451</v>
      </c>
      <c r="B453" s="144"/>
      <c r="C453" s="143" t="s">
        <v>193</v>
      </c>
      <c r="D453" s="143" t="s">
        <v>229</v>
      </c>
      <c r="E453" s="145"/>
      <c r="F453" s="143"/>
      <c r="G453" s="143"/>
      <c r="H453" s="152" t="s">
        <v>1609</v>
      </c>
      <c r="I453" s="143" t="s">
        <v>1167</v>
      </c>
      <c r="J453" s="143" t="s">
        <v>1168</v>
      </c>
      <c r="K453" s="143">
        <v>150</v>
      </c>
      <c r="L453" s="143">
        <v>135</v>
      </c>
      <c r="M453" s="143"/>
      <c r="N453" s="143"/>
      <c r="O453" s="143"/>
      <c r="P453" s="143"/>
      <c r="Q453" s="143"/>
      <c r="R453" s="143"/>
      <c r="S453" s="146"/>
      <c r="T453" s="146"/>
      <c r="U453" s="146"/>
      <c r="V453" s="147"/>
      <c r="W453" s="143" t="s">
        <v>49</v>
      </c>
      <c r="X453" s="143" t="s">
        <v>1610</v>
      </c>
      <c r="Y453" s="143" t="s">
        <v>1608</v>
      </c>
      <c r="Z453" s="143" t="s">
        <v>1610</v>
      </c>
      <c r="AA453" s="143"/>
      <c r="AB453" s="170"/>
      <c r="AC453" s="143"/>
      <c r="AD453" s="143"/>
      <c r="AE453" s="143"/>
      <c r="AF453" s="143"/>
      <c r="AG453" s="143" t="s">
        <v>301</v>
      </c>
      <c r="AH453" s="143"/>
      <c r="AI453" s="143"/>
      <c r="AJ453" s="143" t="s">
        <v>1169</v>
      </c>
      <c r="AK453" s="143"/>
      <c r="AL453" s="143"/>
      <c r="AM453" s="143"/>
    </row>
    <row r="454" s="140" customFormat="1" ht="15" spans="1:43">
      <c r="A454" s="143">
        <v>452</v>
      </c>
      <c r="B454" s="144"/>
      <c r="C454" s="143" t="s">
        <v>193</v>
      </c>
      <c r="D454" s="143" t="s">
        <v>229</v>
      </c>
      <c r="E454" s="145"/>
      <c r="F454" s="143"/>
      <c r="G454" s="143"/>
      <c r="H454" s="152" t="s">
        <v>1611</v>
      </c>
      <c r="I454" s="143" t="s">
        <v>1612</v>
      </c>
      <c r="J454" s="143" t="s">
        <v>1613</v>
      </c>
      <c r="K454" s="143">
        <v>150</v>
      </c>
      <c r="L454" s="143">
        <v>105</v>
      </c>
      <c r="M454" s="143"/>
      <c r="N454" s="143"/>
      <c r="O454" s="143"/>
      <c r="P454" s="143"/>
      <c r="Q454" s="143"/>
      <c r="R454" s="143"/>
      <c r="S454" s="146"/>
      <c r="T454" s="146"/>
      <c r="U454" s="146"/>
      <c r="V454" s="147"/>
      <c r="W454" s="143" t="s">
        <v>49</v>
      </c>
      <c r="X454" s="143" t="s">
        <v>1614</v>
      </c>
      <c r="Y454" s="143" t="s">
        <v>1608</v>
      </c>
      <c r="Z454" s="143" t="s">
        <v>1614</v>
      </c>
      <c r="AA454" s="143"/>
      <c r="AB454" s="170"/>
      <c r="AC454" s="143"/>
      <c r="AD454" s="143"/>
      <c r="AE454" s="143"/>
      <c r="AF454" s="143"/>
      <c r="AG454" s="143" t="s">
        <v>249</v>
      </c>
      <c r="AH454" s="143"/>
      <c r="AI454" s="143"/>
      <c r="AJ454" s="143" t="s">
        <v>251</v>
      </c>
      <c r="AK454" s="143"/>
      <c r="AL454" s="143"/>
      <c r="AM454" s="143"/>
      <c r="AN454" s="148"/>
      <c r="AO454" s="148"/>
      <c r="AP454" s="148"/>
      <c r="AQ454" s="148"/>
    </row>
    <row r="455" s="140" customFormat="1" ht="15" spans="1:43">
      <c r="A455" s="143">
        <v>453</v>
      </c>
      <c r="B455" s="144"/>
      <c r="C455" s="143" t="s">
        <v>193</v>
      </c>
      <c r="D455" s="143" t="s">
        <v>229</v>
      </c>
      <c r="E455" s="145"/>
      <c r="F455" s="143"/>
      <c r="G455" s="143"/>
      <c r="H455" s="152" t="s">
        <v>1615</v>
      </c>
      <c r="I455" s="143" t="s">
        <v>1616</v>
      </c>
      <c r="J455" s="143" t="s">
        <v>1617</v>
      </c>
      <c r="K455" s="143">
        <v>150</v>
      </c>
      <c r="L455" s="143">
        <v>160</v>
      </c>
      <c r="M455" s="143"/>
      <c r="N455" s="143"/>
      <c r="O455" s="143"/>
      <c r="P455" s="143"/>
      <c r="Q455" s="143"/>
      <c r="R455" s="143"/>
      <c r="S455" s="146"/>
      <c r="T455" s="146"/>
      <c r="U455" s="146"/>
      <c r="V455" s="147"/>
      <c r="W455" s="143" t="s">
        <v>49</v>
      </c>
      <c r="X455" s="143" t="s">
        <v>1618</v>
      </c>
      <c r="Y455" s="143" t="s">
        <v>1619</v>
      </c>
      <c r="Z455" s="143" t="s">
        <v>1618</v>
      </c>
      <c r="AA455" s="143"/>
      <c r="AB455" s="170"/>
      <c r="AC455" s="143"/>
      <c r="AD455" s="143"/>
      <c r="AE455" s="143"/>
      <c r="AF455" s="143"/>
      <c r="AG455" s="143" t="s">
        <v>249</v>
      </c>
      <c r="AH455" s="143"/>
      <c r="AI455" s="143"/>
      <c r="AJ455" s="143" t="s">
        <v>254</v>
      </c>
      <c r="AK455" s="143"/>
      <c r="AL455" s="143"/>
      <c r="AM455" s="143"/>
      <c r="AN455" s="148"/>
      <c r="AO455" s="148"/>
      <c r="AP455" s="148"/>
      <c r="AQ455" s="148"/>
    </row>
    <row r="456" s="140" customFormat="1" ht="15" spans="1:43">
      <c r="A456" s="143">
        <v>454</v>
      </c>
      <c r="B456" s="144"/>
      <c r="C456" s="143" t="s">
        <v>193</v>
      </c>
      <c r="D456" s="143" t="s">
        <v>229</v>
      </c>
      <c r="E456" s="145"/>
      <c r="F456" s="143"/>
      <c r="G456" s="143"/>
      <c r="H456" s="152" t="s">
        <v>1620</v>
      </c>
      <c r="I456" s="143" t="s">
        <v>1621</v>
      </c>
      <c r="J456" s="143" t="s">
        <v>1622</v>
      </c>
      <c r="K456" s="143">
        <v>148</v>
      </c>
      <c r="L456" s="143"/>
      <c r="M456" s="143"/>
      <c r="N456" s="143"/>
      <c r="O456" s="143"/>
      <c r="P456" s="143"/>
      <c r="Q456" s="143"/>
      <c r="R456" s="143"/>
      <c r="S456" s="146"/>
      <c r="T456" s="146"/>
      <c r="U456" s="146"/>
      <c r="V456" s="147"/>
      <c r="W456" s="143" t="s">
        <v>49</v>
      </c>
      <c r="X456" s="143">
        <v>30320</v>
      </c>
      <c r="Y456" s="143" t="s">
        <v>1623</v>
      </c>
      <c r="Z456" s="143">
        <v>30320</v>
      </c>
      <c r="AA456" s="143"/>
      <c r="AB456" s="170"/>
      <c r="AC456" s="143"/>
      <c r="AD456" s="143"/>
      <c r="AE456" s="143"/>
      <c r="AF456" s="143"/>
      <c r="AG456" s="143" t="s">
        <v>1022</v>
      </c>
      <c r="AH456" s="143"/>
      <c r="AI456" s="143"/>
      <c r="AJ456" s="143" t="s">
        <v>1432</v>
      </c>
      <c r="AK456" s="143"/>
      <c r="AL456" s="143"/>
      <c r="AM456" s="143"/>
      <c r="AN456" s="148"/>
      <c r="AO456" s="148"/>
      <c r="AP456" s="148"/>
      <c r="AQ456" s="148"/>
    </row>
    <row r="457" s="140" customFormat="1" ht="15" spans="1:43">
      <c r="A457" s="143">
        <v>455</v>
      </c>
      <c r="B457" s="144"/>
      <c r="C457" s="143" t="s">
        <v>193</v>
      </c>
      <c r="D457" s="143" t="s">
        <v>229</v>
      </c>
      <c r="E457" s="145"/>
      <c r="F457" s="143"/>
      <c r="G457" s="143"/>
      <c r="H457" s="152" t="s">
        <v>1624</v>
      </c>
      <c r="I457" s="143" t="s">
        <v>1625</v>
      </c>
      <c r="J457" s="143" t="s">
        <v>1626</v>
      </c>
      <c r="K457" s="143">
        <v>150</v>
      </c>
      <c r="L457" s="143" t="s">
        <v>1627</v>
      </c>
      <c r="M457" s="143"/>
      <c r="N457" s="143"/>
      <c r="O457" s="143"/>
      <c r="P457" s="143"/>
      <c r="Q457" s="143"/>
      <c r="R457" s="143"/>
      <c r="S457" s="146"/>
      <c r="T457" s="146"/>
      <c r="U457" s="146"/>
      <c r="V457" s="147"/>
      <c r="W457" s="143" t="s">
        <v>49</v>
      </c>
      <c r="X457" s="143">
        <v>30316</v>
      </c>
      <c r="Y457" s="143" t="s">
        <v>1623</v>
      </c>
      <c r="Z457" s="143">
        <v>30316</v>
      </c>
      <c r="AA457" s="143"/>
      <c r="AB457" s="170"/>
      <c r="AC457" s="143"/>
      <c r="AD457" s="143"/>
      <c r="AE457" s="143"/>
      <c r="AF457" s="143"/>
      <c r="AG457" s="143" t="s">
        <v>1022</v>
      </c>
      <c r="AH457" s="143"/>
      <c r="AI457" s="143"/>
      <c r="AJ457" s="143" t="s">
        <v>1432</v>
      </c>
      <c r="AK457" s="143"/>
      <c r="AL457" s="143"/>
      <c r="AM457" s="143"/>
      <c r="AN457" s="148"/>
      <c r="AO457" s="148"/>
      <c r="AP457" s="148"/>
      <c r="AQ457" s="148"/>
    </row>
    <row r="458" s="140" customFormat="1" ht="15" spans="1:43">
      <c r="A458" s="143">
        <v>456</v>
      </c>
      <c r="B458" s="144"/>
      <c r="C458" s="143" t="s">
        <v>193</v>
      </c>
      <c r="D458" s="143" t="s">
        <v>557</v>
      </c>
      <c r="E458" s="145"/>
      <c r="F458" s="143"/>
      <c r="G458" s="143"/>
      <c r="H458" s="152" t="s">
        <v>1628</v>
      </c>
      <c r="I458" s="143" t="s">
        <v>1629</v>
      </c>
      <c r="J458" s="143" t="s">
        <v>1630</v>
      </c>
      <c r="K458" s="143">
        <v>148</v>
      </c>
      <c r="L458" s="143">
        <v>155</v>
      </c>
      <c r="M458" s="143"/>
      <c r="N458" s="143"/>
      <c r="O458" s="143"/>
      <c r="P458" s="143"/>
      <c r="Q458" s="143"/>
      <c r="R458" s="143"/>
      <c r="S458" s="146"/>
      <c r="T458" s="146"/>
      <c r="U458" s="146"/>
      <c r="V458" s="147"/>
      <c r="W458" s="143" t="s">
        <v>49</v>
      </c>
      <c r="X458" s="143">
        <v>30270</v>
      </c>
      <c r="Y458" s="143" t="s">
        <v>1623</v>
      </c>
      <c r="Z458" s="143">
        <v>30270</v>
      </c>
      <c r="AA458" s="143"/>
      <c r="AB458" s="170"/>
      <c r="AC458" s="143"/>
      <c r="AD458" s="143"/>
      <c r="AE458" s="143"/>
      <c r="AF458" s="143"/>
      <c r="AG458" s="143" t="s">
        <v>249</v>
      </c>
      <c r="AH458" s="143" t="s">
        <v>1161</v>
      </c>
      <c r="AI458" s="143"/>
      <c r="AJ458" s="143" t="s">
        <v>254</v>
      </c>
      <c r="AK458" s="143"/>
      <c r="AL458" s="143"/>
      <c r="AM458" s="143"/>
      <c r="AN458" s="148"/>
      <c r="AO458" s="148"/>
      <c r="AP458" s="148"/>
      <c r="AQ458" s="148"/>
    </row>
    <row r="459" s="140" customFormat="1" ht="15" spans="1:43">
      <c r="A459" s="143">
        <v>457</v>
      </c>
      <c r="B459" s="144"/>
      <c r="C459" s="143" t="s">
        <v>193</v>
      </c>
      <c r="D459" s="143" t="s">
        <v>229</v>
      </c>
      <c r="E459" s="145"/>
      <c r="F459" s="143"/>
      <c r="G459" s="143"/>
      <c r="H459" s="152" t="s">
        <v>1631</v>
      </c>
      <c r="I459" s="143" t="s">
        <v>1632</v>
      </c>
      <c r="J459" s="143" t="s">
        <v>1633</v>
      </c>
      <c r="K459" s="143">
        <v>148</v>
      </c>
      <c r="L459" s="143">
        <v>167</v>
      </c>
      <c r="M459" s="143"/>
      <c r="N459" s="143"/>
      <c r="O459" s="143"/>
      <c r="P459" s="143"/>
      <c r="Q459" s="143"/>
      <c r="R459" s="143"/>
      <c r="S459" s="146"/>
      <c r="T459" s="146"/>
      <c r="U459" s="146"/>
      <c r="V459" s="147"/>
      <c r="W459" s="143" t="s">
        <v>49</v>
      </c>
      <c r="X459" s="143">
        <v>30228</v>
      </c>
      <c r="Y459" s="143" t="s">
        <v>1623</v>
      </c>
      <c r="Z459" s="143">
        <v>30228</v>
      </c>
      <c r="AA459" s="143"/>
      <c r="AB459" s="170"/>
      <c r="AC459" s="143"/>
      <c r="AD459" s="143"/>
      <c r="AE459" s="143"/>
      <c r="AF459" s="143"/>
      <c r="AG459" s="143" t="s">
        <v>1071</v>
      </c>
      <c r="AH459" s="143"/>
      <c r="AI459" s="143"/>
      <c r="AJ459" s="143" t="s">
        <v>1072</v>
      </c>
      <c r="AK459" s="143"/>
      <c r="AL459" s="143"/>
      <c r="AM459" s="143"/>
    </row>
    <row r="460" s="140" customFormat="1" ht="15" spans="1:43">
      <c r="A460" s="143">
        <v>458</v>
      </c>
      <c r="B460" s="144"/>
      <c r="C460" s="143" t="s">
        <v>193</v>
      </c>
      <c r="D460" s="143" t="s">
        <v>557</v>
      </c>
      <c r="E460" s="145"/>
      <c r="F460" s="143"/>
      <c r="G460" s="143"/>
      <c r="H460" s="152" t="s">
        <v>1634</v>
      </c>
      <c r="I460" s="143" t="s">
        <v>1635</v>
      </c>
      <c r="J460" s="143" t="s">
        <v>1636</v>
      </c>
      <c r="K460" s="143">
        <v>148</v>
      </c>
      <c r="L460" s="143">
        <v>110</v>
      </c>
      <c r="M460" s="143"/>
      <c r="N460" s="143"/>
      <c r="O460" s="143"/>
      <c r="P460" s="143"/>
      <c r="Q460" s="143"/>
      <c r="R460" s="143"/>
      <c r="S460" s="146"/>
      <c r="T460" s="146"/>
      <c r="U460" s="146"/>
      <c r="V460" s="147"/>
      <c r="W460" s="143" t="s">
        <v>49</v>
      </c>
      <c r="X460" s="143">
        <v>30276</v>
      </c>
      <c r="Y460" s="143" t="s">
        <v>1623</v>
      </c>
      <c r="Z460" s="143">
        <v>30276</v>
      </c>
      <c r="AA460" s="143"/>
      <c r="AB460" s="170"/>
      <c r="AC460" s="143"/>
      <c r="AD460" s="143"/>
      <c r="AE460" s="143"/>
      <c r="AF460" s="143"/>
      <c r="AG460" s="143" t="s">
        <v>1071</v>
      </c>
      <c r="AH460" s="143" t="s">
        <v>1161</v>
      </c>
      <c r="AI460" s="143"/>
      <c r="AJ460" s="143" t="s">
        <v>1072</v>
      </c>
      <c r="AK460" s="143"/>
      <c r="AL460" s="143"/>
      <c r="AM460" s="143"/>
      <c r="AN460" s="148"/>
      <c r="AO460" s="148"/>
      <c r="AP460" s="148"/>
      <c r="AQ460" s="148"/>
    </row>
    <row r="461" s="140" customFormat="1" ht="15" spans="1:43">
      <c r="A461" s="143">
        <v>459</v>
      </c>
      <c r="B461" s="144"/>
      <c r="C461" s="143" t="s">
        <v>193</v>
      </c>
      <c r="D461" s="143" t="s">
        <v>229</v>
      </c>
      <c r="E461" s="145"/>
      <c r="F461" s="143"/>
      <c r="G461" s="143"/>
      <c r="H461" s="152" t="s">
        <v>1637</v>
      </c>
      <c r="I461" s="143" t="s">
        <v>1638</v>
      </c>
      <c r="J461" s="143" t="s">
        <v>1639</v>
      </c>
      <c r="K461" s="143">
        <v>148</v>
      </c>
      <c r="L461" s="143">
        <v>55</v>
      </c>
      <c r="M461" s="143"/>
      <c r="N461" s="143"/>
      <c r="O461" s="143"/>
      <c r="P461" s="143"/>
      <c r="Q461" s="143"/>
      <c r="R461" s="143"/>
      <c r="S461" s="146"/>
      <c r="T461" s="146"/>
      <c r="U461" s="146"/>
      <c r="V461" s="147"/>
      <c r="W461" s="143" t="s">
        <v>49</v>
      </c>
      <c r="X461" s="143">
        <v>30295</v>
      </c>
      <c r="Y461" s="143" t="s">
        <v>1623</v>
      </c>
      <c r="Z461" s="143">
        <v>30295</v>
      </c>
      <c r="AA461" s="143"/>
      <c r="AB461" s="170"/>
      <c r="AC461" s="143"/>
      <c r="AD461" s="143"/>
      <c r="AE461" s="143"/>
      <c r="AF461" s="143"/>
      <c r="AG461" s="143" t="s">
        <v>1022</v>
      </c>
      <c r="AH461" s="143"/>
      <c r="AI461" s="143"/>
      <c r="AJ461" s="143" t="s">
        <v>1432</v>
      </c>
      <c r="AK461" s="143"/>
      <c r="AL461" s="143"/>
      <c r="AM461" s="143"/>
      <c r="AN461" s="148"/>
      <c r="AO461" s="148"/>
      <c r="AP461" s="148"/>
      <c r="AQ461" s="148"/>
    </row>
    <row r="462" s="140" customFormat="1" ht="15" spans="1:43">
      <c r="A462" s="143">
        <v>460</v>
      </c>
      <c r="B462" s="144"/>
      <c r="C462" s="143" t="s">
        <v>193</v>
      </c>
      <c r="D462" s="143" t="s">
        <v>229</v>
      </c>
      <c r="E462" s="145"/>
      <c r="F462" s="143"/>
      <c r="G462" s="143"/>
      <c r="H462" s="152" t="s">
        <v>1640</v>
      </c>
      <c r="I462" s="143" t="s">
        <v>1641</v>
      </c>
      <c r="J462" s="143" t="s">
        <v>1075</v>
      </c>
      <c r="K462" s="143">
        <v>145</v>
      </c>
      <c r="L462" s="143">
        <v>160</v>
      </c>
      <c r="M462" s="143"/>
      <c r="N462" s="143"/>
      <c r="O462" s="143"/>
      <c r="P462" s="143"/>
      <c r="Q462" s="143"/>
      <c r="R462" s="143"/>
      <c r="S462" s="146"/>
      <c r="T462" s="146"/>
      <c r="U462" s="146"/>
      <c r="V462" s="147"/>
      <c r="W462" s="143" t="s">
        <v>49</v>
      </c>
      <c r="X462" s="143">
        <v>301302</v>
      </c>
      <c r="Y462" s="143" t="s">
        <v>1623</v>
      </c>
      <c r="Z462" s="143">
        <v>301302</v>
      </c>
      <c r="AA462" s="143"/>
      <c r="AB462" s="170"/>
      <c r="AC462" s="143"/>
      <c r="AD462" s="143"/>
      <c r="AE462" s="143"/>
      <c r="AF462" s="143"/>
      <c r="AG462" s="143" t="s">
        <v>1071</v>
      </c>
      <c r="AH462" s="143"/>
      <c r="AI462" s="143"/>
      <c r="AJ462" s="143" t="s">
        <v>1076</v>
      </c>
      <c r="AK462" s="143"/>
      <c r="AL462" s="143"/>
      <c r="AM462" s="143"/>
      <c r="AN462" s="148"/>
      <c r="AO462" s="148"/>
      <c r="AP462" s="148"/>
      <c r="AQ462" s="148"/>
    </row>
    <row r="463" s="140" customFormat="1" ht="15" spans="1:43">
      <c r="A463" s="143">
        <v>461</v>
      </c>
      <c r="B463" s="144"/>
      <c r="C463" s="143" t="s">
        <v>193</v>
      </c>
      <c r="D463" s="143" t="s">
        <v>229</v>
      </c>
      <c r="E463" s="145"/>
      <c r="F463" s="143"/>
      <c r="G463" s="143"/>
      <c r="H463" s="152" t="s">
        <v>1642</v>
      </c>
      <c r="I463" s="143" t="s">
        <v>1643</v>
      </c>
      <c r="J463" s="143" t="s">
        <v>1644</v>
      </c>
      <c r="K463" s="143">
        <v>148</v>
      </c>
      <c r="L463" s="143">
        <v>150</v>
      </c>
      <c r="M463" s="143"/>
      <c r="N463" s="143"/>
      <c r="O463" s="143"/>
      <c r="P463" s="143"/>
      <c r="Q463" s="143"/>
      <c r="R463" s="143"/>
      <c r="S463" s="146"/>
      <c r="T463" s="146"/>
      <c r="U463" s="146"/>
      <c r="V463" s="147"/>
      <c r="W463" s="143" t="s">
        <v>49</v>
      </c>
      <c r="X463" s="143">
        <v>30272</v>
      </c>
      <c r="Y463" s="143" t="s">
        <v>1623</v>
      </c>
      <c r="Z463" s="143">
        <v>30272</v>
      </c>
      <c r="AA463" s="143"/>
      <c r="AB463" s="170"/>
      <c r="AC463" s="143"/>
      <c r="AD463" s="143"/>
      <c r="AE463" s="143"/>
      <c r="AF463" s="143"/>
      <c r="AG463" s="143" t="s">
        <v>249</v>
      </c>
      <c r="AH463" s="143"/>
      <c r="AI463" s="143"/>
      <c r="AJ463" s="143" t="s">
        <v>251</v>
      </c>
      <c r="AK463" s="143"/>
      <c r="AL463" s="143"/>
      <c r="AM463" s="143"/>
      <c r="AN463" s="148"/>
      <c r="AO463" s="148"/>
      <c r="AP463" s="148"/>
      <c r="AQ463" s="148"/>
    </row>
    <row r="464" s="140" customFormat="1" ht="15" spans="1:43">
      <c r="A464" s="143">
        <v>462</v>
      </c>
      <c r="B464" s="144"/>
      <c r="C464" s="143" t="s">
        <v>193</v>
      </c>
      <c r="D464" s="143" t="s">
        <v>229</v>
      </c>
      <c r="E464" s="145"/>
      <c r="F464" s="143"/>
      <c r="G464" s="143"/>
      <c r="H464" s="172" t="s">
        <v>1645</v>
      </c>
      <c r="I464" s="143" t="s">
        <v>1646</v>
      </c>
      <c r="J464" s="143" t="s">
        <v>1553</v>
      </c>
      <c r="K464" s="143">
        <v>148</v>
      </c>
      <c r="L464" s="143">
        <v>293</v>
      </c>
      <c r="M464" s="143"/>
      <c r="N464" s="143"/>
      <c r="O464" s="143"/>
      <c r="P464" s="143"/>
      <c r="Q464" s="143"/>
      <c r="R464" s="143"/>
      <c r="S464" s="146"/>
      <c r="T464" s="146"/>
      <c r="U464" s="146"/>
      <c r="V464" s="147"/>
      <c r="W464" s="143" t="s">
        <v>49</v>
      </c>
      <c r="X464" s="143">
        <v>30221</v>
      </c>
      <c r="Y464" s="143" t="s">
        <v>1623</v>
      </c>
      <c r="Z464" s="143">
        <v>30221</v>
      </c>
      <c r="AA464" s="173"/>
      <c r="AB464" s="170">
        <v>46104</v>
      </c>
      <c r="AC464" s="143"/>
      <c r="AD464" s="143"/>
      <c r="AE464" s="143"/>
      <c r="AF464" s="143"/>
      <c r="AG464" s="143" t="s">
        <v>249</v>
      </c>
      <c r="AH464" s="143" t="s">
        <v>250</v>
      </c>
      <c r="AI464" s="143"/>
      <c r="AJ464" s="143" t="s">
        <v>251</v>
      </c>
      <c r="AK464" s="143"/>
      <c r="AL464" s="143"/>
      <c r="AM464" s="143"/>
      <c r="AN464" s="148"/>
      <c r="AO464" s="148"/>
      <c r="AP464" s="148"/>
      <c r="AQ464" s="148"/>
    </row>
    <row r="465" s="140" customFormat="1" ht="15" spans="1:43">
      <c r="A465" s="143">
        <v>463</v>
      </c>
      <c r="B465" s="144"/>
      <c r="C465" s="143" t="s">
        <v>193</v>
      </c>
      <c r="D465" s="143" t="s">
        <v>229</v>
      </c>
      <c r="E465" s="145"/>
      <c r="F465" s="143"/>
      <c r="G465" s="143"/>
      <c r="H465" s="152" t="s">
        <v>1647</v>
      </c>
      <c r="I465" s="143" t="s">
        <v>1648</v>
      </c>
      <c r="J465" s="143" t="s">
        <v>1649</v>
      </c>
      <c r="K465" s="143">
        <v>148</v>
      </c>
      <c r="L465" s="143"/>
      <c r="M465" s="143"/>
      <c r="N465" s="143"/>
      <c r="O465" s="143"/>
      <c r="P465" s="143"/>
      <c r="Q465" s="143"/>
      <c r="R465" s="143"/>
      <c r="S465" s="146"/>
      <c r="T465" s="146"/>
      <c r="U465" s="146"/>
      <c r="V465" s="147"/>
      <c r="W465" s="143" t="s">
        <v>49</v>
      </c>
      <c r="X465" s="143" t="s">
        <v>1650</v>
      </c>
      <c r="Y465" s="143" t="s">
        <v>1623</v>
      </c>
      <c r="Z465" s="143" t="s">
        <v>1650</v>
      </c>
      <c r="AA465" s="143"/>
      <c r="AB465" s="170"/>
      <c r="AC465" s="143"/>
      <c r="AD465" s="143"/>
      <c r="AE465" s="143"/>
      <c r="AF465" s="143"/>
      <c r="AG465" s="143" t="s">
        <v>249</v>
      </c>
      <c r="AH465" s="143"/>
      <c r="AI465" s="143"/>
      <c r="AJ465" s="143" t="s">
        <v>251</v>
      </c>
      <c r="AK465" s="143"/>
      <c r="AL465" s="143"/>
      <c r="AM465" s="143"/>
      <c r="AN465" s="148"/>
      <c r="AO465" s="148"/>
      <c r="AP465" s="148"/>
      <c r="AQ465" s="148"/>
    </row>
    <row r="466" s="140" customFormat="1" ht="15" spans="1:43">
      <c r="A466" s="143">
        <v>464</v>
      </c>
      <c r="B466" s="144"/>
      <c r="C466" s="143" t="s">
        <v>193</v>
      </c>
      <c r="D466" s="143" t="s">
        <v>229</v>
      </c>
      <c r="E466" s="145"/>
      <c r="F466" s="143"/>
      <c r="G466" s="143"/>
      <c r="H466" s="152" t="s">
        <v>1651</v>
      </c>
      <c r="I466" s="143" t="s">
        <v>1652</v>
      </c>
      <c r="J466" s="143" t="s">
        <v>1653</v>
      </c>
      <c r="K466" s="143">
        <v>150</v>
      </c>
      <c r="L466" s="143">
        <v>285</v>
      </c>
      <c r="M466" s="143"/>
      <c r="N466" s="143"/>
      <c r="O466" s="143"/>
      <c r="P466" s="143"/>
      <c r="Q466" s="143"/>
      <c r="R466" s="143"/>
      <c r="S466" s="146"/>
      <c r="T466" s="146"/>
      <c r="U466" s="146"/>
      <c r="V466" s="147"/>
      <c r="W466" s="143" t="s">
        <v>49</v>
      </c>
      <c r="X466" s="143">
        <v>30096</v>
      </c>
      <c r="Y466" s="143" t="s">
        <v>1623</v>
      </c>
      <c r="Z466" s="143">
        <v>30096</v>
      </c>
      <c r="AA466" s="143"/>
      <c r="AB466" s="170"/>
      <c r="AC466" s="143"/>
      <c r="AD466" s="143"/>
      <c r="AE466" s="143"/>
      <c r="AF466" s="143"/>
      <c r="AG466" s="143" t="s">
        <v>301</v>
      </c>
      <c r="AH466" s="143"/>
      <c r="AI466" s="143"/>
      <c r="AJ466" s="143" t="s">
        <v>1169</v>
      </c>
      <c r="AK466" s="143"/>
      <c r="AL466" s="143"/>
      <c r="AM466" s="143"/>
      <c r="AN466" s="148"/>
      <c r="AO466" s="148"/>
      <c r="AP466" s="148"/>
      <c r="AQ466" s="148"/>
    </row>
    <row r="467" s="140" customFormat="1" ht="15" spans="1:43">
      <c r="A467" s="143">
        <v>465</v>
      </c>
      <c r="B467" s="144"/>
      <c r="C467" s="143" t="s">
        <v>193</v>
      </c>
      <c r="D467" s="143" t="s">
        <v>229</v>
      </c>
      <c r="E467" s="145"/>
      <c r="F467" s="143"/>
      <c r="G467" s="143"/>
      <c r="H467" s="172" t="s">
        <v>1654</v>
      </c>
      <c r="I467" s="143" t="s">
        <v>261</v>
      </c>
      <c r="J467" s="143" t="s">
        <v>262</v>
      </c>
      <c r="K467" s="143">
        <v>150</v>
      </c>
      <c r="L467" s="143">
        <v>155</v>
      </c>
      <c r="M467" s="143"/>
      <c r="N467" s="143"/>
      <c r="O467" s="143"/>
      <c r="P467" s="143"/>
      <c r="Q467" s="143"/>
      <c r="R467" s="143"/>
      <c r="S467" s="146"/>
      <c r="T467" s="146"/>
      <c r="U467" s="146"/>
      <c r="V467" s="147"/>
      <c r="W467" s="143" t="s">
        <v>49</v>
      </c>
      <c r="X467" s="143" t="s">
        <v>1655</v>
      </c>
      <c r="Y467" s="143" t="s">
        <v>1619</v>
      </c>
      <c r="Z467" s="143" t="s">
        <v>1655</v>
      </c>
      <c r="AA467" s="173"/>
      <c r="AB467" s="170">
        <v>46104</v>
      </c>
      <c r="AC467" s="143"/>
      <c r="AD467" s="143"/>
      <c r="AE467" s="143"/>
      <c r="AF467" s="143"/>
      <c r="AG467" s="143" t="s">
        <v>249</v>
      </c>
      <c r="AH467" s="143" t="s">
        <v>250</v>
      </c>
      <c r="AI467" s="143"/>
      <c r="AJ467" s="143" t="s">
        <v>254</v>
      </c>
      <c r="AK467" s="143"/>
      <c r="AL467" s="143"/>
      <c r="AM467" s="143"/>
      <c r="AN467" s="148"/>
      <c r="AO467" s="148"/>
      <c r="AP467" s="148"/>
      <c r="AQ467" s="148"/>
    </row>
    <row r="468" s="140" customFormat="1" ht="15" spans="1:43">
      <c r="A468" s="143">
        <v>466</v>
      </c>
      <c r="B468" s="144"/>
      <c r="C468" s="143" t="s">
        <v>193</v>
      </c>
      <c r="D468" s="143" t="s">
        <v>229</v>
      </c>
      <c r="E468" s="145"/>
      <c r="F468" s="143"/>
      <c r="G468" s="143"/>
      <c r="H468" s="152" t="s">
        <v>1656</v>
      </c>
      <c r="I468" s="143"/>
      <c r="J468" s="143"/>
      <c r="K468" s="143">
        <v>145</v>
      </c>
      <c r="L468" s="143"/>
      <c r="M468" s="143"/>
      <c r="N468" s="143"/>
      <c r="O468" s="143"/>
      <c r="P468" s="143"/>
      <c r="Q468" s="143"/>
      <c r="R468" s="143"/>
      <c r="S468" s="146"/>
      <c r="T468" s="146"/>
      <c r="U468" s="146"/>
      <c r="V468" s="147"/>
      <c r="W468" s="143" t="s">
        <v>49</v>
      </c>
      <c r="X468" s="143" t="s">
        <v>1657</v>
      </c>
      <c r="Y468" s="143" t="s">
        <v>1658</v>
      </c>
      <c r="Z468" s="143" t="s">
        <v>1657</v>
      </c>
      <c r="AA468" s="143"/>
      <c r="AB468" s="170"/>
      <c r="AC468" s="143"/>
      <c r="AD468" s="143"/>
      <c r="AE468" s="143"/>
      <c r="AF468" s="143"/>
      <c r="AG468" s="143" t="s">
        <v>1396</v>
      </c>
      <c r="AH468" s="143"/>
      <c r="AI468" s="143"/>
      <c r="AJ468" s="143" t="s">
        <v>1397</v>
      </c>
      <c r="AK468" s="143"/>
      <c r="AL468" s="143"/>
      <c r="AM468" s="143"/>
      <c r="AN468" s="148"/>
      <c r="AO468" s="148"/>
      <c r="AP468" s="148"/>
      <c r="AQ468" s="148"/>
    </row>
    <row r="469" s="140" customFormat="1" ht="15" spans="1:43">
      <c r="A469" s="143">
        <v>467</v>
      </c>
      <c r="B469" s="144"/>
      <c r="C469" s="143" t="s">
        <v>193</v>
      </c>
      <c r="D469" s="143" t="s">
        <v>229</v>
      </c>
      <c r="E469" s="145"/>
      <c r="F469" s="143"/>
      <c r="G469" s="143"/>
      <c r="H469" s="152" t="s">
        <v>1659</v>
      </c>
      <c r="I469" s="143"/>
      <c r="J469" s="143"/>
      <c r="K469" s="143">
        <v>145</v>
      </c>
      <c r="L469" s="143"/>
      <c r="M469" s="143"/>
      <c r="N469" s="143"/>
      <c r="O469" s="143"/>
      <c r="P469" s="143"/>
      <c r="Q469" s="143"/>
      <c r="R469" s="143"/>
      <c r="S469" s="146"/>
      <c r="T469" s="146"/>
      <c r="U469" s="146"/>
      <c r="V469" s="147"/>
      <c r="W469" s="143" t="s">
        <v>49</v>
      </c>
      <c r="X469" s="143" t="s">
        <v>1657</v>
      </c>
      <c r="Y469" s="143" t="s">
        <v>1658</v>
      </c>
      <c r="Z469" s="143" t="s">
        <v>1657</v>
      </c>
      <c r="AA469" s="143"/>
      <c r="AB469" s="170"/>
      <c r="AC469" s="143"/>
      <c r="AD469" s="143"/>
      <c r="AE469" s="143"/>
      <c r="AF469" s="143"/>
      <c r="AG469" s="143" t="s">
        <v>1396</v>
      </c>
      <c r="AH469" s="143"/>
      <c r="AI469" s="143"/>
      <c r="AJ469" s="143" t="s">
        <v>1397</v>
      </c>
      <c r="AK469" s="143"/>
      <c r="AL469" s="143"/>
      <c r="AM469" s="143"/>
      <c r="AN469" s="148"/>
      <c r="AO469" s="148"/>
      <c r="AP469" s="148"/>
      <c r="AQ469" s="148"/>
    </row>
    <row r="470" s="140" customFormat="1" ht="15" spans="1:43">
      <c r="A470" s="143">
        <v>468</v>
      </c>
      <c r="B470" s="144"/>
      <c r="C470" s="143" t="s">
        <v>193</v>
      </c>
      <c r="D470" s="143" t="s">
        <v>229</v>
      </c>
      <c r="E470" s="145"/>
      <c r="F470" s="143"/>
      <c r="G470" s="143"/>
      <c r="H470" s="152" t="s">
        <v>1660</v>
      </c>
      <c r="I470" s="143" t="s">
        <v>1661</v>
      </c>
      <c r="J470" s="143" t="s">
        <v>1662</v>
      </c>
      <c r="K470" s="143">
        <v>150</v>
      </c>
      <c r="L470" s="143"/>
      <c r="M470" s="143"/>
      <c r="N470" s="143"/>
      <c r="O470" s="143"/>
      <c r="P470" s="143"/>
      <c r="Q470" s="143"/>
      <c r="R470" s="143"/>
      <c r="S470" s="146"/>
      <c r="T470" s="146"/>
      <c r="U470" s="146"/>
      <c r="V470" s="147"/>
      <c r="W470" s="143" t="s">
        <v>49</v>
      </c>
      <c r="X470" s="143">
        <v>9542</v>
      </c>
      <c r="Y470" s="143" t="s">
        <v>1663</v>
      </c>
      <c r="Z470" s="143">
        <v>9542</v>
      </c>
      <c r="AA470" s="143"/>
      <c r="AB470" s="170"/>
      <c r="AC470" s="143"/>
      <c r="AD470" s="143"/>
      <c r="AE470" s="143"/>
      <c r="AF470" s="143"/>
      <c r="AG470" s="143" t="s">
        <v>506</v>
      </c>
      <c r="AH470" s="143"/>
      <c r="AI470" s="143"/>
      <c r="AJ470" s="143" t="s">
        <v>508</v>
      </c>
      <c r="AK470" s="143"/>
      <c r="AL470" s="143"/>
      <c r="AM470" s="143"/>
      <c r="AN470" s="148"/>
      <c r="AO470" s="148"/>
      <c r="AP470" s="148"/>
      <c r="AQ470" s="148"/>
    </row>
    <row r="471" s="140" customFormat="1" ht="15" spans="1:43">
      <c r="A471" s="143">
        <v>469</v>
      </c>
      <c r="B471" s="144"/>
      <c r="C471" s="143" t="s">
        <v>193</v>
      </c>
      <c r="D471" s="143" t="s">
        <v>229</v>
      </c>
      <c r="E471" s="145"/>
      <c r="F471" s="143"/>
      <c r="G471" s="143"/>
      <c r="H471" s="172" t="s">
        <v>1664</v>
      </c>
      <c r="I471" s="143" t="s">
        <v>324</v>
      </c>
      <c r="J471" s="143" t="s">
        <v>517</v>
      </c>
      <c r="K471" s="143">
        <v>150</v>
      </c>
      <c r="L471" s="143">
        <v>110</v>
      </c>
      <c r="M471" s="143"/>
      <c r="N471" s="143"/>
      <c r="O471" s="143"/>
      <c r="P471" s="143"/>
      <c r="Q471" s="143"/>
      <c r="R471" s="143"/>
      <c r="S471" s="146"/>
      <c r="T471" s="146"/>
      <c r="U471" s="146"/>
      <c r="V471" s="147"/>
      <c r="W471" s="143" t="s">
        <v>49</v>
      </c>
      <c r="X471" s="143" t="s">
        <v>1665</v>
      </c>
      <c r="Y471" s="143" t="s">
        <v>1666</v>
      </c>
      <c r="Z471" s="143" t="s">
        <v>1665</v>
      </c>
      <c r="AA471" s="173">
        <v>17.9</v>
      </c>
      <c r="AB471" s="170">
        <v>46104</v>
      </c>
      <c r="AC471" s="143"/>
      <c r="AD471" s="143"/>
      <c r="AE471" s="143"/>
      <c r="AF471" s="143"/>
      <c r="AG471" s="143" t="s">
        <v>506</v>
      </c>
      <c r="AH471" s="143" t="s">
        <v>250</v>
      </c>
      <c r="AI471" s="143"/>
      <c r="AJ471" s="143" t="s">
        <v>508</v>
      </c>
      <c r="AK471" s="143"/>
      <c r="AL471" s="143"/>
      <c r="AM471" s="143"/>
      <c r="AN471" s="148"/>
      <c r="AO471" s="148"/>
      <c r="AP471" s="148"/>
      <c r="AQ471" s="148"/>
    </row>
    <row r="472" s="140" customFormat="1" ht="15" spans="1:43">
      <c r="A472" s="143">
        <v>470</v>
      </c>
      <c r="B472" s="144"/>
      <c r="C472" s="143" t="s">
        <v>193</v>
      </c>
      <c r="D472" s="143" t="s">
        <v>229</v>
      </c>
      <c r="E472" s="145"/>
      <c r="F472" s="143"/>
      <c r="G472" s="143"/>
      <c r="H472" s="152" t="s">
        <v>1667</v>
      </c>
      <c r="I472" s="143" t="s">
        <v>1668</v>
      </c>
      <c r="J472" s="143" t="s">
        <v>1669</v>
      </c>
      <c r="K472" s="143">
        <v>150</v>
      </c>
      <c r="L472" s="143">
        <v>150</v>
      </c>
      <c r="M472" s="143"/>
      <c r="N472" s="143"/>
      <c r="O472" s="143"/>
      <c r="P472" s="143"/>
      <c r="Q472" s="143"/>
      <c r="R472" s="143"/>
      <c r="S472" s="146"/>
      <c r="T472" s="146"/>
      <c r="U472" s="146"/>
      <c r="V472" s="147"/>
      <c r="W472" s="143" t="s">
        <v>49</v>
      </c>
      <c r="X472" s="143" t="s">
        <v>1670</v>
      </c>
      <c r="Y472" s="143" t="s">
        <v>1671</v>
      </c>
      <c r="Z472" s="143" t="s">
        <v>1670</v>
      </c>
      <c r="AA472" s="143"/>
      <c r="AB472" s="170"/>
      <c r="AC472" s="143"/>
      <c r="AD472" s="143"/>
      <c r="AE472" s="143"/>
      <c r="AF472" s="143"/>
      <c r="AG472" s="143" t="s">
        <v>249</v>
      </c>
      <c r="AH472" s="143"/>
      <c r="AI472" s="143"/>
      <c r="AJ472" s="143" t="s">
        <v>254</v>
      </c>
      <c r="AK472" s="143"/>
      <c r="AL472" s="143"/>
      <c r="AM472" s="143"/>
      <c r="AN472" s="148"/>
      <c r="AO472" s="148"/>
      <c r="AP472" s="148"/>
      <c r="AQ472" s="148"/>
    </row>
    <row r="473" s="140" customFormat="1" ht="15" spans="1:43">
      <c r="A473" s="143">
        <v>471</v>
      </c>
      <c r="B473" s="144"/>
      <c r="C473" s="143" t="s">
        <v>193</v>
      </c>
      <c r="D473" s="143" t="s">
        <v>229</v>
      </c>
      <c r="E473" s="145"/>
      <c r="F473" s="143"/>
      <c r="G473" s="143"/>
      <c r="H473" s="152" t="s">
        <v>1672</v>
      </c>
      <c r="I473" s="143" t="s">
        <v>1673</v>
      </c>
      <c r="J473" s="143" t="s">
        <v>1674</v>
      </c>
      <c r="K473" s="143">
        <v>150</v>
      </c>
      <c r="L473" s="143"/>
      <c r="M473" s="143"/>
      <c r="N473" s="143"/>
      <c r="O473" s="143"/>
      <c r="P473" s="143"/>
      <c r="Q473" s="143"/>
      <c r="R473" s="143"/>
      <c r="S473" s="146"/>
      <c r="T473" s="146"/>
      <c r="U473" s="146"/>
      <c r="V473" s="147"/>
      <c r="W473" s="143" t="s">
        <v>49</v>
      </c>
      <c r="X473" s="143" t="s">
        <v>1675</v>
      </c>
      <c r="Y473" s="143" t="s">
        <v>1676</v>
      </c>
      <c r="Z473" s="143" t="s">
        <v>1675</v>
      </c>
      <c r="AA473" s="143"/>
      <c r="AB473" s="170"/>
      <c r="AC473" s="143"/>
      <c r="AD473" s="143"/>
      <c r="AE473" s="143"/>
      <c r="AF473" s="143"/>
      <c r="AG473" s="143" t="s">
        <v>1071</v>
      </c>
      <c r="AH473" s="143"/>
      <c r="AI473" s="143"/>
      <c r="AJ473" s="143" t="s">
        <v>1076</v>
      </c>
      <c r="AK473" s="143"/>
      <c r="AL473" s="143"/>
      <c r="AM473" s="143"/>
      <c r="AN473" s="148"/>
      <c r="AO473" s="148"/>
      <c r="AP473" s="148"/>
      <c r="AQ473" s="148"/>
    </row>
    <row r="474" s="140" customFormat="1" ht="15" spans="1:43">
      <c r="A474" s="143">
        <v>472</v>
      </c>
      <c r="B474" s="144"/>
      <c r="C474" s="143" t="s">
        <v>193</v>
      </c>
      <c r="D474" s="143" t="s">
        <v>229</v>
      </c>
      <c r="E474" s="145"/>
      <c r="F474" s="143"/>
      <c r="G474" s="143"/>
      <c r="H474" s="152" t="s">
        <v>1677</v>
      </c>
      <c r="I474" s="143" t="s">
        <v>1678</v>
      </c>
      <c r="J474" s="143" t="s">
        <v>1679</v>
      </c>
      <c r="K474" s="143">
        <v>150</v>
      </c>
      <c r="L474" s="143">
        <v>280</v>
      </c>
      <c r="M474" s="143"/>
      <c r="N474" s="143"/>
      <c r="O474" s="143"/>
      <c r="P474" s="143"/>
      <c r="Q474" s="143"/>
      <c r="R474" s="143"/>
      <c r="S474" s="146"/>
      <c r="T474" s="146"/>
      <c r="U474" s="146"/>
      <c r="V474" s="147"/>
      <c r="W474" s="143" t="s">
        <v>49</v>
      </c>
      <c r="X474" s="143" t="s">
        <v>1680</v>
      </c>
      <c r="Y474" s="143" t="s">
        <v>1681</v>
      </c>
      <c r="Z474" s="143" t="s">
        <v>1680</v>
      </c>
      <c r="AA474" s="143"/>
      <c r="AB474" s="170"/>
      <c r="AC474" s="143"/>
      <c r="AD474" s="143"/>
      <c r="AE474" s="143"/>
      <c r="AF474" s="143"/>
      <c r="AG474" s="143" t="s">
        <v>249</v>
      </c>
      <c r="AH474" s="143"/>
      <c r="AI474" s="143"/>
      <c r="AJ474" s="143" t="s">
        <v>254</v>
      </c>
      <c r="AK474" s="143"/>
      <c r="AL474" s="143"/>
      <c r="AM474" s="143"/>
      <c r="AN474" s="148"/>
      <c r="AO474" s="148"/>
      <c r="AP474" s="148"/>
      <c r="AQ474" s="148"/>
    </row>
    <row r="475" s="140" customFormat="1" ht="15" spans="1:43">
      <c r="A475" s="143">
        <v>473</v>
      </c>
      <c r="B475" s="144"/>
      <c r="C475" s="143" t="s">
        <v>193</v>
      </c>
      <c r="D475" s="143" t="s">
        <v>229</v>
      </c>
      <c r="E475" s="145"/>
      <c r="F475" s="143"/>
      <c r="G475" s="143"/>
      <c r="H475" s="152" t="s">
        <v>1682</v>
      </c>
      <c r="I475" s="143"/>
      <c r="J475" s="143"/>
      <c r="K475" s="143">
        <v>146</v>
      </c>
      <c r="L475" s="143">
        <v>220</v>
      </c>
      <c r="M475" s="143"/>
      <c r="N475" s="143"/>
      <c r="O475" s="143"/>
      <c r="P475" s="143"/>
      <c r="Q475" s="143"/>
      <c r="R475" s="143"/>
      <c r="S475" s="146"/>
      <c r="T475" s="146"/>
      <c r="U475" s="146"/>
      <c r="V475" s="147"/>
      <c r="W475" s="143" t="s">
        <v>49</v>
      </c>
      <c r="X475" s="143" t="s">
        <v>1683</v>
      </c>
      <c r="Y475" s="143" t="s">
        <v>1684</v>
      </c>
      <c r="Z475" s="143" t="s">
        <v>1683</v>
      </c>
      <c r="AA475" s="143"/>
      <c r="AB475" s="170"/>
      <c r="AC475" s="143"/>
      <c r="AD475" s="143"/>
      <c r="AE475" s="143"/>
      <c r="AF475" s="143"/>
      <c r="AG475" s="143" t="s">
        <v>249</v>
      </c>
      <c r="AH475" s="143"/>
      <c r="AI475" s="143"/>
      <c r="AJ475" s="143" t="s">
        <v>251</v>
      </c>
      <c r="AK475" s="143"/>
      <c r="AL475" s="143"/>
      <c r="AM475" s="143"/>
      <c r="AN475" s="148"/>
      <c r="AO475" s="148"/>
      <c r="AP475" s="148"/>
      <c r="AQ475" s="148"/>
    </row>
    <row r="476" s="140" customFormat="1" ht="15" spans="1:43">
      <c r="A476" s="143">
        <v>474</v>
      </c>
      <c r="B476" s="144"/>
      <c r="C476" s="143" t="s">
        <v>193</v>
      </c>
      <c r="D476" s="143" t="s">
        <v>229</v>
      </c>
      <c r="E476" s="145"/>
      <c r="F476" s="143"/>
      <c r="G476" s="143"/>
      <c r="H476" s="152" t="s">
        <v>1685</v>
      </c>
      <c r="I476" s="143" t="s">
        <v>1686</v>
      </c>
      <c r="J476" s="143" t="s">
        <v>1687</v>
      </c>
      <c r="K476" s="143">
        <v>150</v>
      </c>
      <c r="L476" s="143">
        <v>470</v>
      </c>
      <c r="M476" s="143"/>
      <c r="N476" s="143"/>
      <c r="O476" s="143"/>
      <c r="P476" s="143"/>
      <c r="Q476" s="143"/>
      <c r="R476" s="143"/>
      <c r="S476" s="146"/>
      <c r="T476" s="146"/>
      <c r="U476" s="146"/>
      <c r="V476" s="147"/>
      <c r="W476" s="143" t="s">
        <v>49</v>
      </c>
      <c r="X476" s="143" t="s">
        <v>1688</v>
      </c>
      <c r="Y476" s="143" t="s">
        <v>1681</v>
      </c>
      <c r="Z476" s="143" t="s">
        <v>1688</v>
      </c>
      <c r="AA476" s="143"/>
      <c r="AB476" s="170"/>
      <c r="AC476" s="143"/>
      <c r="AD476" s="143"/>
      <c r="AE476" s="143"/>
      <c r="AF476" s="143"/>
      <c r="AG476" s="143" t="s">
        <v>269</v>
      </c>
      <c r="AH476" s="143"/>
      <c r="AI476" s="143"/>
      <c r="AJ476" s="143" t="s">
        <v>270</v>
      </c>
      <c r="AK476" s="143"/>
      <c r="AL476" s="143"/>
      <c r="AM476" s="143"/>
      <c r="AN476" s="148"/>
      <c r="AO476" s="148"/>
      <c r="AP476" s="148"/>
      <c r="AQ476" s="148"/>
    </row>
    <row r="477" s="140" customFormat="1" ht="15" spans="1:43">
      <c r="A477" s="143">
        <v>475</v>
      </c>
      <c r="B477" s="144"/>
      <c r="C477" s="143" t="s">
        <v>193</v>
      </c>
      <c r="D477" s="143" t="s">
        <v>229</v>
      </c>
      <c r="E477" s="145"/>
      <c r="F477" s="143"/>
      <c r="G477" s="143"/>
      <c r="H477" s="152" t="s">
        <v>1689</v>
      </c>
      <c r="I477" s="143" t="s">
        <v>1690</v>
      </c>
      <c r="J477" s="143" t="s">
        <v>1691</v>
      </c>
      <c r="K477" s="143">
        <v>160</v>
      </c>
      <c r="L477" s="143">
        <v>220</v>
      </c>
      <c r="M477" s="143"/>
      <c r="N477" s="143"/>
      <c r="O477" s="143"/>
      <c r="P477" s="143"/>
      <c r="Q477" s="143"/>
      <c r="R477" s="143"/>
      <c r="S477" s="146"/>
      <c r="T477" s="146"/>
      <c r="U477" s="146"/>
      <c r="V477" s="147"/>
      <c r="W477" s="143" t="s">
        <v>49</v>
      </c>
      <c r="X477" s="143" t="s">
        <v>1692</v>
      </c>
      <c r="Y477" s="143" t="s">
        <v>1693</v>
      </c>
      <c r="Z477" s="143" t="s">
        <v>1692</v>
      </c>
      <c r="AA477" s="143"/>
      <c r="AB477" s="170"/>
      <c r="AC477" s="143"/>
      <c r="AD477" s="143"/>
      <c r="AE477" s="143"/>
      <c r="AF477" s="143"/>
      <c r="AG477" s="143" t="s">
        <v>269</v>
      </c>
      <c r="AH477" s="143"/>
      <c r="AI477" s="143"/>
      <c r="AJ477" s="143" t="s">
        <v>270</v>
      </c>
      <c r="AK477" s="143"/>
      <c r="AL477" s="143"/>
      <c r="AM477" s="143"/>
      <c r="AN477" s="148"/>
      <c r="AO477" s="148"/>
      <c r="AP477" s="148"/>
      <c r="AQ477" s="148"/>
    </row>
    <row r="478" s="140" customFormat="1" ht="15" spans="1:43">
      <c r="A478" s="143">
        <v>476</v>
      </c>
      <c r="B478" s="144"/>
      <c r="C478" s="143" t="s">
        <v>193</v>
      </c>
      <c r="D478" s="143" t="s">
        <v>229</v>
      </c>
      <c r="E478" s="145"/>
      <c r="F478" s="143"/>
      <c r="G478" s="143"/>
      <c r="H478" s="174" t="s">
        <v>1694</v>
      </c>
      <c r="I478" s="143" t="s">
        <v>324</v>
      </c>
      <c r="J478" s="143" t="s">
        <v>517</v>
      </c>
      <c r="K478" s="143">
        <v>150</v>
      </c>
      <c r="L478" s="143">
        <v>180</v>
      </c>
      <c r="M478" s="143"/>
      <c r="N478" s="143"/>
      <c r="O478" s="143"/>
      <c r="P478" s="143"/>
      <c r="Q478" s="143"/>
      <c r="R478" s="143"/>
      <c r="S478" s="146"/>
      <c r="T478" s="146"/>
      <c r="U478" s="146"/>
      <c r="V478" s="147"/>
      <c r="W478" s="143" t="s">
        <v>49</v>
      </c>
      <c r="X478" s="143" t="s">
        <v>1695</v>
      </c>
      <c r="Y478" s="143" t="s">
        <v>487</v>
      </c>
      <c r="Z478" s="143" t="s">
        <v>1695</v>
      </c>
      <c r="AA478" s="173">
        <v>16.9</v>
      </c>
      <c r="AB478" s="170">
        <v>46104</v>
      </c>
      <c r="AC478" s="143"/>
      <c r="AD478" s="143"/>
      <c r="AE478" s="143"/>
      <c r="AF478" s="143"/>
      <c r="AG478" s="143" t="s">
        <v>233</v>
      </c>
      <c r="AH478" s="143" t="s">
        <v>507</v>
      </c>
      <c r="AI478" s="143"/>
      <c r="AJ478" s="143" t="s">
        <v>632</v>
      </c>
      <c r="AK478" s="143"/>
      <c r="AL478" s="143"/>
      <c r="AM478" s="143"/>
      <c r="AO478" s="148"/>
      <c r="AP478" s="148"/>
      <c r="AQ478" s="148"/>
    </row>
    <row r="479" s="140" customFormat="1" ht="50.25" spans="1:43">
      <c r="A479" s="143">
        <v>477</v>
      </c>
      <c r="B479" s="144"/>
      <c r="C479" s="143" t="s">
        <v>193</v>
      </c>
      <c r="D479" s="143" t="s">
        <v>557</v>
      </c>
      <c r="E479" s="145"/>
      <c r="F479" s="143"/>
      <c r="G479" s="143"/>
      <c r="H479" s="174" t="s">
        <v>1696</v>
      </c>
      <c r="I479" s="143" t="s">
        <v>1552</v>
      </c>
      <c r="J479" s="143" t="s">
        <v>1553</v>
      </c>
      <c r="K479" s="143">
        <v>150</v>
      </c>
      <c r="L479" s="143">
        <v>330</v>
      </c>
      <c r="M479" s="143"/>
      <c r="N479" s="143"/>
      <c r="O479" s="143"/>
      <c r="P479" s="143"/>
      <c r="Q479" s="143"/>
      <c r="R479" s="143"/>
      <c r="S479" s="146"/>
      <c r="T479" s="146"/>
      <c r="U479" s="146"/>
      <c r="V479" s="147"/>
      <c r="W479" s="143" t="s">
        <v>49</v>
      </c>
      <c r="X479" s="143" t="s">
        <v>1697</v>
      </c>
      <c r="Y479" s="143" t="s">
        <v>487</v>
      </c>
      <c r="Z479" s="143" t="s">
        <v>1697</v>
      </c>
      <c r="AA479" s="143">
        <v>16.8</v>
      </c>
      <c r="AB479" s="170">
        <v>45861</v>
      </c>
      <c r="AC479" s="143"/>
      <c r="AD479" s="143"/>
      <c r="AE479" s="143"/>
      <c r="AF479" s="143"/>
      <c r="AG479" s="143" t="s">
        <v>233</v>
      </c>
      <c r="AH479" s="152" t="s">
        <v>1698</v>
      </c>
      <c r="AI479" s="143"/>
      <c r="AJ479" s="143" t="s">
        <v>1165</v>
      </c>
      <c r="AK479" s="143"/>
      <c r="AL479" s="143"/>
      <c r="AM479" s="143"/>
      <c r="AN479" s="148"/>
      <c r="AO479" s="148"/>
      <c r="AP479" s="148"/>
      <c r="AQ479" s="148"/>
    </row>
    <row r="480" s="140" customFormat="1" ht="15" spans="1:43">
      <c r="A480" s="143">
        <v>478</v>
      </c>
      <c r="B480" s="144"/>
      <c r="C480" s="143" t="s">
        <v>193</v>
      </c>
      <c r="D480" s="143" t="s">
        <v>229</v>
      </c>
      <c r="E480" s="145"/>
      <c r="F480" s="143"/>
      <c r="G480" s="143"/>
      <c r="H480" s="152" t="s">
        <v>1699</v>
      </c>
      <c r="I480" s="143"/>
      <c r="J480" s="143"/>
      <c r="K480" s="143">
        <v>150</v>
      </c>
      <c r="L480" s="143"/>
      <c r="M480" s="143"/>
      <c r="N480" s="143"/>
      <c r="O480" s="143"/>
      <c r="P480" s="143"/>
      <c r="Q480" s="143"/>
      <c r="R480" s="143"/>
      <c r="S480" s="146"/>
      <c r="T480" s="146"/>
      <c r="U480" s="146"/>
      <c r="V480" s="147"/>
      <c r="W480" s="143" t="s">
        <v>49</v>
      </c>
      <c r="X480" s="143">
        <v>1662</v>
      </c>
      <c r="Y480" s="143" t="s">
        <v>1700</v>
      </c>
      <c r="Z480" s="143">
        <v>1662</v>
      </c>
      <c r="AA480" s="143"/>
      <c r="AB480" s="170"/>
      <c r="AC480" s="143"/>
      <c r="AD480" s="143"/>
      <c r="AE480" s="143"/>
      <c r="AF480" s="143"/>
      <c r="AG480" s="143" t="s">
        <v>233</v>
      </c>
      <c r="AH480" s="143"/>
      <c r="AI480" s="143"/>
      <c r="AJ480" s="143" t="s">
        <v>234</v>
      </c>
      <c r="AK480" s="143"/>
      <c r="AL480" s="143"/>
      <c r="AM480" s="143"/>
      <c r="AO480" s="148"/>
      <c r="AP480" s="148"/>
      <c r="AQ480" s="148"/>
    </row>
    <row r="481" s="140" customFormat="1" ht="15" spans="1:43">
      <c r="A481" s="143">
        <v>479</v>
      </c>
      <c r="B481" s="144"/>
      <c r="C481" s="143" t="s">
        <v>193</v>
      </c>
      <c r="D481" s="143" t="s">
        <v>229</v>
      </c>
      <c r="E481" s="145"/>
      <c r="F481" s="143"/>
      <c r="G481" s="143"/>
      <c r="H481" s="174" t="s">
        <v>1701</v>
      </c>
      <c r="I481" s="143" t="s">
        <v>324</v>
      </c>
      <c r="J481" s="143" t="s">
        <v>517</v>
      </c>
      <c r="K481" s="143">
        <v>150</v>
      </c>
      <c r="L481" s="143">
        <v>210</v>
      </c>
      <c r="M481" s="143"/>
      <c r="N481" s="143"/>
      <c r="O481" s="143"/>
      <c r="P481" s="143"/>
      <c r="Q481" s="143"/>
      <c r="R481" s="143"/>
      <c r="S481" s="146"/>
      <c r="T481" s="146"/>
      <c r="U481" s="146"/>
      <c r="V481" s="147"/>
      <c r="W481" s="143" t="s">
        <v>49</v>
      </c>
      <c r="X481" s="143" t="s">
        <v>1702</v>
      </c>
      <c r="Y481" s="143" t="s">
        <v>1700</v>
      </c>
      <c r="Z481" s="143" t="s">
        <v>1702</v>
      </c>
      <c r="AA481" s="173">
        <v>19.2</v>
      </c>
      <c r="AB481" s="170">
        <v>46104</v>
      </c>
      <c r="AC481" s="143"/>
      <c r="AD481" s="143"/>
      <c r="AE481" s="143"/>
      <c r="AF481" s="143"/>
      <c r="AG481" s="143" t="s">
        <v>233</v>
      </c>
      <c r="AH481" s="143" t="s">
        <v>507</v>
      </c>
      <c r="AI481" s="143"/>
      <c r="AJ481" s="143" t="s">
        <v>1124</v>
      </c>
      <c r="AK481" s="143"/>
      <c r="AL481" s="143"/>
      <c r="AM481" s="143"/>
      <c r="AN481" s="148"/>
      <c r="AO481" s="148"/>
      <c r="AP481" s="148"/>
      <c r="AQ481" s="148"/>
    </row>
    <row r="482" s="140" customFormat="1" ht="15" spans="1:43">
      <c r="A482" s="143">
        <v>480</v>
      </c>
      <c r="B482" s="144"/>
      <c r="C482" s="143" t="s">
        <v>193</v>
      </c>
      <c r="D482" s="143" t="s">
        <v>229</v>
      </c>
      <c r="E482" s="145"/>
      <c r="F482" s="143"/>
      <c r="G482" s="143"/>
      <c r="H482" s="152" t="s">
        <v>1703</v>
      </c>
      <c r="I482" s="143" t="s">
        <v>1704</v>
      </c>
      <c r="J482" s="143" t="s">
        <v>1705</v>
      </c>
      <c r="K482" s="143">
        <v>150</v>
      </c>
      <c r="L482" s="143"/>
      <c r="M482" s="143"/>
      <c r="N482" s="143"/>
      <c r="O482" s="143"/>
      <c r="P482" s="143"/>
      <c r="Q482" s="143"/>
      <c r="R482" s="143"/>
      <c r="S482" s="146"/>
      <c r="T482" s="146"/>
      <c r="U482" s="146"/>
      <c r="V482" s="147"/>
      <c r="W482" s="143" t="s">
        <v>49</v>
      </c>
      <c r="X482" s="143" t="s">
        <v>1706</v>
      </c>
      <c r="Y482" s="143" t="s">
        <v>1700</v>
      </c>
      <c r="Z482" s="143" t="s">
        <v>1706</v>
      </c>
      <c r="AA482" s="143">
        <v>15.3</v>
      </c>
      <c r="AB482" s="170">
        <v>46051</v>
      </c>
      <c r="AC482" s="143"/>
      <c r="AD482" s="143"/>
      <c r="AE482" s="143"/>
      <c r="AF482" s="143"/>
      <c r="AG482" s="143" t="s">
        <v>233</v>
      </c>
      <c r="AH482" s="143"/>
      <c r="AI482" s="143"/>
      <c r="AJ482" s="143" t="s">
        <v>1165</v>
      </c>
      <c r="AK482" s="143"/>
      <c r="AL482" s="143"/>
      <c r="AM482" s="143"/>
      <c r="AN482" s="148"/>
      <c r="AO482" s="148"/>
      <c r="AP482" s="148"/>
      <c r="AQ482" s="148"/>
    </row>
    <row r="483" s="140" customFormat="1" ht="15" spans="1:43">
      <c r="A483" s="143">
        <v>481</v>
      </c>
      <c r="B483" s="144"/>
      <c r="C483" s="143" t="s">
        <v>193</v>
      </c>
      <c r="D483" s="143" t="s">
        <v>229</v>
      </c>
      <c r="E483" s="145"/>
      <c r="F483" s="143"/>
      <c r="G483" s="143"/>
      <c r="H483" s="152" t="s">
        <v>1707</v>
      </c>
      <c r="I483" s="143" t="s">
        <v>672</v>
      </c>
      <c r="J483" s="143" t="s">
        <v>1460</v>
      </c>
      <c r="K483" s="143">
        <v>150</v>
      </c>
      <c r="L483" s="143"/>
      <c r="M483" s="143"/>
      <c r="N483" s="143"/>
      <c r="O483" s="143"/>
      <c r="P483" s="143"/>
      <c r="Q483" s="143"/>
      <c r="R483" s="143"/>
      <c r="S483" s="146"/>
      <c r="T483" s="146"/>
      <c r="U483" s="146"/>
      <c r="V483" s="147"/>
      <c r="W483" s="143" t="s">
        <v>49</v>
      </c>
      <c r="X483" s="143" t="s">
        <v>1708</v>
      </c>
      <c r="Y483" s="143" t="s">
        <v>1700</v>
      </c>
      <c r="Z483" s="143" t="s">
        <v>1708</v>
      </c>
      <c r="AA483" s="143">
        <v>18</v>
      </c>
      <c r="AB483" s="170">
        <v>46051</v>
      </c>
      <c r="AC483" s="143"/>
      <c r="AD483" s="143"/>
      <c r="AE483" s="143"/>
      <c r="AF483" s="143"/>
      <c r="AG483" s="143" t="s">
        <v>233</v>
      </c>
      <c r="AH483" s="143"/>
      <c r="AI483" s="143"/>
      <c r="AJ483" s="143" t="s">
        <v>1165</v>
      </c>
      <c r="AK483" s="143"/>
      <c r="AL483" s="143"/>
      <c r="AM483" s="143"/>
      <c r="AN483" s="148"/>
      <c r="AO483" s="148"/>
      <c r="AP483" s="148"/>
      <c r="AQ483" s="148"/>
    </row>
    <row r="484" s="140" customFormat="1" ht="15" spans="1:43">
      <c r="A484" s="143">
        <v>482</v>
      </c>
      <c r="B484" s="144"/>
      <c r="C484" s="143" t="s">
        <v>193</v>
      </c>
      <c r="D484" s="143" t="s">
        <v>229</v>
      </c>
      <c r="E484" s="145"/>
      <c r="F484" s="143"/>
      <c r="G484" s="143"/>
      <c r="H484" s="152" t="s">
        <v>1709</v>
      </c>
      <c r="I484" s="143" t="s">
        <v>324</v>
      </c>
      <c r="J484" s="143" t="s">
        <v>517</v>
      </c>
      <c r="K484" s="143">
        <v>150</v>
      </c>
      <c r="L484" s="143"/>
      <c r="M484" s="143"/>
      <c r="N484" s="143"/>
      <c r="O484" s="143"/>
      <c r="P484" s="143"/>
      <c r="Q484" s="143"/>
      <c r="R484" s="143"/>
      <c r="S484" s="146"/>
      <c r="T484" s="146"/>
      <c r="U484" s="146"/>
      <c r="V484" s="147"/>
      <c r="W484" s="143" t="s">
        <v>49</v>
      </c>
      <c r="X484" s="143" t="s">
        <v>1710</v>
      </c>
      <c r="Y484" s="143" t="s">
        <v>1711</v>
      </c>
      <c r="Z484" s="143" t="s">
        <v>1710</v>
      </c>
      <c r="AA484" s="143">
        <v>11.2</v>
      </c>
      <c r="AB484" s="170">
        <v>46051</v>
      </c>
      <c r="AC484" s="143"/>
      <c r="AD484" s="143"/>
      <c r="AE484" s="143"/>
      <c r="AF484" s="143"/>
      <c r="AG484" s="143" t="s">
        <v>233</v>
      </c>
      <c r="AH484" s="143"/>
      <c r="AI484" s="143"/>
      <c r="AJ484" s="143" t="s">
        <v>234</v>
      </c>
      <c r="AK484" s="143"/>
      <c r="AL484" s="143"/>
      <c r="AM484" s="143"/>
      <c r="AN484" s="148"/>
      <c r="AO484" s="148"/>
      <c r="AP484" s="148"/>
      <c r="AQ484" s="148"/>
    </row>
    <row r="485" s="140" customFormat="1" ht="15" spans="1:43">
      <c r="A485" s="143">
        <v>483</v>
      </c>
      <c r="B485" s="144"/>
      <c r="C485" s="143" t="s">
        <v>193</v>
      </c>
      <c r="D485" s="143" t="s">
        <v>229</v>
      </c>
      <c r="E485" s="145"/>
      <c r="F485" s="143"/>
      <c r="G485" s="143"/>
      <c r="H485" s="152" t="s">
        <v>1712</v>
      </c>
      <c r="I485" s="143" t="s">
        <v>1713</v>
      </c>
      <c r="J485" s="143" t="s">
        <v>1714</v>
      </c>
      <c r="K485" s="143">
        <v>150</v>
      </c>
      <c r="L485" s="143">
        <v>128</v>
      </c>
      <c r="M485" s="143"/>
      <c r="N485" s="143"/>
      <c r="O485" s="143"/>
      <c r="P485" s="143"/>
      <c r="Q485" s="143"/>
      <c r="R485" s="143"/>
      <c r="S485" s="146"/>
      <c r="T485" s="146"/>
      <c r="U485" s="146"/>
      <c r="V485" s="147"/>
      <c r="W485" s="143" t="s">
        <v>49</v>
      </c>
      <c r="X485" s="143" t="s">
        <v>1715</v>
      </c>
      <c r="Y485" s="143" t="s">
        <v>1716</v>
      </c>
      <c r="Z485" s="143" t="s">
        <v>1715</v>
      </c>
      <c r="AA485" s="143"/>
      <c r="AB485" s="170"/>
      <c r="AC485" s="143"/>
      <c r="AD485" s="143"/>
      <c r="AE485" s="143"/>
      <c r="AF485" s="143"/>
      <c r="AG485" s="143" t="s">
        <v>233</v>
      </c>
      <c r="AH485" s="143"/>
      <c r="AI485" s="143"/>
      <c r="AJ485" s="143" t="s">
        <v>305</v>
      </c>
      <c r="AK485" s="143"/>
      <c r="AL485" s="143"/>
      <c r="AM485" s="143"/>
    </row>
    <row r="486" s="140" customFormat="1" ht="15" spans="1:43">
      <c r="A486" s="143">
        <v>484</v>
      </c>
      <c r="B486" s="144"/>
      <c r="C486" s="143" t="s">
        <v>193</v>
      </c>
      <c r="D486" s="143" t="s">
        <v>229</v>
      </c>
      <c r="E486" s="145"/>
      <c r="F486" s="143"/>
      <c r="G486" s="143"/>
      <c r="H486" s="152" t="s">
        <v>1717</v>
      </c>
      <c r="I486" s="143" t="s">
        <v>436</v>
      </c>
      <c r="J486" s="143" t="s">
        <v>559</v>
      </c>
      <c r="K486" s="143">
        <v>150</v>
      </c>
      <c r="L486" s="143"/>
      <c r="M486" s="143"/>
      <c r="N486" s="143"/>
      <c r="O486" s="143"/>
      <c r="P486" s="143"/>
      <c r="Q486" s="143"/>
      <c r="R486" s="143"/>
      <c r="S486" s="146"/>
      <c r="T486" s="146"/>
      <c r="U486" s="146"/>
      <c r="V486" s="147"/>
      <c r="W486" s="143" t="s">
        <v>49</v>
      </c>
      <c r="X486" s="143" t="s">
        <v>1718</v>
      </c>
      <c r="Y486" s="143" t="s">
        <v>1676</v>
      </c>
      <c r="Z486" s="143" t="s">
        <v>1718</v>
      </c>
      <c r="AA486" s="143"/>
      <c r="AB486" s="170"/>
      <c r="AC486" s="143"/>
      <c r="AD486" s="143"/>
      <c r="AE486" s="143"/>
      <c r="AF486" s="143"/>
      <c r="AG486" s="143" t="s">
        <v>301</v>
      </c>
      <c r="AH486" s="143"/>
      <c r="AI486" s="143"/>
      <c r="AJ486" s="143" t="s">
        <v>1719</v>
      </c>
      <c r="AK486" s="143"/>
      <c r="AL486" s="143"/>
      <c r="AM486" s="143"/>
    </row>
    <row r="487" s="140" customFormat="1" ht="15" spans="1:43">
      <c r="A487" s="143">
        <v>485</v>
      </c>
      <c r="B487" s="144"/>
      <c r="C487" s="143" t="s">
        <v>193</v>
      </c>
      <c r="D487" s="143" t="s">
        <v>229</v>
      </c>
      <c r="E487" s="145"/>
      <c r="F487" s="143"/>
      <c r="G487" s="143"/>
      <c r="H487" s="172" t="s">
        <v>1720</v>
      </c>
      <c r="I487" s="143" t="s">
        <v>324</v>
      </c>
      <c r="J487" s="143" t="s">
        <v>517</v>
      </c>
      <c r="K487" s="143">
        <v>148</v>
      </c>
      <c r="L487" s="143">
        <v>95</v>
      </c>
      <c r="M487" s="143"/>
      <c r="N487" s="143"/>
      <c r="O487" s="143"/>
      <c r="P487" s="143"/>
      <c r="Q487" s="143"/>
      <c r="R487" s="143"/>
      <c r="S487" s="146"/>
      <c r="T487" s="146"/>
      <c r="U487" s="146"/>
      <c r="V487" s="147"/>
      <c r="W487" s="143" t="s">
        <v>49</v>
      </c>
      <c r="X487" s="143" t="s">
        <v>1721</v>
      </c>
      <c r="Y487" s="143" t="s">
        <v>1722</v>
      </c>
      <c r="Z487" s="143" t="s">
        <v>1721</v>
      </c>
      <c r="AA487" s="173">
        <v>18</v>
      </c>
      <c r="AB487" s="170">
        <v>46104</v>
      </c>
      <c r="AC487" s="143"/>
      <c r="AD487" s="143"/>
      <c r="AE487" s="143"/>
      <c r="AF487" s="143"/>
      <c r="AG487" s="143" t="s">
        <v>301</v>
      </c>
      <c r="AH487" s="143" t="s">
        <v>250</v>
      </c>
      <c r="AI487" s="143"/>
      <c r="AJ487" s="143" t="s">
        <v>302</v>
      </c>
      <c r="AK487" s="143"/>
      <c r="AL487" s="143"/>
      <c r="AM487" s="143"/>
    </row>
    <row r="488" s="140" customFormat="1" ht="15" spans="1:43">
      <c r="A488" s="143">
        <v>486</v>
      </c>
      <c r="B488" s="144"/>
      <c r="C488" s="143" t="s">
        <v>193</v>
      </c>
      <c r="D488" s="143" t="s">
        <v>229</v>
      </c>
      <c r="E488" s="145"/>
      <c r="F488" s="143"/>
      <c r="G488" s="143"/>
      <c r="H488" s="172" t="s">
        <v>1723</v>
      </c>
      <c r="I488" s="143" t="s">
        <v>1724</v>
      </c>
      <c r="J488" s="143" t="s">
        <v>1725</v>
      </c>
      <c r="K488" s="143">
        <v>145</v>
      </c>
      <c r="L488" s="143">
        <v>137</v>
      </c>
      <c r="M488" s="143"/>
      <c r="N488" s="143"/>
      <c r="O488" s="143"/>
      <c r="P488" s="143"/>
      <c r="Q488" s="143"/>
      <c r="R488" s="143"/>
      <c r="S488" s="146"/>
      <c r="T488" s="146"/>
      <c r="U488" s="146"/>
      <c r="V488" s="147"/>
      <c r="W488" s="143" t="s">
        <v>49</v>
      </c>
      <c r="X488" s="143" t="s">
        <v>1726</v>
      </c>
      <c r="Y488" s="143" t="s">
        <v>1727</v>
      </c>
      <c r="Z488" s="143" t="s">
        <v>1726</v>
      </c>
      <c r="AA488" s="173"/>
      <c r="AB488" s="170">
        <v>46104</v>
      </c>
      <c r="AC488" s="143"/>
      <c r="AD488" s="143"/>
      <c r="AE488" s="143"/>
      <c r="AF488" s="143"/>
      <c r="AG488" s="143" t="s">
        <v>301</v>
      </c>
      <c r="AH488" s="143" t="s">
        <v>250</v>
      </c>
      <c r="AI488" s="143"/>
      <c r="AJ488" s="143" t="s">
        <v>1169</v>
      </c>
      <c r="AK488" s="143"/>
      <c r="AL488" s="143"/>
      <c r="AM488" s="143"/>
    </row>
    <row r="489" s="140" customFormat="1" ht="15" spans="1:43">
      <c r="A489" s="143">
        <v>487</v>
      </c>
      <c r="B489" s="144"/>
      <c r="C489" s="143" t="s">
        <v>193</v>
      </c>
      <c r="D489" s="143" t="s">
        <v>229</v>
      </c>
      <c r="E489" s="145"/>
      <c r="F489" s="143"/>
      <c r="G489" s="143"/>
      <c r="H489" s="152" t="s">
        <v>1728</v>
      </c>
      <c r="I489" s="143" t="s">
        <v>1197</v>
      </c>
      <c r="J489" s="143" t="s">
        <v>1198</v>
      </c>
      <c r="K489" s="143">
        <v>150</v>
      </c>
      <c r="L489" s="143">
        <v>130</v>
      </c>
      <c r="M489" s="143"/>
      <c r="N489" s="143"/>
      <c r="O489" s="143"/>
      <c r="P489" s="143"/>
      <c r="Q489" s="143"/>
      <c r="R489" s="143"/>
      <c r="S489" s="146"/>
      <c r="T489" s="146"/>
      <c r="U489" s="146"/>
      <c r="V489" s="147"/>
      <c r="W489" s="143" t="s">
        <v>49</v>
      </c>
      <c r="X489" s="143" t="s">
        <v>1729</v>
      </c>
      <c r="Y489" s="143" t="s">
        <v>1730</v>
      </c>
      <c r="Z489" s="143" t="s">
        <v>1729</v>
      </c>
      <c r="AA489" s="143"/>
      <c r="AB489" s="170"/>
      <c r="AC489" s="143"/>
      <c r="AD489" s="143"/>
      <c r="AE489" s="143"/>
      <c r="AF489" s="143"/>
      <c r="AG489" s="143" t="s">
        <v>233</v>
      </c>
      <c r="AH489" s="143"/>
      <c r="AI489" s="143"/>
      <c r="AJ489" s="143" t="s">
        <v>1124</v>
      </c>
      <c r="AK489" s="143"/>
      <c r="AL489" s="143"/>
      <c r="AM489" s="143"/>
    </row>
    <row r="490" s="140" customFormat="1" ht="15" spans="1:43">
      <c r="A490" s="143">
        <v>488</v>
      </c>
      <c r="B490" s="144"/>
      <c r="C490" s="143" t="s">
        <v>193</v>
      </c>
      <c r="D490" s="143" t="s">
        <v>229</v>
      </c>
      <c r="E490" s="145"/>
      <c r="F490" s="143"/>
      <c r="G490" s="143"/>
      <c r="H490" s="172" t="s">
        <v>1731</v>
      </c>
      <c r="I490" s="143" t="s">
        <v>1732</v>
      </c>
      <c r="J490" s="143" t="s">
        <v>1733</v>
      </c>
      <c r="K490" s="143">
        <v>150</v>
      </c>
      <c r="L490" s="143">
        <v>205</v>
      </c>
      <c r="M490" s="143"/>
      <c r="N490" s="143"/>
      <c r="O490" s="143"/>
      <c r="P490" s="143"/>
      <c r="Q490" s="143"/>
      <c r="R490" s="143"/>
      <c r="S490" s="146"/>
      <c r="T490" s="146"/>
      <c r="U490" s="146"/>
      <c r="V490" s="147"/>
      <c r="W490" s="143" t="s">
        <v>49</v>
      </c>
      <c r="X490" s="143" t="s">
        <v>1734</v>
      </c>
      <c r="Y490" s="143" t="s">
        <v>1735</v>
      </c>
      <c r="Z490" s="143" t="s">
        <v>1734</v>
      </c>
      <c r="AA490" s="173"/>
      <c r="AB490" s="170">
        <v>46104</v>
      </c>
      <c r="AC490" s="143"/>
      <c r="AD490" s="143"/>
      <c r="AE490" s="143"/>
      <c r="AF490" s="143"/>
      <c r="AG490" s="143" t="s">
        <v>301</v>
      </c>
      <c r="AH490" s="143" t="s">
        <v>250</v>
      </c>
      <c r="AI490" s="143"/>
      <c r="AJ490" s="143" t="s">
        <v>1169</v>
      </c>
      <c r="AK490" s="143"/>
      <c r="AL490" s="143"/>
      <c r="AM490" s="143"/>
    </row>
    <row r="491" s="140" customFormat="1" ht="15" spans="1:43">
      <c r="A491" s="143">
        <v>489</v>
      </c>
      <c r="B491" s="144"/>
      <c r="C491" s="143" t="s">
        <v>193</v>
      </c>
      <c r="D491" s="143" t="s">
        <v>229</v>
      </c>
      <c r="E491" s="145"/>
      <c r="F491" s="143"/>
      <c r="G491" s="143"/>
      <c r="H491" s="152" t="s">
        <v>1736</v>
      </c>
      <c r="I491" s="143" t="s">
        <v>324</v>
      </c>
      <c r="J491" s="143" t="s">
        <v>517</v>
      </c>
      <c r="K491" s="143">
        <v>148</v>
      </c>
      <c r="L491" s="143">
        <v>160</v>
      </c>
      <c r="M491" s="143"/>
      <c r="N491" s="143"/>
      <c r="O491" s="143"/>
      <c r="P491" s="143"/>
      <c r="Q491" s="143"/>
      <c r="R491" s="143"/>
      <c r="S491" s="146"/>
      <c r="T491" s="146"/>
      <c r="U491" s="146"/>
      <c r="V491" s="147"/>
      <c r="W491" s="143" t="s">
        <v>49</v>
      </c>
      <c r="X491" s="143" t="s">
        <v>1737</v>
      </c>
      <c r="Y491" s="143" t="s">
        <v>1738</v>
      </c>
      <c r="Z491" s="143" t="s">
        <v>1737</v>
      </c>
      <c r="AA491" s="143"/>
      <c r="AB491" s="170"/>
      <c r="AC491" s="143"/>
      <c r="AD491" s="143"/>
      <c r="AE491" s="143"/>
      <c r="AF491" s="143"/>
      <c r="AG491" s="143" t="s">
        <v>301</v>
      </c>
      <c r="AH491" s="143"/>
      <c r="AI491" s="143"/>
      <c r="AJ491" s="143" t="s">
        <v>1169</v>
      </c>
      <c r="AK491" s="143"/>
      <c r="AL491" s="143"/>
      <c r="AM491" s="143"/>
    </row>
    <row r="492" s="140" customFormat="1" ht="15" spans="1:43">
      <c r="A492" s="143">
        <v>490</v>
      </c>
      <c r="B492" s="144"/>
      <c r="C492" s="143" t="s">
        <v>193</v>
      </c>
      <c r="D492" s="143" t="s">
        <v>229</v>
      </c>
      <c r="E492" s="145"/>
      <c r="F492" s="143"/>
      <c r="G492" s="143"/>
      <c r="H492" s="172" t="s">
        <v>1739</v>
      </c>
      <c r="I492" s="143" t="s">
        <v>436</v>
      </c>
      <c r="J492" s="143" t="s">
        <v>559</v>
      </c>
      <c r="K492" s="143">
        <v>150</v>
      </c>
      <c r="L492" s="143">
        <v>80</v>
      </c>
      <c r="M492" s="143"/>
      <c r="N492" s="143"/>
      <c r="O492" s="143"/>
      <c r="P492" s="143"/>
      <c r="Q492" s="143"/>
      <c r="R492" s="143"/>
      <c r="S492" s="146"/>
      <c r="T492" s="146"/>
      <c r="U492" s="146"/>
      <c r="V492" s="147"/>
      <c r="W492" s="143" t="s">
        <v>49</v>
      </c>
      <c r="X492" s="143" t="s">
        <v>1740</v>
      </c>
      <c r="Y492" s="143" t="s">
        <v>1735</v>
      </c>
      <c r="Z492" s="143" t="s">
        <v>1740</v>
      </c>
      <c r="AA492" s="173"/>
      <c r="AB492" s="170">
        <v>46104</v>
      </c>
      <c r="AC492" s="143"/>
      <c r="AD492" s="143"/>
      <c r="AE492" s="143"/>
      <c r="AF492" s="143"/>
      <c r="AG492" s="143" t="s">
        <v>301</v>
      </c>
      <c r="AH492" s="143" t="s">
        <v>250</v>
      </c>
      <c r="AI492" s="143"/>
      <c r="AJ492" s="143" t="s">
        <v>1719</v>
      </c>
      <c r="AK492" s="143"/>
      <c r="AL492" s="143"/>
      <c r="AM492" s="143"/>
    </row>
    <row r="493" s="140" customFormat="1" ht="15" spans="1:43">
      <c r="A493" s="143">
        <v>491</v>
      </c>
      <c r="B493" s="144"/>
      <c r="C493" s="143" t="s">
        <v>193</v>
      </c>
      <c r="D493" s="143" t="s">
        <v>229</v>
      </c>
      <c r="E493" s="145"/>
      <c r="F493" s="143"/>
      <c r="G493" s="143"/>
      <c r="H493" s="172" t="s">
        <v>1741</v>
      </c>
      <c r="I493" s="143" t="s">
        <v>324</v>
      </c>
      <c r="J493" s="143" t="s">
        <v>517</v>
      </c>
      <c r="K493" s="143">
        <v>150</v>
      </c>
      <c r="L493" s="143">
        <v>130</v>
      </c>
      <c r="M493" s="143"/>
      <c r="N493" s="143"/>
      <c r="O493" s="143"/>
      <c r="P493" s="143"/>
      <c r="Q493" s="143"/>
      <c r="R493" s="143"/>
      <c r="S493" s="146"/>
      <c r="T493" s="146"/>
      <c r="U493" s="146"/>
      <c r="V493" s="147"/>
      <c r="W493" s="143" t="s">
        <v>49</v>
      </c>
      <c r="X493" s="143" t="s">
        <v>1742</v>
      </c>
      <c r="Y493" s="143" t="s">
        <v>1743</v>
      </c>
      <c r="Z493" s="143" t="s">
        <v>1742</v>
      </c>
      <c r="AA493" s="173"/>
      <c r="AB493" s="170">
        <v>46104</v>
      </c>
      <c r="AC493" s="143"/>
      <c r="AD493" s="143"/>
      <c r="AE493" s="143"/>
      <c r="AF493" s="143"/>
      <c r="AG493" s="143" t="s">
        <v>301</v>
      </c>
      <c r="AH493" s="143" t="s">
        <v>250</v>
      </c>
      <c r="AI493" s="143"/>
      <c r="AJ493" s="143" t="s">
        <v>302</v>
      </c>
      <c r="AK493" s="143"/>
      <c r="AL493" s="143"/>
      <c r="AM493" s="143"/>
    </row>
    <row r="494" s="140" customFormat="1" ht="15" spans="1:43">
      <c r="A494" s="143">
        <v>492</v>
      </c>
      <c r="B494" s="144"/>
      <c r="C494" s="143" t="s">
        <v>193</v>
      </c>
      <c r="D494" s="143" t="s">
        <v>229</v>
      </c>
      <c r="E494" s="145"/>
      <c r="F494" s="143"/>
      <c r="G494" s="169" t="s">
        <v>1185</v>
      </c>
      <c r="H494" s="152" t="s">
        <v>1744</v>
      </c>
      <c r="I494" s="143" t="s">
        <v>1745</v>
      </c>
      <c r="J494" s="143" t="s">
        <v>1746</v>
      </c>
      <c r="K494" s="143">
        <v>148</v>
      </c>
      <c r="L494" s="143">
        <v>125</v>
      </c>
      <c r="M494" s="143"/>
      <c r="N494" s="143"/>
      <c r="O494" s="143"/>
      <c r="P494" s="143"/>
      <c r="Q494" s="143"/>
      <c r="R494" s="143"/>
      <c r="S494" s="146"/>
      <c r="T494" s="146"/>
      <c r="U494" s="146"/>
      <c r="V494" s="147"/>
      <c r="W494" s="143" t="s">
        <v>49</v>
      </c>
      <c r="X494" s="143" t="s">
        <v>1747</v>
      </c>
      <c r="Y494" s="143" t="s">
        <v>1748</v>
      </c>
      <c r="Z494" s="143" t="s">
        <v>1747</v>
      </c>
      <c r="AA494" s="143">
        <v>17.6</v>
      </c>
      <c r="AB494" s="170">
        <v>46051</v>
      </c>
      <c r="AC494" s="143"/>
      <c r="AD494" s="143"/>
      <c r="AE494" s="143"/>
      <c r="AF494" s="143"/>
      <c r="AG494" s="143" t="s">
        <v>301</v>
      </c>
      <c r="AH494" s="143"/>
      <c r="AI494" s="143"/>
      <c r="AJ494" s="143" t="s">
        <v>1169</v>
      </c>
      <c r="AK494" s="143"/>
      <c r="AL494" s="143"/>
      <c r="AM494" s="143"/>
    </row>
    <row r="495" s="140" customFormat="1" ht="15" spans="1:43">
      <c r="A495" s="143">
        <v>493</v>
      </c>
      <c r="B495" s="144"/>
      <c r="C495" s="143" t="s">
        <v>193</v>
      </c>
      <c r="D495" s="143" t="s">
        <v>229</v>
      </c>
      <c r="E495" s="145"/>
      <c r="F495" s="143"/>
      <c r="G495" s="143"/>
      <c r="H495" s="152" t="s">
        <v>1749</v>
      </c>
      <c r="I495" s="143" t="s">
        <v>1750</v>
      </c>
      <c r="J495" s="143" t="s">
        <v>1751</v>
      </c>
      <c r="K495" s="143">
        <v>150</v>
      </c>
      <c r="L495" s="143">
        <v>160</v>
      </c>
      <c r="M495" s="143"/>
      <c r="N495" s="143"/>
      <c r="O495" s="143"/>
      <c r="P495" s="143"/>
      <c r="Q495" s="143"/>
      <c r="R495" s="143"/>
      <c r="S495" s="146"/>
      <c r="T495" s="146"/>
      <c r="U495" s="146"/>
      <c r="V495" s="147"/>
      <c r="W495" s="143" t="s">
        <v>49</v>
      </c>
      <c r="X495" s="143" t="s">
        <v>1752</v>
      </c>
      <c r="Y495" s="143" t="s">
        <v>1753</v>
      </c>
      <c r="Z495" s="143" t="s">
        <v>1752</v>
      </c>
      <c r="AA495" s="143">
        <v>17.5</v>
      </c>
      <c r="AB495" s="170">
        <v>46051</v>
      </c>
      <c r="AC495" s="143"/>
      <c r="AD495" s="143"/>
      <c r="AE495" s="143"/>
      <c r="AF495" s="143"/>
      <c r="AG495" s="143" t="s">
        <v>301</v>
      </c>
      <c r="AH495" s="143"/>
      <c r="AI495" s="143"/>
      <c r="AJ495" s="143" t="s">
        <v>1169</v>
      </c>
      <c r="AK495" s="143"/>
      <c r="AL495" s="143"/>
      <c r="AM495" s="143"/>
    </row>
    <row r="496" s="140" customFormat="1" ht="15" spans="1:43">
      <c r="A496" s="143">
        <v>494</v>
      </c>
      <c r="B496" s="144"/>
      <c r="C496" s="143" t="s">
        <v>193</v>
      </c>
      <c r="D496" s="143" t="s">
        <v>229</v>
      </c>
      <c r="E496" s="145"/>
      <c r="F496" s="143"/>
      <c r="G496" s="143"/>
      <c r="H496" s="172" t="s">
        <v>1754</v>
      </c>
      <c r="I496" s="143" t="s">
        <v>1533</v>
      </c>
      <c r="J496" s="143" t="s">
        <v>1533</v>
      </c>
      <c r="K496" s="143">
        <v>150</v>
      </c>
      <c r="L496" s="143">
        <v>165</v>
      </c>
      <c r="M496" s="143"/>
      <c r="N496" s="143"/>
      <c r="O496" s="143"/>
      <c r="P496" s="143"/>
      <c r="Q496" s="143"/>
      <c r="R496" s="143"/>
      <c r="S496" s="146"/>
      <c r="T496" s="146"/>
      <c r="U496" s="146"/>
      <c r="V496" s="147"/>
      <c r="W496" s="143" t="s">
        <v>49</v>
      </c>
      <c r="X496" s="143" t="s">
        <v>1755</v>
      </c>
      <c r="Y496" s="143" t="s">
        <v>1730</v>
      </c>
      <c r="Z496" s="143" t="s">
        <v>1755</v>
      </c>
      <c r="AA496" s="173"/>
      <c r="AB496" s="170">
        <v>46104</v>
      </c>
      <c r="AC496" s="143"/>
      <c r="AD496" s="143"/>
      <c r="AE496" s="143"/>
      <c r="AF496" s="143"/>
      <c r="AG496" s="143" t="s">
        <v>301</v>
      </c>
      <c r="AH496" s="143" t="s">
        <v>250</v>
      </c>
      <c r="AI496" s="143"/>
      <c r="AJ496" s="143" t="s">
        <v>1719</v>
      </c>
      <c r="AK496" s="143"/>
      <c r="AL496" s="143"/>
      <c r="AM496" s="143"/>
    </row>
    <row r="497" s="140" customFormat="1" ht="15" spans="1:39">
      <c r="A497" s="143">
        <v>495</v>
      </c>
      <c r="B497" s="144"/>
      <c r="C497" s="143" t="s">
        <v>193</v>
      </c>
      <c r="D497" s="143" t="s">
        <v>229</v>
      </c>
      <c r="E497" s="145"/>
      <c r="F497" s="143"/>
      <c r="G497" s="143"/>
      <c r="H497" s="172" t="s">
        <v>1756</v>
      </c>
      <c r="I497" s="143" t="s">
        <v>324</v>
      </c>
      <c r="J497" s="143" t="s">
        <v>517</v>
      </c>
      <c r="K497" s="143">
        <v>150</v>
      </c>
      <c r="L497" s="143">
        <v>170</v>
      </c>
      <c r="M497" s="143"/>
      <c r="N497" s="143"/>
      <c r="O497" s="143"/>
      <c r="P497" s="143"/>
      <c r="Q497" s="143"/>
      <c r="R497" s="143"/>
      <c r="S497" s="146"/>
      <c r="T497" s="146"/>
      <c r="U497" s="146"/>
      <c r="V497" s="147"/>
      <c r="W497" s="143" t="s">
        <v>49</v>
      </c>
      <c r="X497" s="143" t="s">
        <v>1757</v>
      </c>
      <c r="Y497" s="143" t="s">
        <v>1758</v>
      </c>
      <c r="Z497" s="143" t="s">
        <v>1757</v>
      </c>
      <c r="AA497" s="173">
        <v>9.9</v>
      </c>
      <c r="AB497" s="170">
        <v>46104</v>
      </c>
      <c r="AC497" s="143"/>
      <c r="AD497" s="143"/>
      <c r="AE497" s="143"/>
      <c r="AF497" s="143"/>
      <c r="AG497" s="143" t="s">
        <v>301</v>
      </c>
      <c r="AH497" s="143" t="s">
        <v>250</v>
      </c>
      <c r="AI497" s="143"/>
      <c r="AJ497" s="143" t="s">
        <v>1169</v>
      </c>
      <c r="AK497" s="143"/>
      <c r="AL497" s="143"/>
      <c r="AM497" s="143"/>
    </row>
    <row r="498" s="140" customFormat="1" ht="15" spans="1:39">
      <c r="A498" s="143">
        <v>496</v>
      </c>
      <c r="B498" s="144"/>
      <c r="C498" s="143" t="s">
        <v>193</v>
      </c>
      <c r="D498" s="143" t="s">
        <v>229</v>
      </c>
      <c r="E498" s="145"/>
      <c r="F498" s="143"/>
      <c r="G498" s="143"/>
      <c r="H498" s="152" t="s">
        <v>1759</v>
      </c>
      <c r="I498" s="143" t="s">
        <v>1760</v>
      </c>
      <c r="J498" s="143" t="s">
        <v>1761</v>
      </c>
      <c r="K498" s="143">
        <v>150</v>
      </c>
      <c r="L498" s="143"/>
      <c r="M498" s="143"/>
      <c r="N498" s="143"/>
      <c r="O498" s="143"/>
      <c r="P498" s="143"/>
      <c r="Q498" s="143"/>
      <c r="R498" s="143"/>
      <c r="S498" s="146"/>
      <c r="T498" s="146"/>
      <c r="U498" s="146"/>
      <c r="V498" s="147"/>
      <c r="W498" s="143" t="s">
        <v>49</v>
      </c>
      <c r="X498" s="143">
        <v>1785</v>
      </c>
      <c r="Y498" s="143" t="s">
        <v>1762</v>
      </c>
      <c r="Z498" s="143">
        <v>1785</v>
      </c>
      <c r="AA498" s="143">
        <v>13.8</v>
      </c>
      <c r="AB498" s="170">
        <v>46051</v>
      </c>
      <c r="AC498" s="143"/>
      <c r="AD498" s="143"/>
      <c r="AE498" s="143"/>
      <c r="AF498" s="143"/>
      <c r="AG498" s="143" t="s">
        <v>301</v>
      </c>
      <c r="AH498" s="143"/>
      <c r="AI498" s="143"/>
      <c r="AJ498" s="143" t="s">
        <v>544</v>
      </c>
      <c r="AK498" s="143"/>
      <c r="AL498" s="143"/>
      <c r="AM498" s="143"/>
    </row>
    <row r="499" s="140" customFormat="1" ht="15" spans="1:39">
      <c r="A499" s="143">
        <v>497</v>
      </c>
      <c r="B499" s="144"/>
      <c r="C499" s="143" t="s">
        <v>193</v>
      </c>
      <c r="D499" s="143" t="s">
        <v>229</v>
      </c>
      <c r="E499" s="145"/>
      <c r="F499" s="143"/>
      <c r="G499" s="143"/>
      <c r="H499" s="152" t="s">
        <v>1763</v>
      </c>
      <c r="I499" s="143"/>
      <c r="J499" s="143"/>
      <c r="K499" s="143">
        <v>150</v>
      </c>
      <c r="L499" s="143"/>
      <c r="M499" s="143"/>
      <c r="N499" s="143"/>
      <c r="O499" s="143"/>
      <c r="P499" s="143"/>
      <c r="Q499" s="143"/>
      <c r="R499" s="143"/>
      <c r="S499" s="146"/>
      <c r="T499" s="146"/>
      <c r="U499" s="146"/>
      <c r="V499" s="147"/>
      <c r="W499" s="143" t="s">
        <v>49</v>
      </c>
      <c r="X499" s="143" t="s">
        <v>1764</v>
      </c>
      <c r="Y499" s="143" t="s">
        <v>1765</v>
      </c>
      <c r="Z499" s="143" t="s">
        <v>1764</v>
      </c>
      <c r="AA499" s="143"/>
      <c r="AB499" s="170"/>
      <c r="AC499" s="143"/>
      <c r="AD499" s="143"/>
      <c r="AE499" s="143"/>
      <c r="AF499" s="143"/>
      <c r="AG499" s="143" t="s">
        <v>269</v>
      </c>
      <c r="AH499" s="143"/>
      <c r="AI499" s="143"/>
      <c r="AJ499" s="143" t="s">
        <v>270</v>
      </c>
      <c r="AK499" s="143"/>
      <c r="AL499" s="143"/>
      <c r="AM499" s="143"/>
    </row>
    <row r="500" s="140" customFormat="1" ht="15" spans="1:39">
      <c r="A500" s="143">
        <v>498</v>
      </c>
      <c r="B500" s="144"/>
      <c r="C500" s="143" t="s">
        <v>193</v>
      </c>
      <c r="D500" s="143" t="s">
        <v>229</v>
      </c>
      <c r="E500" s="145"/>
      <c r="F500" s="143"/>
      <c r="G500" s="143"/>
      <c r="H500" s="152" t="s">
        <v>1766</v>
      </c>
      <c r="I500" s="143" t="s">
        <v>1767</v>
      </c>
      <c r="J500" s="143" t="s">
        <v>1768</v>
      </c>
      <c r="K500" s="143">
        <v>150</v>
      </c>
      <c r="L500" s="143"/>
      <c r="M500" s="143"/>
      <c r="N500" s="143"/>
      <c r="O500" s="143"/>
      <c r="P500" s="143"/>
      <c r="Q500" s="143"/>
      <c r="R500" s="143"/>
      <c r="S500" s="146"/>
      <c r="T500" s="146"/>
      <c r="U500" s="146"/>
      <c r="V500" s="147"/>
      <c r="W500" s="143" t="s">
        <v>49</v>
      </c>
      <c r="X500" s="143">
        <v>10896</v>
      </c>
      <c r="Y500" s="143" t="s">
        <v>1769</v>
      </c>
      <c r="Z500" s="143">
        <v>10896</v>
      </c>
      <c r="AA500" s="143"/>
      <c r="AB500" s="170"/>
      <c r="AC500" s="143"/>
      <c r="AD500" s="143"/>
      <c r="AE500" s="143"/>
      <c r="AF500" s="143"/>
      <c r="AG500" s="143" t="s">
        <v>301</v>
      </c>
      <c r="AH500" s="143"/>
      <c r="AI500" s="143"/>
      <c r="AJ500" s="143" t="s">
        <v>1719</v>
      </c>
      <c r="AK500" s="143"/>
      <c r="AL500" s="143"/>
      <c r="AM500" s="143"/>
    </row>
    <row r="501" s="140" customFormat="1" ht="15" spans="1:39">
      <c r="A501" s="143">
        <v>499</v>
      </c>
      <c r="B501" s="144"/>
      <c r="C501" s="143" t="s">
        <v>193</v>
      </c>
      <c r="D501" s="143" t="s">
        <v>229</v>
      </c>
      <c r="E501" s="145"/>
      <c r="F501" s="143"/>
      <c r="G501" s="143"/>
      <c r="H501" s="152" t="s">
        <v>1770</v>
      </c>
      <c r="I501" s="143" t="s">
        <v>1771</v>
      </c>
      <c r="J501" s="143" t="s">
        <v>1772</v>
      </c>
      <c r="K501" s="143">
        <v>150</v>
      </c>
      <c r="L501" s="143">
        <v>188</v>
      </c>
      <c r="M501" s="143"/>
      <c r="N501" s="143"/>
      <c r="O501" s="143"/>
      <c r="P501" s="143"/>
      <c r="Q501" s="143"/>
      <c r="R501" s="143"/>
      <c r="S501" s="146"/>
      <c r="T501" s="146"/>
      <c r="U501" s="146"/>
      <c r="V501" s="147"/>
      <c r="W501" s="143" t="s">
        <v>49</v>
      </c>
      <c r="X501" s="143" t="s">
        <v>1773</v>
      </c>
      <c r="Y501" s="143" t="s">
        <v>1774</v>
      </c>
      <c r="Z501" s="143" t="s">
        <v>1773</v>
      </c>
      <c r="AA501" s="143"/>
      <c r="AB501" s="170"/>
      <c r="AC501" s="143"/>
      <c r="AD501" s="143"/>
      <c r="AE501" s="143"/>
      <c r="AF501" s="143"/>
      <c r="AG501" s="143" t="s">
        <v>1071</v>
      </c>
      <c r="AH501" s="143"/>
      <c r="AI501" s="143"/>
      <c r="AJ501" s="143" t="s">
        <v>1087</v>
      </c>
      <c r="AK501" s="143"/>
      <c r="AL501" s="143"/>
      <c r="AM501" s="143"/>
    </row>
    <row r="502" s="140" customFormat="1" ht="15" spans="1:39">
      <c r="A502" s="143">
        <v>500</v>
      </c>
      <c r="B502" s="144"/>
      <c r="C502" s="143" t="s">
        <v>193</v>
      </c>
      <c r="D502" s="143" t="s">
        <v>229</v>
      </c>
      <c r="E502" s="145"/>
      <c r="F502" s="143"/>
      <c r="G502" s="143"/>
      <c r="H502" s="172" t="s">
        <v>1775</v>
      </c>
      <c r="I502" s="143" t="s">
        <v>1776</v>
      </c>
      <c r="J502" s="143" t="s">
        <v>1777</v>
      </c>
      <c r="K502" s="143">
        <v>150</v>
      </c>
      <c r="L502" s="143">
        <v>250</v>
      </c>
      <c r="M502" s="143"/>
      <c r="N502" s="143"/>
      <c r="O502" s="143"/>
      <c r="P502" s="143"/>
      <c r="Q502" s="143"/>
      <c r="R502" s="143"/>
      <c r="S502" s="146"/>
      <c r="T502" s="146"/>
      <c r="U502" s="146"/>
      <c r="V502" s="147"/>
      <c r="W502" s="143" t="s">
        <v>49</v>
      </c>
      <c r="X502" s="143" t="s">
        <v>1778</v>
      </c>
      <c r="Y502" s="143" t="s">
        <v>1779</v>
      </c>
      <c r="Z502" s="143" t="s">
        <v>1778</v>
      </c>
      <c r="AA502" s="173">
        <v>21.4</v>
      </c>
      <c r="AB502" s="170">
        <v>46104</v>
      </c>
      <c r="AC502" s="143"/>
      <c r="AD502" s="143"/>
      <c r="AE502" s="143"/>
      <c r="AF502" s="143"/>
      <c r="AG502" s="143" t="s">
        <v>301</v>
      </c>
      <c r="AH502" s="143" t="s">
        <v>250</v>
      </c>
      <c r="AI502" s="143"/>
      <c r="AJ502" s="143" t="s">
        <v>544</v>
      </c>
      <c r="AK502" s="143"/>
      <c r="AL502" s="143"/>
      <c r="AM502" s="143"/>
    </row>
    <row r="503" s="140" customFormat="1" ht="15" spans="1:39">
      <c r="A503" s="143">
        <v>501</v>
      </c>
      <c r="B503" s="144"/>
      <c r="C503" s="143" t="s">
        <v>193</v>
      </c>
      <c r="D503" s="143" t="s">
        <v>557</v>
      </c>
      <c r="E503" s="145"/>
      <c r="F503" s="143"/>
      <c r="G503" s="143"/>
      <c r="H503" s="152" t="s">
        <v>1780</v>
      </c>
      <c r="I503" s="143" t="s">
        <v>1646</v>
      </c>
      <c r="J503" s="143" t="s">
        <v>1553</v>
      </c>
      <c r="K503" s="143">
        <v>150</v>
      </c>
      <c r="L503" s="143">
        <v>280</v>
      </c>
      <c r="M503" s="143"/>
      <c r="N503" s="143"/>
      <c r="O503" s="143"/>
      <c r="P503" s="143"/>
      <c r="Q503" s="143"/>
      <c r="R503" s="143"/>
      <c r="S503" s="146"/>
      <c r="T503" s="146"/>
      <c r="U503" s="146"/>
      <c r="V503" s="147"/>
      <c r="W503" s="143" t="s">
        <v>49</v>
      </c>
      <c r="X503" s="143" t="s">
        <v>1781</v>
      </c>
      <c r="Y503" s="169" t="s">
        <v>1782</v>
      </c>
      <c r="Z503" s="143" t="s">
        <v>1781</v>
      </c>
      <c r="AA503" s="143">
        <v>12.8</v>
      </c>
      <c r="AB503" s="170">
        <v>45862</v>
      </c>
      <c r="AC503" s="143"/>
      <c r="AD503" s="143"/>
      <c r="AE503" s="143"/>
      <c r="AF503" s="143"/>
      <c r="AG503" s="143" t="s">
        <v>301</v>
      </c>
      <c r="AH503" s="143" t="s">
        <v>563</v>
      </c>
      <c r="AI503" s="143"/>
      <c r="AJ503" s="143" t="s">
        <v>1783</v>
      </c>
      <c r="AK503" s="143"/>
      <c r="AL503" s="143"/>
      <c r="AM503" s="143"/>
    </row>
    <row r="504" s="140" customFormat="1" ht="15" spans="1:39">
      <c r="A504" s="143">
        <v>502</v>
      </c>
      <c r="B504" s="144"/>
      <c r="C504" s="143" t="s">
        <v>193</v>
      </c>
      <c r="D504" s="143" t="s">
        <v>229</v>
      </c>
      <c r="E504" s="145"/>
      <c r="F504" s="143"/>
      <c r="G504" s="143"/>
      <c r="H504" s="152" t="s">
        <v>1784</v>
      </c>
      <c r="I504" s="143" t="s">
        <v>1785</v>
      </c>
      <c r="J504" s="143" t="s">
        <v>1425</v>
      </c>
      <c r="K504" s="143">
        <v>145</v>
      </c>
      <c r="L504" s="143">
        <v>320</v>
      </c>
      <c r="M504" s="143"/>
      <c r="N504" s="143"/>
      <c r="O504" s="143"/>
      <c r="P504" s="143"/>
      <c r="Q504" s="143"/>
      <c r="R504" s="143"/>
      <c r="S504" s="146"/>
      <c r="T504" s="146"/>
      <c r="U504" s="146"/>
      <c r="V504" s="147"/>
      <c r="W504" s="143" t="s">
        <v>49</v>
      </c>
      <c r="X504" s="143" t="s">
        <v>1786</v>
      </c>
      <c r="Y504" s="143" t="s">
        <v>1681</v>
      </c>
      <c r="Z504" s="143" t="s">
        <v>1786</v>
      </c>
      <c r="AA504" s="143"/>
      <c r="AB504" s="170"/>
      <c r="AC504" s="143"/>
      <c r="AD504" s="143"/>
      <c r="AE504" s="143"/>
      <c r="AF504" s="143"/>
      <c r="AG504" s="143" t="s">
        <v>301</v>
      </c>
      <c r="AH504" s="143"/>
      <c r="AI504" s="143"/>
      <c r="AJ504" s="143" t="s">
        <v>1719</v>
      </c>
      <c r="AK504" s="143"/>
      <c r="AL504" s="143"/>
      <c r="AM504" s="143"/>
    </row>
    <row r="505" s="140" customFormat="1" ht="15" spans="1:39">
      <c r="A505" s="143">
        <v>503</v>
      </c>
      <c r="B505" s="144"/>
      <c r="C505" s="143" t="s">
        <v>193</v>
      </c>
      <c r="D505" s="143" t="s">
        <v>229</v>
      </c>
      <c r="E505" s="145"/>
      <c r="F505" s="143"/>
      <c r="G505" s="143"/>
      <c r="H505" s="152" t="s">
        <v>1787</v>
      </c>
      <c r="I505" s="143" t="s">
        <v>324</v>
      </c>
      <c r="J505" s="143" t="s">
        <v>517</v>
      </c>
      <c r="K505" s="143">
        <v>150</v>
      </c>
      <c r="L505" s="143">
        <v>160</v>
      </c>
      <c r="M505" s="143"/>
      <c r="N505" s="143"/>
      <c r="O505" s="143"/>
      <c r="P505" s="143"/>
      <c r="Q505" s="143"/>
      <c r="R505" s="143"/>
      <c r="S505" s="146"/>
      <c r="T505" s="146"/>
      <c r="U505" s="146"/>
      <c r="V505" s="147"/>
      <c r="W505" s="143" t="s">
        <v>49</v>
      </c>
      <c r="X505" s="143" t="s">
        <v>1788</v>
      </c>
      <c r="Y505" s="143" t="s">
        <v>1681</v>
      </c>
      <c r="Z505" s="143" t="s">
        <v>1788</v>
      </c>
      <c r="AA505" s="143">
        <v>20.5</v>
      </c>
      <c r="AB505" s="170">
        <v>45861</v>
      </c>
      <c r="AC505" s="143"/>
      <c r="AD505" s="143"/>
      <c r="AE505" s="143"/>
      <c r="AF505" s="143"/>
      <c r="AG505" s="143" t="s">
        <v>1173</v>
      </c>
      <c r="AH505" s="143" t="s">
        <v>259</v>
      </c>
      <c r="AI505" s="143"/>
      <c r="AJ505" s="143" t="s">
        <v>1388</v>
      </c>
      <c r="AK505" s="143"/>
      <c r="AL505" s="143"/>
      <c r="AM505" s="143"/>
    </row>
    <row r="506" s="140" customFormat="1" ht="15" spans="1:39">
      <c r="A506" s="143">
        <v>504</v>
      </c>
      <c r="B506" s="144"/>
      <c r="C506" s="143" t="s">
        <v>193</v>
      </c>
      <c r="D506" s="143" t="s">
        <v>229</v>
      </c>
      <c r="E506" s="145"/>
      <c r="F506" s="143"/>
      <c r="G506" s="143"/>
      <c r="H506" s="152" t="s">
        <v>1789</v>
      </c>
      <c r="I506" s="143" t="s">
        <v>324</v>
      </c>
      <c r="J506" s="143" t="s">
        <v>517</v>
      </c>
      <c r="K506" s="143">
        <v>150</v>
      </c>
      <c r="L506" s="143"/>
      <c r="M506" s="143"/>
      <c r="N506" s="143"/>
      <c r="O506" s="143"/>
      <c r="P506" s="143"/>
      <c r="Q506" s="143"/>
      <c r="R506" s="143"/>
      <c r="S506" s="146"/>
      <c r="T506" s="146"/>
      <c r="U506" s="146"/>
      <c r="V506" s="147"/>
      <c r="W506" s="143" t="s">
        <v>49</v>
      </c>
      <c r="X506" s="143" t="s">
        <v>1790</v>
      </c>
      <c r="Y506" s="143" t="s">
        <v>1791</v>
      </c>
      <c r="Z506" s="143" t="s">
        <v>1790</v>
      </c>
      <c r="AA506" s="143"/>
      <c r="AB506" s="170"/>
      <c r="AC506" s="143"/>
      <c r="AD506" s="143"/>
      <c r="AE506" s="143"/>
      <c r="AF506" s="143"/>
      <c r="AG506" s="143" t="s">
        <v>1173</v>
      </c>
      <c r="AH506" s="143"/>
      <c r="AI506" s="143"/>
      <c r="AJ506" s="143" t="s">
        <v>1388</v>
      </c>
      <c r="AK506" s="143"/>
      <c r="AL506" s="143"/>
      <c r="AM506" s="143"/>
    </row>
    <row r="507" s="140" customFormat="1" ht="15" spans="1:39">
      <c r="A507" s="143">
        <v>505</v>
      </c>
      <c r="B507" s="144"/>
      <c r="C507" s="143" t="s">
        <v>193</v>
      </c>
      <c r="D507" s="143" t="s">
        <v>229</v>
      </c>
      <c r="E507" s="145"/>
      <c r="F507" s="143"/>
      <c r="G507" s="143"/>
      <c r="H507" s="172" t="s">
        <v>1792</v>
      </c>
      <c r="I507" s="143" t="s">
        <v>324</v>
      </c>
      <c r="J507" s="143" t="s">
        <v>517</v>
      </c>
      <c r="K507" s="143">
        <v>150</v>
      </c>
      <c r="L507" s="143">
        <v>240</v>
      </c>
      <c r="M507" s="143"/>
      <c r="N507" s="143"/>
      <c r="O507" s="143"/>
      <c r="P507" s="143"/>
      <c r="Q507" s="143"/>
      <c r="R507" s="143"/>
      <c r="S507" s="146"/>
      <c r="T507" s="146"/>
      <c r="U507" s="146"/>
      <c r="V507" s="147"/>
      <c r="W507" s="143" t="s">
        <v>49</v>
      </c>
      <c r="X507" s="143" t="s">
        <v>1793</v>
      </c>
      <c r="Y507" s="143" t="s">
        <v>1681</v>
      </c>
      <c r="Z507" s="143" t="s">
        <v>1793</v>
      </c>
      <c r="AA507" s="173">
        <v>16.9</v>
      </c>
      <c r="AB507" s="170">
        <v>46104</v>
      </c>
      <c r="AC507" s="143"/>
      <c r="AD507" s="143"/>
      <c r="AE507" s="143"/>
      <c r="AF507" s="143"/>
      <c r="AG507" s="143" t="s">
        <v>301</v>
      </c>
      <c r="AH507" s="143" t="s">
        <v>250</v>
      </c>
      <c r="AI507" s="143"/>
      <c r="AJ507" s="143" t="s">
        <v>1719</v>
      </c>
      <c r="AK507" s="143"/>
      <c r="AL507" s="143"/>
      <c r="AM507" s="143"/>
    </row>
    <row r="508" s="140" customFormat="1" ht="15" spans="1:39">
      <c r="A508" s="143">
        <v>506</v>
      </c>
      <c r="B508" s="144"/>
      <c r="C508" s="143" t="s">
        <v>193</v>
      </c>
      <c r="D508" s="143" t="s">
        <v>229</v>
      </c>
      <c r="E508" s="145"/>
      <c r="F508" s="143"/>
      <c r="G508" s="143"/>
      <c r="H508" s="152" t="s">
        <v>1794</v>
      </c>
      <c r="I508" s="143" t="s">
        <v>1795</v>
      </c>
      <c r="J508" s="143" t="s">
        <v>1796</v>
      </c>
      <c r="K508" s="143">
        <v>145</v>
      </c>
      <c r="L508" s="143">
        <v>280</v>
      </c>
      <c r="M508" s="143"/>
      <c r="N508" s="143"/>
      <c r="O508" s="143"/>
      <c r="P508" s="143"/>
      <c r="Q508" s="143"/>
      <c r="R508" s="143"/>
      <c r="S508" s="146"/>
      <c r="T508" s="146"/>
      <c r="U508" s="146"/>
      <c r="V508" s="147"/>
      <c r="W508" s="143" t="s">
        <v>49</v>
      </c>
      <c r="X508" s="143" t="s">
        <v>1797</v>
      </c>
      <c r="Y508" s="143" t="s">
        <v>1681</v>
      </c>
      <c r="Z508" s="143" t="s">
        <v>1797</v>
      </c>
      <c r="AA508" s="143"/>
      <c r="AB508" s="170"/>
      <c r="AC508" s="143"/>
      <c r="AD508" s="143"/>
      <c r="AE508" s="143"/>
      <c r="AF508" s="143"/>
      <c r="AG508" s="143" t="s">
        <v>249</v>
      </c>
      <c r="AH508" s="143"/>
      <c r="AI508" s="143"/>
      <c r="AJ508" s="143" t="s">
        <v>254</v>
      </c>
      <c r="AK508" s="143"/>
      <c r="AL508" s="143"/>
      <c r="AM508" s="143"/>
    </row>
    <row r="509" s="140" customFormat="1" ht="15" spans="1:39">
      <c r="A509" s="143">
        <v>507</v>
      </c>
      <c r="B509" s="144"/>
      <c r="C509" s="143" t="s">
        <v>193</v>
      </c>
      <c r="D509" s="143" t="s">
        <v>229</v>
      </c>
      <c r="E509" s="145"/>
      <c r="F509" s="143"/>
      <c r="G509" s="143"/>
      <c r="H509" s="152" t="s">
        <v>1798</v>
      </c>
      <c r="I509" s="143" t="s">
        <v>1799</v>
      </c>
      <c r="J509" s="143" t="s">
        <v>1800</v>
      </c>
      <c r="K509" s="143">
        <v>145</v>
      </c>
      <c r="L509" s="143">
        <v>290</v>
      </c>
      <c r="M509" s="143"/>
      <c r="N509" s="143"/>
      <c r="O509" s="143"/>
      <c r="P509" s="143"/>
      <c r="Q509" s="143"/>
      <c r="R509" s="143"/>
      <c r="S509" s="146"/>
      <c r="T509" s="146"/>
      <c r="U509" s="146"/>
      <c r="V509" s="147"/>
      <c r="W509" s="143" t="s">
        <v>49</v>
      </c>
      <c r="X509" s="143" t="s">
        <v>1801</v>
      </c>
      <c r="Y509" s="143" t="s">
        <v>1681</v>
      </c>
      <c r="Z509" s="143" t="s">
        <v>1801</v>
      </c>
      <c r="AA509" s="143"/>
      <c r="AB509" s="170"/>
      <c r="AC509" s="143"/>
      <c r="AD509" s="143"/>
      <c r="AE509" s="143"/>
      <c r="AF509" s="143"/>
      <c r="AG509" s="143" t="s">
        <v>249</v>
      </c>
      <c r="AH509" s="143"/>
      <c r="AI509" s="143"/>
      <c r="AJ509" s="143" t="s">
        <v>254</v>
      </c>
      <c r="AK509" s="143"/>
      <c r="AL509" s="143"/>
      <c r="AM509" s="143"/>
    </row>
    <row r="510" s="140" customFormat="1" ht="15" spans="1:39">
      <c r="A510" s="143">
        <v>508</v>
      </c>
      <c r="B510" s="144"/>
      <c r="C510" s="143" t="s">
        <v>193</v>
      </c>
      <c r="D510" s="143" t="s">
        <v>229</v>
      </c>
      <c r="E510" s="145"/>
      <c r="F510" s="143"/>
      <c r="G510" s="143"/>
      <c r="H510" s="152" t="s">
        <v>1802</v>
      </c>
      <c r="I510" s="143" t="s">
        <v>1803</v>
      </c>
      <c r="J510" s="143" t="s">
        <v>1804</v>
      </c>
      <c r="K510" s="143">
        <v>150</v>
      </c>
      <c r="L510" s="143"/>
      <c r="M510" s="143"/>
      <c r="N510" s="143"/>
      <c r="O510" s="143"/>
      <c r="P510" s="143"/>
      <c r="Q510" s="143"/>
      <c r="R510" s="143"/>
      <c r="S510" s="146"/>
      <c r="T510" s="146"/>
      <c r="U510" s="146"/>
      <c r="V510" s="147"/>
      <c r="W510" s="143" t="s">
        <v>49</v>
      </c>
      <c r="X510" s="143">
        <v>3254</v>
      </c>
      <c r="Y510" s="143" t="s">
        <v>1805</v>
      </c>
      <c r="Z510" s="143">
        <v>3254</v>
      </c>
      <c r="AA510" s="143"/>
      <c r="AB510" s="170"/>
      <c r="AC510" s="143"/>
      <c r="AD510" s="143"/>
      <c r="AE510" s="143"/>
      <c r="AF510" s="143"/>
      <c r="AG510" s="143" t="s">
        <v>1071</v>
      </c>
      <c r="AH510" s="143"/>
      <c r="AI510" s="143"/>
      <c r="AJ510" s="143" t="s">
        <v>1076</v>
      </c>
      <c r="AK510" s="143"/>
      <c r="AL510" s="143"/>
      <c r="AM510" s="143"/>
    </row>
    <row r="511" s="140" customFormat="1" ht="15" spans="1:39">
      <c r="A511" s="143">
        <v>509</v>
      </c>
      <c r="B511" s="144"/>
      <c r="C511" s="143" t="s">
        <v>193</v>
      </c>
      <c r="D511" s="143" t="s">
        <v>229</v>
      </c>
      <c r="E511" s="145"/>
      <c r="F511" s="143"/>
      <c r="G511" s="143"/>
      <c r="H511" s="152" t="s">
        <v>1806</v>
      </c>
      <c r="I511" s="143" t="s">
        <v>1807</v>
      </c>
      <c r="J511" s="143" t="s">
        <v>1808</v>
      </c>
      <c r="K511" s="143">
        <v>150</v>
      </c>
      <c r="L511" s="143"/>
      <c r="M511" s="143"/>
      <c r="N511" s="143"/>
      <c r="O511" s="143"/>
      <c r="P511" s="143"/>
      <c r="Q511" s="143"/>
      <c r="R511" s="143"/>
      <c r="S511" s="146"/>
      <c r="T511" s="146"/>
      <c r="U511" s="146"/>
      <c r="V511" s="147"/>
      <c r="W511" s="143" t="s">
        <v>49</v>
      </c>
      <c r="X511" s="143" t="s">
        <v>1809</v>
      </c>
      <c r="Y511" s="143" t="s">
        <v>1774</v>
      </c>
      <c r="Z511" s="143" t="s">
        <v>1809</v>
      </c>
      <c r="AA511" s="143"/>
      <c r="AB511" s="170"/>
      <c r="AC511" s="143"/>
      <c r="AD511" s="143"/>
      <c r="AE511" s="143"/>
      <c r="AF511" s="143"/>
      <c r="AG511" s="143" t="s">
        <v>1071</v>
      </c>
      <c r="AH511" s="143"/>
      <c r="AI511" s="143"/>
      <c r="AJ511" s="143" t="s">
        <v>1076</v>
      </c>
      <c r="AK511" s="143"/>
      <c r="AL511" s="143"/>
      <c r="AM511" s="143"/>
    </row>
    <row r="512" s="140" customFormat="1" ht="15" spans="1:39">
      <c r="A512" s="143">
        <v>510</v>
      </c>
      <c r="B512" s="144"/>
      <c r="C512" s="143" t="s">
        <v>193</v>
      </c>
      <c r="D512" s="143" t="s">
        <v>229</v>
      </c>
      <c r="E512" s="145"/>
      <c r="F512" s="143"/>
      <c r="G512" s="143"/>
      <c r="H512" s="152" t="s">
        <v>1810</v>
      </c>
      <c r="I512" s="143" t="s">
        <v>1310</v>
      </c>
      <c r="J512" s="143" t="s">
        <v>1311</v>
      </c>
      <c r="K512" s="143">
        <v>150</v>
      </c>
      <c r="L512" s="143"/>
      <c r="M512" s="143"/>
      <c r="N512" s="143"/>
      <c r="O512" s="143"/>
      <c r="P512" s="143"/>
      <c r="Q512" s="143"/>
      <c r="R512" s="143"/>
      <c r="S512" s="146"/>
      <c r="T512" s="146"/>
      <c r="U512" s="146"/>
      <c r="V512" s="147"/>
      <c r="W512" s="143" t="s">
        <v>49</v>
      </c>
      <c r="X512" s="143">
        <v>7037</v>
      </c>
      <c r="Y512" s="143" t="s">
        <v>1811</v>
      </c>
      <c r="Z512" s="143">
        <v>7037</v>
      </c>
      <c r="AA512" s="143">
        <v>16.8</v>
      </c>
      <c r="AB512" s="170">
        <v>46051</v>
      </c>
      <c r="AC512" s="143"/>
      <c r="AD512" s="143"/>
      <c r="AE512" s="143"/>
      <c r="AF512" s="143"/>
      <c r="AG512" s="143" t="s">
        <v>1022</v>
      </c>
      <c r="AH512" s="143"/>
      <c r="AI512" s="143"/>
      <c r="AJ512" s="143" t="s">
        <v>1432</v>
      </c>
      <c r="AK512" s="143"/>
      <c r="AL512" s="143"/>
      <c r="AM512" s="143"/>
    </row>
    <row r="513" s="140" customFormat="1" ht="15" spans="1:43">
      <c r="A513" s="143">
        <v>511</v>
      </c>
      <c r="B513" s="144"/>
      <c r="C513" s="143" t="s">
        <v>193</v>
      </c>
      <c r="D513" s="143" t="s">
        <v>229</v>
      </c>
      <c r="E513" s="145"/>
      <c r="F513" s="143"/>
      <c r="G513" s="143"/>
      <c r="H513" s="152" t="s">
        <v>1812</v>
      </c>
      <c r="I513" s="143" t="s">
        <v>1621</v>
      </c>
      <c r="J513" s="143" t="s">
        <v>1622</v>
      </c>
      <c r="K513" s="143">
        <v>150</v>
      </c>
      <c r="L513" s="143"/>
      <c r="M513" s="143"/>
      <c r="N513" s="143"/>
      <c r="O513" s="143"/>
      <c r="P513" s="143"/>
      <c r="Q513" s="143"/>
      <c r="R513" s="143"/>
      <c r="S513" s="146"/>
      <c r="T513" s="146"/>
      <c r="U513" s="146"/>
      <c r="V513" s="147"/>
      <c r="W513" s="143" t="s">
        <v>49</v>
      </c>
      <c r="X513" s="143" t="s">
        <v>1813</v>
      </c>
      <c r="Y513" s="143" t="s">
        <v>1814</v>
      </c>
      <c r="Z513" s="143" t="s">
        <v>1813</v>
      </c>
      <c r="AA513" s="143"/>
      <c r="AB513" s="170"/>
      <c r="AC513" s="143"/>
      <c r="AD513" s="143"/>
      <c r="AE513" s="143"/>
      <c r="AF513" s="143"/>
      <c r="AG513" s="143" t="s">
        <v>1173</v>
      </c>
      <c r="AH513" s="143"/>
      <c r="AI513" s="143"/>
      <c r="AJ513" s="143" t="s">
        <v>1174</v>
      </c>
      <c r="AK513" s="143"/>
      <c r="AL513" s="143"/>
      <c r="AM513" s="143"/>
    </row>
    <row r="514" s="140" customFormat="1" ht="15" spans="1:43">
      <c r="A514" s="143">
        <v>512</v>
      </c>
      <c r="B514" s="144"/>
      <c r="C514" s="143" t="s">
        <v>193</v>
      </c>
      <c r="D514" s="143" t="s">
        <v>557</v>
      </c>
      <c r="E514" s="145"/>
      <c r="F514" s="143"/>
      <c r="G514" s="143"/>
      <c r="H514" s="152" t="s">
        <v>1815</v>
      </c>
      <c r="I514" s="143" t="s">
        <v>324</v>
      </c>
      <c r="J514" s="143" t="s">
        <v>517</v>
      </c>
      <c r="K514" s="143">
        <v>150</v>
      </c>
      <c r="L514" s="143">
        <v>210</v>
      </c>
      <c r="M514" s="143"/>
      <c r="N514" s="143"/>
      <c r="O514" s="143"/>
      <c r="P514" s="143"/>
      <c r="Q514" s="143"/>
      <c r="R514" s="143"/>
      <c r="S514" s="146"/>
      <c r="T514" s="146"/>
      <c r="U514" s="146"/>
      <c r="V514" s="147"/>
      <c r="W514" s="143" t="s">
        <v>49</v>
      </c>
      <c r="X514" s="143">
        <v>9089</v>
      </c>
      <c r="Y514" s="143" t="s">
        <v>1663</v>
      </c>
      <c r="Z514" s="143">
        <v>9089</v>
      </c>
      <c r="AA514" s="143">
        <v>20.2</v>
      </c>
      <c r="AB514" s="170">
        <v>45861</v>
      </c>
      <c r="AC514" s="143"/>
      <c r="AD514" s="143"/>
      <c r="AE514" s="143"/>
      <c r="AF514" s="143"/>
      <c r="AG514" s="143" t="s">
        <v>301</v>
      </c>
      <c r="AH514" s="143" t="s">
        <v>563</v>
      </c>
      <c r="AI514" s="143"/>
      <c r="AJ514" s="143" t="s">
        <v>1783</v>
      </c>
      <c r="AK514" s="143"/>
      <c r="AL514" s="143"/>
      <c r="AM514" s="143"/>
    </row>
    <row r="515" s="140" customFormat="1" ht="15" spans="1:43">
      <c r="A515" s="143">
        <v>513</v>
      </c>
      <c r="B515" s="144"/>
      <c r="C515" s="143" t="s">
        <v>193</v>
      </c>
      <c r="D515" s="143" t="s">
        <v>229</v>
      </c>
      <c r="E515" s="145"/>
      <c r="F515" s="143"/>
      <c r="G515" s="143"/>
      <c r="H515" s="172" t="s">
        <v>1816</v>
      </c>
      <c r="I515" s="143" t="s">
        <v>436</v>
      </c>
      <c r="J515" s="143" t="s">
        <v>559</v>
      </c>
      <c r="K515" s="143">
        <v>150</v>
      </c>
      <c r="L515" s="143">
        <v>150</v>
      </c>
      <c r="M515" s="143"/>
      <c r="N515" s="143"/>
      <c r="O515" s="143"/>
      <c r="P515" s="143"/>
      <c r="Q515" s="143"/>
      <c r="R515" s="143"/>
      <c r="S515" s="146"/>
      <c r="T515" s="146"/>
      <c r="U515" s="146"/>
      <c r="V515" s="147"/>
      <c r="W515" s="143" t="s">
        <v>49</v>
      </c>
      <c r="X515" s="143">
        <v>9319</v>
      </c>
      <c r="Y515" s="143" t="s">
        <v>1663</v>
      </c>
      <c r="Z515" s="143">
        <v>9319</v>
      </c>
      <c r="AA515" s="173">
        <v>21.9</v>
      </c>
      <c r="AB515" s="170">
        <v>46104</v>
      </c>
      <c r="AC515" s="143"/>
      <c r="AD515" s="143"/>
      <c r="AE515" s="143"/>
      <c r="AF515" s="143"/>
      <c r="AG515" s="143" t="s">
        <v>301</v>
      </c>
      <c r="AH515" s="143" t="s">
        <v>250</v>
      </c>
      <c r="AI515" s="143"/>
      <c r="AJ515" s="143" t="s">
        <v>1783</v>
      </c>
      <c r="AK515" s="143"/>
      <c r="AL515" s="143"/>
      <c r="AM515" s="143"/>
      <c r="AN515" s="148"/>
    </row>
    <row r="516" s="140" customFormat="1" ht="15" spans="1:43">
      <c r="A516" s="143">
        <v>514</v>
      </c>
      <c r="B516" s="144"/>
      <c r="C516" s="143" t="s">
        <v>193</v>
      </c>
      <c r="D516" s="143" t="s">
        <v>229</v>
      </c>
      <c r="E516" s="145"/>
      <c r="F516" s="143"/>
      <c r="G516" s="143"/>
      <c r="H516" s="172" t="s">
        <v>1817</v>
      </c>
      <c r="I516" s="143" t="s">
        <v>1552</v>
      </c>
      <c r="J516" s="143" t="s">
        <v>1553</v>
      </c>
      <c r="K516" s="143">
        <v>150</v>
      </c>
      <c r="L516" s="143">
        <v>205</v>
      </c>
      <c r="M516" s="143"/>
      <c r="N516" s="143"/>
      <c r="O516" s="143"/>
      <c r="P516" s="143"/>
      <c r="Q516" s="143"/>
      <c r="R516" s="143"/>
      <c r="S516" s="146"/>
      <c r="T516" s="146"/>
      <c r="U516" s="146"/>
      <c r="V516" s="147"/>
      <c r="W516" s="143" t="s">
        <v>49</v>
      </c>
      <c r="X516" s="143">
        <v>9114</v>
      </c>
      <c r="Y516" s="143" t="s">
        <v>1663</v>
      </c>
      <c r="Z516" s="143">
        <v>9114</v>
      </c>
      <c r="AA516" s="173">
        <v>15.6</v>
      </c>
      <c r="AB516" s="170">
        <v>46104</v>
      </c>
      <c r="AC516" s="143"/>
      <c r="AD516" s="143"/>
      <c r="AE516" s="143"/>
      <c r="AF516" s="143"/>
      <c r="AG516" s="143" t="s">
        <v>301</v>
      </c>
      <c r="AH516" s="143" t="s">
        <v>250</v>
      </c>
      <c r="AI516" s="143"/>
      <c r="AJ516" s="143" t="s">
        <v>1783</v>
      </c>
      <c r="AK516" s="143"/>
      <c r="AL516" s="143"/>
      <c r="AM516" s="143"/>
    </row>
    <row r="517" s="140" customFormat="1" ht="15" spans="1:43">
      <c r="A517" s="143">
        <v>515</v>
      </c>
      <c r="B517" s="144"/>
      <c r="C517" s="143" t="s">
        <v>193</v>
      </c>
      <c r="D517" s="143" t="s">
        <v>229</v>
      </c>
      <c r="E517" s="145"/>
      <c r="F517" s="143"/>
      <c r="G517" s="143"/>
      <c r="H517" s="172" t="s">
        <v>1818</v>
      </c>
      <c r="I517" s="143" t="s">
        <v>324</v>
      </c>
      <c r="J517" s="143" t="s">
        <v>517</v>
      </c>
      <c r="K517" s="143">
        <v>150</v>
      </c>
      <c r="L517" s="143">
        <v>180</v>
      </c>
      <c r="M517" s="143"/>
      <c r="N517" s="143"/>
      <c r="O517" s="143"/>
      <c r="P517" s="143"/>
      <c r="Q517" s="143"/>
      <c r="R517" s="143"/>
      <c r="S517" s="146"/>
      <c r="T517" s="146"/>
      <c r="U517" s="146"/>
      <c r="V517" s="147"/>
      <c r="W517" s="143" t="s">
        <v>49</v>
      </c>
      <c r="X517" s="143">
        <v>9223</v>
      </c>
      <c r="Y517" s="143" t="s">
        <v>1663</v>
      </c>
      <c r="Z517" s="143">
        <v>9223</v>
      </c>
      <c r="AA517" s="173">
        <v>19.3</v>
      </c>
      <c r="AB517" s="170">
        <v>46104</v>
      </c>
      <c r="AC517" s="143"/>
      <c r="AD517" s="143"/>
      <c r="AE517" s="143"/>
      <c r="AF517" s="143"/>
      <c r="AG517" s="143" t="s">
        <v>301</v>
      </c>
      <c r="AH517" s="143" t="s">
        <v>250</v>
      </c>
      <c r="AI517" s="143"/>
      <c r="AJ517" s="143" t="s">
        <v>1783</v>
      </c>
      <c r="AK517" s="143"/>
      <c r="AL517" s="143"/>
      <c r="AM517" s="143"/>
    </row>
    <row r="518" s="140" customFormat="1" ht="15" spans="1:43">
      <c r="A518" s="143">
        <v>516</v>
      </c>
      <c r="B518" s="144"/>
      <c r="C518" s="143" t="s">
        <v>193</v>
      </c>
      <c r="D518" s="143" t="s">
        <v>229</v>
      </c>
      <c r="E518" s="145"/>
      <c r="F518" s="143"/>
      <c r="G518" s="143"/>
      <c r="H518" s="152" t="s">
        <v>1819</v>
      </c>
      <c r="I518" s="143" t="s">
        <v>1820</v>
      </c>
      <c r="J518" s="143" t="s">
        <v>1821</v>
      </c>
      <c r="K518" s="143">
        <v>150</v>
      </c>
      <c r="L518" s="143"/>
      <c r="M518" s="143"/>
      <c r="N518" s="143"/>
      <c r="O518" s="143"/>
      <c r="P518" s="143"/>
      <c r="Q518" s="143"/>
      <c r="R518" s="143"/>
      <c r="S518" s="146"/>
      <c r="T518" s="146"/>
      <c r="U518" s="146"/>
      <c r="V518" s="147"/>
      <c r="W518" s="143" t="s">
        <v>49</v>
      </c>
      <c r="X518" s="143">
        <v>9504</v>
      </c>
      <c r="Y518" s="143" t="s">
        <v>1663</v>
      </c>
      <c r="Z518" s="143">
        <v>9504</v>
      </c>
      <c r="AA518" s="143">
        <v>14.3</v>
      </c>
      <c r="AB518" s="170">
        <v>46051</v>
      </c>
      <c r="AC518" s="143"/>
      <c r="AD518" s="143"/>
      <c r="AE518" s="143"/>
      <c r="AF518" s="143"/>
      <c r="AG518" s="143" t="s">
        <v>301</v>
      </c>
      <c r="AH518" s="143"/>
      <c r="AI518" s="143"/>
      <c r="AJ518" s="143" t="s">
        <v>1783</v>
      </c>
      <c r="AK518" s="143"/>
      <c r="AL518" s="143"/>
      <c r="AM518" s="143"/>
    </row>
    <row r="519" s="140" customFormat="1" ht="15" spans="1:43">
      <c r="A519" s="143">
        <v>517</v>
      </c>
      <c r="B519" s="144"/>
      <c r="C519" s="143" t="s">
        <v>193</v>
      </c>
      <c r="D519" s="143" t="s">
        <v>229</v>
      </c>
      <c r="E519" s="145"/>
      <c r="F519" s="143"/>
      <c r="G519" s="143"/>
      <c r="H519" s="152" t="s">
        <v>1822</v>
      </c>
      <c r="I519" s="143" t="s">
        <v>1823</v>
      </c>
      <c r="J519" s="143" t="s">
        <v>1824</v>
      </c>
      <c r="K519" s="143">
        <v>148</v>
      </c>
      <c r="L519" s="143"/>
      <c r="M519" s="143"/>
      <c r="N519" s="143"/>
      <c r="O519" s="143"/>
      <c r="P519" s="143"/>
      <c r="Q519" s="143"/>
      <c r="R519" s="143"/>
      <c r="S519" s="146"/>
      <c r="T519" s="146"/>
      <c r="U519" s="146"/>
      <c r="V519" s="147"/>
      <c r="W519" s="143" t="s">
        <v>49</v>
      </c>
      <c r="X519" s="143">
        <v>9361</v>
      </c>
      <c r="Y519" s="143" t="s">
        <v>1663</v>
      </c>
      <c r="Z519" s="143">
        <v>9361</v>
      </c>
      <c r="AA519" s="143"/>
      <c r="AB519" s="170"/>
      <c r="AC519" s="143"/>
      <c r="AD519" s="143"/>
      <c r="AE519" s="143"/>
      <c r="AF519" s="143"/>
      <c r="AG519" s="143" t="s">
        <v>301</v>
      </c>
      <c r="AH519" s="143"/>
      <c r="AI519" s="143"/>
      <c r="AJ519" s="143" t="s">
        <v>1783</v>
      </c>
      <c r="AK519" s="143"/>
      <c r="AL519" s="143"/>
      <c r="AM519" s="143"/>
    </row>
    <row r="520" s="140" customFormat="1" ht="15" spans="1:43">
      <c r="A520" s="143">
        <v>518</v>
      </c>
      <c r="B520" s="144"/>
      <c r="C520" s="143" t="s">
        <v>193</v>
      </c>
      <c r="D520" s="143" t="s">
        <v>229</v>
      </c>
      <c r="E520" s="145"/>
      <c r="F520" s="143"/>
      <c r="G520" s="143"/>
      <c r="H520" s="152" t="s">
        <v>1825</v>
      </c>
      <c r="I520" s="143" t="s">
        <v>1785</v>
      </c>
      <c r="J520" s="143" t="s">
        <v>1425</v>
      </c>
      <c r="K520" s="143">
        <v>150</v>
      </c>
      <c r="L520" s="143"/>
      <c r="M520" s="143"/>
      <c r="N520" s="143"/>
      <c r="O520" s="143"/>
      <c r="P520" s="143"/>
      <c r="Q520" s="143"/>
      <c r="R520" s="143"/>
      <c r="S520" s="146"/>
      <c r="T520" s="146"/>
      <c r="U520" s="146"/>
      <c r="V520" s="147"/>
      <c r="W520" s="143" t="s">
        <v>49</v>
      </c>
      <c r="X520" s="143" t="s">
        <v>1826</v>
      </c>
      <c r="Y520" s="143" t="s">
        <v>1700</v>
      </c>
      <c r="Z520" s="143" t="s">
        <v>1826</v>
      </c>
      <c r="AA520" s="143">
        <v>17.8</v>
      </c>
      <c r="AB520" s="170">
        <v>46051</v>
      </c>
      <c r="AC520" s="143"/>
      <c r="AD520" s="143"/>
      <c r="AE520" s="143"/>
      <c r="AF520" s="143"/>
      <c r="AG520" s="143" t="s">
        <v>1173</v>
      </c>
      <c r="AH520" s="143"/>
      <c r="AI520" s="143"/>
      <c r="AJ520" s="143" t="s">
        <v>1174</v>
      </c>
      <c r="AK520" s="143"/>
      <c r="AL520" s="143"/>
      <c r="AM520" s="143"/>
    </row>
    <row r="521" s="140" customFormat="1" ht="15" spans="1:43">
      <c r="A521" s="143">
        <v>519</v>
      </c>
      <c r="B521" s="144"/>
      <c r="C521" s="143" t="s">
        <v>193</v>
      </c>
      <c r="D521" s="143" t="s">
        <v>229</v>
      </c>
      <c r="E521" s="145"/>
      <c r="F521" s="143"/>
      <c r="G521" s="143"/>
      <c r="H521" s="152" t="s">
        <v>1827</v>
      </c>
      <c r="I521" s="143" t="s">
        <v>1828</v>
      </c>
      <c r="J521" s="143" t="s">
        <v>1829</v>
      </c>
      <c r="K521" s="143">
        <v>150</v>
      </c>
      <c r="L521" s="143"/>
      <c r="M521" s="143"/>
      <c r="N521" s="143"/>
      <c r="O521" s="143"/>
      <c r="P521" s="143"/>
      <c r="Q521" s="143"/>
      <c r="R521" s="143"/>
      <c r="S521" s="146"/>
      <c r="T521" s="146"/>
      <c r="U521" s="146"/>
      <c r="V521" s="147"/>
      <c r="W521" s="143" t="s">
        <v>49</v>
      </c>
      <c r="X521" s="143">
        <v>1581</v>
      </c>
      <c r="Y521" s="143" t="s">
        <v>1700</v>
      </c>
      <c r="Z521" s="143">
        <v>1581</v>
      </c>
      <c r="AA521" s="143"/>
      <c r="AB521" s="170"/>
      <c r="AC521" s="143"/>
      <c r="AD521" s="143"/>
      <c r="AE521" s="143"/>
      <c r="AF521" s="143"/>
      <c r="AG521" s="143" t="s">
        <v>1173</v>
      </c>
      <c r="AH521" s="143"/>
      <c r="AI521" s="143"/>
      <c r="AJ521" s="143" t="s">
        <v>1174</v>
      </c>
      <c r="AK521" s="143"/>
      <c r="AL521" s="143"/>
      <c r="AM521" s="143"/>
    </row>
    <row r="522" s="140" customFormat="1" ht="15" spans="1:43">
      <c r="A522" s="143">
        <v>520</v>
      </c>
      <c r="B522" s="144"/>
      <c r="C522" s="143" t="s">
        <v>193</v>
      </c>
      <c r="D522" s="143" t="s">
        <v>229</v>
      </c>
      <c r="E522" s="145"/>
      <c r="F522" s="143"/>
      <c r="G522" s="143"/>
      <c r="H522" s="152" t="s">
        <v>1830</v>
      </c>
      <c r="I522" s="143" t="s">
        <v>1831</v>
      </c>
      <c r="J522" s="143" t="s">
        <v>1832</v>
      </c>
      <c r="K522" s="143">
        <v>150</v>
      </c>
      <c r="L522" s="143"/>
      <c r="M522" s="143"/>
      <c r="N522" s="143"/>
      <c r="O522" s="143"/>
      <c r="P522" s="143"/>
      <c r="Q522" s="143"/>
      <c r="R522" s="143"/>
      <c r="S522" s="146"/>
      <c r="T522" s="146"/>
      <c r="U522" s="146"/>
      <c r="V522" s="147"/>
      <c r="W522" s="143" t="s">
        <v>49</v>
      </c>
      <c r="X522" s="143">
        <v>8931</v>
      </c>
      <c r="Y522" s="143" t="s">
        <v>1663</v>
      </c>
      <c r="Z522" s="143">
        <v>8931</v>
      </c>
      <c r="AA522" s="143"/>
      <c r="AB522" s="170"/>
      <c r="AC522" s="143"/>
      <c r="AD522" s="143"/>
      <c r="AE522" s="143"/>
      <c r="AF522" s="143"/>
      <c r="AG522" s="143" t="s">
        <v>301</v>
      </c>
      <c r="AH522" s="143"/>
      <c r="AI522" s="143"/>
      <c r="AJ522" s="143" t="s">
        <v>1783</v>
      </c>
      <c r="AK522" s="143"/>
      <c r="AL522" s="143"/>
      <c r="AM522" s="143"/>
      <c r="AO522" s="148"/>
      <c r="AP522" s="148"/>
      <c r="AQ522" s="148"/>
    </row>
    <row r="523" s="140" customFormat="1" ht="15" spans="1:43">
      <c r="A523" s="143">
        <v>521</v>
      </c>
      <c r="B523" s="144"/>
      <c r="C523" s="143" t="s">
        <v>193</v>
      </c>
      <c r="D523" s="143" t="s">
        <v>229</v>
      </c>
      <c r="E523" s="145"/>
      <c r="F523" s="143"/>
      <c r="G523" s="143"/>
      <c r="H523" s="152" t="s">
        <v>1833</v>
      </c>
      <c r="I523" s="143" t="s">
        <v>1834</v>
      </c>
      <c r="J523" s="143" t="s">
        <v>1835</v>
      </c>
      <c r="K523" s="143">
        <v>163</v>
      </c>
      <c r="L523" s="143">
        <v>190</v>
      </c>
      <c r="M523" s="143"/>
      <c r="N523" s="143"/>
      <c r="O523" s="143"/>
      <c r="P523" s="143"/>
      <c r="Q523" s="143"/>
      <c r="R523" s="143"/>
      <c r="S523" s="146"/>
      <c r="T523" s="146"/>
      <c r="U523" s="146"/>
      <c r="V523" s="147"/>
      <c r="W523" s="143" t="s">
        <v>49</v>
      </c>
      <c r="X523" s="143">
        <v>6540</v>
      </c>
      <c r="Y523" s="143" t="s">
        <v>1836</v>
      </c>
      <c r="Z523" s="143">
        <v>6540</v>
      </c>
      <c r="AA523" s="143"/>
      <c r="AB523" s="170"/>
      <c r="AC523" s="143"/>
      <c r="AD523" s="143"/>
      <c r="AE523" s="143"/>
      <c r="AF523" s="143"/>
      <c r="AG523" s="143" t="s">
        <v>1173</v>
      </c>
      <c r="AH523" s="143"/>
      <c r="AI523" s="143"/>
      <c r="AJ523" s="143" t="s">
        <v>1174</v>
      </c>
      <c r="AK523" s="143"/>
      <c r="AL523" s="143"/>
      <c r="AM523" s="143"/>
    </row>
    <row r="524" s="140" customFormat="1" ht="15" spans="1:43">
      <c r="A524" s="143">
        <v>522</v>
      </c>
      <c r="B524" s="144"/>
      <c r="C524" s="143" t="s">
        <v>193</v>
      </c>
      <c r="D524" s="143" t="s">
        <v>229</v>
      </c>
      <c r="E524" s="145"/>
      <c r="F524" s="143"/>
      <c r="G524" s="143"/>
      <c r="H524" s="152" t="s">
        <v>1837</v>
      </c>
      <c r="I524" s="143" t="s">
        <v>1057</v>
      </c>
      <c r="J524" s="143" t="s">
        <v>1058</v>
      </c>
      <c r="K524" s="143">
        <v>145</v>
      </c>
      <c r="L524" s="143">
        <v>56</v>
      </c>
      <c r="M524" s="143"/>
      <c r="N524" s="143"/>
      <c r="O524" s="143"/>
      <c r="P524" s="143"/>
      <c r="Q524" s="143"/>
      <c r="R524" s="143"/>
      <c r="S524" s="146"/>
      <c r="T524" s="146"/>
      <c r="U524" s="146"/>
      <c r="V524" s="147"/>
      <c r="W524" s="143" t="s">
        <v>49</v>
      </c>
      <c r="X524" s="143" t="s">
        <v>1838</v>
      </c>
      <c r="Y524" s="143" t="s">
        <v>1839</v>
      </c>
      <c r="Z524" s="143" t="s">
        <v>1838</v>
      </c>
      <c r="AA524" s="143"/>
      <c r="AB524" s="170"/>
      <c r="AC524" s="143"/>
      <c r="AD524" s="143"/>
      <c r="AE524" s="143"/>
      <c r="AF524" s="143"/>
      <c r="AG524" s="143" t="s">
        <v>233</v>
      </c>
      <c r="AH524" s="143"/>
      <c r="AI524" s="143"/>
      <c r="AJ524" s="143" t="s">
        <v>1189</v>
      </c>
      <c r="AK524" s="143"/>
      <c r="AL524" s="143"/>
      <c r="AM524" s="143"/>
    </row>
    <row r="525" s="140" customFormat="1" ht="15" spans="1:43">
      <c r="A525" s="143">
        <v>523</v>
      </c>
      <c r="B525" s="144"/>
      <c r="C525" s="143" t="s">
        <v>193</v>
      </c>
      <c r="D525" s="143" t="s">
        <v>229</v>
      </c>
      <c r="E525" s="145"/>
      <c r="F525" s="143"/>
      <c r="G525" s="143"/>
      <c r="H525" s="152" t="s">
        <v>1840</v>
      </c>
      <c r="I525" s="143" t="s">
        <v>281</v>
      </c>
      <c r="J525" s="143" t="s">
        <v>304</v>
      </c>
      <c r="K525" s="143">
        <v>148</v>
      </c>
      <c r="L525" s="143"/>
      <c r="M525" s="143"/>
      <c r="N525" s="143"/>
      <c r="O525" s="143"/>
      <c r="P525" s="143"/>
      <c r="Q525" s="143"/>
      <c r="R525" s="143"/>
      <c r="S525" s="146"/>
      <c r="T525" s="146"/>
      <c r="U525" s="146"/>
      <c r="V525" s="147"/>
      <c r="W525" s="143" t="s">
        <v>49</v>
      </c>
      <c r="X525" s="143" t="s">
        <v>1841</v>
      </c>
      <c r="Y525" s="143" t="s">
        <v>1722</v>
      </c>
      <c r="Z525" s="143" t="s">
        <v>1841</v>
      </c>
      <c r="AA525" s="143"/>
      <c r="AB525" s="170"/>
      <c r="AC525" s="143"/>
      <c r="AD525" s="143"/>
      <c r="AE525" s="143"/>
      <c r="AF525" s="143"/>
      <c r="AG525" s="143" t="s">
        <v>233</v>
      </c>
      <c r="AH525" s="143"/>
      <c r="AI525" s="143"/>
      <c r="AJ525" s="143" t="s">
        <v>1124</v>
      </c>
      <c r="AK525" s="143"/>
      <c r="AL525" s="143"/>
      <c r="AM525" s="143"/>
    </row>
    <row r="526" s="140" customFormat="1" ht="15" spans="1:43">
      <c r="A526" s="143">
        <v>524</v>
      </c>
      <c r="B526" s="144"/>
      <c r="C526" s="143" t="s">
        <v>193</v>
      </c>
      <c r="D526" s="143" t="s">
        <v>557</v>
      </c>
      <c r="E526" s="145"/>
      <c r="F526" s="143"/>
      <c r="G526" s="143"/>
      <c r="H526" s="152" t="s">
        <v>1842</v>
      </c>
      <c r="I526" s="143" t="s">
        <v>1843</v>
      </c>
      <c r="J526" s="143" t="s">
        <v>1844</v>
      </c>
      <c r="K526" s="143">
        <v>145</v>
      </c>
      <c r="L526" s="143">
        <v>80</v>
      </c>
      <c r="M526" s="143"/>
      <c r="N526" s="143"/>
      <c r="O526" s="143"/>
      <c r="P526" s="143"/>
      <c r="Q526" s="143"/>
      <c r="R526" s="143"/>
      <c r="S526" s="146"/>
      <c r="T526" s="146"/>
      <c r="U526" s="146"/>
      <c r="V526" s="147"/>
      <c r="W526" s="143" t="s">
        <v>49</v>
      </c>
      <c r="X526" s="143" t="s">
        <v>1845</v>
      </c>
      <c r="Y526" s="143" t="s">
        <v>1846</v>
      </c>
      <c r="Z526" s="143" t="s">
        <v>1845</v>
      </c>
      <c r="AA526" s="143"/>
      <c r="AB526" s="170"/>
      <c r="AC526" s="143"/>
      <c r="AD526" s="143"/>
      <c r="AE526" s="143"/>
      <c r="AF526" s="143"/>
      <c r="AG526" s="143" t="s">
        <v>233</v>
      </c>
      <c r="AH526" s="143" t="s">
        <v>1161</v>
      </c>
      <c r="AI526" s="143"/>
      <c r="AJ526" s="143" t="s">
        <v>1124</v>
      </c>
      <c r="AK526" s="143"/>
      <c r="AL526" s="143"/>
      <c r="AM526" s="143"/>
    </row>
    <row r="527" s="140" customFormat="1" ht="15" spans="1:43">
      <c r="A527" s="143">
        <v>525</v>
      </c>
      <c r="B527" s="144"/>
      <c r="C527" s="143" t="s">
        <v>193</v>
      </c>
      <c r="D527" s="143" t="s">
        <v>229</v>
      </c>
      <c r="E527" s="145"/>
      <c r="F527" s="143"/>
      <c r="G527" s="143"/>
      <c r="H527" s="172" t="s">
        <v>1847</v>
      </c>
      <c r="I527" s="143" t="s">
        <v>324</v>
      </c>
      <c r="J527" s="143" t="s">
        <v>517</v>
      </c>
      <c r="K527" s="143">
        <v>155</v>
      </c>
      <c r="L527" s="143">
        <v>102</v>
      </c>
      <c r="M527" s="143"/>
      <c r="N527" s="143"/>
      <c r="O527" s="143"/>
      <c r="P527" s="143"/>
      <c r="Q527" s="143"/>
      <c r="R527" s="143"/>
      <c r="S527" s="146"/>
      <c r="T527" s="146"/>
      <c r="U527" s="146"/>
      <c r="V527" s="147"/>
      <c r="W527" s="143" t="s">
        <v>49</v>
      </c>
      <c r="X527" s="143" t="s">
        <v>1848</v>
      </c>
      <c r="Y527" s="143" t="s">
        <v>1846</v>
      </c>
      <c r="Z527" s="143" t="s">
        <v>1848</v>
      </c>
      <c r="AA527" s="173"/>
      <c r="AB527" s="170">
        <v>46104</v>
      </c>
      <c r="AC527" s="143"/>
      <c r="AD527" s="143"/>
      <c r="AE527" s="143"/>
      <c r="AF527" s="143"/>
      <c r="AG527" s="143" t="s">
        <v>233</v>
      </c>
      <c r="AH527" s="143" t="s">
        <v>250</v>
      </c>
      <c r="AI527" s="143"/>
      <c r="AJ527" s="143" t="s">
        <v>1189</v>
      </c>
      <c r="AK527" s="143"/>
      <c r="AL527" s="143"/>
      <c r="AM527" s="143"/>
    </row>
    <row r="528" s="140" customFormat="1" ht="15" spans="1:43">
      <c r="A528" s="143">
        <v>526</v>
      </c>
      <c r="B528" s="144"/>
      <c r="C528" s="143" t="s">
        <v>193</v>
      </c>
      <c r="D528" s="143" t="s">
        <v>229</v>
      </c>
      <c r="E528" s="145"/>
      <c r="F528" s="143"/>
      <c r="G528" s="143"/>
      <c r="H528" s="174" t="s">
        <v>1849</v>
      </c>
      <c r="I528" s="143" t="s">
        <v>535</v>
      </c>
      <c r="J528" s="143" t="s">
        <v>517</v>
      </c>
      <c r="K528" s="143">
        <v>148</v>
      </c>
      <c r="L528" s="143"/>
      <c r="M528" s="143"/>
      <c r="N528" s="143"/>
      <c r="O528" s="143"/>
      <c r="P528" s="143"/>
      <c r="Q528" s="143"/>
      <c r="R528" s="143"/>
      <c r="S528" s="146"/>
      <c r="T528" s="146"/>
      <c r="U528" s="146"/>
      <c r="V528" s="147"/>
      <c r="W528" s="143" t="s">
        <v>49</v>
      </c>
      <c r="X528" s="143" t="s">
        <v>1850</v>
      </c>
      <c r="Y528" s="143" t="s">
        <v>1851</v>
      </c>
      <c r="Z528" s="143" t="s">
        <v>1850</v>
      </c>
      <c r="AA528" s="173"/>
      <c r="AB528" s="170"/>
      <c r="AC528" s="143"/>
      <c r="AD528" s="143"/>
      <c r="AE528" s="143"/>
      <c r="AF528" s="143"/>
      <c r="AG528" s="143" t="s">
        <v>233</v>
      </c>
      <c r="AH528" s="143" t="s">
        <v>507</v>
      </c>
      <c r="AI528" s="143"/>
      <c r="AJ528" s="143" t="s">
        <v>1449</v>
      </c>
      <c r="AK528" s="143"/>
      <c r="AL528" s="143"/>
      <c r="AM528" s="143"/>
    </row>
    <row r="529" s="140" customFormat="1" ht="15" spans="1:43">
      <c r="A529" s="143">
        <v>527</v>
      </c>
      <c r="B529" s="144"/>
      <c r="C529" s="143" t="s">
        <v>193</v>
      </c>
      <c r="D529" s="143" t="s">
        <v>229</v>
      </c>
      <c r="E529" s="145"/>
      <c r="F529" s="143"/>
      <c r="G529" s="143"/>
      <c r="H529" s="152" t="s">
        <v>1852</v>
      </c>
      <c r="I529" s="143"/>
      <c r="J529" s="143"/>
      <c r="K529" s="143">
        <v>150</v>
      </c>
      <c r="L529" s="143"/>
      <c r="M529" s="143"/>
      <c r="N529" s="143"/>
      <c r="O529" s="143"/>
      <c r="P529" s="143"/>
      <c r="Q529" s="143"/>
      <c r="R529" s="143"/>
      <c r="S529" s="146"/>
      <c r="T529" s="146"/>
      <c r="U529" s="146"/>
      <c r="V529" s="147"/>
      <c r="W529" s="143" t="s">
        <v>49</v>
      </c>
      <c r="X529" s="143">
        <v>8068</v>
      </c>
      <c r="Y529" s="143" t="s">
        <v>1853</v>
      </c>
      <c r="Z529" s="143">
        <v>8068</v>
      </c>
      <c r="AA529" s="143"/>
      <c r="AB529" s="170"/>
      <c r="AC529" s="143"/>
      <c r="AD529" s="143"/>
      <c r="AE529" s="143"/>
      <c r="AF529" s="143"/>
      <c r="AG529" s="143" t="s">
        <v>233</v>
      </c>
      <c r="AH529" s="143"/>
      <c r="AI529" s="143"/>
      <c r="AJ529" s="143" t="s">
        <v>1449</v>
      </c>
      <c r="AK529" s="143"/>
      <c r="AL529" s="143"/>
      <c r="AM529" s="143"/>
    </row>
    <row r="530" s="140" customFormat="1" ht="15" spans="1:43">
      <c r="A530" s="143">
        <v>528</v>
      </c>
      <c r="B530" s="144"/>
      <c r="C530" s="143" t="s">
        <v>193</v>
      </c>
      <c r="D530" s="143" t="s">
        <v>229</v>
      </c>
      <c r="E530" s="145"/>
      <c r="F530" s="143"/>
      <c r="G530" s="143"/>
      <c r="H530" s="152" t="s">
        <v>1854</v>
      </c>
      <c r="I530" s="143" t="s">
        <v>1855</v>
      </c>
      <c r="J530" s="143" t="s">
        <v>1856</v>
      </c>
      <c r="K530" s="143">
        <v>150</v>
      </c>
      <c r="L530" s="143">
        <v>110</v>
      </c>
      <c r="M530" s="143"/>
      <c r="N530" s="143"/>
      <c r="O530" s="143"/>
      <c r="P530" s="143"/>
      <c r="Q530" s="143"/>
      <c r="R530" s="143"/>
      <c r="S530" s="146"/>
      <c r="T530" s="146"/>
      <c r="U530" s="146"/>
      <c r="V530" s="147"/>
      <c r="W530" s="143" t="s">
        <v>49</v>
      </c>
      <c r="X530" s="143">
        <v>740</v>
      </c>
      <c r="Y530" s="143" t="s">
        <v>1857</v>
      </c>
      <c r="Z530" s="143">
        <v>740</v>
      </c>
      <c r="AA530" s="143"/>
      <c r="AB530" s="170"/>
      <c r="AC530" s="143"/>
      <c r="AD530" s="143"/>
      <c r="AE530" s="143"/>
      <c r="AF530" s="143"/>
      <c r="AG530" s="143" t="s">
        <v>1071</v>
      </c>
      <c r="AH530" s="143"/>
      <c r="AI530" s="143"/>
      <c r="AJ530" s="143" t="s">
        <v>1076</v>
      </c>
      <c r="AK530" s="143"/>
      <c r="AL530" s="143"/>
      <c r="AM530" s="143"/>
    </row>
    <row r="531" s="140" customFormat="1" ht="15" spans="1:43">
      <c r="A531" s="143">
        <v>529</v>
      </c>
      <c r="B531" s="144"/>
      <c r="C531" s="143" t="s">
        <v>193</v>
      </c>
      <c r="D531" s="143" t="s">
        <v>229</v>
      </c>
      <c r="E531" s="145"/>
      <c r="F531" s="143"/>
      <c r="G531" s="143"/>
      <c r="H531" s="152" t="s">
        <v>1858</v>
      </c>
      <c r="I531" s="143" t="s">
        <v>1049</v>
      </c>
      <c r="J531" s="143" t="s">
        <v>1050</v>
      </c>
      <c r="K531" s="143">
        <v>145</v>
      </c>
      <c r="L531" s="143">
        <v>165</v>
      </c>
      <c r="M531" s="143"/>
      <c r="N531" s="143"/>
      <c r="O531" s="143"/>
      <c r="P531" s="143"/>
      <c r="Q531" s="143"/>
      <c r="R531" s="143"/>
      <c r="S531" s="146"/>
      <c r="T531" s="146"/>
      <c r="U531" s="146"/>
      <c r="V531" s="147"/>
      <c r="W531" s="143" t="s">
        <v>49</v>
      </c>
      <c r="X531" s="143" t="s">
        <v>1859</v>
      </c>
      <c r="Y531" s="143" t="s">
        <v>1671</v>
      </c>
      <c r="Z531" s="143" t="s">
        <v>1859</v>
      </c>
      <c r="AA531" s="143"/>
      <c r="AB531" s="170"/>
      <c r="AC531" s="143"/>
      <c r="AD531" s="143"/>
      <c r="AE531" s="143"/>
      <c r="AF531" s="143"/>
      <c r="AG531" s="143" t="s">
        <v>1071</v>
      </c>
      <c r="AH531" s="143"/>
      <c r="AI531" s="143"/>
      <c r="AJ531" s="143" t="s">
        <v>1076</v>
      </c>
      <c r="AK531" s="143"/>
      <c r="AL531" s="143"/>
      <c r="AM531" s="143"/>
    </row>
    <row r="532" s="140" customFormat="1" ht="15" spans="1:43">
      <c r="A532" s="143">
        <v>530</v>
      </c>
      <c r="B532" s="144"/>
      <c r="C532" s="143" t="s">
        <v>193</v>
      </c>
      <c r="D532" s="143" t="s">
        <v>557</v>
      </c>
      <c r="E532" s="145"/>
      <c r="F532" s="143"/>
      <c r="G532" s="143"/>
      <c r="H532" s="152" t="s">
        <v>1860</v>
      </c>
      <c r="I532" s="143" t="s">
        <v>1861</v>
      </c>
      <c r="J532" s="143" t="s">
        <v>1862</v>
      </c>
      <c r="K532" s="143">
        <v>150</v>
      </c>
      <c r="L532" s="143">
        <v>83</v>
      </c>
      <c r="M532" s="143"/>
      <c r="N532" s="143"/>
      <c r="O532" s="143"/>
      <c r="P532" s="143"/>
      <c r="Q532" s="143"/>
      <c r="R532" s="143"/>
      <c r="S532" s="146"/>
      <c r="T532" s="146"/>
      <c r="U532" s="146"/>
      <c r="V532" s="147"/>
      <c r="W532" s="143" t="s">
        <v>49</v>
      </c>
      <c r="X532" s="143" t="s">
        <v>1863</v>
      </c>
      <c r="Y532" s="143" t="s">
        <v>1864</v>
      </c>
      <c r="Z532" s="143" t="s">
        <v>1863</v>
      </c>
      <c r="AA532" s="143">
        <v>13.8</v>
      </c>
      <c r="AB532" s="170">
        <v>45861</v>
      </c>
      <c r="AC532" s="143"/>
      <c r="AD532" s="143"/>
      <c r="AE532" s="143"/>
      <c r="AF532" s="143"/>
      <c r="AG532" s="143" t="s">
        <v>1022</v>
      </c>
      <c r="AH532" s="143" t="s">
        <v>563</v>
      </c>
      <c r="AI532" s="143"/>
      <c r="AJ532" s="143" t="s">
        <v>1023</v>
      </c>
      <c r="AK532" s="143"/>
      <c r="AL532" s="143"/>
      <c r="AM532" s="143"/>
    </row>
    <row r="533" s="140" customFormat="1" ht="15" spans="1:43">
      <c r="A533" s="143">
        <v>531</v>
      </c>
      <c r="B533" s="144"/>
      <c r="C533" s="143" t="s">
        <v>193</v>
      </c>
      <c r="D533" s="143" t="s">
        <v>229</v>
      </c>
      <c r="E533" s="145"/>
      <c r="F533" s="143"/>
      <c r="G533" s="143"/>
      <c r="H533" s="152" t="s">
        <v>1865</v>
      </c>
      <c r="I533" s="143" t="s">
        <v>1029</v>
      </c>
      <c r="J533" s="143" t="s">
        <v>1030</v>
      </c>
      <c r="K533" s="143">
        <v>150</v>
      </c>
      <c r="L533" s="143"/>
      <c r="M533" s="143"/>
      <c r="N533" s="143"/>
      <c r="O533" s="143"/>
      <c r="P533" s="143"/>
      <c r="Q533" s="143"/>
      <c r="R533" s="143"/>
      <c r="S533" s="146"/>
      <c r="T533" s="146"/>
      <c r="U533" s="146"/>
      <c r="V533" s="147"/>
      <c r="W533" s="143" t="s">
        <v>49</v>
      </c>
      <c r="X533" s="143">
        <v>1720</v>
      </c>
      <c r="Y533" s="143" t="s">
        <v>1866</v>
      </c>
      <c r="Z533" s="143">
        <v>1720</v>
      </c>
      <c r="AA533" s="143">
        <v>9.6</v>
      </c>
      <c r="AB533" s="170">
        <v>46051</v>
      </c>
      <c r="AC533" s="143"/>
      <c r="AD533" s="143"/>
      <c r="AE533" s="143"/>
      <c r="AF533" s="143"/>
      <c r="AG533" s="143" t="s">
        <v>1022</v>
      </c>
      <c r="AH533" s="143"/>
      <c r="AI533" s="143"/>
      <c r="AJ533" s="143" t="s">
        <v>1432</v>
      </c>
      <c r="AK533" s="143"/>
      <c r="AL533" s="143"/>
      <c r="AM533" s="143"/>
    </row>
    <row r="534" s="140" customFormat="1" ht="15" spans="1:43">
      <c r="A534" s="143">
        <v>532</v>
      </c>
      <c r="B534" s="144"/>
      <c r="C534" s="143" t="s">
        <v>193</v>
      </c>
      <c r="D534" s="143" t="s">
        <v>229</v>
      </c>
      <c r="E534" s="145"/>
      <c r="F534" s="143"/>
      <c r="G534" s="143"/>
      <c r="H534" s="152" t="s">
        <v>1867</v>
      </c>
      <c r="I534" s="143" t="s">
        <v>1868</v>
      </c>
      <c r="J534" s="143" t="s">
        <v>1869</v>
      </c>
      <c r="K534" s="143">
        <v>150</v>
      </c>
      <c r="L534" s="143">
        <v>90</v>
      </c>
      <c r="M534" s="143"/>
      <c r="N534" s="143"/>
      <c r="O534" s="143"/>
      <c r="P534" s="143"/>
      <c r="Q534" s="143"/>
      <c r="R534" s="143"/>
      <c r="S534" s="146"/>
      <c r="T534" s="146"/>
      <c r="U534" s="146"/>
      <c r="V534" s="147"/>
      <c r="W534" s="143" t="s">
        <v>49</v>
      </c>
      <c r="X534" s="143" t="s">
        <v>1870</v>
      </c>
      <c r="Y534" s="143" t="s">
        <v>1671</v>
      </c>
      <c r="Z534" s="143" t="s">
        <v>1870</v>
      </c>
      <c r="AA534" s="143"/>
      <c r="AB534" s="170"/>
      <c r="AC534" s="143"/>
      <c r="AD534" s="143"/>
      <c r="AE534" s="143"/>
      <c r="AF534" s="143"/>
      <c r="AG534" s="143" t="s">
        <v>1173</v>
      </c>
      <c r="AH534" s="143"/>
      <c r="AI534" s="143"/>
      <c r="AJ534" s="143" t="s">
        <v>1174</v>
      </c>
      <c r="AK534" s="143"/>
      <c r="AL534" s="143"/>
      <c r="AM534" s="143"/>
    </row>
    <row r="535" s="140" customFormat="1" ht="15" spans="1:43">
      <c r="A535" s="143">
        <v>533</v>
      </c>
      <c r="B535" s="144"/>
      <c r="C535" s="143" t="s">
        <v>193</v>
      </c>
      <c r="D535" s="143" t="s">
        <v>229</v>
      </c>
      <c r="E535" s="145"/>
      <c r="F535" s="143"/>
      <c r="G535" s="143"/>
      <c r="H535" s="152" t="s">
        <v>1871</v>
      </c>
      <c r="I535" s="143" t="s">
        <v>1872</v>
      </c>
      <c r="J535" s="143" t="s">
        <v>1873</v>
      </c>
      <c r="K535" s="143">
        <v>150</v>
      </c>
      <c r="L535" s="143"/>
      <c r="M535" s="143"/>
      <c r="N535" s="143"/>
      <c r="O535" s="143"/>
      <c r="P535" s="143"/>
      <c r="Q535" s="143"/>
      <c r="R535" s="143"/>
      <c r="S535" s="146"/>
      <c r="T535" s="146"/>
      <c r="U535" s="146"/>
      <c r="V535" s="147"/>
      <c r="W535" s="143" t="s">
        <v>49</v>
      </c>
      <c r="X535" s="143" t="s">
        <v>1874</v>
      </c>
      <c r="Y535" s="143" t="s">
        <v>1875</v>
      </c>
      <c r="Z535" s="143" t="s">
        <v>1874</v>
      </c>
      <c r="AA535" s="143"/>
      <c r="AB535" s="170"/>
      <c r="AC535" s="143"/>
      <c r="AD535" s="143"/>
      <c r="AE535" s="143"/>
      <c r="AF535" s="143"/>
      <c r="AG535" s="143" t="s">
        <v>233</v>
      </c>
      <c r="AH535" s="143"/>
      <c r="AI535" s="143"/>
      <c r="AJ535" s="143" t="s">
        <v>1449</v>
      </c>
      <c r="AK535" s="143"/>
      <c r="AL535" s="143"/>
      <c r="AM535" s="143"/>
    </row>
    <row r="536" s="140" customFormat="1" ht="15" spans="1:43">
      <c r="A536" s="143">
        <v>534</v>
      </c>
      <c r="B536" s="144"/>
      <c r="C536" s="143" t="s">
        <v>193</v>
      </c>
      <c r="D536" s="143" t="s">
        <v>229</v>
      </c>
      <c r="E536" s="145"/>
      <c r="F536" s="143"/>
      <c r="G536" s="143"/>
      <c r="H536" s="152" t="s">
        <v>1876</v>
      </c>
      <c r="I536" s="143"/>
      <c r="J536" s="143"/>
      <c r="K536" s="143">
        <v>150</v>
      </c>
      <c r="L536" s="143"/>
      <c r="M536" s="143"/>
      <c r="N536" s="143"/>
      <c r="O536" s="143"/>
      <c r="P536" s="143"/>
      <c r="Q536" s="143"/>
      <c r="R536" s="143"/>
      <c r="S536" s="146"/>
      <c r="T536" s="146"/>
      <c r="U536" s="146"/>
      <c r="V536" s="147"/>
      <c r="W536" s="143" t="s">
        <v>49</v>
      </c>
      <c r="X536" s="143" t="s">
        <v>1877</v>
      </c>
      <c r="Y536" s="143" t="s">
        <v>1671</v>
      </c>
      <c r="Z536" s="143" t="s">
        <v>1877</v>
      </c>
      <c r="AA536" s="143"/>
      <c r="AB536" s="170"/>
      <c r="AC536" s="143"/>
      <c r="AD536" s="143"/>
      <c r="AE536" s="143"/>
      <c r="AF536" s="143"/>
      <c r="AG536" s="143" t="s">
        <v>233</v>
      </c>
      <c r="AH536" s="143"/>
      <c r="AI536" s="143"/>
      <c r="AJ536" s="143" t="s">
        <v>1449</v>
      </c>
      <c r="AK536" s="143"/>
      <c r="AL536" s="143"/>
      <c r="AM536" s="143"/>
    </row>
    <row r="537" s="140" customFormat="1" ht="15" spans="1:43">
      <c r="A537" s="143">
        <v>535</v>
      </c>
      <c r="B537" s="144"/>
      <c r="C537" s="143" t="s">
        <v>193</v>
      </c>
      <c r="D537" s="143" t="s">
        <v>229</v>
      </c>
      <c r="E537" s="145"/>
      <c r="F537" s="143"/>
      <c r="G537" s="143"/>
      <c r="H537" s="152" t="s">
        <v>1878</v>
      </c>
      <c r="I537" s="143" t="s">
        <v>1879</v>
      </c>
      <c r="J537" s="143" t="s">
        <v>1880</v>
      </c>
      <c r="K537" s="143">
        <v>150</v>
      </c>
      <c r="L537" s="143"/>
      <c r="M537" s="143"/>
      <c r="N537" s="143"/>
      <c r="O537" s="143"/>
      <c r="P537" s="143"/>
      <c r="Q537" s="143"/>
      <c r="R537" s="143"/>
      <c r="S537" s="146"/>
      <c r="T537" s="146"/>
      <c r="U537" s="146"/>
      <c r="V537" s="147"/>
      <c r="W537" s="143" t="s">
        <v>49</v>
      </c>
      <c r="X537" s="143">
        <v>3198</v>
      </c>
      <c r="Y537" s="143" t="s">
        <v>1805</v>
      </c>
      <c r="Z537" s="143">
        <v>3198</v>
      </c>
      <c r="AA537" s="143"/>
      <c r="AB537" s="170"/>
      <c r="AC537" s="143"/>
      <c r="AD537" s="143"/>
      <c r="AE537" s="143"/>
      <c r="AF537" s="143"/>
      <c r="AG537" s="143" t="s">
        <v>1022</v>
      </c>
      <c r="AH537" s="143"/>
      <c r="AI537" s="143"/>
      <c r="AJ537" s="143" t="s">
        <v>1432</v>
      </c>
      <c r="AK537" s="143"/>
      <c r="AL537" s="143"/>
      <c r="AM537" s="143"/>
      <c r="AN537" s="148"/>
    </row>
    <row r="538" s="140" customFormat="1" ht="15" spans="1:43">
      <c r="A538" s="143">
        <v>536</v>
      </c>
      <c r="B538" s="144"/>
      <c r="C538" s="143" t="s">
        <v>193</v>
      </c>
      <c r="D538" s="143" t="s">
        <v>229</v>
      </c>
      <c r="E538" s="145"/>
      <c r="F538" s="143"/>
      <c r="G538" s="143"/>
      <c r="H538" s="152" t="s">
        <v>1881</v>
      </c>
      <c r="I538" s="143" t="s">
        <v>1033</v>
      </c>
      <c r="J538" s="143" t="s">
        <v>1034</v>
      </c>
      <c r="K538" s="143">
        <v>138</v>
      </c>
      <c r="L538" s="143">
        <v>58</v>
      </c>
      <c r="M538" s="143"/>
      <c r="N538" s="143"/>
      <c r="O538" s="143"/>
      <c r="P538" s="143"/>
      <c r="Q538" s="143"/>
      <c r="R538" s="143"/>
      <c r="S538" s="146"/>
      <c r="T538" s="146"/>
      <c r="U538" s="146"/>
      <c r="V538" s="147"/>
      <c r="W538" s="143" t="s">
        <v>49</v>
      </c>
      <c r="X538" s="143" t="s">
        <v>1882</v>
      </c>
      <c r="Y538" s="143" t="s">
        <v>1864</v>
      </c>
      <c r="Z538" s="143" t="s">
        <v>1882</v>
      </c>
      <c r="AA538" s="143">
        <v>16.8</v>
      </c>
      <c r="AB538" s="170">
        <v>46051</v>
      </c>
      <c r="AC538" s="143"/>
      <c r="AD538" s="143"/>
      <c r="AE538" s="143"/>
      <c r="AF538" s="143"/>
      <c r="AG538" s="143" t="s">
        <v>1022</v>
      </c>
      <c r="AH538" s="143"/>
      <c r="AI538" s="143"/>
      <c r="AJ538" s="143" t="s">
        <v>1432</v>
      </c>
      <c r="AK538" s="143"/>
      <c r="AL538" s="143"/>
      <c r="AM538" s="143"/>
      <c r="AN538" s="148"/>
    </row>
    <row r="539" s="140" customFormat="1" ht="15" spans="1:43">
      <c r="A539" s="143">
        <v>537</v>
      </c>
      <c r="B539" s="144"/>
      <c r="C539" s="143" t="s">
        <v>193</v>
      </c>
      <c r="D539" s="143" t="s">
        <v>229</v>
      </c>
      <c r="E539" s="145"/>
      <c r="F539" s="143"/>
      <c r="G539" s="143"/>
      <c r="H539" s="152" t="s">
        <v>1883</v>
      </c>
      <c r="I539" s="143" t="s">
        <v>1884</v>
      </c>
      <c r="J539" s="143" t="s">
        <v>1885</v>
      </c>
      <c r="K539" s="143">
        <v>150</v>
      </c>
      <c r="L539" s="143"/>
      <c r="M539" s="143"/>
      <c r="N539" s="143"/>
      <c r="O539" s="143"/>
      <c r="P539" s="143"/>
      <c r="Q539" s="143"/>
      <c r="R539" s="143"/>
      <c r="S539" s="146"/>
      <c r="T539" s="146"/>
      <c r="U539" s="146"/>
      <c r="V539" s="147"/>
      <c r="W539" s="143" t="s">
        <v>49</v>
      </c>
      <c r="X539" s="143" t="s">
        <v>1886</v>
      </c>
      <c r="Y539" s="143" t="s">
        <v>1887</v>
      </c>
      <c r="Z539" s="143" t="s">
        <v>1886</v>
      </c>
      <c r="AA539" s="143"/>
      <c r="AB539" s="170"/>
      <c r="AC539" s="143"/>
      <c r="AD539" s="143"/>
      <c r="AE539" s="143"/>
      <c r="AF539" s="143"/>
      <c r="AG539" s="143" t="s">
        <v>233</v>
      </c>
      <c r="AH539" s="143"/>
      <c r="AI539" s="143"/>
      <c r="AJ539" s="143" t="s">
        <v>234</v>
      </c>
      <c r="AK539" s="143"/>
      <c r="AL539" s="143"/>
      <c r="AM539" s="143"/>
      <c r="AN539" s="148"/>
    </row>
    <row r="540" s="140" customFormat="1" ht="15" spans="1:43">
      <c r="A540" s="143">
        <v>538</v>
      </c>
      <c r="B540" s="144"/>
      <c r="C540" s="143" t="s">
        <v>193</v>
      </c>
      <c r="D540" s="143" t="s">
        <v>229</v>
      </c>
      <c r="E540" s="145"/>
      <c r="F540" s="143"/>
      <c r="G540" s="143"/>
      <c r="H540" s="152" t="s">
        <v>1888</v>
      </c>
      <c r="I540" s="143" t="s">
        <v>1889</v>
      </c>
      <c r="J540" s="143" t="s">
        <v>1890</v>
      </c>
      <c r="K540" s="143">
        <v>150</v>
      </c>
      <c r="L540" s="143">
        <v>63</v>
      </c>
      <c r="M540" s="143"/>
      <c r="N540" s="143"/>
      <c r="O540" s="143"/>
      <c r="P540" s="143"/>
      <c r="Q540" s="143"/>
      <c r="R540" s="143"/>
      <c r="S540" s="146"/>
      <c r="T540" s="146"/>
      <c r="U540" s="146"/>
      <c r="V540" s="147"/>
      <c r="W540" s="143" t="s">
        <v>49</v>
      </c>
      <c r="X540" s="143" t="s">
        <v>1891</v>
      </c>
      <c r="Y540" s="143" t="s">
        <v>1857</v>
      </c>
      <c r="Z540" s="143" t="s">
        <v>1891</v>
      </c>
      <c r="AA540" s="143"/>
      <c r="AB540" s="170"/>
      <c r="AC540" s="143"/>
      <c r="AD540" s="143"/>
      <c r="AE540" s="143"/>
      <c r="AF540" s="143"/>
      <c r="AG540" s="143" t="s">
        <v>233</v>
      </c>
      <c r="AH540" s="143"/>
      <c r="AI540" s="143"/>
      <c r="AJ540" s="143" t="s">
        <v>1124</v>
      </c>
      <c r="AK540" s="143"/>
      <c r="AL540" s="143"/>
      <c r="AM540" s="143"/>
      <c r="AN540" s="148"/>
      <c r="AO540" s="148"/>
      <c r="AP540" s="148"/>
      <c r="AQ540" s="148"/>
    </row>
    <row r="541" s="140" customFormat="1" ht="15" spans="1:43">
      <c r="A541" s="143">
        <v>539</v>
      </c>
      <c r="B541" s="144"/>
      <c r="C541" s="143" t="s">
        <v>193</v>
      </c>
      <c r="D541" s="143" t="s">
        <v>229</v>
      </c>
      <c r="E541" s="145"/>
      <c r="F541" s="143"/>
      <c r="G541" s="143"/>
      <c r="H541" s="152" t="s">
        <v>1892</v>
      </c>
      <c r="I541" s="143" t="s">
        <v>1893</v>
      </c>
      <c r="J541" s="143" t="s">
        <v>1894</v>
      </c>
      <c r="K541" s="143">
        <v>150</v>
      </c>
      <c r="L541" s="143"/>
      <c r="M541" s="143"/>
      <c r="N541" s="143"/>
      <c r="O541" s="143"/>
      <c r="P541" s="143"/>
      <c r="Q541" s="143"/>
      <c r="R541" s="143"/>
      <c r="S541" s="146"/>
      <c r="T541" s="146"/>
      <c r="U541" s="146"/>
      <c r="V541" s="147"/>
      <c r="W541" s="143" t="s">
        <v>49</v>
      </c>
      <c r="X541" s="143">
        <v>3211</v>
      </c>
      <c r="Y541" s="143" t="s">
        <v>1805</v>
      </c>
      <c r="Z541" s="143">
        <v>3211</v>
      </c>
      <c r="AA541" s="143"/>
      <c r="AB541" s="170"/>
      <c r="AC541" s="143"/>
      <c r="AD541" s="143"/>
      <c r="AE541" s="143"/>
      <c r="AF541" s="143"/>
      <c r="AG541" s="143" t="s">
        <v>1022</v>
      </c>
      <c r="AH541" s="143"/>
      <c r="AI541" s="143"/>
      <c r="AJ541" s="143" t="s">
        <v>1432</v>
      </c>
      <c r="AK541" s="143"/>
      <c r="AL541" s="143"/>
      <c r="AM541" s="143"/>
      <c r="AN541" s="148"/>
      <c r="AO541" s="148"/>
      <c r="AP541" s="148"/>
      <c r="AQ541" s="148"/>
    </row>
    <row r="542" s="140" customFormat="1" ht="15" spans="1:43">
      <c r="A542" s="143">
        <v>540</v>
      </c>
      <c r="B542" s="144"/>
      <c r="C542" s="143" t="s">
        <v>193</v>
      </c>
      <c r="D542" s="143" t="s">
        <v>229</v>
      </c>
      <c r="E542" s="145"/>
      <c r="F542" s="143"/>
      <c r="G542" s="143"/>
      <c r="H542" s="152" t="s">
        <v>1895</v>
      </c>
      <c r="I542" s="143" t="s">
        <v>1896</v>
      </c>
      <c r="J542" s="143" t="s">
        <v>1897</v>
      </c>
      <c r="K542" s="143">
        <v>138</v>
      </c>
      <c r="L542" s="143"/>
      <c r="M542" s="143"/>
      <c r="N542" s="143"/>
      <c r="O542" s="143"/>
      <c r="P542" s="143"/>
      <c r="Q542" s="143"/>
      <c r="R542" s="143"/>
      <c r="S542" s="146"/>
      <c r="T542" s="146"/>
      <c r="U542" s="146"/>
      <c r="V542" s="147"/>
      <c r="W542" s="143" t="s">
        <v>49</v>
      </c>
      <c r="X542" s="143">
        <v>3225</v>
      </c>
      <c r="Y542" s="143" t="s">
        <v>1805</v>
      </c>
      <c r="Z542" s="143">
        <v>3225</v>
      </c>
      <c r="AA542" s="143"/>
      <c r="AB542" s="170"/>
      <c r="AC542" s="143"/>
      <c r="AD542" s="143"/>
      <c r="AE542" s="143"/>
      <c r="AF542" s="143"/>
      <c r="AG542" s="143" t="s">
        <v>1173</v>
      </c>
      <c r="AH542" s="143"/>
      <c r="AI542" s="143"/>
      <c r="AJ542" s="143" t="s">
        <v>1388</v>
      </c>
      <c r="AK542" s="143"/>
      <c r="AL542" s="143"/>
      <c r="AM542" s="143"/>
      <c r="AN542" s="148"/>
      <c r="AO542" s="148"/>
      <c r="AP542" s="148"/>
      <c r="AQ542" s="148"/>
    </row>
    <row r="543" s="140" customFormat="1" ht="15" spans="1:43">
      <c r="A543" s="143">
        <v>541</v>
      </c>
      <c r="B543" s="144"/>
      <c r="C543" s="143" t="s">
        <v>193</v>
      </c>
      <c r="D543" s="143" t="s">
        <v>229</v>
      </c>
      <c r="E543" s="145"/>
      <c r="F543" s="143"/>
      <c r="G543" s="143"/>
      <c r="H543" s="152" t="s">
        <v>1898</v>
      </c>
      <c r="I543" s="143"/>
      <c r="J543" s="143"/>
      <c r="K543" s="143">
        <v>150</v>
      </c>
      <c r="L543" s="143"/>
      <c r="M543" s="143"/>
      <c r="N543" s="143"/>
      <c r="O543" s="143"/>
      <c r="P543" s="143"/>
      <c r="Q543" s="143"/>
      <c r="R543" s="143"/>
      <c r="S543" s="146"/>
      <c r="T543" s="146"/>
      <c r="U543" s="146"/>
      <c r="V543" s="147"/>
      <c r="W543" s="143" t="s">
        <v>49</v>
      </c>
      <c r="X543" s="143" t="s">
        <v>1899</v>
      </c>
      <c r="Y543" s="143" t="s">
        <v>1900</v>
      </c>
      <c r="Z543" s="143" t="s">
        <v>1899</v>
      </c>
      <c r="AA543" s="143"/>
      <c r="AB543" s="170"/>
      <c r="AC543" s="143"/>
      <c r="AD543" s="143"/>
      <c r="AE543" s="143"/>
      <c r="AF543" s="143"/>
      <c r="AG543" s="143" t="s">
        <v>1396</v>
      </c>
      <c r="AH543" s="143"/>
      <c r="AI543" s="143"/>
      <c r="AJ543" s="143" t="s">
        <v>1397</v>
      </c>
      <c r="AK543" s="143"/>
      <c r="AL543" s="143"/>
      <c r="AM543" s="143"/>
      <c r="AN543" s="148"/>
      <c r="AO543" s="148"/>
      <c r="AP543" s="148"/>
      <c r="AQ543" s="148"/>
    </row>
    <row r="544" s="140" customFormat="1" ht="15" spans="1:43">
      <c r="A544" s="143">
        <v>542</v>
      </c>
      <c r="B544" s="144"/>
      <c r="C544" s="143" t="s">
        <v>193</v>
      </c>
      <c r="D544" s="143" t="s">
        <v>229</v>
      </c>
      <c r="E544" s="145"/>
      <c r="F544" s="143"/>
      <c r="G544" s="143"/>
      <c r="H544" s="152" t="s">
        <v>1901</v>
      </c>
      <c r="I544" s="143" t="s">
        <v>1902</v>
      </c>
      <c r="J544" s="143" t="s">
        <v>1903</v>
      </c>
      <c r="K544" s="143">
        <v>150</v>
      </c>
      <c r="L544" s="143"/>
      <c r="M544" s="143"/>
      <c r="N544" s="143"/>
      <c r="O544" s="143"/>
      <c r="P544" s="143"/>
      <c r="Q544" s="143"/>
      <c r="R544" s="143"/>
      <c r="S544" s="146"/>
      <c r="T544" s="146"/>
      <c r="U544" s="146"/>
      <c r="V544" s="147"/>
      <c r="W544" s="143" t="s">
        <v>49</v>
      </c>
      <c r="X544" s="143" t="s">
        <v>1904</v>
      </c>
      <c r="Y544" s="143" t="s">
        <v>1866</v>
      </c>
      <c r="Z544" s="143" t="s">
        <v>1904</v>
      </c>
      <c r="AA544" s="143"/>
      <c r="AB544" s="170"/>
      <c r="AC544" s="143"/>
      <c r="AD544" s="143"/>
      <c r="AE544" s="143"/>
      <c r="AF544" s="143"/>
      <c r="AG544" s="143" t="s">
        <v>1022</v>
      </c>
      <c r="AH544" s="143"/>
      <c r="AI544" s="143"/>
      <c r="AJ544" s="143" t="s">
        <v>1023</v>
      </c>
      <c r="AK544" s="143"/>
      <c r="AL544" s="143"/>
      <c r="AM544" s="143"/>
      <c r="AN544" s="148"/>
      <c r="AO544" s="148"/>
      <c r="AP544" s="148"/>
      <c r="AQ544" s="148"/>
    </row>
    <row r="545" s="140" customFormat="1" ht="15" spans="1:43">
      <c r="A545" s="143">
        <v>543</v>
      </c>
      <c r="B545" s="144"/>
      <c r="C545" s="143" t="s">
        <v>193</v>
      </c>
      <c r="D545" s="143" t="s">
        <v>229</v>
      </c>
      <c r="E545" s="145"/>
      <c r="F545" s="143"/>
      <c r="G545" s="143"/>
      <c r="H545" s="152" t="s">
        <v>1905</v>
      </c>
      <c r="I545" s="143" t="s">
        <v>1906</v>
      </c>
      <c r="J545" s="143" t="s">
        <v>1907</v>
      </c>
      <c r="K545" s="143">
        <v>150</v>
      </c>
      <c r="L545" s="143">
        <v>85</v>
      </c>
      <c r="M545" s="143"/>
      <c r="N545" s="143"/>
      <c r="O545" s="143"/>
      <c r="P545" s="143"/>
      <c r="Q545" s="143"/>
      <c r="R545" s="143"/>
      <c r="S545" s="146"/>
      <c r="T545" s="146"/>
      <c r="U545" s="146"/>
      <c r="V545" s="147"/>
      <c r="W545" s="143" t="s">
        <v>49</v>
      </c>
      <c r="X545" s="143" t="s">
        <v>1908</v>
      </c>
      <c r="Y545" s="143" t="s">
        <v>1875</v>
      </c>
      <c r="Z545" s="143" t="s">
        <v>1908</v>
      </c>
      <c r="AA545" s="143">
        <v>15.2</v>
      </c>
      <c r="AB545" s="170">
        <v>46051</v>
      </c>
      <c r="AC545" s="143"/>
      <c r="AD545" s="143"/>
      <c r="AE545" s="143"/>
      <c r="AF545" s="143"/>
      <c r="AG545" s="143" t="s">
        <v>233</v>
      </c>
      <c r="AH545" s="143"/>
      <c r="AI545" s="143"/>
      <c r="AJ545" s="143" t="s">
        <v>234</v>
      </c>
      <c r="AK545" s="143"/>
      <c r="AL545" s="143"/>
      <c r="AM545" s="143"/>
      <c r="AN545" s="148"/>
      <c r="AO545" s="148"/>
      <c r="AP545" s="148"/>
      <c r="AQ545" s="148"/>
    </row>
    <row r="546" s="140" customFormat="1" ht="15" spans="1:43">
      <c r="A546" s="143">
        <v>544</v>
      </c>
      <c r="B546" s="144"/>
      <c r="C546" s="143" t="s">
        <v>193</v>
      </c>
      <c r="D546" s="143" t="s">
        <v>229</v>
      </c>
      <c r="E546" s="145"/>
      <c r="F546" s="143"/>
      <c r="G546" s="143"/>
      <c r="H546" s="152" t="s">
        <v>1909</v>
      </c>
      <c r="I546" s="143" t="s">
        <v>1910</v>
      </c>
      <c r="J546" s="143" t="s">
        <v>1911</v>
      </c>
      <c r="K546" s="143">
        <v>150</v>
      </c>
      <c r="L546" s="143"/>
      <c r="M546" s="143"/>
      <c r="N546" s="143"/>
      <c r="O546" s="143"/>
      <c r="P546" s="143"/>
      <c r="Q546" s="143"/>
      <c r="R546" s="143"/>
      <c r="S546" s="146"/>
      <c r="T546" s="146"/>
      <c r="U546" s="146"/>
      <c r="V546" s="147"/>
      <c r="W546" s="143" t="s">
        <v>49</v>
      </c>
      <c r="X546" s="143" t="s">
        <v>1912</v>
      </c>
      <c r="Y546" s="143" t="s">
        <v>1913</v>
      </c>
      <c r="Z546" s="143" t="s">
        <v>1912</v>
      </c>
      <c r="AA546" s="143"/>
      <c r="AB546" s="170"/>
      <c r="AC546" s="143"/>
      <c r="AD546" s="143"/>
      <c r="AE546" s="143"/>
      <c r="AF546" s="143"/>
      <c r="AG546" s="143" t="s">
        <v>1173</v>
      </c>
      <c r="AH546" s="143"/>
      <c r="AI546" s="143"/>
      <c r="AJ546" s="143" t="s">
        <v>1388</v>
      </c>
      <c r="AK546" s="143"/>
      <c r="AL546" s="143"/>
      <c r="AM546" s="143"/>
    </row>
    <row r="547" s="140" customFormat="1" ht="15" spans="1:43">
      <c r="A547" s="143">
        <v>545</v>
      </c>
      <c r="B547" s="144"/>
      <c r="C547" s="143" t="s">
        <v>193</v>
      </c>
      <c r="D547" s="143" t="s">
        <v>229</v>
      </c>
      <c r="E547" s="145"/>
      <c r="F547" s="143"/>
      <c r="G547" s="143"/>
      <c r="H547" s="152" t="s">
        <v>1914</v>
      </c>
      <c r="I547" s="143" t="s">
        <v>1915</v>
      </c>
      <c r="J547" s="143" t="s">
        <v>1916</v>
      </c>
      <c r="K547" s="143">
        <v>150</v>
      </c>
      <c r="L547" s="143">
        <v>90</v>
      </c>
      <c r="M547" s="143"/>
      <c r="N547" s="143"/>
      <c r="O547" s="143"/>
      <c r="P547" s="143"/>
      <c r="Q547" s="143"/>
      <c r="R547" s="143"/>
      <c r="S547" s="146"/>
      <c r="T547" s="146"/>
      <c r="U547" s="146"/>
      <c r="V547" s="147"/>
      <c r="W547" s="143" t="s">
        <v>49</v>
      </c>
      <c r="X547" s="143" t="s">
        <v>1917</v>
      </c>
      <c r="Y547" s="143" t="s">
        <v>1864</v>
      </c>
      <c r="Z547" s="143" t="s">
        <v>1917</v>
      </c>
      <c r="AA547" s="143"/>
      <c r="AB547" s="170"/>
      <c r="AC547" s="143"/>
      <c r="AD547" s="143"/>
      <c r="AE547" s="143"/>
      <c r="AF547" s="143"/>
      <c r="AG547" s="143" t="s">
        <v>1173</v>
      </c>
      <c r="AH547" s="143"/>
      <c r="AI547" s="143"/>
      <c r="AJ547" s="143" t="s">
        <v>1388</v>
      </c>
      <c r="AK547" s="143"/>
      <c r="AL547" s="143"/>
      <c r="AM547" s="143"/>
    </row>
    <row r="548" s="140" customFormat="1" ht="15" spans="1:43">
      <c r="A548" s="143">
        <v>546</v>
      </c>
      <c r="B548" s="144"/>
      <c r="C548" s="143" t="s">
        <v>193</v>
      </c>
      <c r="D548" s="143" t="s">
        <v>229</v>
      </c>
      <c r="E548" s="145"/>
      <c r="F548" s="143"/>
      <c r="G548" s="143"/>
      <c r="H548" s="152" t="s">
        <v>1918</v>
      </c>
      <c r="I548" s="143" t="s">
        <v>1919</v>
      </c>
      <c r="J548" s="143" t="s">
        <v>1920</v>
      </c>
      <c r="K548" s="143">
        <v>148</v>
      </c>
      <c r="L548" s="143">
        <v>83</v>
      </c>
      <c r="M548" s="143"/>
      <c r="N548" s="143"/>
      <c r="O548" s="143"/>
      <c r="P548" s="143"/>
      <c r="Q548" s="143"/>
      <c r="R548" s="143"/>
      <c r="S548" s="146"/>
      <c r="T548" s="146"/>
      <c r="U548" s="146"/>
      <c r="V548" s="147"/>
      <c r="W548" s="143" t="s">
        <v>49</v>
      </c>
      <c r="X548" s="143" t="s">
        <v>1921</v>
      </c>
      <c r="Y548" s="143" t="s">
        <v>1922</v>
      </c>
      <c r="Z548" s="143" t="s">
        <v>1921</v>
      </c>
      <c r="AA548" s="143"/>
      <c r="AB548" s="170"/>
      <c r="AC548" s="143"/>
      <c r="AD548" s="143"/>
      <c r="AE548" s="143"/>
      <c r="AF548" s="143"/>
      <c r="AG548" s="143" t="s">
        <v>1173</v>
      </c>
      <c r="AH548" s="143"/>
      <c r="AI548" s="143"/>
      <c r="AJ548" s="143" t="s">
        <v>1388</v>
      </c>
      <c r="AK548" s="143"/>
      <c r="AL548" s="143"/>
      <c r="AM548" s="143"/>
    </row>
    <row r="549" s="140" customFormat="1" ht="15" spans="1:43">
      <c r="A549" s="143">
        <v>547</v>
      </c>
      <c r="B549" s="144"/>
      <c r="C549" s="143" t="s">
        <v>193</v>
      </c>
      <c r="D549" s="143" t="s">
        <v>229</v>
      </c>
      <c r="E549" s="145"/>
      <c r="F549" s="143"/>
      <c r="G549" s="143"/>
      <c r="H549" s="152" t="s">
        <v>1923</v>
      </c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6"/>
      <c r="T549" s="146"/>
      <c r="U549" s="146"/>
      <c r="V549" s="147"/>
      <c r="W549" s="143" t="s">
        <v>49</v>
      </c>
      <c r="X549" s="143" t="s">
        <v>1924</v>
      </c>
      <c r="Y549" s="143" t="s">
        <v>859</v>
      </c>
      <c r="Z549" s="143" t="s">
        <v>1924</v>
      </c>
      <c r="AA549" s="143"/>
      <c r="AB549" s="170"/>
      <c r="AC549" s="143"/>
      <c r="AD549" s="143"/>
      <c r="AE549" s="143"/>
      <c r="AF549" s="143"/>
      <c r="AG549" s="143" t="s">
        <v>1173</v>
      </c>
      <c r="AH549" s="143"/>
      <c r="AI549" s="143"/>
      <c r="AJ549" s="143" t="s">
        <v>1388</v>
      </c>
      <c r="AK549" s="143"/>
      <c r="AL549" s="143"/>
      <c r="AM549" s="143"/>
    </row>
    <row r="550" s="140" customFormat="1" ht="15" spans="1:43">
      <c r="A550" s="143">
        <v>548</v>
      </c>
      <c r="B550" s="144"/>
      <c r="C550" s="143" t="s">
        <v>193</v>
      </c>
      <c r="D550" s="143" t="s">
        <v>229</v>
      </c>
      <c r="E550" s="145"/>
      <c r="F550" s="143"/>
      <c r="G550" s="143"/>
      <c r="H550" s="172" t="s">
        <v>1925</v>
      </c>
      <c r="I550" s="143" t="s">
        <v>1552</v>
      </c>
      <c r="J550" s="143" t="s">
        <v>1553</v>
      </c>
      <c r="K550" s="143">
        <v>145</v>
      </c>
      <c r="L550" s="143">
        <v>160</v>
      </c>
      <c r="M550" s="143"/>
      <c r="N550" s="143"/>
      <c r="O550" s="143"/>
      <c r="P550" s="143"/>
      <c r="Q550" s="143"/>
      <c r="R550" s="143"/>
      <c r="S550" s="146"/>
      <c r="T550" s="146"/>
      <c r="U550" s="146"/>
      <c r="V550" s="147"/>
      <c r="W550" s="143" t="s">
        <v>49</v>
      </c>
      <c r="X550" s="143" t="s">
        <v>1926</v>
      </c>
      <c r="Y550" s="143" t="s">
        <v>1864</v>
      </c>
      <c r="Z550" s="143" t="s">
        <v>1926</v>
      </c>
      <c r="AA550" s="173"/>
      <c r="AB550" s="170">
        <v>46104</v>
      </c>
      <c r="AC550" s="143"/>
      <c r="AD550" s="143"/>
      <c r="AE550" s="143"/>
      <c r="AF550" s="143"/>
      <c r="AG550" s="143" t="s">
        <v>249</v>
      </c>
      <c r="AH550" s="143" t="s">
        <v>250</v>
      </c>
      <c r="AI550" s="143"/>
      <c r="AJ550" s="143" t="s">
        <v>254</v>
      </c>
      <c r="AK550" s="143"/>
      <c r="AL550" s="143"/>
      <c r="AM550" s="143"/>
    </row>
    <row r="551" s="140" customFormat="1" ht="15" spans="1:43">
      <c r="A551" s="143">
        <v>549</v>
      </c>
      <c r="B551" s="144"/>
      <c r="C551" s="143" t="s">
        <v>193</v>
      </c>
      <c r="D551" s="143" t="s">
        <v>229</v>
      </c>
      <c r="E551" s="145"/>
      <c r="F551" s="143"/>
      <c r="G551" s="143"/>
      <c r="H551" s="152" t="s">
        <v>1927</v>
      </c>
      <c r="I551" s="143" t="s">
        <v>1928</v>
      </c>
      <c r="J551" s="143" t="s">
        <v>1929</v>
      </c>
      <c r="K551" s="143">
        <v>150</v>
      </c>
      <c r="L551" s="143">
        <v>160</v>
      </c>
      <c r="M551" s="143"/>
      <c r="N551" s="143"/>
      <c r="O551" s="143"/>
      <c r="P551" s="143"/>
      <c r="Q551" s="143"/>
      <c r="R551" s="143"/>
      <c r="S551" s="146"/>
      <c r="T551" s="146"/>
      <c r="U551" s="146"/>
      <c r="V551" s="147"/>
      <c r="W551" s="143" t="s">
        <v>49</v>
      </c>
      <c r="X551" s="143" t="s">
        <v>1930</v>
      </c>
      <c r="Y551" s="143" t="s">
        <v>1730</v>
      </c>
      <c r="Z551" s="143" t="s">
        <v>1930</v>
      </c>
      <c r="AA551" s="143"/>
      <c r="AB551" s="170"/>
      <c r="AC551" s="143"/>
      <c r="AD551" s="143"/>
      <c r="AE551" s="143"/>
      <c r="AF551" s="143"/>
      <c r="AG551" s="143" t="s">
        <v>1071</v>
      </c>
      <c r="AH551" s="143"/>
      <c r="AI551" s="143"/>
      <c r="AJ551" s="143" t="s">
        <v>1076</v>
      </c>
      <c r="AK551" s="143"/>
      <c r="AL551" s="143"/>
      <c r="AM551" s="143"/>
    </row>
    <row r="552" s="140" customFormat="1" ht="15" spans="1:43">
      <c r="A552" s="143">
        <v>550</v>
      </c>
      <c r="B552" s="144"/>
      <c r="C552" s="143" t="s">
        <v>193</v>
      </c>
      <c r="D552" s="143" t="s">
        <v>229</v>
      </c>
      <c r="E552" s="145"/>
      <c r="F552" s="143"/>
      <c r="G552" s="143"/>
      <c r="H552" s="152" t="s">
        <v>1931</v>
      </c>
      <c r="I552" s="143" t="s">
        <v>1932</v>
      </c>
      <c r="J552" s="143" t="s">
        <v>1933</v>
      </c>
      <c r="K552" s="143">
        <v>150</v>
      </c>
      <c r="L552" s="143">
        <v>140</v>
      </c>
      <c r="M552" s="143"/>
      <c r="N552" s="143"/>
      <c r="O552" s="143"/>
      <c r="P552" s="143"/>
      <c r="Q552" s="143"/>
      <c r="R552" s="143"/>
      <c r="S552" s="146"/>
      <c r="T552" s="146"/>
      <c r="U552" s="146"/>
      <c r="V552" s="147"/>
      <c r="W552" s="143" t="s">
        <v>49</v>
      </c>
      <c r="X552" s="143" t="s">
        <v>1934</v>
      </c>
      <c r="Y552" s="143" t="s">
        <v>1864</v>
      </c>
      <c r="Z552" s="143" t="s">
        <v>1934</v>
      </c>
      <c r="AA552" s="143"/>
      <c r="AB552" s="170"/>
      <c r="AC552" s="143"/>
      <c r="AD552" s="143"/>
      <c r="AE552" s="143"/>
      <c r="AF552" s="143"/>
      <c r="AG552" s="143" t="s">
        <v>249</v>
      </c>
      <c r="AH552" s="143"/>
      <c r="AI552" s="143"/>
      <c r="AJ552" s="143" t="s">
        <v>251</v>
      </c>
      <c r="AK552" s="143"/>
      <c r="AL552" s="143"/>
      <c r="AM552" s="143"/>
    </row>
    <row r="553" s="140" customFormat="1" ht="15" spans="1:43">
      <c r="A553" s="143">
        <v>551</v>
      </c>
      <c r="B553" s="144"/>
      <c r="C553" s="143" t="s">
        <v>193</v>
      </c>
      <c r="D553" s="143" t="s">
        <v>229</v>
      </c>
      <c r="E553" s="145"/>
      <c r="F553" s="143"/>
      <c r="G553" s="143"/>
      <c r="H553" s="152" t="s">
        <v>1935</v>
      </c>
      <c r="I553" s="143" t="s">
        <v>1936</v>
      </c>
      <c r="J553" s="143" t="s">
        <v>1937</v>
      </c>
      <c r="K553" s="143">
        <v>145</v>
      </c>
      <c r="L553" s="143">
        <v>190</v>
      </c>
      <c r="M553" s="143"/>
      <c r="N553" s="143"/>
      <c r="O553" s="143"/>
      <c r="P553" s="143"/>
      <c r="Q553" s="143"/>
      <c r="R553" s="143"/>
      <c r="S553" s="146"/>
      <c r="T553" s="146"/>
      <c r="U553" s="146"/>
      <c r="V553" s="147"/>
      <c r="W553" s="143" t="s">
        <v>49</v>
      </c>
      <c r="X553" s="143" t="s">
        <v>1938</v>
      </c>
      <c r="Y553" s="143" t="s">
        <v>1864</v>
      </c>
      <c r="Z553" s="143" t="s">
        <v>1938</v>
      </c>
      <c r="AA553" s="143"/>
      <c r="AB553" s="170"/>
      <c r="AC553" s="143"/>
      <c r="AD553" s="143"/>
      <c r="AE553" s="143"/>
      <c r="AF553" s="143"/>
      <c r="AG553" s="143" t="s">
        <v>1173</v>
      </c>
      <c r="AH553" s="143"/>
      <c r="AI553" s="143"/>
      <c r="AJ553" s="143" t="s">
        <v>1174</v>
      </c>
      <c r="AK553" s="143"/>
      <c r="AL553" s="143"/>
      <c r="AM553" s="143"/>
    </row>
    <row r="554" s="140" customFormat="1" ht="15" spans="1:43">
      <c r="A554" s="143">
        <v>552</v>
      </c>
      <c r="B554" s="144"/>
      <c r="C554" s="143" t="s">
        <v>193</v>
      </c>
      <c r="D554" s="143" t="s">
        <v>229</v>
      </c>
      <c r="E554" s="145"/>
      <c r="F554" s="143"/>
      <c r="G554" s="143"/>
      <c r="H554" s="152" t="s">
        <v>1939</v>
      </c>
      <c r="I554" s="143" t="s">
        <v>1940</v>
      </c>
      <c r="J554" s="143" t="s">
        <v>1941</v>
      </c>
      <c r="K554" s="143">
        <v>150</v>
      </c>
      <c r="L554" s="143"/>
      <c r="M554" s="143"/>
      <c r="N554" s="143"/>
      <c r="O554" s="143"/>
      <c r="P554" s="143"/>
      <c r="Q554" s="143"/>
      <c r="R554" s="143"/>
      <c r="S554" s="146"/>
      <c r="T554" s="146"/>
      <c r="U554" s="146"/>
      <c r="V554" s="147"/>
      <c r="W554" s="143" t="s">
        <v>49</v>
      </c>
      <c r="X554" s="143">
        <v>1939</v>
      </c>
      <c r="Y554" s="143" t="s">
        <v>1866</v>
      </c>
      <c r="Z554" s="143">
        <v>1939</v>
      </c>
      <c r="AA554" s="143"/>
      <c r="AB554" s="170"/>
      <c r="AC554" s="143"/>
      <c r="AD554" s="143"/>
      <c r="AE554" s="143"/>
      <c r="AF554" s="143"/>
      <c r="AG554" s="143" t="s">
        <v>1071</v>
      </c>
      <c r="AH554" s="143"/>
      <c r="AI554" s="143"/>
      <c r="AJ554" s="143" t="s">
        <v>1076</v>
      </c>
      <c r="AK554" s="143"/>
      <c r="AL554" s="143"/>
      <c r="AM554" s="143"/>
    </row>
    <row r="555" s="140" customFormat="1" ht="15" spans="1:43">
      <c r="A555" s="143">
        <v>553</v>
      </c>
      <c r="B555" s="144"/>
      <c r="C555" s="143" t="s">
        <v>193</v>
      </c>
      <c r="D555" s="143" t="s">
        <v>229</v>
      </c>
      <c r="E555" s="145"/>
      <c r="F555" s="143"/>
      <c r="G555" s="143"/>
      <c r="H555" s="152" t="s">
        <v>1942</v>
      </c>
      <c r="I555" s="143" t="s">
        <v>1943</v>
      </c>
      <c r="J555" s="143" t="s">
        <v>1944</v>
      </c>
      <c r="K555" s="143">
        <v>145</v>
      </c>
      <c r="L555" s="143">
        <v>158</v>
      </c>
      <c r="M555" s="143"/>
      <c r="N555" s="143"/>
      <c r="O555" s="143"/>
      <c r="P555" s="143"/>
      <c r="Q555" s="143"/>
      <c r="R555" s="143"/>
      <c r="S555" s="146"/>
      <c r="T555" s="146"/>
      <c r="U555" s="146"/>
      <c r="V555" s="147"/>
      <c r="W555" s="143" t="s">
        <v>49</v>
      </c>
      <c r="X555" s="143" t="s">
        <v>1945</v>
      </c>
      <c r="Y555" s="143" t="s">
        <v>1875</v>
      </c>
      <c r="Z555" s="143" t="s">
        <v>1945</v>
      </c>
      <c r="AA555" s="143"/>
      <c r="AB555" s="170"/>
      <c r="AC555" s="143"/>
      <c r="AD555" s="143"/>
      <c r="AE555" s="143"/>
      <c r="AF555" s="143"/>
      <c r="AG555" s="143" t="s">
        <v>1071</v>
      </c>
      <c r="AH555" s="143"/>
      <c r="AI555" s="143"/>
      <c r="AJ555" s="143" t="s">
        <v>1076</v>
      </c>
      <c r="AK555" s="143"/>
      <c r="AL555" s="143"/>
      <c r="AM555" s="143"/>
    </row>
    <row r="556" s="140" customFormat="1" ht="15" spans="1:43">
      <c r="A556" s="143">
        <v>554</v>
      </c>
      <c r="B556" s="144"/>
      <c r="C556" s="143" t="s">
        <v>193</v>
      </c>
      <c r="D556" s="143" t="s">
        <v>229</v>
      </c>
      <c r="E556" s="145"/>
      <c r="F556" s="143"/>
      <c r="G556" s="143"/>
      <c r="H556" s="152" t="s">
        <v>1946</v>
      </c>
      <c r="I556" s="143" t="s">
        <v>1947</v>
      </c>
      <c r="J556" s="143" t="s">
        <v>1948</v>
      </c>
      <c r="K556" s="143">
        <v>150</v>
      </c>
      <c r="L556" s="143">
        <v>175</v>
      </c>
      <c r="M556" s="143"/>
      <c r="N556" s="143"/>
      <c r="O556" s="143"/>
      <c r="P556" s="143"/>
      <c r="Q556" s="143"/>
      <c r="R556" s="143"/>
      <c r="S556" s="146"/>
      <c r="T556" s="146"/>
      <c r="U556" s="146"/>
      <c r="V556" s="147"/>
      <c r="W556" s="143" t="s">
        <v>49</v>
      </c>
      <c r="X556" s="143" t="s">
        <v>1949</v>
      </c>
      <c r="Y556" s="143" t="s">
        <v>1730</v>
      </c>
      <c r="Z556" s="143" t="s">
        <v>1949</v>
      </c>
      <c r="AA556" s="143"/>
      <c r="AB556" s="170"/>
      <c r="AC556" s="143"/>
      <c r="AD556" s="143"/>
      <c r="AE556" s="143"/>
      <c r="AF556" s="143"/>
      <c r="AG556" s="143" t="s">
        <v>1022</v>
      </c>
      <c r="AH556" s="143"/>
      <c r="AI556" s="143"/>
      <c r="AJ556" s="143" t="s">
        <v>1432</v>
      </c>
      <c r="AK556" s="143"/>
      <c r="AL556" s="143"/>
      <c r="AM556" s="143"/>
    </row>
    <row r="557" s="140" customFormat="1" ht="15" spans="1:43">
      <c r="A557" s="143">
        <v>555</v>
      </c>
      <c r="B557" s="144"/>
      <c r="C557" s="143" t="s">
        <v>193</v>
      </c>
      <c r="D557" s="143" t="s">
        <v>229</v>
      </c>
      <c r="E557" s="145"/>
      <c r="F557" s="143"/>
      <c r="G557" s="143"/>
      <c r="H557" s="152" t="s">
        <v>1950</v>
      </c>
      <c r="I557" s="143" t="s">
        <v>1951</v>
      </c>
      <c r="J557" s="143" t="s">
        <v>1952</v>
      </c>
      <c r="K557" s="143">
        <v>150</v>
      </c>
      <c r="L557" s="143"/>
      <c r="M557" s="143"/>
      <c r="N557" s="143"/>
      <c r="O557" s="143"/>
      <c r="P557" s="143"/>
      <c r="Q557" s="143"/>
      <c r="R557" s="143"/>
      <c r="S557" s="146"/>
      <c r="T557" s="146"/>
      <c r="U557" s="146"/>
      <c r="V557" s="147"/>
      <c r="W557" s="143" t="s">
        <v>49</v>
      </c>
      <c r="X557" s="143" t="s">
        <v>1953</v>
      </c>
      <c r="Y557" s="143" t="s">
        <v>1769</v>
      </c>
      <c r="Z557" s="143" t="s">
        <v>1953</v>
      </c>
      <c r="AA557" s="143"/>
      <c r="AB557" s="170"/>
      <c r="AC557" s="143"/>
      <c r="AD557" s="143"/>
      <c r="AE557" s="143"/>
      <c r="AF557" s="143"/>
      <c r="AG557" s="143" t="s">
        <v>1022</v>
      </c>
      <c r="AH557" s="143"/>
      <c r="AI557" s="143"/>
      <c r="AJ557" s="143" t="s">
        <v>1432</v>
      </c>
      <c r="AK557" s="143"/>
      <c r="AL557" s="143"/>
      <c r="AM557" s="143"/>
    </row>
    <row r="558" s="140" customFormat="1" ht="15" spans="1:43">
      <c r="A558" s="143">
        <v>556</v>
      </c>
      <c r="B558" s="144"/>
      <c r="C558" s="143" t="s">
        <v>193</v>
      </c>
      <c r="D558" s="143" t="s">
        <v>229</v>
      </c>
      <c r="E558" s="145"/>
      <c r="F558" s="143"/>
      <c r="G558" s="143"/>
      <c r="H558" s="152" t="s">
        <v>1954</v>
      </c>
      <c r="I558" s="143" t="s">
        <v>1955</v>
      </c>
      <c r="J558" s="143" t="s">
        <v>1956</v>
      </c>
      <c r="K558" s="143">
        <v>150</v>
      </c>
      <c r="L558" s="143">
        <v>130</v>
      </c>
      <c r="M558" s="143"/>
      <c r="N558" s="143"/>
      <c r="O558" s="143"/>
      <c r="P558" s="143"/>
      <c r="Q558" s="143"/>
      <c r="R558" s="143"/>
      <c r="S558" s="146"/>
      <c r="T558" s="146"/>
      <c r="U558" s="146"/>
      <c r="V558" s="147"/>
      <c r="W558" s="143" t="s">
        <v>49</v>
      </c>
      <c r="X558" s="143" t="s">
        <v>1957</v>
      </c>
      <c r="Y558" s="143" t="s">
        <v>1958</v>
      </c>
      <c r="Z558" s="143" t="s">
        <v>1957</v>
      </c>
      <c r="AA558" s="143"/>
      <c r="AB558" s="170"/>
      <c r="AC558" s="143"/>
      <c r="AD558" s="143"/>
      <c r="AE558" s="143"/>
      <c r="AF558" s="143"/>
      <c r="AG558" s="143" t="s">
        <v>506</v>
      </c>
      <c r="AH558" s="143"/>
      <c r="AI558" s="143"/>
      <c r="AJ558" s="143" t="s">
        <v>508</v>
      </c>
      <c r="AK558" s="143"/>
      <c r="AL558" s="143"/>
      <c r="AM558" s="143"/>
    </row>
    <row r="559" s="140" customFormat="1" ht="15" spans="1:43">
      <c r="A559" s="143">
        <v>557</v>
      </c>
      <c r="B559" s="144"/>
      <c r="C559" s="143" t="s">
        <v>193</v>
      </c>
      <c r="D559" s="143" t="s">
        <v>229</v>
      </c>
      <c r="E559" s="145"/>
      <c r="F559" s="143"/>
      <c r="G559" s="143"/>
      <c r="H559" s="174" t="s">
        <v>1959</v>
      </c>
      <c r="I559" s="143" t="s">
        <v>324</v>
      </c>
      <c r="J559" s="143" t="s">
        <v>517</v>
      </c>
      <c r="K559" s="143">
        <v>150</v>
      </c>
      <c r="L559" s="143">
        <v>205</v>
      </c>
      <c r="M559" s="143"/>
      <c r="N559" s="143"/>
      <c r="O559" s="143"/>
      <c r="P559" s="143"/>
      <c r="Q559" s="143"/>
      <c r="R559" s="143"/>
      <c r="S559" s="146"/>
      <c r="T559" s="146"/>
      <c r="U559" s="146"/>
      <c r="V559" s="147"/>
      <c r="W559" s="143" t="s">
        <v>49</v>
      </c>
      <c r="X559" s="143" t="s">
        <v>625</v>
      </c>
      <c r="Y559" s="143" t="s">
        <v>591</v>
      </c>
      <c r="Z559" s="143" t="s">
        <v>625</v>
      </c>
      <c r="AA559" s="173"/>
      <c r="AB559" s="170"/>
      <c r="AC559" s="143"/>
      <c r="AD559" s="143"/>
      <c r="AE559" s="143"/>
      <c r="AF559" s="143"/>
      <c r="AG559" s="143" t="s">
        <v>506</v>
      </c>
      <c r="AH559" s="143" t="s">
        <v>507</v>
      </c>
      <c r="AI559" s="143"/>
      <c r="AJ559" s="143" t="s">
        <v>508</v>
      </c>
      <c r="AK559" s="143"/>
      <c r="AL559" s="143"/>
      <c r="AM559" s="143"/>
      <c r="AN559" s="148"/>
      <c r="AO559" s="148"/>
      <c r="AP559" s="148"/>
      <c r="AQ559" s="148"/>
    </row>
    <row r="560" s="140" customFormat="1" ht="15" spans="1:43">
      <c r="A560" s="143">
        <v>558</v>
      </c>
      <c r="B560" s="144"/>
      <c r="C560" s="143" t="s">
        <v>193</v>
      </c>
      <c r="D560" s="143" t="s">
        <v>229</v>
      </c>
      <c r="E560" s="145"/>
      <c r="F560" s="143"/>
      <c r="G560" s="143"/>
      <c r="H560" s="152" t="s">
        <v>1960</v>
      </c>
      <c r="I560" s="143" t="s">
        <v>324</v>
      </c>
      <c r="J560" s="143" t="s">
        <v>517</v>
      </c>
      <c r="K560" s="143">
        <v>150</v>
      </c>
      <c r="L560" s="143">
        <v>102</v>
      </c>
      <c r="M560" s="143"/>
      <c r="N560" s="143"/>
      <c r="O560" s="143"/>
      <c r="P560" s="143"/>
      <c r="Q560" s="143"/>
      <c r="R560" s="143"/>
      <c r="S560" s="146"/>
      <c r="T560" s="146"/>
      <c r="U560" s="146"/>
      <c r="V560" s="147"/>
      <c r="W560" s="143" t="s">
        <v>49</v>
      </c>
      <c r="X560" s="143" t="s">
        <v>1961</v>
      </c>
      <c r="Y560" s="143" t="s">
        <v>591</v>
      </c>
      <c r="Z560" s="143" t="s">
        <v>1961</v>
      </c>
      <c r="AA560" s="143">
        <v>21.5</v>
      </c>
      <c r="AB560" s="170">
        <v>46051</v>
      </c>
      <c r="AC560" s="143"/>
      <c r="AD560" s="143"/>
      <c r="AE560" s="143"/>
      <c r="AF560" s="143"/>
      <c r="AG560" s="143" t="s">
        <v>233</v>
      </c>
      <c r="AH560" s="143"/>
      <c r="AI560" s="143"/>
      <c r="AJ560" s="143" t="s">
        <v>1449</v>
      </c>
      <c r="AK560" s="143"/>
      <c r="AL560" s="143"/>
      <c r="AM560" s="143"/>
      <c r="AN560" s="148"/>
      <c r="AO560" s="148"/>
      <c r="AP560" s="148"/>
      <c r="AQ560" s="148"/>
    </row>
    <row r="561" s="140" customFormat="1" ht="15" spans="1:43">
      <c r="A561" s="143">
        <v>559</v>
      </c>
      <c r="B561" s="144"/>
      <c r="C561" s="143" t="s">
        <v>193</v>
      </c>
      <c r="D561" s="143" t="s">
        <v>229</v>
      </c>
      <c r="E561" s="145"/>
      <c r="F561" s="143"/>
      <c r="G561" s="143"/>
      <c r="H561" s="152" t="s">
        <v>1962</v>
      </c>
      <c r="I561" s="143" t="s">
        <v>1963</v>
      </c>
      <c r="J561" s="143" t="s">
        <v>1964</v>
      </c>
      <c r="K561" s="143">
        <v>140</v>
      </c>
      <c r="L561" s="143"/>
      <c r="M561" s="143"/>
      <c r="N561" s="143"/>
      <c r="O561" s="143"/>
      <c r="P561" s="143"/>
      <c r="Q561" s="143"/>
      <c r="R561" s="143"/>
      <c r="S561" s="146"/>
      <c r="T561" s="146"/>
      <c r="U561" s="146"/>
      <c r="V561" s="147"/>
      <c r="W561" s="143" t="s">
        <v>49</v>
      </c>
      <c r="X561" s="143" t="s">
        <v>1965</v>
      </c>
      <c r="Y561" s="143" t="s">
        <v>1966</v>
      </c>
      <c r="Z561" s="143" t="s">
        <v>1965</v>
      </c>
      <c r="AA561" s="143"/>
      <c r="AB561" s="170"/>
      <c r="AC561" s="143"/>
      <c r="AD561" s="143"/>
      <c r="AE561" s="143"/>
      <c r="AF561" s="143"/>
      <c r="AG561" s="143" t="s">
        <v>506</v>
      </c>
      <c r="AH561" s="143"/>
      <c r="AI561" s="143"/>
      <c r="AJ561" s="143" t="s">
        <v>508</v>
      </c>
      <c r="AK561" s="143"/>
      <c r="AL561" s="143"/>
      <c r="AM561" s="143"/>
      <c r="AN561" s="148"/>
      <c r="AO561" s="148"/>
      <c r="AP561" s="148"/>
      <c r="AQ561" s="148"/>
    </row>
    <row r="562" s="140" customFormat="1" ht="15" spans="1:43">
      <c r="A562" s="143">
        <v>560</v>
      </c>
      <c r="B562" s="144"/>
      <c r="C562" s="143" t="s">
        <v>193</v>
      </c>
      <c r="D562" s="143" t="s">
        <v>229</v>
      </c>
      <c r="E562" s="145"/>
      <c r="F562" s="143"/>
      <c r="G562" s="143"/>
      <c r="H562" s="152" t="s">
        <v>1967</v>
      </c>
      <c r="I562" s="143" t="s">
        <v>1968</v>
      </c>
      <c r="J562" s="143" t="s">
        <v>575</v>
      </c>
      <c r="K562" s="143">
        <v>145</v>
      </c>
      <c r="L562" s="143">
        <v>145</v>
      </c>
      <c r="M562" s="143"/>
      <c r="N562" s="143"/>
      <c r="O562" s="143"/>
      <c r="P562" s="143"/>
      <c r="Q562" s="143"/>
      <c r="R562" s="143"/>
      <c r="S562" s="146"/>
      <c r="T562" s="146"/>
      <c r="U562" s="146"/>
      <c r="V562" s="147"/>
      <c r="W562" s="143" t="s">
        <v>49</v>
      </c>
      <c r="X562" s="143" t="s">
        <v>1969</v>
      </c>
      <c r="Y562" s="143" t="s">
        <v>1970</v>
      </c>
      <c r="Z562" s="143" t="s">
        <v>1969</v>
      </c>
      <c r="AA562" s="143"/>
      <c r="AB562" s="170"/>
      <c r="AC562" s="143"/>
      <c r="AD562" s="143"/>
      <c r="AE562" s="143"/>
      <c r="AF562" s="143"/>
      <c r="AG562" s="143" t="s">
        <v>1173</v>
      </c>
      <c r="AH562" s="143"/>
      <c r="AI562" s="143"/>
      <c r="AJ562" s="143" t="s">
        <v>1388</v>
      </c>
      <c r="AK562" s="143"/>
      <c r="AL562" s="143"/>
      <c r="AM562" s="143"/>
      <c r="AN562" s="148"/>
      <c r="AO562" s="148"/>
      <c r="AP562" s="148"/>
      <c r="AQ562" s="148"/>
    </row>
    <row r="563" s="140" customFormat="1" ht="15" spans="1:43">
      <c r="A563" s="143">
        <v>561</v>
      </c>
      <c r="B563" s="144"/>
      <c r="C563" s="143" t="s">
        <v>193</v>
      </c>
      <c r="D563" s="143" t="s">
        <v>229</v>
      </c>
      <c r="E563" s="145"/>
      <c r="F563" s="143"/>
      <c r="G563" s="143"/>
      <c r="H563" s="172" t="s">
        <v>1971</v>
      </c>
      <c r="I563" s="143" t="s">
        <v>324</v>
      </c>
      <c r="J563" s="143" t="s">
        <v>517</v>
      </c>
      <c r="K563" s="143">
        <v>150</v>
      </c>
      <c r="L563" s="143">
        <v>100</v>
      </c>
      <c r="M563" s="143"/>
      <c r="N563" s="143"/>
      <c r="O563" s="143"/>
      <c r="P563" s="143"/>
      <c r="Q563" s="143"/>
      <c r="R563" s="143"/>
      <c r="S563" s="146"/>
      <c r="T563" s="146"/>
      <c r="U563" s="146"/>
      <c r="V563" s="147"/>
      <c r="W563" s="143" t="s">
        <v>49</v>
      </c>
      <c r="X563" s="143" t="s">
        <v>1972</v>
      </c>
      <c r="Y563" s="143" t="s">
        <v>1519</v>
      </c>
      <c r="Z563" s="143" t="s">
        <v>1972</v>
      </c>
      <c r="AA563" s="173">
        <v>12.8</v>
      </c>
      <c r="AB563" s="170">
        <v>46104</v>
      </c>
      <c r="AC563" s="143"/>
      <c r="AD563" s="143"/>
      <c r="AE563" s="143"/>
      <c r="AF563" s="143"/>
      <c r="AG563" s="143" t="s">
        <v>506</v>
      </c>
      <c r="AH563" s="143" t="s">
        <v>250</v>
      </c>
      <c r="AI563" s="143"/>
      <c r="AJ563" s="143" t="s">
        <v>508</v>
      </c>
      <c r="AK563" s="143"/>
      <c r="AL563" s="143"/>
      <c r="AM563" s="143"/>
    </row>
    <row r="564" s="140" customFormat="1" ht="15" spans="1:43">
      <c r="A564" s="143">
        <v>562</v>
      </c>
      <c r="B564" s="144"/>
      <c r="C564" s="143" t="s">
        <v>193</v>
      </c>
      <c r="D564" s="143" t="s">
        <v>229</v>
      </c>
      <c r="E564" s="145"/>
      <c r="F564" s="143"/>
      <c r="G564" s="143"/>
      <c r="H564" s="152" t="s">
        <v>1973</v>
      </c>
      <c r="I564" s="143" t="s">
        <v>1974</v>
      </c>
      <c r="J564" s="143" t="s">
        <v>1975</v>
      </c>
      <c r="K564" s="143">
        <v>150</v>
      </c>
      <c r="L564" s="143">
        <v>84</v>
      </c>
      <c r="M564" s="143"/>
      <c r="N564" s="143"/>
      <c r="O564" s="143"/>
      <c r="P564" s="143"/>
      <c r="Q564" s="143"/>
      <c r="R564" s="143"/>
      <c r="S564" s="146"/>
      <c r="T564" s="146"/>
      <c r="U564" s="146"/>
      <c r="V564" s="147"/>
      <c r="W564" s="143" t="s">
        <v>49</v>
      </c>
      <c r="X564" s="143" t="s">
        <v>1976</v>
      </c>
      <c r="Y564" s="143" t="s">
        <v>1875</v>
      </c>
      <c r="Z564" s="143" t="s">
        <v>1976</v>
      </c>
      <c r="AA564" s="143">
        <v>18.4</v>
      </c>
      <c r="AB564" s="170">
        <v>46051</v>
      </c>
      <c r="AC564" s="143"/>
      <c r="AD564" s="143"/>
      <c r="AE564" s="143"/>
      <c r="AF564" s="143"/>
      <c r="AG564" s="143" t="s">
        <v>1022</v>
      </c>
      <c r="AH564" s="143"/>
      <c r="AI564" s="143"/>
      <c r="AJ564" s="143" t="s">
        <v>1432</v>
      </c>
      <c r="AK564" s="143"/>
      <c r="AL564" s="143"/>
      <c r="AM564" s="143"/>
    </row>
    <row r="565" s="140" customFormat="1" ht="15" spans="1:43">
      <c r="A565" s="143">
        <v>563</v>
      </c>
      <c r="B565" s="144"/>
      <c r="C565" s="143" t="s">
        <v>193</v>
      </c>
      <c r="D565" s="143" t="s">
        <v>229</v>
      </c>
      <c r="E565" s="145"/>
      <c r="F565" s="143"/>
      <c r="G565" s="143"/>
      <c r="H565" s="152" t="s">
        <v>1977</v>
      </c>
      <c r="I565" s="143"/>
      <c r="J565" s="143"/>
      <c r="K565" s="143">
        <v>150</v>
      </c>
      <c r="L565" s="143"/>
      <c r="M565" s="143"/>
      <c r="N565" s="143"/>
      <c r="O565" s="143"/>
      <c r="P565" s="143"/>
      <c r="Q565" s="143"/>
      <c r="R565" s="143"/>
      <c r="S565" s="146"/>
      <c r="T565" s="146"/>
      <c r="U565" s="146"/>
      <c r="V565" s="147"/>
      <c r="W565" s="143" t="s">
        <v>49</v>
      </c>
      <c r="X565" s="143" t="s">
        <v>1978</v>
      </c>
      <c r="Y565" s="143" t="s">
        <v>1866</v>
      </c>
      <c r="Z565" s="143" t="s">
        <v>1978</v>
      </c>
      <c r="AA565" s="143"/>
      <c r="AB565" s="170"/>
      <c r="AC565" s="143"/>
      <c r="AD565" s="143"/>
      <c r="AE565" s="143"/>
      <c r="AF565" s="143"/>
      <c r="AG565" s="143" t="s">
        <v>233</v>
      </c>
      <c r="AH565" s="143"/>
      <c r="AI565" s="143"/>
      <c r="AJ565" s="143" t="s">
        <v>1449</v>
      </c>
      <c r="AK565" s="143"/>
      <c r="AL565" s="143"/>
      <c r="AM565" s="143"/>
    </row>
    <row r="566" s="140" customFormat="1" ht="15" spans="1:43">
      <c r="A566" s="143">
        <v>564</v>
      </c>
      <c r="B566" s="144"/>
      <c r="C566" s="143" t="s">
        <v>193</v>
      </c>
      <c r="D566" s="143" t="s">
        <v>229</v>
      </c>
      <c r="E566" s="145"/>
      <c r="F566" s="143"/>
      <c r="G566" s="143"/>
      <c r="H566" s="152" t="s">
        <v>1979</v>
      </c>
      <c r="I566" s="143" t="s">
        <v>1980</v>
      </c>
      <c r="J566" s="143" t="s">
        <v>1981</v>
      </c>
      <c r="K566" s="143">
        <v>150</v>
      </c>
      <c r="L566" s="143"/>
      <c r="M566" s="143"/>
      <c r="N566" s="143"/>
      <c r="O566" s="143"/>
      <c r="P566" s="143"/>
      <c r="Q566" s="143"/>
      <c r="R566" s="143"/>
      <c r="S566" s="146"/>
      <c r="T566" s="146"/>
      <c r="U566" s="146"/>
      <c r="V566" s="147"/>
      <c r="W566" s="143" t="s">
        <v>49</v>
      </c>
      <c r="X566" s="143" t="s">
        <v>1982</v>
      </c>
      <c r="Y566" s="143" t="s">
        <v>1519</v>
      </c>
      <c r="Z566" s="143" t="s">
        <v>1982</v>
      </c>
      <c r="AA566" s="143">
        <v>10.5</v>
      </c>
      <c r="AB566" s="170">
        <v>46051</v>
      </c>
      <c r="AC566" s="143"/>
      <c r="AD566" s="143"/>
      <c r="AE566" s="143"/>
      <c r="AF566" s="143"/>
      <c r="AG566" s="143" t="s">
        <v>1022</v>
      </c>
      <c r="AH566" s="143"/>
      <c r="AI566" s="143"/>
      <c r="AJ566" s="143" t="s">
        <v>1023</v>
      </c>
      <c r="AK566" s="143"/>
      <c r="AL566" s="143"/>
      <c r="AM566" s="143"/>
    </row>
    <row r="567" s="140" customFormat="1" ht="15" spans="1:43">
      <c r="A567" s="143">
        <v>565</v>
      </c>
      <c r="B567" s="144"/>
      <c r="C567" s="143" t="s">
        <v>193</v>
      </c>
      <c r="D567" s="143" t="s">
        <v>229</v>
      </c>
      <c r="E567" s="145"/>
      <c r="F567" s="143"/>
      <c r="G567" s="143"/>
      <c r="H567" s="152" t="s">
        <v>1983</v>
      </c>
      <c r="I567" s="143" t="s">
        <v>1984</v>
      </c>
      <c r="J567" s="143" t="s">
        <v>1985</v>
      </c>
      <c r="K567" s="143">
        <v>150</v>
      </c>
      <c r="L567" s="143"/>
      <c r="M567" s="143"/>
      <c r="N567" s="143"/>
      <c r="O567" s="143"/>
      <c r="P567" s="143"/>
      <c r="Q567" s="143"/>
      <c r="R567" s="143"/>
      <c r="S567" s="146"/>
      <c r="T567" s="146"/>
      <c r="U567" s="146"/>
      <c r="V567" s="147"/>
      <c r="W567" s="143" t="s">
        <v>49</v>
      </c>
      <c r="X567" s="143" t="s">
        <v>1986</v>
      </c>
      <c r="Y567" s="143" t="s">
        <v>1519</v>
      </c>
      <c r="Z567" s="143" t="s">
        <v>1986</v>
      </c>
      <c r="AA567" s="143"/>
      <c r="AB567" s="170"/>
      <c r="AC567" s="143"/>
      <c r="AD567" s="143"/>
      <c r="AE567" s="143"/>
      <c r="AF567" s="143"/>
      <c r="AG567" s="143" t="s">
        <v>1022</v>
      </c>
      <c r="AH567" s="143"/>
      <c r="AI567" s="143"/>
      <c r="AJ567" s="143" t="s">
        <v>1023</v>
      </c>
      <c r="AK567" s="143"/>
      <c r="AL567" s="143"/>
      <c r="AM567" s="143"/>
    </row>
    <row r="568" s="140" customFormat="1" ht="15" spans="1:43">
      <c r="A568" s="143">
        <v>566</v>
      </c>
      <c r="B568" s="144"/>
      <c r="C568" s="143" t="s">
        <v>193</v>
      </c>
      <c r="D568" s="143" t="s">
        <v>229</v>
      </c>
      <c r="E568" s="145"/>
      <c r="F568" s="143"/>
      <c r="G568" s="143"/>
      <c r="H568" s="152" t="s">
        <v>1987</v>
      </c>
      <c r="I568" s="143" t="s">
        <v>1988</v>
      </c>
      <c r="J568" s="143" t="s">
        <v>1989</v>
      </c>
      <c r="K568" s="143">
        <v>150</v>
      </c>
      <c r="L568" s="143"/>
      <c r="M568" s="143"/>
      <c r="N568" s="143"/>
      <c r="O568" s="143"/>
      <c r="P568" s="143"/>
      <c r="Q568" s="143"/>
      <c r="R568" s="143"/>
      <c r="S568" s="146"/>
      <c r="T568" s="146"/>
      <c r="U568" s="146"/>
      <c r="V568" s="147"/>
      <c r="W568" s="143" t="s">
        <v>49</v>
      </c>
      <c r="X568" s="143" t="s">
        <v>1990</v>
      </c>
      <c r="Y568" s="143" t="s">
        <v>1519</v>
      </c>
      <c r="Z568" s="143" t="s">
        <v>1990</v>
      </c>
      <c r="AA568" s="143">
        <v>13.6</v>
      </c>
      <c r="AB568" s="170">
        <v>46051</v>
      </c>
      <c r="AC568" s="143"/>
      <c r="AD568" s="143"/>
      <c r="AE568" s="143"/>
      <c r="AF568" s="143"/>
      <c r="AG568" s="143" t="s">
        <v>1022</v>
      </c>
      <c r="AH568" s="143"/>
      <c r="AI568" s="143"/>
      <c r="AJ568" s="143" t="s">
        <v>1023</v>
      </c>
      <c r="AK568" s="143"/>
      <c r="AL568" s="143"/>
      <c r="AM568" s="143"/>
    </row>
    <row r="569" s="140" customFormat="1" ht="15" spans="1:43">
      <c r="A569" s="143">
        <v>567</v>
      </c>
      <c r="B569" s="144"/>
      <c r="C569" s="143" t="s">
        <v>193</v>
      </c>
      <c r="D569" s="143" t="s">
        <v>229</v>
      </c>
      <c r="E569" s="145"/>
      <c r="F569" s="143"/>
      <c r="G569" s="143"/>
      <c r="H569" s="152" t="s">
        <v>1991</v>
      </c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6"/>
      <c r="T569" s="146"/>
      <c r="U569" s="146"/>
      <c r="V569" s="147"/>
      <c r="W569" s="143" t="s">
        <v>49</v>
      </c>
      <c r="X569" s="143" t="s">
        <v>1992</v>
      </c>
      <c r="Y569" s="143" t="s">
        <v>859</v>
      </c>
      <c r="Z569" s="143" t="s">
        <v>1992</v>
      </c>
      <c r="AA569" s="143"/>
      <c r="AB569" s="170"/>
      <c r="AC569" s="143"/>
      <c r="AD569" s="143"/>
      <c r="AE569" s="143"/>
      <c r="AF569" s="143"/>
      <c r="AG569" s="143" t="s">
        <v>506</v>
      </c>
      <c r="AH569" s="143"/>
      <c r="AI569" s="143"/>
      <c r="AJ569" s="143" t="s">
        <v>508</v>
      </c>
      <c r="AK569" s="143"/>
      <c r="AL569" s="143"/>
      <c r="AM569" s="143"/>
    </row>
    <row r="570" s="140" customFormat="1" ht="15" spans="1:43">
      <c r="A570" s="143">
        <v>568</v>
      </c>
      <c r="B570" s="144"/>
      <c r="C570" s="143" t="s">
        <v>193</v>
      </c>
      <c r="D570" s="143" t="s">
        <v>229</v>
      </c>
      <c r="E570" s="145"/>
      <c r="F570" s="143"/>
      <c r="G570" s="143"/>
      <c r="H570" s="152" t="s">
        <v>1993</v>
      </c>
      <c r="I570" s="143" t="s">
        <v>1919</v>
      </c>
      <c r="J570" s="143" t="s">
        <v>1920</v>
      </c>
      <c r="K570" s="143">
        <v>150</v>
      </c>
      <c r="L570" s="143">
        <v>55</v>
      </c>
      <c r="M570" s="143"/>
      <c r="N570" s="143"/>
      <c r="O570" s="143"/>
      <c r="P570" s="143"/>
      <c r="Q570" s="143"/>
      <c r="R570" s="143"/>
      <c r="S570" s="146"/>
      <c r="T570" s="146"/>
      <c r="U570" s="146"/>
      <c r="V570" s="147"/>
      <c r="W570" s="143" t="s">
        <v>49</v>
      </c>
      <c r="X570" s="143" t="s">
        <v>1994</v>
      </c>
      <c r="Y570" s="143" t="s">
        <v>1864</v>
      </c>
      <c r="Z570" s="143" t="s">
        <v>1994</v>
      </c>
      <c r="AA570" s="143"/>
      <c r="AB570" s="170"/>
      <c r="AC570" s="143"/>
      <c r="AD570" s="143"/>
      <c r="AE570" s="143"/>
      <c r="AF570" s="143"/>
      <c r="AG570" s="143" t="s">
        <v>1022</v>
      </c>
      <c r="AH570" s="143"/>
      <c r="AI570" s="143"/>
      <c r="AJ570" s="143" t="s">
        <v>1432</v>
      </c>
      <c r="AK570" s="143"/>
      <c r="AL570" s="143"/>
      <c r="AM570" s="143"/>
    </row>
    <row r="571" s="140" customFormat="1" ht="15" spans="1:43">
      <c r="A571" s="143">
        <v>569</v>
      </c>
      <c r="B571" s="144"/>
      <c r="C571" s="143" t="s">
        <v>193</v>
      </c>
      <c r="D571" s="143" t="s">
        <v>229</v>
      </c>
      <c r="E571" s="145"/>
      <c r="F571" s="143"/>
      <c r="G571" s="143"/>
      <c r="H571" s="152" t="s">
        <v>1995</v>
      </c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6"/>
      <c r="T571" s="146"/>
      <c r="U571" s="146"/>
      <c r="V571" s="147"/>
      <c r="W571" s="143" t="s">
        <v>49</v>
      </c>
      <c r="X571" s="143">
        <v>4011</v>
      </c>
      <c r="Y571" s="143" t="s">
        <v>1913</v>
      </c>
      <c r="Z571" s="143">
        <v>4011</v>
      </c>
      <c r="AA571" s="143"/>
      <c r="AB571" s="170"/>
      <c r="AC571" s="143"/>
      <c r="AD571" s="143"/>
      <c r="AE571" s="143"/>
      <c r="AF571" s="143"/>
      <c r="AG571" s="143" t="s">
        <v>506</v>
      </c>
      <c r="AH571" s="143"/>
      <c r="AI571" s="143"/>
      <c r="AJ571" s="143" t="s">
        <v>508</v>
      </c>
      <c r="AK571" s="143"/>
      <c r="AL571" s="143"/>
      <c r="AM571" s="143"/>
    </row>
    <row r="572" s="140" customFormat="1" ht="15" spans="1:43">
      <c r="A572" s="143">
        <v>570</v>
      </c>
      <c r="B572" s="144"/>
      <c r="C572" s="143" t="s">
        <v>193</v>
      </c>
      <c r="D572" s="143" t="s">
        <v>229</v>
      </c>
      <c r="E572" s="145"/>
      <c r="F572" s="143"/>
      <c r="G572" s="143"/>
      <c r="H572" s="152" t="s">
        <v>1996</v>
      </c>
      <c r="I572" s="143"/>
      <c r="J572" s="143"/>
      <c r="K572" s="143">
        <v>150</v>
      </c>
      <c r="L572" s="143"/>
      <c r="M572" s="143"/>
      <c r="N572" s="143"/>
      <c r="O572" s="143"/>
      <c r="P572" s="143"/>
      <c r="Q572" s="143"/>
      <c r="R572" s="143"/>
      <c r="S572" s="146"/>
      <c r="T572" s="146"/>
      <c r="U572" s="146"/>
      <c r="V572" s="147"/>
      <c r="W572" s="143" t="s">
        <v>49</v>
      </c>
      <c r="X572" s="143" t="s">
        <v>1997</v>
      </c>
      <c r="Y572" s="143" t="s">
        <v>1671</v>
      </c>
      <c r="Z572" s="143" t="s">
        <v>1997</v>
      </c>
      <c r="AA572" s="143"/>
      <c r="AB572" s="170"/>
      <c r="AC572" s="143"/>
      <c r="AD572" s="143"/>
      <c r="AE572" s="143"/>
      <c r="AF572" s="143"/>
      <c r="AG572" s="143" t="s">
        <v>506</v>
      </c>
      <c r="AH572" s="143"/>
      <c r="AI572" s="143"/>
      <c r="AJ572" s="143" t="s">
        <v>508</v>
      </c>
      <c r="AK572" s="143"/>
      <c r="AL572" s="143"/>
      <c r="AM572" s="143"/>
    </row>
    <row r="573" s="140" customFormat="1" ht="15" spans="1:43">
      <c r="A573" s="143">
        <v>571</v>
      </c>
      <c r="B573" s="144"/>
      <c r="C573" s="143" t="s">
        <v>193</v>
      </c>
      <c r="D573" s="143" t="s">
        <v>229</v>
      </c>
      <c r="E573" s="145"/>
      <c r="F573" s="143"/>
      <c r="G573" s="143"/>
      <c r="H573" s="152" t="s">
        <v>1998</v>
      </c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6"/>
      <c r="T573" s="146"/>
      <c r="U573" s="146"/>
      <c r="V573" s="147"/>
      <c r="W573" s="143" t="s">
        <v>49</v>
      </c>
      <c r="X573" s="143" t="s">
        <v>1999</v>
      </c>
      <c r="Y573" s="143" t="s">
        <v>859</v>
      </c>
      <c r="Z573" s="143" t="s">
        <v>1999</v>
      </c>
      <c r="AA573" s="143"/>
      <c r="AB573" s="170"/>
      <c r="AC573" s="143"/>
      <c r="AD573" s="143"/>
      <c r="AE573" s="143"/>
      <c r="AF573" s="143"/>
      <c r="AG573" s="143" t="s">
        <v>1022</v>
      </c>
      <c r="AH573" s="143"/>
      <c r="AI573" s="143"/>
      <c r="AJ573" s="143" t="s">
        <v>1023</v>
      </c>
      <c r="AK573" s="143"/>
      <c r="AL573" s="143"/>
      <c r="AM573" s="143"/>
    </row>
    <row r="574" s="140" customFormat="1" ht="15" spans="1:43">
      <c r="A574" s="143">
        <v>572</v>
      </c>
      <c r="B574" s="144"/>
      <c r="C574" s="143" t="s">
        <v>193</v>
      </c>
      <c r="D574" s="143" t="s">
        <v>229</v>
      </c>
      <c r="E574" s="145"/>
      <c r="F574" s="143"/>
      <c r="G574" s="143"/>
      <c r="H574" s="152" t="s">
        <v>2000</v>
      </c>
      <c r="I574" s="143" t="s">
        <v>1951</v>
      </c>
      <c r="J574" s="143" t="s">
        <v>1952</v>
      </c>
      <c r="K574" s="143">
        <v>150</v>
      </c>
      <c r="L574" s="143">
        <v>58</v>
      </c>
      <c r="M574" s="143"/>
      <c r="N574" s="143"/>
      <c r="O574" s="143"/>
      <c r="P574" s="143"/>
      <c r="Q574" s="143"/>
      <c r="R574" s="143"/>
      <c r="S574" s="146"/>
      <c r="T574" s="146"/>
      <c r="U574" s="146"/>
      <c r="V574" s="147"/>
      <c r="W574" s="143" t="s">
        <v>49</v>
      </c>
      <c r="X574" s="143" t="s">
        <v>2001</v>
      </c>
      <c r="Y574" s="143" t="s">
        <v>1922</v>
      </c>
      <c r="Z574" s="143" t="s">
        <v>2001</v>
      </c>
      <c r="AA574" s="143"/>
      <c r="AB574" s="170"/>
      <c r="AC574" s="143"/>
      <c r="AD574" s="143"/>
      <c r="AE574" s="143"/>
      <c r="AF574" s="143"/>
      <c r="AG574" s="143" t="s">
        <v>1022</v>
      </c>
      <c r="AH574" s="143"/>
      <c r="AI574" s="143"/>
      <c r="AJ574" s="143" t="s">
        <v>1432</v>
      </c>
      <c r="AK574" s="143"/>
      <c r="AL574" s="143"/>
      <c r="AM574" s="143"/>
    </row>
    <row r="575" s="140" customFormat="1" ht="15" spans="1:43">
      <c r="A575" s="143">
        <v>573</v>
      </c>
      <c r="B575" s="144"/>
      <c r="C575" s="143" t="s">
        <v>193</v>
      </c>
      <c r="D575" s="143" t="s">
        <v>229</v>
      </c>
      <c r="E575" s="145"/>
      <c r="F575" s="143"/>
      <c r="G575" s="143"/>
      <c r="H575" s="152" t="s">
        <v>2002</v>
      </c>
      <c r="I575" s="143" t="s">
        <v>2003</v>
      </c>
      <c r="J575" s="143" t="s">
        <v>2004</v>
      </c>
      <c r="K575" s="143">
        <v>150</v>
      </c>
      <c r="L575" s="143">
        <v>60</v>
      </c>
      <c r="M575" s="143"/>
      <c r="N575" s="143"/>
      <c r="O575" s="143"/>
      <c r="P575" s="143"/>
      <c r="Q575" s="143"/>
      <c r="R575" s="143"/>
      <c r="S575" s="146"/>
      <c r="T575" s="146"/>
      <c r="U575" s="146"/>
      <c r="V575" s="147"/>
      <c r="W575" s="143" t="s">
        <v>49</v>
      </c>
      <c r="X575" s="143" t="s">
        <v>2005</v>
      </c>
      <c r="Y575" s="143" t="s">
        <v>1864</v>
      </c>
      <c r="Z575" s="143" t="s">
        <v>2005</v>
      </c>
      <c r="AA575" s="143"/>
      <c r="AB575" s="170"/>
      <c r="AC575" s="143"/>
      <c r="AD575" s="143"/>
      <c r="AE575" s="143"/>
      <c r="AF575" s="143"/>
      <c r="AG575" s="143" t="s">
        <v>1022</v>
      </c>
      <c r="AH575" s="143"/>
      <c r="AI575" s="143"/>
      <c r="AJ575" s="143" t="s">
        <v>1432</v>
      </c>
      <c r="AK575" s="143"/>
      <c r="AL575" s="143"/>
      <c r="AM575" s="143"/>
    </row>
    <row r="576" s="140" customFormat="1" ht="15" spans="1:43">
      <c r="A576" s="143">
        <v>574</v>
      </c>
      <c r="B576" s="144"/>
      <c r="C576" s="143" t="s">
        <v>193</v>
      </c>
      <c r="D576" s="143" t="s">
        <v>229</v>
      </c>
      <c r="E576" s="145"/>
      <c r="F576" s="143"/>
      <c r="G576" s="143"/>
      <c r="H576" s="152" t="s">
        <v>2006</v>
      </c>
      <c r="I576" s="143" t="s">
        <v>1951</v>
      </c>
      <c r="J576" s="143" t="s">
        <v>1952</v>
      </c>
      <c r="K576" s="143">
        <v>150</v>
      </c>
      <c r="L576" s="143"/>
      <c r="M576" s="143"/>
      <c r="N576" s="143"/>
      <c r="O576" s="143"/>
      <c r="P576" s="143"/>
      <c r="Q576" s="143"/>
      <c r="R576" s="143"/>
      <c r="S576" s="146"/>
      <c r="T576" s="146"/>
      <c r="U576" s="146"/>
      <c r="V576" s="147"/>
      <c r="W576" s="143" t="s">
        <v>49</v>
      </c>
      <c r="X576" s="143" t="s">
        <v>2007</v>
      </c>
      <c r="Y576" s="143" t="s">
        <v>1519</v>
      </c>
      <c r="Z576" s="143" t="s">
        <v>2007</v>
      </c>
      <c r="AA576" s="143"/>
      <c r="AB576" s="170"/>
      <c r="AC576" s="143"/>
      <c r="AD576" s="143"/>
      <c r="AE576" s="143"/>
      <c r="AF576" s="143"/>
      <c r="AG576" s="143" t="s">
        <v>1022</v>
      </c>
      <c r="AH576" s="143"/>
      <c r="AI576" s="143"/>
      <c r="AJ576" s="143" t="s">
        <v>1023</v>
      </c>
      <c r="AK576" s="143"/>
      <c r="AL576" s="143"/>
      <c r="AM576" s="143"/>
      <c r="AN576" s="148"/>
      <c r="AO576" s="148"/>
      <c r="AP576" s="148"/>
      <c r="AQ576" s="148"/>
    </row>
    <row r="577" s="140" customFormat="1" ht="15" spans="1:43">
      <c r="A577" s="143">
        <v>575</v>
      </c>
      <c r="B577" s="144"/>
      <c r="C577" s="143" t="s">
        <v>193</v>
      </c>
      <c r="D577" s="143" t="s">
        <v>229</v>
      </c>
      <c r="E577" s="145"/>
      <c r="F577" s="143"/>
      <c r="G577" s="143"/>
      <c r="H577" s="152" t="s">
        <v>2008</v>
      </c>
      <c r="I577" s="143" t="s">
        <v>2009</v>
      </c>
      <c r="J577" s="143" t="s">
        <v>2010</v>
      </c>
      <c r="K577" s="143">
        <v>150</v>
      </c>
      <c r="L577" s="143"/>
      <c r="M577" s="143"/>
      <c r="N577" s="143"/>
      <c r="O577" s="143"/>
      <c r="P577" s="143"/>
      <c r="Q577" s="143"/>
      <c r="R577" s="143"/>
      <c r="S577" s="146"/>
      <c r="T577" s="146"/>
      <c r="U577" s="146"/>
      <c r="V577" s="147"/>
      <c r="W577" s="143" t="s">
        <v>49</v>
      </c>
      <c r="X577" s="143" t="s">
        <v>2011</v>
      </c>
      <c r="Y577" s="143" t="s">
        <v>1519</v>
      </c>
      <c r="Z577" s="143" t="s">
        <v>2011</v>
      </c>
      <c r="AA577" s="143"/>
      <c r="AB577" s="170"/>
      <c r="AC577" s="143"/>
      <c r="AD577" s="143"/>
      <c r="AE577" s="143"/>
      <c r="AF577" s="143"/>
      <c r="AG577" s="143" t="s">
        <v>506</v>
      </c>
      <c r="AH577" s="143"/>
      <c r="AI577" s="143"/>
      <c r="AJ577" s="143" t="s">
        <v>508</v>
      </c>
      <c r="AK577" s="143"/>
      <c r="AL577" s="143"/>
      <c r="AM577" s="143"/>
      <c r="AN577" s="148"/>
      <c r="AO577" s="148"/>
      <c r="AP577" s="148"/>
      <c r="AQ577" s="148"/>
    </row>
    <row r="578" s="140" customFormat="1" ht="15" spans="1:43">
      <c r="A578" s="143">
        <v>576</v>
      </c>
      <c r="B578" s="144"/>
      <c r="C578" s="143" t="s">
        <v>193</v>
      </c>
      <c r="D578" s="143" t="s">
        <v>557</v>
      </c>
      <c r="E578" s="145"/>
      <c r="F578" s="143"/>
      <c r="G578" s="143"/>
      <c r="H578" s="152" t="s">
        <v>2012</v>
      </c>
      <c r="I578" s="143" t="s">
        <v>2013</v>
      </c>
      <c r="J578" s="143" t="s">
        <v>2014</v>
      </c>
      <c r="K578" s="143">
        <v>150</v>
      </c>
      <c r="L578" s="143">
        <v>80</v>
      </c>
      <c r="M578" s="143"/>
      <c r="N578" s="143"/>
      <c r="O578" s="143"/>
      <c r="P578" s="143"/>
      <c r="Q578" s="143"/>
      <c r="R578" s="143"/>
      <c r="S578" s="146"/>
      <c r="T578" s="146"/>
      <c r="U578" s="146"/>
      <c r="V578" s="147"/>
      <c r="W578" s="143" t="s">
        <v>49</v>
      </c>
      <c r="X578" s="143" t="s">
        <v>2015</v>
      </c>
      <c r="Y578" s="143" t="s">
        <v>1866</v>
      </c>
      <c r="Z578" s="143" t="s">
        <v>2015</v>
      </c>
      <c r="AA578" s="143"/>
      <c r="AB578" s="170"/>
      <c r="AC578" s="143"/>
      <c r="AD578" s="143"/>
      <c r="AE578" s="143"/>
      <c r="AF578" s="143"/>
      <c r="AG578" s="143" t="s">
        <v>506</v>
      </c>
      <c r="AH578" s="143" t="s">
        <v>1161</v>
      </c>
      <c r="AI578" s="143"/>
      <c r="AJ578" s="143" t="s">
        <v>508</v>
      </c>
      <c r="AK578" s="143"/>
      <c r="AL578" s="143"/>
      <c r="AM578" s="143"/>
    </row>
    <row r="579" s="140" customFormat="1" ht="15" spans="1:43">
      <c r="A579" s="143">
        <v>577</v>
      </c>
      <c r="B579" s="144"/>
      <c r="C579" s="143" t="s">
        <v>193</v>
      </c>
      <c r="D579" s="143" t="s">
        <v>229</v>
      </c>
      <c r="E579" s="145"/>
      <c r="F579" s="143"/>
      <c r="G579" s="143"/>
      <c r="H579" s="152" t="s">
        <v>2016</v>
      </c>
      <c r="I579" s="143" t="s">
        <v>1951</v>
      </c>
      <c r="J579" s="143" t="s">
        <v>1952</v>
      </c>
      <c r="K579" s="143">
        <v>150</v>
      </c>
      <c r="L579" s="143">
        <v>58</v>
      </c>
      <c r="M579" s="143"/>
      <c r="N579" s="143"/>
      <c r="O579" s="143"/>
      <c r="P579" s="143"/>
      <c r="Q579" s="143"/>
      <c r="R579" s="143"/>
      <c r="S579" s="146"/>
      <c r="T579" s="146"/>
      <c r="U579" s="146"/>
      <c r="V579" s="147"/>
      <c r="W579" s="143" t="s">
        <v>49</v>
      </c>
      <c r="X579" s="143" t="s">
        <v>2017</v>
      </c>
      <c r="Y579" s="143" t="s">
        <v>1913</v>
      </c>
      <c r="Z579" s="143" t="s">
        <v>2017</v>
      </c>
      <c r="AA579" s="143"/>
      <c r="AB579" s="170"/>
      <c r="AC579" s="143"/>
      <c r="AD579" s="143"/>
      <c r="AE579" s="143"/>
      <c r="AF579" s="143"/>
      <c r="AG579" s="143" t="s">
        <v>1022</v>
      </c>
      <c r="AH579" s="143"/>
      <c r="AI579" s="143"/>
      <c r="AJ579" s="143" t="s">
        <v>1023</v>
      </c>
      <c r="AK579" s="143"/>
      <c r="AL579" s="143"/>
      <c r="AM579" s="143"/>
    </row>
    <row r="580" s="140" customFormat="1" ht="15" spans="1:43">
      <c r="A580" s="143">
        <v>578</v>
      </c>
      <c r="B580" s="144"/>
      <c r="C580" s="143" t="s">
        <v>193</v>
      </c>
      <c r="D580" s="143" t="s">
        <v>229</v>
      </c>
      <c r="E580" s="145"/>
      <c r="F580" s="143"/>
      <c r="G580" s="143"/>
      <c r="H580" s="152" t="s">
        <v>2018</v>
      </c>
      <c r="I580" s="143" t="s">
        <v>45</v>
      </c>
      <c r="J580" s="143" t="s">
        <v>1572</v>
      </c>
      <c r="K580" s="143">
        <v>150</v>
      </c>
      <c r="L580" s="143">
        <v>220</v>
      </c>
      <c r="M580" s="143"/>
      <c r="N580" s="143"/>
      <c r="O580" s="143"/>
      <c r="P580" s="143"/>
      <c r="Q580" s="143"/>
      <c r="R580" s="143"/>
      <c r="S580" s="146"/>
      <c r="T580" s="146"/>
      <c r="U580" s="146"/>
      <c r="V580" s="147"/>
      <c r="W580" s="143" t="s">
        <v>49</v>
      </c>
      <c r="X580" s="143" t="s">
        <v>2019</v>
      </c>
      <c r="Y580" s="143" t="s">
        <v>2020</v>
      </c>
      <c r="Z580" s="143" t="s">
        <v>2019</v>
      </c>
      <c r="AA580" s="143"/>
      <c r="AB580" s="170"/>
      <c r="AC580" s="143"/>
      <c r="AD580" s="143"/>
      <c r="AE580" s="143"/>
      <c r="AF580" s="143"/>
      <c r="AG580" s="143" t="s">
        <v>249</v>
      </c>
      <c r="AH580" s="143"/>
      <c r="AI580" s="143"/>
      <c r="AJ580" s="143" t="s">
        <v>251</v>
      </c>
      <c r="AK580" s="143"/>
      <c r="AL580" s="143"/>
      <c r="AM580" s="143"/>
    </row>
    <row r="581" s="140" customFormat="1" ht="15" spans="1:43">
      <c r="A581" s="143">
        <v>579</v>
      </c>
      <c r="B581" s="144"/>
      <c r="C581" s="143" t="s">
        <v>193</v>
      </c>
      <c r="D581" s="143" t="s">
        <v>229</v>
      </c>
      <c r="E581" s="145"/>
      <c r="F581" s="143"/>
      <c r="G581" s="143"/>
      <c r="H581" s="152" t="s">
        <v>2021</v>
      </c>
      <c r="I581" s="143" t="s">
        <v>324</v>
      </c>
      <c r="J581" s="143" t="s">
        <v>517</v>
      </c>
      <c r="K581" s="143">
        <v>150</v>
      </c>
      <c r="L581" s="143"/>
      <c r="M581" s="143"/>
      <c r="N581" s="143"/>
      <c r="O581" s="143"/>
      <c r="P581" s="143"/>
      <c r="Q581" s="143"/>
      <c r="R581" s="143"/>
      <c r="S581" s="146"/>
      <c r="T581" s="146"/>
      <c r="U581" s="146"/>
      <c r="V581" s="147"/>
      <c r="W581" s="143" t="s">
        <v>49</v>
      </c>
      <c r="X581" s="143" t="s">
        <v>2022</v>
      </c>
      <c r="Y581" s="143" t="s">
        <v>2023</v>
      </c>
      <c r="Z581" s="143" t="s">
        <v>2022</v>
      </c>
      <c r="AA581" s="143">
        <v>19.8</v>
      </c>
      <c r="AB581" s="170">
        <v>46051</v>
      </c>
      <c r="AC581" s="143"/>
      <c r="AD581" s="143"/>
      <c r="AE581" s="143"/>
      <c r="AF581" s="143"/>
      <c r="AG581" s="143" t="s">
        <v>301</v>
      </c>
      <c r="AH581" s="143"/>
      <c r="AI581" s="143"/>
      <c r="AJ581" s="143" t="s">
        <v>1719</v>
      </c>
      <c r="AK581" s="143"/>
      <c r="AL581" s="143"/>
      <c r="AM581" s="143"/>
    </row>
    <row r="582" s="140" customFormat="1" ht="15" spans="1:43">
      <c r="A582" s="143">
        <v>580</v>
      </c>
      <c r="B582" s="144"/>
      <c r="C582" s="143" t="s">
        <v>193</v>
      </c>
      <c r="D582" s="143" t="s">
        <v>557</v>
      </c>
      <c r="E582" s="145"/>
      <c r="F582" s="143"/>
      <c r="G582" s="143"/>
      <c r="H582" s="152" t="s">
        <v>2024</v>
      </c>
      <c r="I582" s="143" t="s">
        <v>45</v>
      </c>
      <c r="J582" s="143" t="s">
        <v>1572</v>
      </c>
      <c r="K582" s="143">
        <v>148</v>
      </c>
      <c r="L582" s="143">
        <v>360</v>
      </c>
      <c r="M582" s="143"/>
      <c r="N582" s="143"/>
      <c r="O582" s="143"/>
      <c r="P582" s="143"/>
      <c r="Q582" s="143"/>
      <c r="R582" s="143"/>
      <c r="S582" s="146"/>
      <c r="T582" s="146"/>
      <c r="U582" s="146"/>
      <c r="V582" s="147"/>
      <c r="W582" s="143" t="s">
        <v>49</v>
      </c>
      <c r="X582" s="143" t="s">
        <v>2025</v>
      </c>
      <c r="Y582" s="143" t="s">
        <v>2026</v>
      </c>
      <c r="Z582" s="143" t="s">
        <v>2025</v>
      </c>
      <c r="AA582" s="143">
        <v>22.6</v>
      </c>
      <c r="AB582" s="170">
        <v>45861</v>
      </c>
      <c r="AC582" s="143"/>
      <c r="AD582" s="143"/>
      <c r="AE582" s="143"/>
      <c r="AF582" s="143"/>
      <c r="AG582" s="143" t="s">
        <v>249</v>
      </c>
      <c r="AH582" s="143" t="s">
        <v>563</v>
      </c>
      <c r="AI582" s="143"/>
      <c r="AJ582" s="143" t="s">
        <v>251</v>
      </c>
      <c r="AK582" s="143"/>
      <c r="AL582" s="143"/>
      <c r="AM582" s="143"/>
    </row>
    <row r="583" s="140" customFormat="1" ht="15" spans="1:43">
      <c r="A583" s="143">
        <v>581</v>
      </c>
      <c r="B583" s="144"/>
      <c r="C583" s="143" t="s">
        <v>193</v>
      </c>
      <c r="D583" s="143" t="s">
        <v>229</v>
      </c>
      <c r="E583" s="145"/>
      <c r="F583" s="143"/>
      <c r="G583" s="143"/>
      <c r="H583" s="172" t="s">
        <v>2027</v>
      </c>
      <c r="I583" s="143" t="s">
        <v>45</v>
      </c>
      <c r="J583" s="143" t="s">
        <v>1572</v>
      </c>
      <c r="K583" s="143">
        <v>150</v>
      </c>
      <c r="L583" s="143">
        <v>300</v>
      </c>
      <c r="M583" s="143"/>
      <c r="N583" s="143"/>
      <c r="O583" s="143"/>
      <c r="P583" s="143"/>
      <c r="Q583" s="143"/>
      <c r="R583" s="143"/>
      <c r="S583" s="146"/>
      <c r="T583" s="146"/>
      <c r="U583" s="146"/>
      <c r="V583" s="147"/>
      <c r="W583" s="143" t="s">
        <v>49</v>
      </c>
      <c r="X583" s="143" t="s">
        <v>2028</v>
      </c>
      <c r="Y583" s="143" t="s">
        <v>2026</v>
      </c>
      <c r="Z583" s="143" t="s">
        <v>2028</v>
      </c>
      <c r="AA583" s="173">
        <v>22.8</v>
      </c>
      <c r="AB583" s="170">
        <v>46104</v>
      </c>
      <c r="AC583" s="143"/>
      <c r="AD583" s="143"/>
      <c r="AE583" s="143"/>
      <c r="AF583" s="143"/>
      <c r="AG583" s="143" t="s">
        <v>249</v>
      </c>
      <c r="AH583" s="143" t="s">
        <v>250</v>
      </c>
      <c r="AI583" s="143"/>
      <c r="AJ583" s="143" t="s">
        <v>254</v>
      </c>
      <c r="AK583" s="143"/>
      <c r="AL583" s="143"/>
      <c r="AM583" s="143"/>
    </row>
    <row r="584" s="140" customFormat="1" ht="15" spans="1:43">
      <c r="A584" s="143">
        <v>582</v>
      </c>
      <c r="B584" s="144"/>
      <c r="C584" s="143" t="s">
        <v>193</v>
      </c>
      <c r="D584" s="143" t="s">
        <v>229</v>
      </c>
      <c r="E584" s="145"/>
      <c r="F584" s="143"/>
      <c r="G584" s="143"/>
      <c r="H584" s="172" t="s">
        <v>2029</v>
      </c>
      <c r="I584" s="143" t="s">
        <v>45</v>
      </c>
      <c r="J584" s="143" t="s">
        <v>1572</v>
      </c>
      <c r="K584" s="143">
        <v>150</v>
      </c>
      <c r="L584" s="143">
        <v>245</v>
      </c>
      <c r="M584" s="143"/>
      <c r="N584" s="143"/>
      <c r="O584" s="143"/>
      <c r="P584" s="143"/>
      <c r="Q584" s="143"/>
      <c r="R584" s="143"/>
      <c r="S584" s="146"/>
      <c r="T584" s="146"/>
      <c r="U584" s="146"/>
      <c r="V584" s="147"/>
      <c r="W584" s="143" t="s">
        <v>49</v>
      </c>
      <c r="X584" s="143" t="s">
        <v>2030</v>
      </c>
      <c r="Y584" s="143" t="s">
        <v>2031</v>
      </c>
      <c r="Z584" s="143" t="s">
        <v>2030</v>
      </c>
      <c r="AA584" s="173"/>
      <c r="AB584" s="170">
        <v>46104</v>
      </c>
      <c r="AC584" s="143"/>
      <c r="AD584" s="143"/>
      <c r="AE584" s="143"/>
      <c r="AF584" s="143"/>
      <c r="AG584" s="143" t="s">
        <v>249</v>
      </c>
      <c r="AH584" s="143" t="s">
        <v>250</v>
      </c>
      <c r="AI584" s="143"/>
      <c r="AJ584" s="143" t="s">
        <v>254</v>
      </c>
      <c r="AK584" s="143"/>
      <c r="AL584" s="143"/>
      <c r="AM584" s="143"/>
    </row>
    <row r="585" s="140" customFormat="1" ht="15" spans="1:43">
      <c r="A585" s="143">
        <v>583</v>
      </c>
      <c r="B585" s="144"/>
      <c r="C585" s="143" t="s">
        <v>193</v>
      </c>
      <c r="D585" s="143" t="s">
        <v>229</v>
      </c>
      <c r="E585" s="145"/>
      <c r="F585" s="143"/>
      <c r="G585" s="143"/>
      <c r="H585" s="152" t="s">
        <v>2032</v>
      </c>
      <c r="I585" s="143" t="s">
        <v>2033</v>
      </c>
      <c r="J585" s="143" t="s">
        <v>2034</v>
      </c>
      <c r="K585" s="143">
        <v>148</v>
      </c>
      <c r="L585" s="143">
        <v>150</v>
      </c>
      <c r="M585" s="143"/>
      <c r="N585" s="143"/>
      <c r="O585" s="143"/>
      <c r="P585" s="143"/>
      <c r="Q585" s="143"/>
      <c r="R585" s="143"/>
      <c r="S585" s="146"/>
      <c r="T585" s="146"/>
      <c r="U585" s="146"/>
      <c r="V585" s="147"/>
      <c r="W585" s="143" t="s">
        <v>49</v>
      </c>
      <c r="X585" s="143" t="s">
        <v>2035</v>
      </c>
      <c r="Y585" s="143" t="s">
        <v>2036</v>
      </c>
      <c r="Z585" s="143" t="s">
        <v>2035</v>
      </c>
      <c r="AA585" s="143">
        <v>17</v>
      </c>
      <c r="AB585" s="170">
        <v>46051</v>
      </c>
      <c r="AC585" s="143"/>
      <c r="AD585" s="143"/>
      <c r="AE585" s="143"/>
      <c r="AF585" s="143"/>
      <c r="AG585" s="143" t="s">
        <v>301</v>
      </c>
      <c r="AH585" s="143"/>
      <c r="AI585" s="143"/>
      <c r="AJ585" s="143" t="s">
        <v>1719</v>
      </c>
      <c r="AK585" s="143"/>
      <c r="AL585" s="143"/>
      <c r="AM585" s="143"/>
    </row>
    <row r="586" s="140" customFormat="1" ht="15" spans="1:43">
      <c r="A586" s="143">
        <v>584</v>
      </c>
      <c r="B586" s="144"/>
      <c r="C586" s="143" t="s">
        <v>193</v>
      </c>
      <c r="D586" s="143" t="s">
        <v>229</v>
      </c>
      <c r="E586" s="145"/>
      <c r="F586" s="143"/>
      <c r="G586" s="143"/>
      <c r="H586" s="152" t="s">
        <v>2037</v>
      </c>
      <c r="I586" s="143" t="s">
        <v>2038</v>
      </c>
      <c r="J586" s="143" t="s">
        <v>2039</v>
      </c>
      <c r="K586" s="143">
        <v>150</v>
      </c>
      <c r="L586" s="143"/>
      <c r="M586" s="143"/>
      <c r="N586" s="143"/>
      <c r="O586" s="143"/>
      <c r="P586" s="143"/>
      <c r="Q586" s="143"/>
      <c r="R586" s="143"/>
      <c r="S586" s="146"/>
      <c r="T586" s="146"/>
      <c r="U586" s="146"/>
      <c r="V586" s="147"/>
      <c r="W586" s="143" t="s">
        <v>49</v>
      </c>
      <c r="X586" s="143">
        <v>12085</v>
      </c>
      <c r="Y586" s="143" t="s">
        <v>1769</v>
      </c>
      <c r="Z586" s="143">
        <v>12085</v>
      </c>
      <c r="AA586" s="143"/>
      <c r="AB586" s="170"/>
      <c r="AC586" s="143"/>
      <c r="AD586" s="143"/>
      <c r="AE586" s="143"/>
      <c r="AF586" s="143"/>
      <c r="AG586" s="143" t="s">
        <v>233</v>
      </c>
      <c r="AH586" s="143"/>
      <c r="AI586" s="143"/>
      <c r="AJ586" s="143" t="s">
        <v>1124</v>
      </c>
      <c r="AK586" s="143"/>
      <c r="AL586" s="143"/>
      <c r="AM586" s="143"/>
    </row>
    <row r="587" s="140" customFormat="1" ht="15" spans="1:43">
      <c r="A587" s="143">
        <v>585</v>
      </c>
      <c r="B587" s="144"/>
      <c r="C587" s="143" t="s">
        <v>193</v>
      </c>
      <c r="D587" s="143" t="s">
        <v>229</v>
      </c>
      <c r="E587" s="145"/>
      <c r="F587" s="143"/>
      <c r="G587" s="143"/>
      <c r="H587" s="152" t="s">
        <v>2040</v>
      </c>
      <c r="I587" s="143" t="s">
        <v>2041</v>
      </c>
      <c r="J587" s="143" t="s">
        <v>2042</v>
      </c>
      <c r="K587" s="143">
        <v>150</v>
      </c>
      <c r="L587" s="143"/>
      <c r="M587" s="143"/>
      <c r="N587" s="143"/>
      <c r="O587" s="143"/>
      <c r="P587" s="143"/>
      <c r="Q587" s="143"/>
      <c r="R587" s="143"/>
      <c r="S587" s="146"/>
      <c r="T587" s="146"/>
      <c r="U587" s="146"/>
      <c r="V587" s="147"/>
      <c r="W587" s="143" t="s">
        <v>49</v>
      </c>
      <c r="X587" s="143">
        <v>12337</v>
      </c>
      <c r="Y587" s="143" t="s">
        <v>1769</v>
      </c>
      <c r="Z587" s="143">
        <v>12337</v>
      </c>
      <c r="AA587" s="143"/>
      <c r="AB587" s="170"/>
      <c r="AC587" s="143"/>
      <c r="AD587" s="143"/>
      <c r="AE587" s="143"/>
      <c r="AF587" s="143"/>
      <c r="AG587" s="143" t="s">
        <v>249</v>
      </c>
      <c r="AH587" s="143"/>
      <c r="AI587" s="143"/>
      <c r="AJ587" s="143" t="s">
        <v>254</v>
      </c>
      <c r="AK587" s="143"/>
      <c r="AL587" s="143"/>
      <c r="AM587" s="143"/>
    </row>
    <row r="588" s="140" customFormat="1" ht="15" spans="1:43">
      <c r="A588" s="143">
        <v>586</v>
      </c>
      <c r="B588" s="144"/>
      <c r="C588" s="143" t="s">
        <v>193</v>
      </c>
      <c r="D588" s="143" t="s">
        <v>229</v>
      </c>
      <c r="E588" s="145"/>
      <c r="F588" s="143"/>
      <c r="G588" s="143"/>
      <c r="H588" s="152" t="s">
        <v>2043</v>
      </c>
      <c r="I588" s="143" t="s">
        <v>2041</v>
      </c>
      <c r="J588" s="143" t="s">
        <v>2042</v>
      </c>
      <c r="K588" s="143">
        <v>150</v>
      </c>
      <c r="L588" s="143"/>
      <c r="M588" s="143"/>
      <c r="N588" s="143"/>
      <c r="O588" s="143"/>
      <c r="P588" s="143"/>
      <c r="Q588" s="143"/>
      <c r="R588" s="143"/>
      <c r="S588" s="146"/>
      <c r="T588" s="146"/>
      <c r="U588" s="146"/>
      <c r="V588" s="147"/>
      <c r="W588" s="143" t="s">
        <v>49</v>
      </c>
      <c r="X588" s="143">
        <v>12301</v>
      </c>
      <c r="Y588" s="143" t="s">
        <v>1769</v>
      </c>
      <c r="Z588" s="143">
        <v>12301</v>
      </c>
      <c r="AA588" s="143"/>
      <c r="AB588" s="170"/>
      <c r="AC588" s="143"/>
      <c r="AD588" s="143"/>
      <c r="AE588" s="143"/>
      <c r="AF588" s="143"/>
      <c r="AG588" s="143" t="s">
        <v>301</v>
      </c>
      <c r="AH588" s="143"/>
      <c r="AI588" s="143"/>
      <c r="AJ588" s="143" t="s">
        <v>1719</v>
      </c>
      <c r="AK588" s="143"/>
      <c r="AL588" s="143"/>
      <c r="AM588" s="143"/>
    </row>
    <row r="589" s="140" customFormat="1" ht="15" spans="1:43">
      <c r="A589" s="143">
        <v>587</v>
      </c>
      <c r="B589" s="144"/>
      <c r="C589" s="143" t="s">
        <v>193</v>
      </c>
      <c r="D589" s="143" t="s">
        <v>229</v>
      </c>
      <c r="E589" s="145"/>
      <c r="F589" s="143"/>
      <c r="G589" s="143"/>
      <c r="H589" s="152" t="s">
        <v>2044</v>
      </c>
      <c r="I589" s="143" t="s">
        <v>324</v>
      </c>
      <c r="J589" s="143" t="s">
        <v>517</v>
      </c>
      <c r="K589" s="143">
        <v>150</v>
      </c>
      <c r="L589" s="143">
        <v>180</v>
      </c>
      <c r="M589" s="143"/>
      <c r="N589" s="143"/>
      <c r="O589" s="143"/>
      <c r="P589" s="143"/>
      <c r="Q589" s="143"/>
      <c r="R589" s="143"/>
      <c r="S589" s="146"/>
      <c r="T589" s="146"/>
      <c r="U589" s="146"/>
      <c r="V589" s="147"/>
      <c r="W589" s="143" t="s">
        <v>49</v>
      </c>
      <c r="X589" s="143" t="s">
        <v>2045</v>
      </c>
      <c r="Y589" s="143" t="s">
        <v>2046</v>
      </c>
      <c r="Z589" s="143" t="s">
        <v>2045</v>
      </c>
      <c r="AA589" s="143">
        <v>12.8</v>
      </c>
      <c r="AB589" s="170">
        <v>46051</v>
      </c>
      <c r="AC589" s="143"/>
      <c r="AD589" s="143"/>
      <c r="AE589" s="143"/>
      <c r="AF589" s="143"/>
      <c r="AG589" s="143" t="s">
        <v>301</v>
      </c>
      <c r="AH589" s="143"/>
      <c r="AI589" s="143"/>
      <c r="AJ589" s="143" t="s">
        <v>302</v>
      </c>
      <c r="AK589" s="143"/>
      <c r="AL589" s="143"/>
      <c r="AM589" s="143"/>
    </row>
    <row r="590" s="140" customFormat="1" ht="15" spans="1:43">
      <c r="A590" s="143">
        <v>588</v>
      </c>
      <c r="B590" s="144"/>
      <c r="C590" s="143" t="s">
        <v>193</v>
      </c>
      <c r="D590" s="143" t="s">
        <v>229</v>
      </c>
      <c r="E590" s="145"/>
      <c r="F590" s="143"/>
      <c r="G590" s="143"/>
      <c r="H590" s="152" t="s">
        <v>2047</v>
      </c>
      <c r="I590" s="143" t="s">
        <v>2048</v>
      </c>
      <c r="J590" s="143" t="s">
        <v>2049</v>
      </c>
      <c r="K590" s="143">
        <v>150</v>
      </c>
      <c r="L590" s="143"/>
      <c r="M590" s="143"/>
      <c r="N590" s="143"/>
      <c r="O590" s="143"/>
      <c r="P590" s="143"/>
      <c r="Q590" s="143"/>
      <c r="R590" s="143"/>
      <c r="S590" s="146"/>
      <c r="T590" s="146"/>
      <c r="U590" s="146"/>
      <c r="V590" s="147"/>
      <c r="W590" s="143" t="s">
        <v>49</v>
      </c>
      <c r="X590" s="143" t="s">
        <v>2050</v>
      </c>
      <c r="Y590" s="143" t="s">
        <v>1753</v>
      </c>
      <c r="Z590" s="143" t="s">
        <v>2050</v>
      </c>
      <c r="AA590" s="143"/>
      <c r="AB590" s="170"/>
      <c r="AC590" s="143"/>
      <c r="AD590" s="143"/>
      <c r="AE590" s="143"/>
      <c r="AF590" s="143"/>
      <c r="AG590" s="143" t="s">
        <v>301</v>
      </c>
      <c r="AH590" s="143"/>
      <c r="AI590" s="143"/>
      <c r="AJ590" s="143" t="s">
        <v>302</v>
      </c>
      <c r="AK590" s="143"/>
      <c r="AL590" s="143"/>
      <c r="AM590" s="143"/>
    </row>
    <row r="591" s="140" customFormat="1" ht="15" spans="1:43">
      <c r="A591" s="143">
        <v>589</v>
      </c>
      <c r="B591" s="144"/>
      <c r="C591" s="143" t="s">
        <v>193</v>
      </c>
      <c r="D591" s="143" t="s">
        <v>229</v>
      </c>
      <c r="E591" s="145"/>
      <c r="F591" s="143"/>
      <c r="G591" s="143"/>
      <c r="H591" s="152" t="s">
        <v>2051</v>
      </c>
      <c r="I591" s="143" t="s">
        <v>2052</v>
      </c>
      <c r="J591" s="143" t="s">
        <v>2053</v>
      </c>
      <c r="K591" s="143">
        <v>150</v>
      </c>
      <c r="L591" s="143"/>
      <c r="M591" s="143"/>
      <c r="N591" s="143"/>
      <c r="O591" s="143"/>
      <c r="P591" s="143"/>
      <c r="Q591" s="143"/>
      <c r="R591" s="143"/>
      <c r="S591" s="146"/>
      <c r="T591" s="146"/>
      <c r="U591" s="146"/>
      <c r="V591" s="147"/>
      <c r="W591" s="143" t="s">
        <v>49</v>
      </c>
      <c r="X591" s="143" t="s">
        <v>2054</v>
      </c>
      <c r="Y591" s="143" t="s">
        <v>1738</v>
      </c>
      <c r="Z591" s="143" t="s">
        <v>2054</v>
      </c>
      <c r="AA591" s="143"/>
      <c r="AB591" s="170"/>
      <c r="AC591" s="143"/>
      <c r="AD591" s="143"/>
      <c r="AE591" s="143"/>
      <c r="AF591" s="143"/>
      <c r="AG591" s="143" t="s">
        <v>301</v>
      </c>
      <c r="AH591" s="143"/>
      <c r="AI591" s="143"/>
      <c r="AJ591" s="143" t="s">
        <v>1169</v>
      </c>
      <c r="AK591" s="143"/>
      <c r="AL591" s="143"/>
      <c r="AM591" s="143"/>
    </row>
    <row r="592" s="140" customFormat="1" ht="15" spans="1:43">
      <c r="A592" s="143">
        <v>590</v>
      </c>
      <c r="B592" s="144"/>
      <c r="C592" s="143" t="s">
        <v>193</v>
      </c>
      <c r="D592" s="143" t="s">
        <v>229</v>
      </c>
      <c r="E592" s="145"/>
      <c r="F592" s="143"/>
      <c r="G592" s="143"/>
      <c r="H592" s="152" t="s">
        <v>2055</v>
      </c>
      <c r="I592" s="143" t="s">
        <v>2056</v>
      </c>
      <c r="J592" s="143" t="s">
        <v>2057</v>
      </c>
      <c r="K592" s="143">
        <v>150</v>
      </c>
      <c r="L592" s="143">
        <v>110</v>
      </c>
      <c r="M592" s="143"/>
      <c r="N592" s="143"/>
      <c r="O592" s="143"/>
      <c r="P592" s="143"/>
      <c r="Q592" s="143"/>
      <c r="R592" s="143"/>
      <c r="S592" s="146"/>
      <c r="T592" s="146"/>
      <c r="U592" s="146"/>
      <c r="V592" s="147"/>
      <c r="W592" s="143" t="s">
        <v>49</v>
      </c>
      <c r="X592" s="143" t="s">
        <v>2058</v>
      </c>
      <c r="Y592" s="143" t="s">
        <v>1753</v>
      </c>
      <c r="Z592" s="143" t="s">
        <v>2058</v>
      </c>
      <c r="AA592" s="143"/>
      <c r="AB592" s="170"/>
      <c r="AC592" s="143"/>
      <c r="AD592" s="143"/>
      <c r="AE592" s="143"/>
      <c r="AF592" s="143"/>
      <c r="AG592" s="143" t="s">
        <v>301</v>
      </c>
      <c r="AH592" s="143"/>
      <c r="AI592" s="143"/>
      <c r="AJ592" s="143" t="s">
        <v>302</v>
      </c>
      <c r="AK592" s="143"/>
      <c r="AL592" s="143"/>
      <c r="AM592" s="143"/>
    </row>
    <row r="593" s="140" customFormat="1" ht="15" spans="1:39">
      <c r="A593" s="143">
        <v>591</v>
      </c>
      <c r="B593" s="144"/>
      <c r="C593" s="143" t="s">
        <v>193</v>
      </c>
      <c r="D593" s="143" t="s">
        <v>229</v>
      </c>
      <c r="E593" s="145"/>
      <c r="F593" s="143"/>
      <c r="G593" s="143"/>
      <c r="H593" s="152" t="s">
        <v>2059</v>
      </c>
      <c r="I593" s="143" t="s">
        <v>2060</v>
      </c>
      <c r="J593" s="143" t="s">
        <v>2061</v>
      </c>
      <c r="K593" s="143">
        <v>150</v>
      </c>
      <c r="L593" s="143">
        <v>75</v>
      </c>
      <c r="M593" s="143"/>
      <c r="N593" s="143"/>
      <c r="O593" s="143"/>
      <c r="P593" s="143"/>
      <c r="Q593" s="143"/>
      <c r="R593" s="143"/>
      <c r="S593" s="146"/>
      <c r="T593" s="146"/>
      <c r="U593" s="146"/>
      <c r="V593" s="147"/>
      <c r="W593" s="143" t="s">
        <v>49</v>
      </c>
      <c r="X593" s="143" t="s">
        <v>2062</v>
      </c>
      <c r="Y593" s="143" t="s">
        <v>1864</v>
      </c>
      <c r="Z593" s="143" t="s">
        <v>2062</v>
      </c>
      <c r="AA593" s="143"/>
      <c r="AB593" s="170"/>
      <c r="AC593" s="143"/>
      <c r="AD593" s="143"/>
      <c r="AE593" s="143"/>
      <c r="AF593" s="143"/>
      <c r="AG593" s="143" t="s">
        <v>301</v>
      </c>
      <c r="AH593" s="143"/>
      <c r="AI593" s="143"/>
      <c r="AJ593" s="143" t="s">
        <v>1169</v>
      </c>
      <c r="AK593" s="143"/>
      <c r="AL593" s="143"/>
      <c r="AM593" s="143"/>
    </row>
    <row r="594" s="140" customFormat="1" ht="15" spans="1:39">
      <c r="A594" s="143">
        <v>592</v>
      </c>
      <c r="B594" s="144"/>
      <c r="C594" s="143" t="s">
        <v>193</v>
      </c>
      <c r="D594" s="143" t="s">
        <v>229</v>
      </c>
      <c r="E594" s="145"/>
      <c r="F594" s="143"/>
      <c r="G594" s="143"/>
      <c r="H594" s="152" t="s">
        <v>2063</v>
      </c>
      <c r="I594" s="143" t="s">
        <v>2064</v>
      </c>
      <c r="J594" s="143" t="s">
        <v>2065</v>
      </c>
      <c r="K594" s="143">
        <v>150</v>
      </c>
      <c r="L594" s="143">
        <v>118</v>
      </c>
      <c r="M594" s="143"/>
      <c r="N594" s="143"/>
      <c r="O594" s="143"/>
      <c r="P594" s="143"/>
      <c r="Q594" s="143"/>
      <c r="R594" s="143"/>
      <c r="S594" s="146"/>
      <c r="T594" s="146"/>
      <c r="U594" s="146"/>
      <c r="V594" s="147"/>
      <c r="W594" s="143" t="s">
        <v>49</v>
      </c>
      <c r="X594" s="143" t="s">
        <v>2066</v>
      </c>
      <c r="Y594" s="143" t="s">
        <v>1743</v>
      </c>
      <c r="Z594" s="143" t="s">
        <v>2066</v>
      </c>
      <c r="AA594" s="143"/>
      <c r="AB594" s="170"/>
      <c r="AC594" s="143"/>
      <c r="AD594" s="143"/>
      <c r="AE594" s="143"/>
      <c r="AF594" s="143"/>
      <c r="AG594" s="143" t="s">
        <v>506</v>
      </c>
      <c r="AH594" s="143"/>
      <c r="AI594" s="143"/>
      <c r="AJ594" s="143" t="s">
        <v>508</v>
      </c>
      <c r="AK594" s="143"/>
      <c r="AL594" s="143"/>
      <c r="AM594" s="143"/>
    </row>
    <row r="595" s="140" customFormat="1" ht="15" spans="1:39">
      <c r="A595" s="143">
        <v>593</v>
      </c>
      <c r="B595" s="144"/>
      <c r="C595" s="143" t="s">
        <v>193</v>
      </c>
      <c r="D595" s="143" t="s">
        <v>229</v>
      </c>
      <c r="E595" s="145"/>
      <c r="F595" s="143"/>
      <c r="G595" s="143"/>
      <c r="H595" s="152" t="s">
        <v>2067</v>
      </c>
      <c r="I595" s="143" t="s">
        <v>2068</v>
      </c>
      <c r="J595" s="143" t="s">
        <v>2053</v>
      </c>
      <c r="K595" s="143">
        <v>145</v>
      </c>
      <c r="L595" s="143">
        <v>57</v>
      </c>
      <c r="M595" s="143"/>
      <c r="N595" s="143"/>
      <c r="O595" s="143"/>
      <c r="P595" s="143"/>
      <c r="Q595" s="143"/>
      <c r="R595" s="143"/>
      <c r="S595" s="146"/>
      <c r="T595" s="146"/>
      <c r="U595" s="146"/>
      <c r="V595" s="147"/>
      <c r="W595" s="143" t="s">
        <v>49</v>
      </c>
      <c r="X595" s="143" t="s">
        <v>2069</v>
      </c>
      <c r="Y595" s="143" t="s">
        <v>1743</v>
      </c>
      <c r="Z595" s="143" t="s">
        <v>2069</v>
      </c>
      <c r="AA595" s="143"/>
      <c r="AB595" s="170"/>
      <c r="AC595" s="143"/>
      <c r="AD595" s="143"/>
      <c r="AE595" s="143"/>
      <c r="AF595" s="143"/>
      <c r="AG595" s="143" t="s">
        <v>233</v>
      </c>
      <c r="AH595" s="143"/>
      <c r="AI595" s="143"/>
      <c r="AJ595" s="143" t="s">
        <v>1165</v>
      </c>
      <c r="AK595" s="143"/>
      <c r="AL595" s="143"/>
      <c r="AM595" s="143"/>
    </row>
    <row r="596" s="140" customFormat="1" ht="15" spans="1:39">
      <c r="A596" s="143">
        <v>594</v>
      </c>
      <c r="B596" s="144"/>
      <c r="C596" s="143" t="s">
        <v>193</v>
      </c>
      <c r="D596" s="143" t="s">
        <v>229</v>
      </c>
      <c r="E596" s="145"/>
      <c r="F596" s="143"/>
      <c r="G596" s="143"/>
      <c r="H596" s="152" t="s">
        <v>2070</v>
      </c>
      <c r="I596" s="143" t="s">
        <v>2071</v>
      </c>
      <c r="J596" s="143" t="s">
        <v>2072</v>
      </c>
      <c r="K596" s="143">
        <v>150</v>
      </c>
      <c r="L596" s="143">
        <v>135</v>
      </c>
      <c r="M596" s="143"/>
      <c r="N596" s="143"/>
      <c r="O596" s="143"/>
      <c r="P596" s="143"/>
      <c r="Q596" s="143"/>
      <c r="R596" s="143"/>
      <c r="S596" s="146"/>
      <c r="T596" s="146"/>
      <c r="U596" s="146"/>
      <c r="V596" s="147"/>
      <c r="W596" s="143" t="s">
        <v>49</v>
      </c>
      <c r="X596" s="143" t="s">
        <v>2073</v>
      </c>
      <c r="Y596" s="143" t="s">
        <v>1753</v>
      </c>
      <c r="Z596" s="143" t="s">
        <v>2073</v>
      </c>
      <c r="AA596" s="143"/>
      <c r="AB596" s="170"/>
      <c r="AC596" s="143"/>
      <c r="AD596" s="143"/>
      <c r="AE596" s="143"/>
      <c r="AF596" s="143"/>
      <c r="AG596" s="143" t="s">
        <v>506</v>
      </c>
      <c r="AH596" s="143"/>
      <c r="AI596" s="143"/>
      <c r="AJ596" s="143" t="s">
        <v>508</v>
      </c>
      <c r="AK596" s="143"/>
      <c r="AL596" s="143"/>
      <c r="AM596" s="143"/>
    </row>
    <row r="597" s="140" customFormat="1" ht="15" spans="1:39">
      <c r="A597" s="143">
        <v>595</v>
      </c>
      <c r="B597" s="144"/>
      <c r="C597" s="143" t="s">
        <v>193</v>
      </c>
      <c r="D597" s="143" t="s">
        <v>229</v>
      </c>
      <c r="E597" s="145"/>
      <c r="F597" s="143"/>
      <c r="G597" s="143"/>
      <c r="H597" s="174" t="s">
        <v>2074</v>
      </c>
      <c r="I597" s="143" t="s">
        <v>2052</v>
      </c>
      <c r="J597" s="143" t="s">
        <v>2053</v>
      </c>
      <c r="K597" s="143">
        <v>150</v>
      </c>
      <c r="L597" s="143">
        <v>150</v>
      </c>
      <c r="M597" s="143"/>
      <c r="N597" s="143"/>
      <c r="O597" s="143"/>
      <c r="P597" s="143"/>
      <c r="Q597" s="143"/>
      <c r="R597" s="143"/>
      <c r="S597" s="146"/>
      <c r="T597" s="146"/>
      <c r="U597" s="146"/>
      <c r="V597" s="147"/>
      <c r="W597" s="143" t="s">
        <v>49</v>
      </c>
      <c r="X597" s="143" t="s">
        <v>2075</v>
      </c>
      <c r="Y597" s="143" t="s">
        <v>1735</v>
      </c>
      <c r="Z597" s="143" t="s">
        <v>2075</v>
      </c>
      <c r="AA597" s="173"/>
      <c r="AB597" s="170"/>
      <c r="AC597" s="143"/>
      <c r="AD597" s="143"/>
      <c r="AE597" s="143"/>
      <c r="AF597" s="143"/>
      <c r="AG597" s="143" t="s">
        <v>301</v>
      </c>
      <c r="AH597" s="143" t="s">
        <v>507</v>
      </c>
      <c r="AI597" s="143"/>
      <c r="AJ597" s="143" t="s">
        <v>1169</v>
      </c>
      <c r="AK597" s="143"/>
      <c r="AL597" s="143"/>
      <c r="AM597" s="143"/>
    </row>
    <row r="598" s="140" customFormat="1" ht="15" spans="1:39">
      <c r="A598" s="143">
        <v>596</v>
      </c>
      <c r="B598" s="144"/>
      <c r="C598" s="143" t="s">
        <v>193</v>
      </c>
      <c r="D598" s="143" t="s">
        <v>229</v>
      </c>
      <c r="E598" s="145"/>
      <c r="F598" s="143"/>
      <c r="G598" s="143"/>
      <c r="H598" s="172" t="s">
        <v>2076</v>
      </c>
      <c r="I598" s="143" t="s">
        <v>324</v>
      </c>
      <c r="J598" s="143" t="s">
        <v>517</v>
      </c>
      <c r="K598" s="143">
        <v>153</v>
      </c>
      <c r="L598" s="143">
        <v>130</v>
      </c>
      <c r="M598" s="143"/>
      <c r="N598" s="143"/>
      <c r="O598" s="143"/>
      <c r="P598" s="143"/>
      <c r="Q598" s="143"/>
      <c r="R598" s="143"/>
      <c r="S598" s="146"/>
      <c r="T598" s="146"/>
      <c r="U598" s="146"/>
      <c r="V598" s="147"/>
      <c r="W598" s="143" t="s">
        <v>49</v>
      </c>
      <c r="X598" s="143" t="s">
        <v>2077</v>
      </c>
      <c r="Y598" s="143" t="s">
        <v>1727</v>
      </c>
      <c r="Z598" s="143" t="s">
        <v>2077</v>
      </c>
      <c r="AA598" s="173"/>
      <c r="AB598" s="170">
        <v>46104</v>
      </c>
      <c r="AC598" s="143"/>
      <c r="AD598" s="143"/>
      <c r="AE598" s="143"/>
      <c r="AF598" s="143"/>
      <c r="AG598" s="143" t="s">
        <v>301</v>
      </c>
      <c r="AH598" s="143" t="s">
        <v>250</v>
      </c>
      <c r="AI598" s="143"/>
      <c r="AJ598" s="143" t="s">
        <v>302</v>
      </c>
      <c r="AK598" s="143"/>
      <c r="AL598" s="143"/>
      <c r="AM598" s="143"/>
    </row>
    <row r="599" s="140" customFormat="1" ht="15" spans="1:39">
      <c r="A599" s="143">
        <v>597</v>
      </c>
      <c r="B599" s="144"/>
      <c r="C599" s="143" t="s">
        <v>193</v>
      </c>
      <c r="D599" s="143" t="s">
        <v>229</v>
      </c>
      <c r="E599" s="145"/>
      <c r="F599" s="143"/>
      <c r="G599" s="143"/>
      <c r="H599" s="152" t="s">
        <v>2078</v>
      </c>
      <c r="I599" s="143" t="s">
        <v>1424</v>
      </c>
      <c r="J599" s="143" t="s">
        <v>1425</v>
      </c>
      <c r="K599" s="143">
        <v>150</v>
      </c>
      <c r="L599" s="143"/>
      <c r="M599" s="143"/>
      <c r="N599" s="143"/>
      <c r="O599" s="143"/>
      <c r="P599" s="143"/>
      <c r="Q599" s="143"/>
      <c r="R599" s="143"/>
      <c r="S599" s="146"/>
      <c r="T599" s="146"/>
      <c r="U599" s="146"/>
      <c r="V599" s="147"/>
      <c r="W599" s="143" t="s">
        <v>49</v>
      </c>
      <c r="X599" s="143">
        <v>1018</v>
      </c>
      <c r="Y599" s="143" t="s">
        <v>1762</v>
      </c>
      <c r="Z599" s="143">
        <v>1018</v>
      </c>
      <c r="AA599" s="143"/>
      <c r="AB599" s="170"/>
      <c r="AC599" s="143"/>
      <c r="AD599" s="143"/>
      <c r="AE599" s="143"/>
      <c r="AF599" s="143"/>
      <c r="AG599" s="143" t="s">
        <v>1173</v>
      </c>
      <c r="AH599" s="143"/>
      <c r="AI599" s="143"/>
      <c r="AJ599" s="143" t="s">
        <v>1174</v>
      </c>
      <c r="AK599" s="143"/>
      <c r="AL599" s="143"/>
      <c r="AM599" s="143"/>
    </row>
    <row r="600" s="140" customFormat="1" ht="15" spans="1:39">
      <c r="A600" s="143">
        <v>598</v>
      </c>
      <c r="B600" s="144"/>
      <c r="C600" s="143" t="s">
        <v>193</v>
      </c>
      <c r="D600" s="143" t="s">
        <v>229</v>
      </c>
      <c r="E600" s="145"/>
      <c r="F600" s="143"/>
      <c r="G600" s="143"/>
      <c r="H600" s="152" t="s">
        <v>2079</v>
      </c>
      <c r="I600" s="143" t="s">
        <v>2080</v>
      </c>
      <c r="J600" s="143" t="s">
        <v>2081</v>
      </c>
      <c r="K600" s="143">
        <v>150</v>
      </c>
      <c r="L600" s="143">
        <v>260</v>
      </c>
      <c r="M600" s="143"/>
      <c r="N600" s="143"/>
      <c r="O600" s="143"/>
      <c r="P600" s="143"/>
      <c r="Q600" s="143"/>
      <c r="R600" s="143"/>
      <c r="S600" s="146"/>
      <c r="T600" s="146"/>
      <c r="U600" s="146"/>
      <c r="V600" s="147"/>
      <c r="W600" s="143" t="s">
        <v>49</v>
      </c>
      <c r="X600" s="143" t="s">
        <v>2082</v>
      </c>
      <c r="Y600" s="143" t="s">
        <v>1681</v>
      </c>
      <c r="Z600" s="143" t="s">
        <v>2082</v>
      </c>
      <c r="AA600" s="143"/>
      <c r="AB600" s="170"/>
      <c r="AC600" s="143"/>
      <c r="AD600" s="143"/>
      <c r="AE600" s="143"/>
      <c r="AF600" s="143"/>
      <c r="AG600" s="143" t="s">
        <v>1173</v>
      </c>
      <c r="AH600" s="143"/>
      <c r="AI600" s="143"/>
      <c r="AJ600" s="143" t="s">
        <v>1174</v>
      </c>
      <c r="AK600" s="143"/>
      <c r="AL600" s="143"/>
      <c r="AM600" s="143"/>
    </row>
    <row r="601" s="140" customFormat="1" ht="15" spans="1:39">
      <c r="A601" s="143">
        <v>599</v>
      </c>
      <c r="B601" s="144"/>
      <c r="C601" s="143" t="s">
        <v>193</v>
      </c>
      <c r="D601" s="143" t="s">
        <v>229</v>
      </c>
      <c r="E601" s="145"/>
      <c r="F601" s="143"/>
      <c r="G601" s="143"/>
      <c r="H601" s="152" t="s">
        <v>2083</v>
      </c>
      <c r="I601" s="143" t="s">
        <v>1785</v>
      </c>
      <c r="J601" s="143" t="s">
        <v>1425</v>
      </c>
      <c r="K601" s="143">
        <v>150</v>
      </c>
      <c r="L601" s="143">
        <v>260</v>
      </c>
      <c r="M601" s="143"/>
      <c r="N601" s="143"/>
      <c r="O601" s="143"/>
      <c r="P601" s="143"/>
      <c r="Q601" s="143"/>
      <c r="R601" s="143"/>
      <c r="S601" s="146"/>
      <c r="T601" s="146"/>
      <c r="U601" s="146"/>
      <c r="V601" s="147"/>
      <c r="W601" s="143" t="s">
        <v>49</v>
      </c>
      <c r="X601" s="143" t="s">
        <v>2084</v>
      </c>
      <c r="Y601" s="143" t="s">
        <v>1681</v>
      </c>
      <c r="Z601" s="143" t="s">
        <v>2084</v>
      </c>
      <c r="AA601" s="143"/>
      <c r="AB601" s="170"/>
      <c r="AC601" s="143"/>
      <c r="AD601" s="143"/>
      <c r="AE601" s="143"/>
      <c r="AF601" s="143"/>
      <c r="AG601" s="143" t="s">
        <v>233</v>
      </c>
      <c r="AH601" s="143"/>
      <c r="AI601" s="143"/>
      <c r="AJ601" s="143" t="s">
        <v>1189</v>
      </c>
      <c r="AK601" s="143"/>
      <c r="AL601" s="143"/>
      <c r="AM601" s="143"/>
    </row>
    <row r="602" s="140" customFormat="1" ht="15" spans="1:39">
      <c r="A602" s="143">
        <v>600</v>
      </c>
      <c r="B602" s="144"/>
      <c r="C602" s="143" t="s">
        <v>193</v>
      </c>
      <c r="D602" s="143" t="s">
        <v>229</v>
      </c>
      <c r="E602" s="145"/>
      <c r="F602" s="143"/>
      <c r="G602" s="143"/>
      <c r="H602" s="152" t="s">
        <v>2085</v>
      </c>
      <c r="I602" s="143" t="s">
        <v>2086</v>
      </c>
      <c r="J602" s="143" t="s">
        <v>2087</v>
      </c>
      <c r="K602" s="143">
        <v>150</v>
      </c>
      <c r="L602" s="143">
        <v>390</v>
      </c>
      <c r="M602" s="143"/>
      <c r="N602" s="143"/>
      <c r="O602" s="143"/>
      <c r="P602" s="143"/>
      <c r="Q602" s="143"/>
      <c r="R602" s="143"/>
      <c r="S602" s="146"/>
      <c r="T602" s="146"/>
      <c r="U602" s="146"/>
      <c r="V602" s="147"/>
      <c r="W602" s="143" t="s">
        <v>49</v>
      </c>
      <c r="X602" s="143" t="s">
        <v>2088</v>
      </c>
      <c r="Y602" s="143" t="s">
        <v>591</v>
      </c>
      <c r="Z602" s="143" t="s">
        <v>2088</v>
      </c>
      <c r="AA602" s="143"/>
      <c r="AB602" s="170"/>
      <c r="AC602" s="143"/>
      <c r="AD602" s="143"/>
      <c r="AE602" s="143"/>
      <c r="AF602" s="143"/>
      <c r="AG602" s="143" t="s">
        <v>301</v>
      </c>
      <c r="AH602" s="143"/>
      <c r="AI602" s="143"/>
      <c r="AJ602" s="143" t="s">
        <v>544</v>
      </c>
      <c r="AK602" s="143"/>
      <c r="AL602" s="143"/>
      <c r="AM602" s="143"/>
    </row>
    <row r="603" s="140" customFormat="1" ht="15" spans="1:39">
      <c r="A603" s="143">
        <v>601</v>
      </c>
      <c r="B603" s="144"/>
      <c r="C603" s="143" t="s">
        <v>193</v>
      </c>
      <c r="D603" s="143" t="s">
        <v>229</v>
      </c>
      <c r="E603" s="145"/>
      <c r="F603" s="143"/>
      <c r="G603" s="143"/>
      <c r="H603" s="152" t="s">
        <v>2089</v>
      </c>
      <c r="I603" s="143" t="s">
        <v>2090</v>
      </c>
      <c r="J603" s="143" t="s">
        <v>1796</v>
      </c>
      <c r="K603" s="143">
        <v>150</v>
      </c>
      <c r="L603" s="143">
        <v>280</v>
      </c>
      <c r="M603" s="143"/>
      <c r="N603" s="143"/>
      <c r="O603" s="143"/>
      <c r="P603" s="143"/>
      <c r="Q603" s="143"/>
      <c r="R603" s="143"/>
      <c r="S603" s="146"/>
      <c r="T603" s="146"/>
      <c r="U603" s="146"/>
      <c r="V603" s="147"/>
      <c r="W603" s="143" t="s">
        <v>49</v>
      </c>
      <c r="X603" s="143" t="s">
        <v>2091</v>
      </c>
      <c r="Y603" s="143" t="s">
        <v>1791</v>
      </c>
      <c r="Z603" s="143" t="s">
        <v>2091</v>
      </c>
      <c r="AA603" s="143"/>
      <c r="AB603" s="170"/>
      <c r="AC603" s="143"/>
      <c r="AD603" s="143"/>
      <c r="AE603" s="143"/>
      <c r="AF603" s="143"/>
      <c r="AG603" s="143" t="s">
        <v>1173</v>
      </c>
      <c r="AH603" s="143"/>
      <c r="AI603" s="143"/>
      <c r="AJ603" s="143" t="s">
        <v>1388</v>
      </c>
      <c r="AK603" s="143"/>
      <c r="AL603" s="143"/>
      <c r="AM603" s="143"/>
    </row>
    <row r="604" s="140" customFormat="1" ht="15" spans="1:39">
      <c r="A604" s="143">
        <v>602</v>
      </c>
      <c r="B604" s="144"/>
      <c r="C604" s="143" t="s">
        <v>193</v>
      </c>
      <c r="D604" s="143" t="s">
        <v>229</v>
      </c>
      <c r="E604" s="145"/>
      <c r="F604" s="143"/>
      <c r="G604" s="143"/>
      <c r="H604" s="152" t="s">
        <v>2092</v>
      </c>
      <c r="I604" s="143" t="s">
        <v>2093</v>
      </c>
      <c r="J604" s="143" t="s">
        <v>2094</v>
      </c>
      <c r="K604" s="143">
        <v>150</v>
      </c>
      <c r="L604" s="143"/>
      <c r="M604" s="143"/>
      <c r="N604" s="143"/>
      <c r="O604" s="143"/>
      <c r="P604" s="143"/>
      <c r="Q604" s="143"/>
      <c r="R604" s="143"/>
      <c r="S604" s="146"/>
      <c r="T604" s="146"/>
      <c r="U604" s="146"/>
      <c r="V604" s="147"/>
      <c r="W604" s="143" t="s">
        <v>49</v>
      </c>
      <c r="X604" s="143">
        <v>6429</v>
      </c>
      <c r="Y604" s="143" t="s">
        <v>1836</v>
      </c>
      <c r="Z604" s="143">
        <v>6429</v>
      </c>
      <c r="AA604" s="143"/>
      <c r="AB604" s="170"/>
      <c r="AC604" s="143"/>
      <c r="AD604" s="143"/>
      <c r="AE604" s="143"/>
      <c r="AF604" s="143"/>
      <c r="AG604" s="143" t="s">
        <v>1071</v>
      </c>
      <c r="AH604" s="143"/>
      <c r="AI604" s="143"/>
      <c r="AJ604" s="143" t="s">
        <v>1076</v>
      </c>
      <c r="AK604" s="143"/>
      <c r="AL604" s="143"/>
      <c r="AM604" s="143"/>
    </row>
    <row r="605" s="140" customFormat="1" ht="15" spans="1:39">
      <c r="A605" s="143">
        <v>603</v>
      </c>
      <c r="B605" s="144"/>
      <c r="C605" s="143" t="s">
        <v>193</v>
      </c>
      <c r="D605" s="143" t="s">
        <v>229</v>
      </c>
      <c r="E605" s="145"/>
      <c r="F605" s="143"/>
      <c r="G605" s="143"/>
      <c r="H605" s="152" t="s">
        <v>2095</v>
      </c>
      <c r="I605" s="143" t="s">
        <v>2096</v>
      </c>
      <c r="J605" s="143" t="s">
        <v>2097</v>
      </c>
      <c r="K605" s="143">
        <v>150</v>
      </c>
      <c r="L605" s="143"/>
      <c r="M605" s="143"/>
      <c r="N605" s="143"/>
      <c r="O605" s="143"/>
      <c r="P605" s="143"/>
      <c r="Q605" s="143"/>
      <c r="R605" s="143"/>
      <c r="S605" s="146"/>
      <c r="T605" s="146"/>
      <c r="U605" s="146"/>
      <c r="V605" s="147"/>
      <c r="W605" s="143" t="s">
        <v>49</v>
      </c>
      <c r="X605" s="143" t="s">
        <v>2098</v>
      </c>
      <c r="Y605" s="143" t="s">
        <v>1666</v>
      </c>
      <c r="Z605" s="143" t="s">
        <v>2098</v>
      </c>
      <c r="AA605" s="143"/>
      <c r="AB605" s="170"/>
      <c r="AC605" s="143"/>
      <c r="AD605" s="143"/>
      <c r="AE605" s="143"/>
      <c r="AF605" s="143"/>
      <c r="AG605" s="143" t="s">
        <v>1173</v>
      </c>
      <c r="AH605" s="143"/>
      <c r="AI605" s="143"/>
      <c r="AJ605" s="143" t="s">
        <v>1174</v>
      </c>
      <c r="AK605" s="143"/>
      <c r="AL605" s="143"/>
      <c r="AM605" s="143"/>
    </row>
    <row r="606" s="140" customFormat="1" ht="15" spans="1:39">
      <c r="A606" s="143">
        <v>604</v>
      </c>
      <c r="B606" s="144"/>
      <c r="C606" s="143" t="s">
        <v>193</v>
      </c>
      <c r="D606" s="143" t="s">
        <v>229</v>
      </c>
      <c r="E606" s="145"/>
      <c r="F606" s="143"/>
      <c r="G606" s="143"/>
      <c r="H606" s="172" t="s">
        <v>2099</v>
      </c>
      <c r="I606" s="143" t="s">
        <v>436</v>
      </c>
      <c r="J606" s="143" t="s">
        <v>559</v>
      </c>
      <c r="K606" s="143">
        <v>150</v>
      </c>
      <c r="L606" s="143">
        <v>230</v>
      </c>
      <c r="M606" s="143"/>
      <c r="N606" s="143"/>
      <c r="O606" s="143"/>
      <c r="P606" s="143"/>
      <c r="Q606" s="143"/>
      <c r="R606" s="143"/>
      <c r="S606" s="146"/>
      <c r="T606" s="146"/>
      <c r="U606" s="146"/>
      <c r="V606" s="147"/>
      <c r="W606" s="143" t="s">
        <v>49</v>
      </c>
      <c r="X606" s="143" t="s">
        <v>2100</v>
      </c>
      <c r="Y606" s="143" t="s">
        <v>1765</v>
      </c>
      <c r="Z606" s="143" t="s">
        <v>2100</v>
      </c>
      <c r="AA606" s="173"/>
      <c r="AB606" s="170">
        <v>46104</v>
      </c>
      <c r="AC606" s="143"/>
      <c r="AD606" s="143"/>
      <c r="AE606" s="143"/>
      <c r="AF606" s="143"/>
      <c r="AG606" s="143" t="s">
        <v>301</v>
      </c>
      <c r="AH606" s="143" t="s">
        <v>250</v>
      </c>
      <c r="AI606" s="143"/>
      <c r="AJ606" s="143" t="s">
        <v>544</v>
      </c>
      <c r="AK606" s="143"/>
      <c r="AL606" s="143"/>
      <c r="AM606" s="143"/>
    </row>
    <row r="607" s="140" customFormat="1" ht="15" spans="1:39">
      <c r="A607" s="143">
        <v>605</v>
      </c>
      <c r="B607" s="144"/>
      <c r="C607" s="143" t="s">
        <v>193</v>
      </c>
      <c r="D607" s="143" t="s">
        <v>229</v>
      </c>
      <c r="E607" s="145"/>
      <c r="F607" s="143"/>
      <c r="G607" s="143"/>
      <c r="H607" s="152" t="s">
        <v>2101</v>
      </c>
      <c r="I607" s="143" t="s">
        <v>431</v>
      </c>
      <c r="J607" s="143" t="s">
        <v>2102</v>
      </c>
      <c r="K607" s="143">
        <v>150</v>
      </c>
      <c r="L607" s="143"/>
      <c r="M607" s="143"/>
      <c r="N607" s="143"/>
      <c r="O607" s="143"/>
      <c r="P607" s="143"/>
      <c r="Q607" s="143"/>
      <c r="R607" s="143"/>
      <c r="S607" s="146"/>
      <c r="T607" s="146"/>
      <c r="U607" s="146"/>
      <c r="V607" s="147"/>
      <c r="W607" s="143" t="s">
        <v>49</v>
      </c>
      <c r="X607" s="143">
        <v>6531</v>
      </c>
      <c r="Y607" s="143" t="s">
        <v>1836</v>
      </c>
      <c r="Z607" s="143">
        <v>6531</v>
      </c>
      <c r="AA607" s="143"/>
      <c r="AB607" s="170"/>
      <c r="AC607" s="143"/>
      <c r="AD607" s="143"/>
      <c r="AE607" s="143"/>
      <c r="AF607" s="143"/>
      <c r="AG607" s="143" t="s">
        <v>1173</v>
      </c>
      <c r="AH607" s="143"/>
      <c r="AI607" s="143"/>
      <c r="AJ607" s="143" t="s">
        <v>1174</v>
      </c>
      <c r="AK607" s="143"/>
      <c r="AL607" s="143"/>
      <c r="AM607" s="143"/>
    </row>
    <row r="608" s="140" customFormat="1" ht="15" spans="1:39">
      <c r="A608" s="143">
        <v>606</v>
      </c>
      <c r="B608" s="144">
        <v>45826</v>
      </c>
      <c r="C608" s="143" t="s">
        <v>40</v>
      </c>
      <c r="D608" s="143" t="s">
        <v>41</v>
      </c>
      <c r="E608" s="145"/>
      <c r="F608" s="143" t="s">
        <v>2103</v>
      </c>
      <c r="G608" s="143"/>
      <c r="H608" s="143" t="s">
        <v>2104</v>
      </c>
      <c r="I608" s="143" t="s">
        <v>2105</v>
      </c>
      <c r="J608" s="143" t="s">
        <v>2106</v>
      </c>
      <c r="K608" s="143">
        <v>150</v>
      </c>
      <c r="L608" s="143">
        <v>65</v>
      </c>
      <c r="M608" s="143"/>
      <c r="N608" s="143"/>
      <c r="O608" s="143"/>
      <c r="P608" s="143"/>
      <c r="Q608" s="143"/>
      <c r="R608" s="143"/>
      <c r="S608" s="146"/>
      <c r="T608" s="146"/>
      <c r="U608" s="146"/>
      <c r="V608" s="147"/>
      <c r="W608" s="143" t="s">
        <v>49</v>
      </c>
      <c r="X608" s="143" t="s">
        <v>2103</v>
      </c>
      <c r="Y608" s="169" t="s">
        <v>2107</v>
      </c>
      <c r="Z608" s="143" t="s">
        <v>2103</v>
      </c>
      <c r="AA608" s="143">
        <v>12.6</v>
      </c>
      <c r="AB608" s="170">
        <v>45826</v>
      </c>
      <c r="AC608" s="143"/>
      <c r="AD608" s="143"/>
      <c r="AE608" s="143"/>
      <c r="AF608" s="143"/>
      <c r="AG608" s="143"/>
      <c r="AH608" s="143"/>
      <c r="AI608" s="143"/>
      <c r="AJ608" s="143"/>
      <c r="AK608" s="143"/>
      <c r="AL608" s="143"/>
      <c r="AM608" s="143"/>
    </row>
    <row r="609" s="140" customFormat="1" ht="15" spans="1:39">
      <c r="A609" s="143">
        <v>607</v>
      </c>
      <c r="B609" s="144">
        <v>45826</v>
      </c>
      <c r="C609" s="143" t="s">
        <v>40</v>
      </c>
      <c r="D609" s="143" t="s">
        <v>41</v>
      </c>
      <c r="E609" s="145"/>
      <c r="F609" s="143" t="s">
        <v>2108</v>
      </c>
      <c r="G609" s="143"/>
      <c r="H609" s="143" t="s">
        <v>2109</v>
      </c>
      <c r="I609" s="143" t="s">
        <v>2110</v>
      </c>
      <c r="J609" s="143" t="s">
        <v>2111</v>
      </c>
      <c r="K609" s="143">
        <v>140</v>
      </c>
      <c r="L609" s="143">
        <v>200</v>
      </c>
      <c r="M609" s="143"/>
      <c r="N609" s="143"/>
      <c r="O609" s="143"/>
      <c r="P609" s="143"/>
      <c r="Q609" s="143"/>
      <c r="R609" s="143"/>
      <c r="S609" s="146"/>
      <c r="T609" s="146"/>
      <c r="U609" s="146"/>
      <c r="V609" s="147"/>
      <c r="W609" s="143" t="s">
        <v>49</v>
      </c>
      <c r="X609" s="143" t="s">
        <v>2108</v>
      </c>
      <c r="Y609" s="169" t="s">
        <v>2107</v>
      </c>
      <c r="Z609" s="143" t="s">
        <v>2108</v>
      </c>
      <c r="AA609" s="143">
        <v>11.7</v>
      </c>
      <c r="AB609" s="170">
        <v>45826</v>
      </c>
      <c r="AC609" s="143"/>
      <c r="AD609" s="143"/>
      <c r="AE609" s="143"/>
      <c r="AF609" s="143"/>
      <c r="AG609" s="143"/>
      <c r="AH609" s="143"/>
      <c r="AI609" s="143"/>
      <c r="AJ609" s="143"/>
      <c r="AK609" s="143"/>
      <c r="AL609" s="143"/>
      <c r="AM609" s="143"/>
    </row>
    <row r="610" s="140" customFormat="1" ht="15" spans="1:39">
      <c r="A610" s="143">
        <v>608</v>
      </c>
      <c r="B610" s="144">
        <v>45826</v>
      </c>
      <c r="C610" s="143" t="s">
        <v>40</v>
      </c>
      <c r="D610" s="143" t="s">
        <v>41</v>
      </c>
      <c r="E610" s="145"/>
      <c r="F610" s="143" t="s">
        <v>2112</v>
      </c>
      <c r="G610" s="143"/>
      <c r="H610" s="152" t="s">
        <v>2113</v>
      </c>
      <c r="I610" s="143" t="s">
        <v>2114</v>
      </c>
      <c r="J610" s="143" t="s">
        <v>2115</v>
      </c>
      <c r="K610" s="143">
        <v>150</v>
      </c>
      <c r="L610" s="143">
        <v>150</v>
      </c>
      <c r="M610" s="143"/>
      <c r="N610" s="143"/>
      <c r="O610" s="143"/>
      <c r="P610" s="143"/>
      <c r="Q610" s="143"/>
      <c r="R610" s="143"/>
      <c r="S610" s="146"/>
      <c r="T610" s="146"/>
      <c r="U610" s="146"/>
      <c r="V610" s="147"/>
      <c r="W610" s="143" t="s">
        <v>49</v>
      </c>
      <c r="X610" s="143" t="s">
        <v>2112</v>
      </c>
      <c r="Y610" s="169" t="s">
        <v>2107</v>
      </c>
      <c r="Z610" s="143" t="s">
        <v>2112</v>
      </c>
      <c r="AA610" s="143">
        <v>11.3</v>
      </c>
      <c r="AB610" s="170">
        <v>45826</v>
      </c>
      <c r="AC610" s="143"/>
      <c r="AD610" s="143"/>
      <c r="AE610" s="143"/>
      <c r="AF610" s="143"/>
      <c r="AG610" s="143"/>
      <c r="AH610" s="169" t="s">
        <v>2116</v>
      </c>
      <c r="AI610" s="143"/>
      <c r="AJ610" s="143"/>
      <c r="AK610" s="143"/>
      <c r="AL610" s="143"/>
      <c r="AM610" s="143"/>
    </row>
    <row r="611" s="140" customFormat="1" ht="15" spans="1:39">
      <c r="A611" s="143">
        <v>609</v>
      </c>
      <c r="B611" s="144">
        <v>45826</v>
      </c>
      <c r="C611" s="143" t="s">
        <v>40</v>
      </c>
      <c r="D611" s="143" t="s">
        <v>41</v>
      </c>
      <c r="E611" s="145"/>
      <c r="F611" s="143" t="s">
        <v>2117</v>
      </c>
      <c r="G611" s="143"/>
      <c r="H611" s="152" t="s">
        <v>2118</v>
      </c>
      <c r="I611" s="143" t="s">
        <v>2119</v>
      </c>
      <c r="J611" s="143" t="s">
        <v>2120</v>
      </c>
      <c r="K611" s="143">
        <v>138</v>
      </c>
      <c r="L611" s="143">
        <v>190</v>
      </c>
      <c r="M611" s="143"/>
      <c r="N611" s="143"/>
      <c r="O611" s="143"/>
      <c r="P611" s="143"/>
      <c r="Q611" s="143"/>
      <c r="R611" s="143"/>
      <c r="S611" s="146"/>
      <c r="T611" s="146"/>
      <c r="U611" s="146"/>
      <c r="V611" s="147"/>
      <c r="W611" s="143" t="s">
        <v>49</v>
      </c>
      <c r="X611" s="143" t="s">
        <v>2117</v>
      </c>
      <c r="Y611" s="169" t="s">
        <v>2107</v>
      </c>
      <c r="Z611" s="143" t="s">
        <v>2117</v>
      </c>
      <c r="AA611" s="143">
        <v>12.8</v>
      </c>
      <c r="AB611" s="170">
        <v>45826</v>
      </c>
      <c r="AC611" s="143"/>
      <c r="AD611" s="143"/>
      <c r="AE611" s="143"/>
      <c r="AF611" s="143"/>
      <c r="AG611" s="143"/>
      <c r="AH611" s="143"/>
      <c r="AI611" s="143"/>
      <c r="AJ611" s="143"/>
      <c r="AK611" s="143"/>
      <c r="AL611" s="143"/>
      <c r="AM611" s="143"/>
    </row>
    <row r="612" s="140" customFormat="1" ht="15" spans="1:39">
      <c r="A612" s="143">
        <v>610</v>
      </c>
      <c r="B612" s="144">
        <v>45826</v>
      </c>
      <c r="C612" s="143" t="s">
        <v>40</v>
      </c>
      <c r="D612" s="143" t="s">
        <v>41</v>
      </c>
      <c r="E612" s="145"/>
      <c r="F612" s="143" t="s">
        <v>2121</v>
      </c>
      <c r="G612" s="143"/>
      <c r="H612" s="143" t="s">
        <v>2122</v>
      </c>
      <c r="I612" s="143" t="s">
        <v>2123</v>
      </c>
      <c r="J612" s="143" t="s">
        <v>2124</v>
      </c>
      <c r="K612" s="143">
        <v>140</v>
      </c>
      <c r="L612" s="143">
        <v>170</v>
      </c>
      <c r="M612" s="143"/>
      <c r="N612" s="143"/>
      <c r="O612" s="143"/>
      <c r="P612" s="143"/>
      <c r="Q612" s="143"/>
      <c r="R612" s="143"/>
      <c r="S612" s="146"/>
      <c r="T612" s="146"/>
      <c r="U612" s="146"/>
      <c r="V612" s="147"/>
      <c r="W612" s="143" t="s">
        <v>49</v>
      </c>
      <c r="X612" s="143" t="s">
        <v>2121</v>
      </c>
      <c r="Y612" s="169" t="s">
        <v>2107</v>
      </c>
      <c r="Z612" s="143" t="s">
        <v>2121</v>
      </c>
      <c r="AA612" s="143">
        <v>10.8</v>
      </c>
      <c r="AB612" s="170">
        <v>45826</v>
      </c>
      <c r="AC612" s="143"/>
      <c r="AD612" s="143"/>
      <c r="AE612" s="143"/>
      <c r="AF612" s="143"/>
      <c r="AG612" s="143"/>
      <c r="AH612" s="143"/>
      <c r="AI612" s="143"/>
      <c r="AJ612" s="143"/>
      <c r="AK612" s="143"/>
      <c r="AL612" s="143"/>
      <c r="AM612" s="143"/>
    </row>
    <row r="613" s="140" customFormat="1" ht="15" spans="1:39">
      <c r="A613" s="143">
        <v>611</v>
      </c>
      <c r="B613" s="144">
        <v>45826</v>
      </c>
      <c r="C613" s="143" t="s">
        <v>40</v>
      </c>
      <c r="D613" s="143" t="s">
        <v>41</v>
      </c>
      <c r="E613" s="145"/>
      <c r="F613" s="270" t="s">
        <v>2125</v>
      </c>
      <c r="G613" s="143"/>
      <c r="H613" s="143" t="s">
        <v>2126</v>
      </c>
      <c r="I613" s="143" t="s">
        <v>2127</v>
      </c>
      <c r="J613" s="143" t="s">
        <v>2128</v>
      </c>
      <c r="K613" s="143">
        <v>140</v>
      </c>
      <c r="L613" s="143">
        <v>115</v>
      </c>
      <c r="M613" s="143"/>
      <c r="N613" s="143"/>
      <c r="O613" s="143"/>
      <c r="P613" s="143"/>
      <c r="Q613" s="143"/>
      <c r="R613" s="143"/>
      <c r="S613" s="146"/>
      <c r="T613" s="146"/>
      <c r="U613" s="146"/>
      <c r="V613" s="147"/>
      <c r="W613" s="143" t="s">
        <v>49</v>
      </c>
      <c r="X613" s="270" t="s">
        <v>2125</v>
      </c>
      <c r="Y613" s="143" t="s">
        <v>2129</v>
      </c>
      <c r="Z613" s="270" t="s">
        <v>2125</v>
      </c>
      <c r="AA613" s="143">
        <v>12</v>
      </c>
      <c r="AB613" s="170">
        <v>45826</v>
      </c>
      <c r="AC613" s="143"/>
      <c r="AD613" s="143"/>
      <c r="AE613" s="143"/>
      <c r="AF613" s="143"/>
      <c r="AG613" s="143"/>
      <c r="AH613" s="143"/>
      <c r="AI613" s="143"/>
      <c r="AJ613" s="143"/>
      <c r="AK613" s="143"/>
      <c r="AL613" s="143"/>
      <c r="AM613" s="143"/>
    </row>
    <row r="614" s="140" customFormat="1" ht="16.5" spans="1:39">
      <c r="A614" s="143">
        <v>612</v>
      </c>
      <c r="B614" s="144">
        <v>45826</v>
      </c>
      <c r="C614" s="143" t="s">
        <v>40</v>
      </c>
      <c r="D614" s="143" t="s">
        <v>41</v>
      </c>
      <c r="E614" s="145"/>
      <c r="F614" s="143">
        <v>317</v>
      </c>
      <c r="G614" s="143"/>
      <c r="H614" s="143" t="s">
        <v>2130</v>
      </c>
      <c r="I614" s="143" t="s">
        <v>2131</v>
      </c>
      <c r="J614" s="143" t="s">
        <v>907</v>
      </c>
      <c r="K614" s="143">
        <v>140</v>
      </c>
      <c r="L614" s="143">
        <v>145</v>
      </c>
      <c r="M614" s="143"/>
      <c r="N614" s="143"/>
      <c r="O614" s="143"/>
      <c r="P614" s="143"/>
      <c r="Q614" s="143"/>
      <c r="R614" s="143"/>
      <c r="S614" s="146"/>
      <c r="T614" s="146"/>
      <c r="U614" s="146"/>
      <c r="V614" s="147"/>
      <c r="W614" s="143" t="s">
        <v>49</v>
      </c>
      <c r="X614" s="143">
        <v>317</v>
      </c>
      <c r="Y614" s="143" t="s">
        <v>2129</v>
      </c>
      <c r="Z614" s="143">
        <v>317</v>
      </c>
      <c r="AA614" s="143">
        <v>14.8</v>
      </c>
      <c r="AB614" s="170">
        <v>45826</v>
      </c>
      <c r="AC614" s="143"/>
      <c r="AD614" s="143"/>
      <c r="AE614" s="143"/>
      <c r="AF614" s="143"/>
      <c r="AG614" s="143"/>
      <c r="AH614" s="143"/>
      <c r="AI614" s="143"/>
      <c r="AJ614" s="143"/>
      <c r="AK614" s="143"/>
      <c r="AL614" s="143"/>
      <c r="AM614" s="143"/>
    </row>
    <row r="615" s="140" customFormat="1" ht="15" spans="1:39">
      <c r="A615" s="143">
        <v>613</v>
      </c>
      <c r="B615" s="144">
        <v>45826</v>
      </c>
      <c r="C615" s="143" t="s">
        <v>40</v>
      </c>
      <c r="D615" s="143" t="s">
        <v>41</v>
      </c>
      <c r="E615" s="145"/>
      <c r="F615" s="143" t="s">
        <v>2132</v>
      </c>
      <c r="G615" s="143"/>
      <c r="H615" s="143" t="s">
        <v>2133</v>
      </c>
      <c r="I615" s="143" t="s">
        <v>2134</v>
      </c>
      <c r="J615" s="143" t="s">
        <v>2120</v>
      </c>
      <c r="K615" s="143">
        <v>140</v>
      </c>
      <c r="L615" s="143">
        <v>170</v>
      </c>
      <c r="M615" s="143"/>
      <c r="N615" s="143"/>
      <c r="O615" s="143"/>
      <c r="P615" s="143"/>
      <c r="Q615" s="143"/>
      <c r="R615" s="143"/>
      <c r="S615" s="146"/>
      <c r="T615" s="146"/>
      <c r="U615" s="146"/>
      <c r="V615" s="147"/>
      <c r="W615" s="143" t="s">
        <v>49</v>
      </c>
      <c r="X615" s="143" t="s">
        <v>2132</v>
      </c>
      <c r="Y615" s="143" t="s">
        <v>913</v>
      </c>
      <c r="Z615" s="143" t="s">
        <v>2132</v>
      </c>
      <c r="AA615" s="143">
        <v>12</v>
      </c>
      <c r="AB615" s="170">
        <v>45826</v>
      </c>
      <c r="AC615" s="143"/>
      <c r="AD615" s="143"/>
      <c r="AE615" s="143"/>
      <c r="AF615" s="143"/>
      <c r="AG615" s="143"/>
      <c r="AH615" s="143"/>
      <c r="AI615" s="143"/>
      <c r="AJ615" s="143"/>
      <c r="AK615" s="143"/>
      <c r="AL615" s="143"/>
      <c r="AM615" s="143"/>
    </row>
    <row r="616" s="140" customFormat="1" ht="15" spans="1:39">
      <c r="A616" s="143">
        <v>614</v>
      </c>
      <c r="B616" s="144"/>
      <c r="C616" s="143" t="s">
        <v>193</v>
      </c>
      <c r="D616" s="143" t="s">
        <v>229</v>
      </c>
      <c r="E616" s="145"/>
      <c r="F616" s="143"/>
      <c r="G616" s="143"/>
      <c r="H616" s="152" t="s">
        <v>2135</v>
      </c>
      <c r="I616" s="143" t="s">
        <v>1183</v>
      </c>
      <c r="J616" s="143" t="s">
        <v>1184</v>
      </c>
      <c r="K616" s="143">
        <v>148</v>
      </c>
      <c r="L616" s="143">
        <v>65</v>
      </c>
      <c r="M616" s="143"/>
      <c r="N616" s="143"/>
      <c r="O616" s="143"/>
      <c r="P616" s="143"/>
      <c r="Q616" s="143"/>
      <c r="R616" s="143"/>
      <c r="S616" s="146"/>
      <c r="T616" s="146"/>
      <c r="U616" s="146"/>
      <c r="V616" s="147"/>
      <c r="W616" s="143" t="s">
        <v>49</v>
      </c>
      <c r="X616" s="143" t="s">
        <v>2136</v>
      </c>
      <c r="Y616" s="143" t="s">
        <v>1730</v>
      </c>
      <c r="Z616" s="143" t="s">
        <v>2136</v>
      </c>
      <c r="AA616" s="143"/>
      <c r="AB616" s="170"/>
      <c r="AC616" s="143"/>
      <c r="AD616" s="143"/>
      <c r="AE616" s="143"/>
      <c r="AF616" s="143"/>
      <c r="AG616" s="143" t="s">
        <v>506</v>
      </c>
      <c r="AH616" s="143"/>
      <c r="AI616" s="143"/>
      <c r="AJ616" s="143" t="s">
        <v>508</v>
      </c>
      <c r="AK616" s="143"/>
      <c r="AL616" s="143"/>
      <c r="AM616" s="143"/>
    </row>
    <row r="617" s="140" customFormat="1" ht="15" spans="1:39">
      <c r="A617" s="143">
        <v>615</v>
      </c>
      <c r="B617" s="144"/>
      <c r="C617" s="143" t="s">
        <v>193</v>
      </c>
      <c r="D617" s="143" t="s">
        <v>229</v>
      </c>
      <c r="E617" s="145"/>
      <c r="F617" s="143"/>
      <c r="G617" s="143"/>
      <c r="H617" s="152" t="s">
        <v>2137</v>
      </c>
      <c r="I617" s="143" t="s">
        <v>2138</v>
      </c>
      <c r="J617" s="143" t="s">
        <v>2034</v>
      </c>
      <c r="K617" s="143">
        <v>150</v>
      </c>
      <c r="L617" s="143"/>
      <c r="M617" s="143"/>
      <c r="N617" s="143"/>
      <c r="O617" s="143"/>
      <c r="P617" s="143"/>
      <c r="Q617" s="143"/>
      <c r="R617" s="143"/>
      <c r="S617" s="146"/>
      <c r="T617" s="146"/>
      <c r="U617" s="146"/>
      <c r="V617" s="147"/>
      <c r="W617" s="143" t="s">
        <v>49</v>
      </c>
      <c r="X617" s="143" t="s">
        <v>2139</v>
      </c>
      <c r="Y617" s="143" t="s">
        <v>1730</v>
      </c>
      <c r="Z617" s="143" t="s">
        <v>2139</v>
      </c>
      <c r="AA617" s="143"/>
      <c r="AB617" s="170"/>
      <c r="AC617" s="143"/>
      <c r="AD617" s="143"/>
      <c r="AE617" s="143"/>
      <c r="AF617" s="143"/>
      <c r="AG617" s="143" t="s">
        <v>1173</v>
      </c>
      <c r="AH617" s="143"/>
      <c r="AI617" s="143"/>
      <c r="AJ617" s="143" t="s">
        <v>1174</v>
      </c>
      <c r="AK617" s="143"/>
      <c r="AL617" s="143"/>
      <c r="AM617" s="143"/>
    </row>
    <row r="618" s="140" customFormat="1" ht="15" spans="1:39">
      <c r="A618" s="143">
        <v>616</v>
      </c>
      <c r="B618" s="144">
        <v>45834</v>
      </c>
      <c r="C618" s="143" t="s">
        <v>40</v>
      </c>
      <c r="D618" s="143" t="s">
        <v>41</v>
      </c>
      <c r="E618" s="145"/>
      <c r="F618" s="143" t="s">
        <v>2140</v>
      </c>
      <c r="G618" s="143"/>
      <c r="H618" s="143" t="s">
        <v>2141</v>
      </c>
      <c r="I618" s="143" t="s">
        <v>324</v>
      </c>
      <c r="J618" s="143" t="s">
        <v>1577</v>
      </c>
      <c r="K618" s="143">
        <v>150</v>
      </c>
      <c r="L618" s="143">
        <v>170</v>
      </c>
      <c r="M618" s="143"/>
      <c r="N618" s="143"/>
      <c r="O618" s="143"/>
      <c r="P618" s="143"/>
      <c r="Q618" s="143"/>
      <c r="R618" s="143"/>
      <c r="S618" s="146"/>
      <c r="T618" s="146"/>
      <c r="U618" s="146"/>
      <c r="V618" s="147"/>
      <c r="W618" s="143" t="s">
        <v>49</v>
      </c>
      <c r="X618" s="143" t="s">
        <v>2140</v>
      </c>
      <c r="Y618" s="143" t="s">
        <v>2142</v>
      </c>
      <c r="Z618" s="143" t="s">
        <v>2140</v>
      </c>
      <c r="AA618" s="143">
        <v>10.2</v>
      </c>
      <c r="AB618" s="170">
        <v>45834</v>
      </c>
      <c r="AC618" s="143"/>
      <c r="AD618" s="143"/>
      <c r="AE618" s="143"/>
      <c r="AF618" s="143"/>
      <c r="AG618" s="143"/>
      <c r="AH618" s="143"/>
      <c r="AI618" s="143"/>
      <c r="AJ618" s="143"/>
      <c r="AK618" s="143"/>
      <c r="AL618" s="143"/>
      <c r="AM618" s="143"/>
    </row>
    <row r="619" s="140" customFormat="1" ht="15" spans="1:39">
      <c r="A619" s="143">
        <v>617</v>
      </c>
      <c r="B619" s="144">
        <v>45834</v>
      </c>
      <c r="C619" s="143" t="s">
        <v>40</v>
      </c>
      <c r="D619" s="143" t="s">
        <v>41</v>
      </c>
      <c r="E619" s="145"/>
      <c r="F619" s="143" t="s">
        <v>2143</v>
      </c>
      <c r="G619" s="143"/>
      <c r="H619" s="143" t="s">
        <v>2144</v>
      </c>
      <c r="I619" s="143" t="s">
        <v>324</v>
      </c>
      <c r="J619" s="143" t="s">
        <v>1577</v>
      </c>
      <c r="K619" s="143">
        <v>150</v>
      </c>
      <c r="L619" s="143">
        <v>260</v>
      </c>
      <c r="M619" s="143"/>
      <c r="N619" s="143"/>
      <c r="O619" s="143"/>
      <c r="P619" s="143"/>
      <c r="Q619" s="143"/>
      <c r="R619" s="143"/>
      <c r="S619" s="146"/>
      <c r="T619" s="146"/>
      <c r="U619" s="146"/>
      <c r="V619" s="147"/>
      <c r="W619" s="143" t="s">
        <v>49</v>
      </c>
      <c r="X619" s="143" t="s">
        <v>2143</v>
      </c>
      <c r="Y619" s="143" t="s">
        <v>2142</v>
      </c>
      <c r="Z619" s="143" t="s">
        <v>2143</v>
      </c>
      <c r="AA619" s="143">
        <v>10.8</v>
      </c>
      <c r="AB619" s="170">
        <v>45834</v>
      </c>
      <c r="AC619" s="143"/>
      <c r="AD619" s="143"/>
      <c r="AE619" s="143"/>
      <c r="AF619" s="143"/>
      <c r="AG619" s="143"/>
      <c r="AH619" s="143"/>
      <c r="AI619" s="143"/>
      <c r="AJ619" s="143"/>
      <c r="AK619" s="143"/>
      <c r="AL619" s="143"/>
      <c r="AM619" s="143"/>
    </row>
    <row r="620" s="140" customFormat="1" ht="15" spans="1:39">
      <c r="A620" s="143">
        <v>618</v>
      </c>
      <c r="B620" s="144">
        <v>45834</v>
      </c>
      <c r="C620" s="143" t="s">
        <v>40</v>
      </c>
      <c r="D620" s="143" t="s">
        <v>41</v>
      </c>
      <c r="E620" s="145"/>
      <c r="F620" s="180" t="s">
        <v>2145</v>
      </c>
      <c r="G620" s="180"/>
      <c r="H620" s="143" t="s">
        <v>2146</v>
      </c>
      <c r="I620" s="143" t="s">
        <v>324</v>
      </c>
      <c r="J620" s="143" t="s">
        <v>1577</v>
      </c>
      <c r="K620" s="143">
        <v>150</v>
      </c>
      <c r="L620" s="143">
        <v>200</v>
      </c>
      <c r="M620" s="143"/>
      <c r="N620" s="143"/>
      <c r="O620" s="143"/>
      <c r="P620" s="143"/>
      <c r="Q620" s="143"/>
      <c r="R620" s="143"/>
      <c r="S620" s="146"/>
      <c r="T620" s="146"/>
      <c r="U620" s="146"/>
      <c r="V620" s="147"/>
      <c r="W620" s="143" t="s">
        <v>49</v>
      </c>
      <c r="X620" s="180" t="s">
        <v>2145</v>
      </c>
      <c r="Y620" s="143" t="s">
        <v>2147</v>
      </c>
      <c r="Z620" s="180" t="s">
        <v>2145</v>
      </c>
      <c r="AA620" s="143">
        <v>15</v>
      </c>
      <c r="AB620" s="170">
        <v>45834</v>
      </c>
      <c r="AC620" s="143"/>
      <c r="AD620" s="143"/>
      <c r="AE620" s="143"/>
      <c r="AF620" s="143"/>
      <c r="AG620" s="143"/>
      <c r="AH620" s="143"/>
      <c r="AI620" s="143"/>
      <c r="AJ620" s="143"/>
      <c r="AK620" s="143"/>
      <c r="AL620" s="143"/>
      <c r="AM620" s="143"/>
    </row>
    <row r="621" s="140" customFormat="1" ht="15" spans="1:39">
      <c r="A621" s="143">
        <v>619</v>
      </c>
      <c r="B621" s="144">
        <v>45834</v>
      </c>
      <c r="C621" s="143" t="s">
        <v>40</v>
      </c>
      <c r="D621" s="143" t="s">
        <v>41</v>
      </c>
      <c r="E621" s="145"/>
      <c r="F621" s="143" t="s">
        <v>2148</v>
      </c>
      <c r="G621" s="143"/>
      <c r="H621" s="143" t="s">
        <v>2149</v>
      </c>
      <c r="I621" s="143" t="s">
        <v>324</v>
      </c>
      <c r="J621" s="143" t="s">
        <v>1577</v>
      </c>
      <c r="K621" s="143">
        <v>150</v>
      </c>
      <c r="L621" s="143">
        <v>230</v>
      </c>
      <c r="M621" s="143"/>
      <c r="N621" s="143"/>
      <c r="O621" s="143"/>
      <c r="P621" s="143"/>
      <c r="Q621" s="143"/>
      <c r="R621" s="143"/>
      <c r="S621" s="146"/>
      <c r="T621" s="146"/>
      <c r="U621" s="146"/>
      <c r="V621" s="147"/>
      <c r="W621" s="143" t="s">
        <v>49</v>
      </c>
      <c r="X621" s="143" t="s">
        <v>2148</v>
      </c>
      <c r="Y621" s="143" t="s">
        <v>2150</v>
      </c>
      <c r="Z621" s="143" t="s">
        <v>2148</v>
      </c>
      <c r="AA621" s="143">
        <v>16.2</v>
      </c>
      <c r="AB621" s="170">
        <v>45834</v>
      </c>
      <c r="AC621" s="143"/>
      <c r="AD621" s="143"/>
      <c r="AE621" s="143"/>
      <c r="AF621" s="143"/>
      <c r="AG621" s="143"/>
      <c r="AH621" s="143"/>
      <c r="AI621" s="143"/>
      <c r="AJ621" s="143"/>
      <c r="AK621" s="143"/>
      <c r="AL621" s="143"/>
      <c r="AM621" s="143"/>
    </row>
    <row r="622" s="140" customFormat="1" ht="15" spans="1:39">
      <c r="A622" s="143">
        <v>620</v>
      </c>
      <c r="B622" s="144">
        <v>45834</v>
      </c>
      <c r="C622" s="143" t="s">
        <v>40</v>
      </c>
      <c r="D622" s="143" t="s">
        <v>41</v>
      </c>
      <c r="E622" s="145"/>
      <c r="F622" s="143" t="s">
        <v>2151</v>
      </c>
      <c r="G622" s="143"/>
      <c r="H622" s="143" t="s">
        <v>2152</v>
      </c>
      <c r="I622" s="143" t="s">
        <v>324</v>
      </c>
      <c r="J622" s="143" t="s">
        <v>1577</v>
      </c>
      <c r="K622" s="143">
        <v>150</v>
      </c>
      <c r="L622" s="143">
        <v>175</v>
      </c>
      <c r="M622" s="143"/>
      <c r="N622" s="143"/>
      <c r="O622" s="143"/>
      <c r="P622" s="143"/>
      <c r="Q622" s="143"/>
      <c r="R622" s="143"/>
      <c r="S622" s="146"/>
      <c r="T622" s="146"/>
      <c r="U622" s="146"/>
      <c r="V622" s="147"/>
      <c r="W622" s="143" t="s">
        <v>49</v>
      </c>
      <c r="X622" s="143" t="s">
        <v>2151</v>
      </c>
      <c r="Y622" s="143" t="s">
        <v>2153</v>
      </c>
      <c r="Z622" s="143" t="s">
        <v>2151</v>
      </c>
      <c r="AA622" s="143">
        <v>10.8</v>
      </c>
      <c r="AB622" s="170">
        <v>45834</v>
      </c>
      <c r="AC622" s="143"/>
      <c r="AD622" s="143"/>
      <c r="AE622" s="143"/>
      <c r="AF622" s="143"/>
      <c r="AG622" s="143"/>
      <c r="AH622" s="143"/>
      <c r="AI622" s="143"/>
      <c r="AJ622" s="143"/>
      <c r="AK622" s="143"/>
      <c r="AL622" s="143"/>
      <c r="AM622" s="143"/>
    </row>
    <row r="623" s="140" customFormat="1" ht="15" spans="1:39">
      <c r="A623" s="143">
        <v>621</v>
      </c>
      <c r="B623" s="144">
        <v>45834</v>
      </c>
      <c r="C623" s="143" t="s">
        <v>40</v>
      </c>
      <c r="D623" s="143" t="s">
        <v>41</v>
      </c>
      <c r="E623" s="145"/>
      <c r="F623" s="143" t="s">
        <v>2154</v>
      </c>
      <c r="G623" s="143"/>
      <c r="H623" s="143" t="s">
        <v>2155</v>
      </c>
      <c r="I623" s="143" t="s">
        <v>436</v>
      </c>
      <c r="J623" s="143" t="s">
        <v>320</v>
      </c>
      <c r="K623" s="143">
        <v>150</v>
      </c>
      <c r="L623" s="143">
        <v>175</v>
      </c>
      <c r="M623" s="143"/>
      <c r="N623" s="143"/>
      <c r="O623" s="143"/>
      <c r="P623" s="143"/>
      <c r="Q623" s="143"/>
      <c r="R623" s="143"/>
      <c r="S623" s="146"/>
      <c r="T623" s="146"/>
      <c r="U623" s="146"/>
      <c r="V623" s="147"/>
      <c r="W623" s="143" t="s">
        <v>49</v>
      </c>
      <c r="X623" s="143" t="s">
        <v>2154</v>
      </c>
      <c r="Y623" s="169" t="s">
        <v>2156</v>
      </c>
      <c r="Z623" s="143" t="s">
        <v>2154</v>
      </c>
      <c r="AA623" s="143">
        <v>10.5</v>
      </c>
      <c r="AB623" s="170">
        <v>45834</v>
      </c>
      <c r="AC623" s="143"/>
      <c r="AD623" s="143"/>
      <c r="AE623" s="143"/>
      <c r="AF623" s="143"/>
      <c r="AG623" s="143"/>
      <c r="AH623" s="169" t="s">
        <v>2157</v>
      </c>
      <c r="AI623" s="143"/>
      <c r="AJ623" s="143"/>
      <c r="AK623" s="143"/>
      <c r="AL623" s="143"/>
      <c r="AM623" s="143"/>
    </row>
    <row r="624" s="140" customFormat="1" ht="15" spans="1:39">
      <c r="A624" s="143">
        <v>622</v>
      </c>
      <c r="B624" s="144"/>
      <c r="C624" s="143" t="s">
        <v>193</v>
      </c>
      <c r="D624" s="143" t="s">
        <v>229</v>
      </c>
      <c r="E624" s="145"/>
      <c r="F624" s="143"/>
      <c r="G624" s="143"/>
      <c r="H624" s="152" t="s">
        <v>2158</v>
      </c>
      <c r="I624" s="143" t="s">
        <v>324</v>
      </c>
      <c r="J624" s="143" t="s">
        <v>517</v>
      </c>
      <c r="K624" s="143">
        <v>150</v>
      </c>
      <c r="L624" s="143">
        <v>420</v>
      </c>
      <c r="M624" s="143"/>
      <c r="N624" s="143"/>
      <c r="O624" s="143"/>
      <c r="P624" s="143"/>
      <c r="Q624" s="143"/>
      <c r="R624" s="143"/>
      <c r="S624" s="146"/>
      <c r="T624" s="146"/>
      <c r="U624" s="146"/>
      <c r="V624" s="147"/>
      <c r="W624" s="143" t="s">
        <v>49</v>
      </c>
      <c r="X624" s="143" t="s">
        <v>2159</v>
      </c>
      <c r="Y624" s="143" t="s">
        <v>2160</v>
      </c>
      <c r="Z624" s="143" t="s">
        <v>2159</v>
      </c>
      <c r="AA624" s="143"/>
      <c r="AB624" s="170"/>
      <c r="AC624" s="143"/>
      <c r="AD624" s="143"/>
      <c r="AE624" s="143"/>
      <c r="AF624" s="143"/>
      <c r="AG624" s="143" t="s">
        <v>2161</v>
      </c>
      <c r="AH624" s="143"/>
      <c r="AI624" s="143"/>
      <c r="AJ624" s="143" t="s">
        <v>2162</v>
      </c>
      <c r="AK624" s="143"/>
      <c r="AL624" s="143"/>
      <c r="AM624" s="143"/>
    </row>
    <row r="625" s="140" customFormat="1" ht="15" spans="1:43">
      <c r="A625" s="143">
        <v>623</v>
      </c>
      <c r="B625" s="144"/>
      <c r="C625" s="143" t="s">
        <v>193</v>
      </c>
      <c r="D625" s="143" t="s">
        <v>229</v>
      </c>
      <c r="E625" s="145"/>
      <c r="F625" s="143"/>
      <c r="G625" s="143"/>
      <c r="H625" s="152" t="s">
        <v>2163</v>
      </c>
      <c r="I625" s="143" t="s">
        <v>324</v>
      </c>
      <c r="J625" s="143" t="s">
        <v>517</v>
      </c>
      <c r="K625" s="143">
        <v>150</v>
      </c>
      <c r="L625" s="143">
        <v>520</v>
      </c>
      <c r="M625" s="143"/>
      <c r="N625" s="143"/>
      <c r="O625" s="143"/>
      <c r="P625" s="143"/>
      <c r="Q625" s="143"/>
      <c r="R625" s="143"/>
      <c r="S625" s="146"/>
      <c r="T625" s="146"/>
      <c r="U625" s="146"/>
      <c r="V625" s="147"/>
      <c r="W625" s="143" t="s">
        <v>49</v>
      </c>
      <c r="X625" s="143" t="s">
        <v>2164</v>
      </c>
      <c r="Y625" s="143" t="s">
        <v>2160</v>
      </c>
      <c r="Z625" s="143" t="s">
        <v>2164</v>
      </c>
      <c r="AA625" s="143">
        <v>20.3</v>
      </c>
      <c r="AB625" s="170">
        <v>45868</v>
      </c>
      <c r="AC625" s="143"/>
      <c r="AD625" s="143"/>
      <c r="AE625" s="143"/>
      <c r="AF625" s="143"/>
      <c r="AG625" s="143" t="s">
        <v>2161</v>
      </c>
      <c r="AH625" s="143" t="s">
        <v>259</v>
      </c>
      <c r="AI625" s="143"/>
      <c r="AJ625" s="143" t="s">
        <v>2162</v>
      </c>
      <c r="AK625" s="143"/>
      <c r="AL625" s="143"/>
      <c r="AM625" s="143"/>
    </row>
    <row r="626" s="140" customFormat="1" ht="15" spans="1:43">
      <c r="A626" s="143">
        <v>624</v>
      </c>
      <c r="B626" s="144"/>
      <c r="C626" s="143" t="s">
        <v>193</v>
      </c>
      <c r="D626" s="143" t="s">
        <v>229</v>
      </c>
      <c r="E626" s="145"/>
      <c r="F626" s="143"/>
      <c r="G626" s="143"/>
      <c r="H626" s="152" t="s">
        <v>2165</v>
      </c>
      <c r="I626" s="143" t="s">
        <v>2166</v>
      </c>
      <c r="J626" s="143" t="s">
        <v>2167</v>
      </c>
      <c r="K626" s="143">
        <v>150</v>
      </c>
      <c r="L626" s="143">
        <v>200</v>
      </c>
      <c r="M626" s="143"/>
      <c r="N626" s="143"/>
      <c r="O626" s="143"/>
      <c r="P626" s="143"/>
      <c r="Q626" s="143"/>
      <c r="R626" s="143"/>
      <c r="S626" s="146"/>
      <c r="T626" s="146"/>
      <c r="U626" s="146"/>
      <c r="V626" s="147"/>
      <c r="W626" s="143" t="s">
        <v>49</v>
      </c>
      <c r="X626" s="143" t="s">
        <v>2168</v>
      </c>
      <c r="Y626" s="143" t="s">
        <v>2169</v>
      </c>
      <c r="Z626" s="143" t="s">
        <v>2168</v>
      </c>
      <c r="AA626" s="143"/>
      <c r="AB626" s="170"/>
      <c r="AC626" s="143"/>
      <c r="AD626" s="143"/>
      <c r="AE626" s="143"/>
      <c r="AF626" s="143"/>
      <c r="AG626" s="143" t="s">
        <v>1396</v>
      </c>
      <c r="AH626" s="143"/>
      <c r="AI626" s="143"/>
      <c r="AJ626" s="143" t="s">
        <v>1397</v>
      </c>
      <c r="AK626" s="143"/>
      <c r="AL626" s="143"/>
      <c r="AM626" s="143"/>
    </row>
    <row r="627" s="140" customFormat="1" ht="15" spans="1:43">
      <c r="A627" s="143">
        <v>625</v>
      </c>
      <c r="B627" s="144">
        <v>45839</v>
      </c>
      <c r="C627" s="143" t="s">
        <v>193</v>
      </c>
      <c r="D627" s="143" t="s">
        <v>41</v>
      </c>
      <c r="E627" s="145"/>
      <c r="F627" s="143" t="s">
        <v>2170</v>
      </c>
      <c r="G627" s="143"/>
      <c r="H627" s="143" t="s">
        <v>2171</v>
      </c>
      <c r="I627" s="143" t="s">
        <v>2172</v>
      </c>
      <c r="J627" s="143" t="s">
        <v>2173</v>
      </c>
      <c r="K627" s="143">
        <v>145</v>
      </c>
      <c r="L627" s="143">
        <v>95</v>
      </c>
      <c r="M627" s="143"/>
      <c r="N627" s="143"/>
      <c r="O627" s="143"/>
      <c r="P627" s="143"/>
      <c r="Q627" s="143"/>
      <c r="R627" s="143"/>
      <c r="S627" s="146"/>
      <c r="T627" s="146"/>
      <c r="U627" s="146"/>
      <c r="V627" s="147"/>
      <c r="W627" s="143" t="s">
        <v>49</v>
      </c>
      <c r="X627" s="143" t="s">
        <v>2170</v>
      </c>
      <c r="Y627" s="143" t="s">
        <v>2174</v>
      </c>
      <c r="Z627" s="143" t="s">
        <v>2170</v>
      </c>
      <c r="AA627" s="143">
        <v>17</v>
      </c>
      <c r="AB627" s="170">
        <v>45839</v>
      </c>
      <c r="AC627" s="143"/>
      <c r="AD627" s="143"/>
      <c r="AE627" s="143"/>
      <c r="AF627" s="143"/>
      <c r="AG627" s="143"/>
      <c r="AH627" s="143"/>
      <c r="AI627" s="143"/>
      <c r="AJ627" s="143"/>
      <c r="AK627" s="143"/>
      <c r="AL627" s="143"/>
      <c r="AM627" s="143"/>
    </row>
    <row r="628" s="140" customFormat="1" ht="15" spans="1:43">
      <c r="A628" s="143">
        <v>626</v>
      </c>
      <c r="B628" s="144">
        <v>45839</v>
      </c>
      <c r="C628" s="143" t="s">
        <v>193</v>
      </c>
      <c r="D628" s="143" t="s">
        <v>41</v>
      </c>
      <c r="E628" s="145"/>
      <c r="F628" s="143" t="s">
        <v>2175</v>
      </c>
      <c r="G628" s="143"/>
      <c r="H628" s="143" t="s">
        <v>2176</v>
      </c>
      <c r="I628" s="143" t="s">
        <v>2177</v>
      </c>
      <c r="J628" s="143" t="s">
        <v>2178</v>
      </c>
      <c r="K628" s="143">
        <v>145</v>
      </c>
      <c r="L628" s="143">
        <v>95</v>
      </c>
      <c r="M628" s="143"/>
      <c r="N628" s="143"/>
      <c r="O628" s="143"/>
      <c r="P628" s="143"/>
      <c r="Q628" s="143"/>
      <c r="R628" s="143"/>
      <c r="S628" s="146"/>
      <c r="T628" s="146"/>
      <c r="U628" s="146"/>
      <c r="V628" s="147"/>
      <c r="W628" s="143" t="s">
        <v>49</v>
      </c>
      <c r="X628" s="143" t="s">
        <v>2175</v>
      </c>
      <c r="Y628" s="143" t="s">
        <v>2174</v>
      </c>
      <c r="Z628" s="143" t="s">
        <v>2175</v>
      </c>
      <c r="AA628" s="143">
        <v>16.4</v>
      </c>
      <c r="AB628" s="170">
        <v>45839</v>
      </c>
      <c r="AC628" s="143"/>
      <c r="AD628" s="143"/>
      <c r="AE628" s="143"/>
      <c r="AF628" s="143"/>
      <c r="AG628" s="143"/>
      <c r="AH628" s="143"/>
      <c r="AI628" s="143"/>
      <c r="AJ628" s="143"/>
      <c r="AK628" s="143"/>
      <c r="AL628" s="143"/>
      <c r="AM628" s="143"/>
    </row>
    <row r="629" s="140" customFormat="1" ht="15" spans="1:43">
      <c r="A629" s="143">
        <v>627</v>
      </c>
      <c r="B629" s="144">
        <v>45839</v>
      </c>
      <c r="C629" s="143" t="s">
        <v>193</v>
      </c>
      <c r="D629" s="143" t="s">
        <v>41</v>
      </c>
      <c r="E629" s="145"/>
      <c r="F629" s="143" t="s">
        <v>2179</v>
      </c>
      <c r="G629" s="143"/>
      <c r="H629" s="143" t="s">
        <v>2180</v>
      </c>
      <c r="I629" s="143" t="s">
        <v>93</v>
      </c>
      <c r="J629" s="143" t="s">
        <v>127</v>
      </c>
      <c r="K629" s="143">
        <v>148</v>
      </c>
      <c r="L629" s="143">
        <v>145</v>
      </c>
      <c r="M629" s="143"/>
      <c r="N629" s="143"/>
      <c r="O629" s="143"/>
      <c r="P629" s="143"/>
      <c r="Q629" s="143"/>
      <c r="R629" s="143"/>
      <c r="S629" s="146"/>
      <c r="T629" s="146"/>
      <c r="U629" s="146"/>
      <c r="V629" s="147"/>
      <c r="W629" s="143" t="s">
        <v>49</v>
      </c>
      <c r="X629" s="143" t="s">
        <v>2179</v>
      </c>
      <c r="Y629" s="143" t="s">
        <v>2181</v>
      </c>
      <c r="Z629" s="143" t="s">
        <v>2179</v>
      </c>
      <c r="AA629" s="143">
        <v>10.8</v>
      </c>
      <c r="AB629" s="170">
        <v>45839</v>
      </c>
      <c r="AC629" s="143"/>
      <c r="AD629" s="143"/>
      <c r="AE629" s="143"/>
      <c r="AF629" s="143"/>
      <c r="AG629" s="143"/>
      <c r="AH629" s="143"/>
      <c r="AI629" s="143"/>
      <c r="AJ629" s="143"/>
      <c r="AK629" s="143"/>
      <c r="AL629" s="143"/>
      <c r="AM629" s="143"/>
    </row>
    <row r="630" s="140" customFormat="1" ht="15" spans="1:43">
      <c r="A630" s="143">
        <v>628</v>
      </c>
      <c r="B630" s="144">
        <v>45839</v>
      </c>
      <c r="C630" s="143" t="s">
        <v>193</v>
      </c>
      <c r="D630" s="143" t="s">
        <v>41</v>
      </c>
      <c r="E630" s="145"/>
      <c r="F630" s="143" t="s">
        <v>2182</v>
      </c>
      <c r="G630" s="143"/>
      <c r="H630" s="143" t="s">
        <v>2183</v>
      </c>
      <c r="I630" s="143" t="s">
        <v>93</v>
      </c>
      <c r="J630" s="143" t="s">
        <v>127</v>
      </c>
      <c r="K630" s="143">
        <v>142</v>
      </c>
      <c r="L630" s="143">
        <v>140</v>
      </c>
      <c r="M630" s="143"/>
      <c r="N630" s="143"/>
      <c r="O630" s="143"/>
      <c r="P630" s="143"/>
      <c r="Q630" s="143"/>
      <c r="R630" s="143"/>
      <c r="S630" s="146"/>
      <c r="T630" s="146"/>
      <c r="U630" s="146"/>
      <c r="V630" s="147"/>
      <c r="W630" s="143" t="s">
        <v>49</v>
      </c>
      <c r="X630" s="143" t="s">
        <v>2182</v>
      </c>
      <c r="Y630" s="169" t="s">
        <v>2184</v>
      </c>
      <c r="Z630" s="143" t="s">
        <v>2182</v>
      </c>
      <c r="AA630" s="143">
        <v>13.5</v>
      </c>
      <c r="AB630" s="170">
        <v>45839</v>
      </c>
      <c r="AC630" s="143"/>
      <c r="AD630" s="143"/>
      <c r="AE630" s="143"/>
      <c r="AF630" s="143"/>
      <c r="AG630" s="143"/>
      <c r="AH630" s="143"/>
      <c r="AI630" s="143"/>
      <c r="AJ630" s="143"/>
      <c r="AK630" s="143"/>
      <c r="AL630" s="143"/>
      <c r="AM630" s="143"/>
    </row>
    <row r="631" s="140" customFormat="1" ht="15" spans="1:43">
      <c r="A631" s="143">
        <v>629</v>
      </c>
      <c r="B631" s="144">
        <v>45839</v>
      </c>
      <c r="C631" s="143" t="s">
        <v>193</v>
      </c>
      <c r="D631" s="143" t="s">
        <v>41</v>
      </c>
      <c r="E631" s="145"/>
      <c r="F631" s="143" t="s">
        <v>2185</v>
      </c>
      <c r="G631" s="143"/>
      <c r="H631" s="143" t="s">
        <v>2186</v>
      </c>
      <c r="I631" s="143" t="s">
        <v>2187</v>
      </c>
      <c r="J631" s="171" t="s">
        <v>2188</v>
      </c>
      <c r="K631" s="143">
        <v>130</v>
      </c>
      <c r="L631" s="143">
        <v>118</v>
      </c>
      <c r="M631" s="143"/>
      <c r="N631" s="143"/>
      <c r="O631" s="143"/>
      <c r="P631" s="143"/>
      <c r="Q631" s="143"/>
      <c r="R631" s="143"/>
      <c r="S631" s="146"/>
      <c r="T631" s="146"/>
      <c r="U631" s="146"/>
      <c r="V631" s="147"/>
      <c r="W631" s="143" t="s">
        <v>49</v>
      </c>
      <c r="X631" s="143" t="s">
        <v>2185</v>
      </c>
      <c r="Y631" s="143" t="s">
        <v>2189</v>
      </c>
      <c r="Z631" s="143" t="s">
        <v>2185</v>
      </c>
      <c r="AA631" s="143">
        <v>14.2</v>
      </c>
      <c r="AB631" s="170">
        <v>45839</v>
      </c>
      <c r="AC631" s="143"/>
      <c r="AD631" s="143"/>
      <c r="AE631" s="143"/>
      <c r="AF631" s="143"/>
      <c r="AG631" s="143"/>
      <c r="AH631" s="143"/>
      <c r="AI631" s="143"/>
      <c r="AJ631" s="143"/>
      <c r="AK631" s="143"/>
      <c r="AL631" s="143"/>
      <c r="AM631" s="143"/>
    </row>
    <row r="632" s="140" customFormat="1" ht="15" spans="1:43">
      <c r="A632" s="143">
        <v>630</v>
      </c>
      <c r="B632" s="144">
        <v>45839</v>
      </c>
      <c r="C632" s="143" t="s">
        <v>193</v>
      </c>
      <c r="D632" s="143" t="s">
        <v>41</v>
      </c>
      <c r="E632" s="145"/>
      <c r="F632" s="143" t="s">
        <v>2190</v>
      </c>
      <c r="G632" s="143"/>
      <c r="H632" s="143" t="s">
        <v>2191</v>
      </c>
      <c r="I632" s="143" t="s">
        <v>2192</v>
      </c>
      <c r="J632" s="143" t="s">
        <v>2193</v>
      </c>
      <c r="K632" s="143">
        <v>150</v>
      </c>
      <c r="L632" s="143">
        <v>120</v>
      </c>
      <c r="M632" s="143"/>
      <c r="N632" s="143"/>
      <c r="O632" s="143"/>
      <c r="P632" s="143"/>
      <c r="Q632" s="143"/>
      <c r="R632" s="143"/>
      <c r="S632" s="146"/>
      <c r="T632" s="146"/>
      <c r="U632" s="146"/>
      <c r="V632" s="147"/>
      <c r="W632" s="143" t="s">
        <v>49</v>
      </c>
      <c r="X632" s="143" t="s">
        <v>2190</v>
      </c>
      <c r="Y632" s="143" t="s">
        <v>425</v>
      </c>
      <c r="Z632" s="143" t="s">
        <v>2190</v>
      </c>
      <c r="AA632" s="143">
        <v>9.8</v>
      </c>
      <c r="AB632" s="170">
        <v>45839</v>
      </c>
      <c r="AC632" s="143"/>
      <c r="AD632" s="143"/>
      <c r="AE632" s="143"/>
      <c r="AF632" s="143"/>
      <c r="AG632" s="143"/>
      <c r="AH632" s="143"/>
      <c r="AI632" s="143"/>
      <c r="AJ632" s="143"/>
      <c r="AK632" s="143"/>
      <c r="AL632" s="143"/>
      <c r="AM632" s="143"/>
    </row>
    <row r="633" s="140" customFormat="1" ht="15" spans="1:43">
      <c r="A633" s="143">
        <v>631</v>
      </c>
      <c r="B633" s="144">
        <v>45839</v>
      </c>
      <c r="C633" s="143" t="s">
        <v>193</v>
      </c>
      <c r="D633" s="143" t="s">
        <v>41</v>
      </c>
      <c r="E633" s="145"/>
      <c r="F633" s="143" t="s">
        <v>2194</v>
      </c>
      <c r="G633" s="143"/>
      <c r="H633" s="143" t="s">
        <v>2195</v>
      </c>
      <c r="I633" s="143" t="s">
        <v>2172</v>
      </c>
      <c r="J633" s="143" t="s">
        <v>2196</v>
      </c>
      <c r="K633" s="143">
        <v>135</v>
      </c>
      <c r="L633" s="143">
        <v>125</v>
      </c>
      <c r="M633" s="143"/>
      <c r="N633" s="143"/>
      <c r="O633" s="143"/>
      <c r="P633" s="143"/>
      <c r="Q633" s="143" t="s">
        <v>2197</v>
      </c>
      <c r="R633" s="143"/>
      <c r="S633" s="146"/>
      <c r="T633" s="146"/>
      <c r="U633" s="146"/>
      <c r="V633" s="147"/>
      <c r="W633" s="143" t="s">
        <v>49</v>
      </c>
      <c r="X633" s="143" t="s">
        <v>2194</v>
      </c>
      <c r="Y633" s="143" t="s">
        <v>428</v>
      </c>
      <c r="Z633" s="143" t="s">
        <v>2194</v>
      </c>
      <c r="AA633" s="143">
        <v>12.8</v>
      </c>
      <c r="AB633" s="170">
        <v>45839</v>
      </c>
      <c r="AC633" s="143"/>
      <c r="AD633" s="143"/>
      <c r="AE633" s="143"/>
      <c r="AF633" s="143"/>
      <c r="AG633" s="143"/>
      <c r="AH633" s="143"/>
      <c r="AI633" s="143"/>
      <c r="AJ633" s="143"/>
      <c r="AK633" s="143"/>
      <c r="AL633" s="143"/>
      <c r="AM633" s="143"/>
      <c r="AN633" s="148"/>
    </row>
    <row r="634" s="140" customFormat="1" ht="15" spans="1:43">
      <c r="A634" s="143">
        <v>632</v>
      </c>
      <c r="B634" s="144">
        <v>45839</v>
      </c>
      <c r="C634" s="143" t="s">
        <v>193</v>
      </c>
      <c r="D634" s="143" t="s">
        <v>41</v>
      </c>
      <c r="E634" s="145"/>
      <c r="F634" s="143" t="s">
        <v>2198</v>
      </c>
      <c r="G634" s="143"/>
      <c r="H634" s="143" t="s">
        <v>2199</v>
      </c>
      <c r="I634" s="143" t="s">
        <v>2200</v>
      </c>
      <c r="J634" s="143" t="s">
        <v>2201</v>
      </c>
      <c r="K634" s="143">
        <v>145</v>
      </c>
      <c r="L634" s="143">
        <v>150</v>
      </c>
      <c r="M634" s="143"/>
      <c r="N634" s="143"/>
      <c r="O634" s="143"/>
      <c r="P634" s="143"/>
      <c r="Q634" s="143" t="s">
        <v>2202</v>
      </c>
      <c r="R634" s="143"/>
      <c r="S634" s="146"/>
      <c r="T634" s="146"/>
      <c r="U634" s="146"/>
      <c r="V634" s="147"/>
      <c r="W634" s="143" t="s">
        <v>49</v>
      </c>
      <c r="X634" s="143" t="s">
        <v>2198</v>
      </c>
      <c r="Y634" s="143" t="s">
        <v>428</v>
      </c>
      <c r="Z634" s="143" t="s">
        <v>2198</v>
      </c>
      <c r="AA634" s="143">
        <v>12.5</v>
      </c>
      <c r="AB634" s="170">
        <v>45839</v>
      </c>
      <c r="AC634" s="143"/>
      <c r="AD634" s="143"/>
      <c r="AE634" s="143"/>
      <c r="AF634" s="143"/>
      <c r="AG634" s="143"/>
      <c r="AH634" s="143"/>
      <c r="AI634" s="143"/>
      <c r="AJ634" s="143"/>
      <c r="AK634" s="143"/>
      <c r="AL634" s="143"/>
      <c r="AM634" s="143"/>
    </row>
    <row r="635" s="140" customFormat="1" ht="15" spans="1:43">
      <c r="A635" s="143">
        <v>633</v>
      </c>
      <c r="B635" s="144">
        <v>45839</v>
      </c>
      <c r="C635" s="143" t="s">
        <v>193</v>
      </c>
      <c r="D635" s="143" t="s">
        <v>41</v>
      </c>
      <c r="E635" s="145"/>
      <c r="F635" s="143" t="s">
        <v>2203</v>
      </c>
      <c r="G635" s="143"/>
      <c r="H635" s="143" t="s">
        <v>2204</v>
      </c>
      <c r="I635" s="143" t="s">
        <v>261</v>
      </c>
      <c r="J635" s="143" t="s">
        <v>224</v>
      </c>
      <c r="K635" s="143">
        <v>150</v>
      </c>
      <c r="L635" s="143">
        <v>120</v>
      </c>
      <c r="M635" s="143"/>
      <c r="N635" s="143"/>
      <c r="O635" s="143"/>
      <c r="P635" s="143"/>
      <c r="Q635" s="143"/>
      <c r="R635" s="143"/>
      <c r="S635" s="146"/>
      <c r="T635" s="146"/>
      <c r="U635" s="146"/>
      <c r="V635" s="147"/>
      <c r="W635" s="143" t="s">
        <v>49</v>
      </c>
      <c r="X635" s="143" t="s">
        <v>2203</v>
      </c>
      <c r="Y635" s="143" t="s">
        <v>428</v>
      </c>
      <c r="Z635" s="143" t="s">
        <v>2203</v>
      </c>
      <c r="AA635" s="143">
        <v>11.2</v>
      </c>
      <c r="AB635" s="170">
        <v>45839</v>
      </c>
      <c r="AC635" s="143"/>
      <c r="AD635" s="143"/>
      <c r="AE635" s="143"/>
      <c r="AF635" s="143"/>
      <c r="AG635" s="143"/>
      <c r="AH635" s="143"/>
      <c r="AI635" s="143"/>
      <c r="AJ635" s="143"/>
      <c r="AK635" s="143"/>
      <c r="AL635" s="143"/>
      <c r="AM635" s="143"/>
    </row>
    <row r="636" s="140" customFormat="1" ht="15" spans="1:43">
      <c r="A636" s="143">
        <v>634</v>
      </c>
      <c r="B636" s="144">
        <v>45839</v>
      </c>
      <c r="C636" s="143" t="s">
        <v>193</v>
      </c>
      <c r="D636" s="143" t="s">
        <v>41</v>
      </c>
      <c r="E636" s="145"/>
      <c r="F636" s="143" t="s">
        <v>2205</v>
      </c>
      <c r="G636" s="143"/>
      <c r="H636" s="143" t="s">
        <v>2206</v>
      </c>
      <c r="I636" s="143" t="s">
        <v>2192</v>
      </c>
      <c r="J636" s="143" t="s">
        <v>2193</v>
      </c>
      <c r="K636" s="143">
        <v>150</v>
      </c>
      <c r="L636" s="143">
        <v>120</v>
      </c>
      <c r="M636" s="143"/>
      <c r="N636" s="143"/>
      <c r="O636" s="143"/>
      <c r="P636" s="143"/>
      <c r="Q636" s="143" t="s">
        <v>2207</v>
      </c>
      <c r="R636" s="143"/>
      <c r="S636" s="146"/>
      <c r="T636" s="146"/>
      <c r="U636" s="146"/>
      <c r="V636" s="147"/>
      <c r="W636" s="143" t="s">
        <v>49</v>
      </c>
      <c r="X636" s="143" t="s">
        <v>2205</v>
      </c>
      <c r="Y636" s="143" t="s">
        <v>428</v>
      </c>
      <c r="Z636" s="143" t="s">
        <v>2205</v>
      </c>
      <c r="AA636" s="143">
        <v>9.8</v>
      </c>
      <c r="AB636" s="170">
        <v>45839</v>
      </c>
      <c r="AC636" s="143"/>
      <c r="AD636" s="143"/>
      <c r="AE636" s="143"/>
      <c r="AF636" s="143"/>
      <c r="AG636" s="143"/>
      <c r="AH636" s="143"/>
      <c r="AI636" s="143"/>
      <c r="AJ636" s="143"/>
      <c r="AK636" s="143"/>
      <c r="AL636" s="143"/>
      <c r="AM636" s="143"/>
      <c r="AO636" s="148"/>
      <c r="AP636" s="148"/>
      <c r="AQ636" s="148"/>
    </row>
    <row r="637" s="140" customFormat="1" ht="15" spans="1:43">
      <c r="A637" s="143">
        <v>635</v>
      </c>
      <c r="B637" s="144">
        <v>45839</v>
      </c>
      <c r="C637" s="143" t="s">
        <v>193</v>
      </c>
      <c r="D637" s="143" t="s">
        <v>41</v>
      </c>
      <c r="E637" s="145"/>
      <c r="F637" s="143" t="s">
        <v>2208</v>
      </c>
      <c r="G637" s="143"/>
      <c r="H637" s="143" t="s">
        <v>2209</v>
      </c>
      <c r="I637" s="143" t="s">
        <v>2210</v>
      </c>
      <c r="J637" s="143" t="s">
        <v>2211</v>
      </c>
      <c r="K637" s="143">
        <v>150</v>
      </c>
      <c r="L637" s="143">
        <v>100</v>
      </c>
      <c r="M637" s="143"/>
      <c r="N637" s="143"/>
      <c r="O637" s="143"/>
      <c r="P637" s="143"/>
      <c r="Q637" s="143"/>
      <c r="R637" s="143"/>
      <c r="S637" s="146"/>
      <c r="T637" s="146"/>
      <c r="U637" s="146"/>
      <c r="V637" s="147"/>
      <c r="W637" s="143" t="s">
        <v>49</v>
      </c>
      <c r="X637" s="143" t="s">
        <v>2208</v>
      </c>
      <c r="Y637" s="143" t="s">
        <v>428</v>
      </c>
      <c r="Z637" s="143" t="s">
        <v>2208</v>
      </c>
      <c r="AA637" s="143">
        <v>14.8</v>
      </c>
      <c r="AB637" s="170">
        <v>45839</v>
      </c>
      <c r="AC637" s="143"/>
      <c r="AD637" s="143"/>
      <c r="AE637" s="143"/>
      <c r="AF637" s="143"/>
      <c r="AG637" s="143"/>
      <c r="AH637" s="143"/>
      <c r="AI637" s="143"/>
      <c r="AJ637" s="143"/>
      <c r="AK637" s="143"/>
      <c r="AL637" s="143"/>
      <c r="AM637" s="143"/>
      <c r="AO637" s="148"/>
      <c r="AP637" s="148"/>
      <c r="AQ637" s="148"/>
    </row>
    <row r="638" s="140" customFormat="1" ht="15" spans="1:43">
      <c r="A638" s="143">
        <v>636</v>
      </c>
      <c r="B638" s="144"/>
      <c r="C638" s="143" t="s">
        <v>193</v>
      </c>
      <c r="D638" s="143" t="s">
        <v>229</v>
      </c>
      <c r="E638" s="145"/>
      <c r="F638" s="143"/>
      <c r="G638" s="143"/>
      <c r="H638" s="152" t="s">
        <v>2212</v>
      </c>
      <c r="I638" s="143" t="s">
        <v>45</v>
      </c>
      <c r="J638" s="143" t="s">
        <v>1572</v>
      </c>
      <c r="K638" s="143">
        <v>148</v>
      </c>
      <c r="L638" s="143"/>
      <c r="M638" s="143"/>
      <c r="N638" s="143"/>
      <c r="O638" s="143"/>
      <c r="P638" s="143"/>
      <c r="Q638" s="143"/>
      <c r="R638" s="143"/>
      <c r="S638" s="146"/>
      <c r="T638" s="146"/>
      <c r="U638" s="146"/>
      <c r="V638" s="147"/>
      <c r="W638" s="143" t="s">
        <v>49</v>
      </c>
      <c r="X638" s="143" t="s">
        <v>2213</v>
      </c>
      <c r="Y638" s="143" t="s">
        <v>2214</v>
      </c>
      <c r="Z638" s="143" t="s">
        <v>2213</v>
      </c>
      <c r="AA638" s="143"/>
      <c r="AB638" s="170"/>
      <c r="AC638" s="143"/>
      <c r="AD638" s="143"/>
      <c r="AE638" s="143"/>
      <c r="AF638" s="143"/>
      <c r="AG638" s="143" t="s">
        <v>1396</v>
      </c>
      <c r="AH638" s="143"/>
      <c r="AI638" s="143"/>
      <c r="AJ638" s="143" t="s">
        <v>1397</v>
      </c>
      <c r="AK638" s="143"/>
      <c r="AL638" s="143"/>
      <c r="AM638" s="143"/>
      <c r="AO638" s="148"/>
      <c r="AP638" s="148"/>
      <c r="AQ638" s="148"/>
    </row>
    <row r="639" s="140" customFormat="1" ht="15" spans="1:43">
      <c r="A639" s="143">
        <v>637</v>
      </c>
      <c r="B639" s="144"/>
      <c r="C639" s="143" t="s">
        <v>193</v>
      </c>
      <c r="D639" s="143" t="s">
        <v>229</v>
      </c>
      <c r="E639" s="145"/>
      <c r="F639" s="143"/>
      <c r="G639" s="143"/>
      <c r="H639" s="152" t="s">
        <v>2215</v>
      </c>
      <c r="I639" s="143" t="s">
        <v>1340</v>
      </c>
      <c r="J639" s="143" t="s">
        <v>1341</v>
      </c>
      <c r="K639" s="143">
        <v>145</v>
      </c>
      <c r="L639" s="143"/>
      <c r="M639" s="143"/>
      <c r="N639" s="143"/>
      <c r="O639" s="143"/>
      <c r="P639" s="143"/>
      <c r="Q639" s="143"/>
      <c r="R639" s="143"/>
      <c r="S639" s="146"/>
      <c r="T639" s="146"/>
      <c r="U639" s="146"/>
      <c r="V639" s="147"/>
      <c r="W639" s="143" t="s">
        <v>49</v>
      </c>
      <c r="X639" s="143" t="s">
        <v>2216</v>
      </c>
      <c r="Y639" s="143" t="s">
        <v>2217</v>
      </c>
      <c r="Z639" s="143" t="s">
        <v>2216</v>
      </c>
      <c r="AA639" s="143"/>
      <c r="AB639" s="170"/>
      <c r="AC639" s="143"/>
      <c r="AD639" s="143"/>
      <c r="AE639" s="143"/>
      <c r="AF639" s="143"/>
      <c r="AG639" s="143" t="s">
        <v>1396</v>
      </c>
      <c r="AH639" s="143"/>
      <c r="AI639" s="143"/>
      <c r="AJ639" s="143" t="s">
        <v>1397</v>
      </c>
      <c r="AK639" s="143"/>
      <c r="AL639" s="143"/>
      <c r="AM639" s="143"/>
      <c r="AO639" s="148"/>
      <c r="AP639" s="148"/>
      <c r="AQ639" s="148"/>
    </row>
    <row r="640" s="140" customFormat="1" ht="15" spans="1:43">
      <c r="A640" s="143">
        <v>638</v>
      </c>
      <c r="B640" s="144"/>
      <c r="C640" s="143" t="s">
        <v>193</v>
      </c>
      <c r="D640" s="143" t="s">
        <v>229</v>
      </c>
      <c r="E640" s="145"/>
      <c r="F640" s="143"/>
      <c r="G640" s="143"/>
      <c r="H640" s="152" t="s">
        <v>2218</v>
      </c>
      <c r="I640" s="143" t="s">
        <v>2219</v>
      </c>
      <c r="J640" s="143" t="s">
        <v>2220</v>
      </c>
      <c r="K640" s="143">
        <v>145</v>
      </c>
      <c r="L640" s="143"/>
      <c r="M640" s="143"/>
      <c r="N640" s="143"/>
      <c r="O640" s="143"/>
      <c r="P640" s="143"/>
      <c r="Q640" s="143"/>
      <c r="R640" s="143"/>
      <c r="S640" s="146"/>
      <c r="T640" s="146"/>
      <c r="U640" s="146"/>
      <c r="V640" s="147"/>
      <c r="W640" s="143" t="s">
        <v>49</v>
      </c>
      <c r="X640" s="143" t="s">
        <v>2221</v>
      </c>
      <c r="Y640" s="143" t="s">
        <v>2217</v>
      </c>
      <c r="Z640" s="143" t="s">
        <v>2221</v>
      </c>
      <c r="AA640" s="143"/>
      <c r="AB640" s="170"/>
      <c r="AC640" s="143"/>
      <c r="AD640" s="143"/>
      <c r="AE640" s="143"/>
      <c r="AF640" s="143"/>
      <c r="AG640" s="143" t="s">
        <v>1396</v>
      </c>
      <c r="AH640" s="143"/>
      <c r="AI640" s="143"/>
      <c r="AJ640" s="143" t="s">
        <v>1397</v>
      </c>
      <c r="AK640" s="143"/>
      <c r="AL640" s="143"/>
      <c r="AM640" s="143"/>
      <c r="AO640" s="148"/>
      <c r="AP640" s="148"/>
      <c r="AQ640" s="148"/>
    </row>
    <row r="641" s="140" customFormat="1" ht="15" spans="1:43">
      <c r="A641" s="143">
        <v>639</v>
      </c>
      <c r="B641" s="144"/>
      <c r="C641" s="143" t="s">
        <v>193</v>
      </c>
      <c r="D641" s="143" t="s">
        <v>229</v>
      </c>
      <c r="E641" s="145"/>
      <c r="F641" s="143"/>
      <c r="G641" s="143"/>
      <c r="H641" s="152" t="s">
        <v>2222</v>
      </c>
      <c r="I641" s="143" t="s">
        <v>324</v>
      </c>
      <c r="J641" s="143" t="s">
        <v>517</v>
      </c>
      <c r="K641" s="143">
        <v>145</v>
      </c>
      <c r="L641" s="143"/>
      <c r="M641" s="143"/>
      <c r="N641" s="143"/>
      <c r="O641" s="143"/>
      <c r="P641" s="143"/>
      <c r="Q641" s="143"/>
      <c r="R641" s="143"/>
      <c r="S641" s="146"/>
      <c r="T641" s="146"/>
      <c r="U641" s="146"/>
      <c r="V641" s="147"/>
      <c r="W641" s="143" t="s">
        <v>49</v>
      </c>
      <c r="X641" s="143" t="s">
        <v>2223</v>
      </c>
      <c r="Y641" s="143" t="s">
        <v>2217</v>
      </c>
      <c r="Z641" s="143" t="s">
        <v>2223</v>
      </c>
      <c r="AA641" s="143"/>
      <c r="AB641" s="170"/>
      <c r="AC641" s="143"/>
      <c r="AD641" s="143"/>
      <c r="AE641" s="143"/>
      <c r="AF641" s="143"/>
      <c r="AG641" s="143" t="s">
        <v>1396</v>
      </c>
      <c r="AH641" s="143"/>
      <c r="AI641" s="143"/>
      <c r="AJ641" s="143" t="s">
        <v>1397</v>
      </c>
      <c r="AK641" s="143"/>
      <c r="AL641" s="143"/>
      <c r="AM641" s="143"/>
    </row>
    <row r="642" s="140" customFormat="1" ht="15" spans="1:43">
      <c r="A642" s="143">
        <v>640</v>
      </c>
      <c r="B642" s="144"/>
      <c r="C642" s="143" t="s">
        <v>193</v>
      </c>
      <c r="D642" s="143" t="s">
        <v>229</v>
      </c>
      <c r="E642" s="145"/>
      <c r="F642" s="143"/>
      <c r="G642" s="143"/>
      <c r="H642" s="152" t="s">
        <v>2224</v>
      </c>
      <c r="I642" s="143" t="s">
        <v>2225</v>
      </c>
      <c r="J642" s="143" t="s">
        <v>2226</v>
      </c>
      <c r="K642" s="143">
        <v>145</v>
      </c>
      <c r="L642" s="143"/>
      <c r="M642" s="143"/>
      <c r="N642" s="143"/>
      <c r="O642" s="143"/>
      <c r="P642" s="143"/>
      <c r="Q642" s="143"/>
      <c r="R642" s="143"/>
      <c r="S642" s="146"/>
      <c r="T642" s="146"/>
      <c r="U642" s="146"/>
      <c r="V642" s="147"/>
      <c r="W642" s="143" t="s">
        <v>49</v>
      </c>
      <c r="X642" s="143" t="s">
        <v>2227</v>
      </c>
      <c r="Y642" s="143" t="s">
        <v>2217</v>
      </c>
      <c r="Z642" s="143" t="s">
        <v>2227</v>
      </c>
      <c r="AA642" s="143"/>
      <c r="AB642" s="170"/>
      <c r="AC642" s="143"/>
      <c r="AD642" s="143"/>
      <c r="AE642" s="143"/>
      <c r="AF642" s="143"/>
      <c r="AG642" s="143" t="s">
        <v>1396</v>
      </c>
      <c r="AH642" s="143"/>
      <c r="AI642" s="143"/>
      <c r="AJ642" s="143" t="s">
        <v>1397</v>
      </c>
      <c r="AK642" s="143"/>
      <c r="AL642" s="143"/>
      <c r="AM642" s="143"/>
    </row>
    <row r="643" s="140" customFormat="1" ht="15" spans="1:43">
      <c r="A643" s="143">
        <v>641</v>
      </c>
      <c r="B643" s="144"/>
      <c r="C643" s="143" t="s">
        <v>193</v>
      </c>
      <c r="D643" s="143" t="s">
        <v>229</v>
      </c>
      <c r="E643" s="145"/>
      <c r="F643" s="143"/>
      <c r="G643" s="143"/>
      <c r="H643" s="152" t="s">
        <v>2228</v>
      </c>
      <c r="I643" s="143" t="s">
        <v>2229</v>
      </c>
      <c r="J643" s="143" t="s">
        <v>2229</v>
      </c>
      <c r="K643" s="143">
        <v>145</v>
      </c>
      <c r="L643" s="143"/>
      <c r="M643" s="143"/>
      <c r="N643" s="143"/>
      <c r="O643" s="143"/>
      <c r="P643" s="143"/>
      <c r="Q643" s="143"/>
      <c r="R643" s="143"/>
      <c r="S643" s="146"/>
      <c r="T643" s="146"/>
      <c r="U643" s="146"/>
      <c r="V643" s="147"/>
      <c r="W643" s="143" t="s">
        <v>49</v>
      </c>
      <c r="X643" s="143" t="s">
        <v>2230</v>
      </c>
      <c r="Y643" s="143" t="s">
        <v>2217</v>
      </c>
      <c r="Z643" s="143" t="s">
        <v>2230</v>
      </c>
      <c r="AA643" s="143"/>
      <c r="AB643" s="170"/>
      <c r="AC643" s="143"/>
      <c r="AD643" s="143"/>
      <c r="AE643" s="143"/>
      <c r="AF643" s="143"/>
      <c r="AG643" s="143" t="s">
        <v>1396</v>
      </c>
      <c r="AH643" s="143"/>
      <c r="AI643" s="143"/>
      <c r="AJ643" s="143" t="s">
        <v>1397</v>
      </c>
      <c r="AK643" s="143"/>
      <c r="AL643" s="143"/>
      <c r="AM643" s="143"/>
    </row>
    <row r="644" s="140" customFormat="1" ht="15" spans="1:43">
      <c r="A644" s="143">
        <v>642</v>
      </c>
      <c r="B644" s="144"/>
      <c r="C644" s="143" t="s">
        <v>193</v>
      </c>
      <c r="D644" s="143" t="s">
        <v>229</v>
      </c>
      <c r="E644" s="145"/>
      <c r="F644" s="143"/>
      <c r="G644" s="143"/>
      <c r="H644" s="152" t="s">
        <v>2231</v>
      </c>
      <c r="I644" s="143" t="s">
        <v>1340</v>
      </c>
      <c r="J644" s="143" t="s">
        <v>1341</v>
      </c>
      <c r="K644" s="143">
        <v>145</v>
      </c>
      <c r="L644" s="143"/>
      <c r="M644" s="143"/>
      <c r="N644" s="143"/>
      <c r="O644" s="143"/>
      <c r="P644" s="143"/>
      <c r="Q644" s="143"/>
      <c r="R644" s="143"/>
      <c r="S644" s="146"/>
      <c r="T644" s="146"/>
      <c r="U644" s="146"/>
      <c r="V644" s="147"/>
      <c r="W644" s="143" t="s">
        <v>49</v>
      </c>
      <c r="X644" s="143" t="s">
        <v>2232</v>
      </c>
      <c r="Y644" s="143" t="s">
        <v>2217</v>
      </c>
      <c r="Z644" s="143" t="s">
        <v>2232</v>
      </c>
      <c r="AA644" s="143"/>
      <c r="AB644" s="170"/>
      <c r="AC644" s="143"/>
      <c r="AD644" s="143"/>
      <c r="AE644" s="143"/>
      <c r="AF644" s="143"/>
      <c r="AG644" s="143" t="s">
        <v>1396</v>
      </c>
      <c r="AH644" s="143"/>
      <c r="AI644" s="143"/>
      <c r="AJ644" s="143" t="s">
        <v>1397</v>
      </c>
      <c r="AK644" s="143"/>
      <c r="AL644" s="143"/>
      <c r="AM644" s="143"/>
    </row>
    <row r="645" s="140" customFormat="1" ht="15" spans="1:43">
      <c r="A645" s="143">
        <v>643</v>
      </c>
      <c r="B645" s="144"/>
      <c r="C645" s="143" t="s">
        <v>193</v>
      </c>
      <c r="D645" s="143" t="s">
        <v>229</v>
      </c>
      <c r="E645" s="145"/>
      <c r="F645" s="143"/>
      <c r="G645" s="143"/>
      <c r="H645" s="152" t="s">
        <v>2233</v>
      </c>
      <c r="I645" s="143" t="s">
        <v>2229</v>
      </c>
      <c r="J645" s="143" t="s">
        <v>2229</v>
      </c>
      <c r="K645" s="143">
        <v>145</v>
      </c>
      <c r="L645" s="143"/>
      <c r="M645" s="143"/>
      <c r="N645" s="143"/>
      <c r="O645" s="143"/>
      <c r="P645" s="143"/>
      <c r="Q645" s="143"/>
      <c r="R645" s="143"/>
      <c r="S645" s="146"/>
      <c r="T645" s="146"/>
      <c r="U645" s="146"/>
      <c r="V645" s="147"/>
      <c r="W645" s="143" t="s">
        <v>49</v>
      </c>
      <c r="X645" s="143" t="s">
        <v>2234</v>
      </c>
      <c r="Y645" s="143" t="s">
        <v>2217</v>
      </c>
      <c r="Z645" s="143" t="s">
        <v>2234</v>
      </c>
      <c r="AA645" s="143"/>
      <c r="AB645" s="170"/>
      <c r="AC645" s="143"/>
      <c r="AD645" s="143"/>
      <c r="AE645" s="143"/>
      <c r="AF645" s="143"/>
      <c r="AG645" s="143" t="s">
        <v>1396</v>
      </c>
      <c r="AH645" s="143"/>
      <c r="AI645" s="143"/>
      <c r="AJ645" s="143" t="s">
        <v>1397</v>
      </c>
      <c r="AK645" s="143"/>
      <c r="AL645" s="143"/>
      <c r="AM645" s="143"/>
    </row>
    <row r="646" s="140" customFormat="1" ht="15" spans="1:43">
      <c r="A646" s="143">
        <v>644</v>
      </c>
      <c r="B646" s="144"/>
      <c r="C646" s="143" t="s">
        <v>193</v>
      </c>
      <c r="D646" s="143" t="s">
        <v>229</v>
      </c>
      <c r="E646" s="145"/>
      <c r="F646" s="143"/>
      <c r="G646" s="143"/>
      <c r="H646" s="152" t="s">
        <v>2235</v>
      </c>
      <c r="I646" s="143" t="s">
        <v>324</v>
      </c>
      <c r="J646" s="143" t="s">
        <v>517</v>
      </c>
      <c r="K646" s="143">
        <v>145</v>
      </c>
      <c r="L646" s="143"/>
      <c r="M646" s="143"/>
      <c r="N646" s="143"/>
      <c r="O646" s="143"/>
      <c r="P646" s="143"/>
      <c r="Q646" s="143"/>
      <c r="R646" s="143"/>
      <c r="S646" s="146"/>
      <c r="T646" s="146"/>
      <c r="U646" s="146"/>
      <c r="V646" s="147"/>
      <c r="W646" s="143" t="s">
        <v>49</v>
      </c>
      <c r="X646" s="143" t="s">
        <v>2236</v>
      </c>
      <c r="Y646" s="143" t="s">
        <v>2217</v>
      </c>
      <c r="Z646" s="143" t="s">
        <v>2236</v>
      </c>
      <c r="AA646" s="143"/>
      <c r="AB646" s="170"/>
      <c r="AC646" s="143"/>
      <c r="AD646" s="143"/>
      <c r="AE646" s="143"/>
      <c r="AF646" s="143"/>
      <c r="AG646" s="143" t="s">
        <v>1396</v>
      </c>
      <c r="AH646" s="143"/>
      <c r="AI646" s="143"/>
      <c r="AJ646" s="143" t="s">
        <v>1397</v>
      </c>
      <c r="AK646" s="143"/>
      <c r="AL646" s="143"/>
      <c r="AM646" s="143"/>
    </row>
    <row r="647" s="140" customFormat="1" ht="15" spans="1:43">
      <c r="A647" s="143">
        <v>645</v>
      </c>
      <c r="B647" s="144"/>
      <c r="C647" s="143" t="s">
        <v>193</v>
      </c>
      <c r="D647" s="143" t="s">
        <v>229</v>
      </c>
      <c r="E647" s="145"/>
      <c r="F647" s="143"/>
      <c r="G647" s="143"/>
      <c r="H647" s="152" t="s">
        <v>2237</v>
      </c>
      <c r="I647" s="143" t="s">
        <v>2225</v>
      </c>
      <c r="J647" s="143" t="s">
        <v>2226</v>
      </c>
      <c r="K647" s="143">
        <v>145</v>
      </c>
      <c r="L647" s="143"/>
      <c r="M647" s="143"/>
      <c r="N647" s="143"/>
      <c r="O647" s="143"/>
      <c r="P647" s="143"/>
      <c r="Q647" s="143"/>
      <c r="R647" s="143"/>
      <c r="S647" s="146"/>
      <c r="T647" s="146"/>
      <c r="U647" s="146"/>
      <c r="V647" s="147"/>
      <c r="W647" s="143" t="s">
        <v>49</v>
      </c>
      <c r="X647" s="143" t="s">
        <v>2238</v>
      </c>
      <c r="Y647" s="143" t="s">
        <v>2217</v>
      </c>
      <c r="Z647" s="143" t="s">
        <v>2238</v>
      </c>
      <c r="AA647" s="143"/>
      <c r="AB647" s="170"/>
      <c r="AC647" s="143"/>
      <c r="AD647" s="143"/>
      <c r="AE647" s="143"/>
      <c r="AF647" s="143"/>
      <c r="AG647" s="143" t="s">
        <v>1396</v>
      </c>
      <c r="AH647" s="143"/>
      <c r="AI647" s="143"/>
      <c r="AJ647" s="143" t="s">
        <v>1397</v>
      </c>
      <c r="AK647" s="143"/>
      <c r="AL647" s="143"/>
      <c r="AM647" s="143"/>
    </row>
    <row r="648" s="140" customFormat="1" ht="15" spans="1:43">
      <c r="A648" s="143">
        <v>646</v>
      </c>
      <c r="B648" s="144"/>
      <c r="C648" s="143" t="s">
        <v>193</v>
      </c>
      <c r="D648" s="143" t="s">
        <v>229</v>
      </c>
      <c r="E648" s="145"/>
      <c r="F648" s="143"/>
      <c r="G648" s="143"/>
      <c r="H648" s="152" t="s">
        <v>2239</v>
      </c>
      <c r="I648" s="143" t="s">
        <v>2225</v>
      </c>
      <c r="J648" s="143" t="s">
        <v>2226</v>
      </c>
      <c r="K648" s="143">
        <v>145</v>
      </c>
      <c r="L648" s="143"/>
      <c r="M648" s="143"/>
      <c r="N648" s="143"/>
      <c r="O648" s="143"/>
      <c r="P648" s="143"/>
      <c r="Q648" s="143"/>
      <c r="R648" s="143"/>
      <c r="S648" s="146"/>
      <c r="T648" s="146"/>
      <c r="U648" s="146"/>
      <c r="V648" s="147"/>
      <c r="W648" s="143" t="s">
        <v>49</v>
      </c>
      <c r="X648" s="143" t="s">
        <v>2240</v>
      </c>
      <c r="Y648" s="143" t="s">
        <v>2217</v>
      </c>
      <c r="Z648" s="143" t="s">
        <v>2240</v>
      </c>
      <c r="AA648" s="143"/>
      <c r="AB648" s="170"/>
      <c r="AC648" s="143"/>
      <c r="AD648" s="143"/>
      <c r="AE648" s="143"/>
      <c r="AF648" s="143"/>
      <c r="AG648" s="143" t="s">
        <v>1396</v>
      </c>
      <c r="AH648" s="143"/>
      <c r="AI648" s="143"/>
      <c r="AJ648" s="143" t="s">
        <v>1397</v>
      </c>
      <c r="AK648" s="143"/>
      <c r="AL648" s="143"/>
      <c r="AM648" s="143"/>
    </row>
    <row r="649" s="140" customFormat="1" ht="15" spans="1:43">
      <c r="A649" s="143">
        <v>647</v>
      </c>
      <c r="B649" s="144"/>
      <c r="C649" s="143" t="s">
        <v>193</v>
      </c>
      <c r="D649" s="143" t="s">
        <v>229</v>
      </c>
      <c r="E649" s="145"/>
      <c r="F649" s="143"/>
      <c r="G649" s="143"/>
      <c r="H649" s="152" t="s">
        <v>2241</v>
      </c>
      <c r="I649" s="143" t="s">
        <v>2225</v>
      </c>
      <c r="J649" s="143" t="s">
        <v>2226</v>
      </c>
      <c r="K649" s="143">
        <v>145</v>
      </c>
      <c r="L649" s="143"/>
      <c r="M649" s="143"/>
      <c r="N649" s="143"/>
      <c r="O649" s="143"/>
      <c r="P649" s="143"/>
      <c r="Q649" s="143"/>
      <c r="R649" s="143"/>
      <c r="S649" s="146"/>
      <c r="T649" s="146"/>
      <c r="U649" s="146"/>
      <c r="V649" s="147"/>
      <c r="W649" s="143" t="s">
        <v>49</v>
      </c>
      <c r="X649" s="143" t="s">
        <v>2242</v>
      </c>
      <c r="Y649" s="143" t="s">
        <v>2214</v>
      </c>
      <c r="Z649" s="143" t="s">
        <v>2242</v>
      </c>
      <c r="AA649" s="143"/>
      <c r="AB649" s="170"/>
      <c r="AC649" s="143"/>
      <c r="AD649" s="143"/>
      <c r="AE649" s="143"/>
      <c r="AF649" s="143"/>
      <c r="AG649" s="143" t="s">
        <v>1396</v>
      </c>
      <c r="AH649" s="143"/>
      <c r="AI649" s="143"/>
      <c r="AJ649" s="143" t="s">
        <v>1397</v>
      </c>
      <c r="AK649" s="143"/>
      <c r="AL649" s="143"/>
      <c r="AM649" s="143"/>
    </row>
    <row r="650" s="140" customFormat="1" ht="15" spans="1:43">
      <c r="A650" s="143">
        <v>648</v>
      </c>
      <c r="B650" s="144"/>
      <c r="C650" s="143" t="s">
        <v>193</v>
      </c>
      <c r="D650" s="143" t="s">
        <v>229</v>
      </c>
      <c r="E650" s="145"/>
      <c r="F650" s="143"/>
      <c r="G650" s="143"/>
      <c r="H650" s="152" t="s">
        <v>2243</v>
      </c>
      <c r="I650" s="143" t="s">
        <v>324</v>
      </c>
      <c r="J650" s="143" t="s">
        <v>517</v>
      </c>
      <c r="K650" s="143">
        <v>145</v>
      </c>
      <c r="L650" s="143">
        <v>89</v>
      </c>
      <c r="M650" s="143"/>
      <c r="N650" s="143"/>
      <c r="O650" s="143"/>
      <c r="P650" s="143"/>
      <c r="Q650" s="143"/>
      <c r="R650" s="143"/>
      <c r="S650" s="146"/>
      <c r="T650" s="146"/>
      <c r="U650" s="146"/>
      <c r="V650" s="147"/>
      <c r="W650" s="143" t="s">
        <v>49</v>
      </c>
      <c r="X650" s="143">
        <v>8162</v>
      </c>
      <c r="Y650" s="143" t="s">
        <v>2244</v>
      </c>
      <c r="Z650" s="143">
        <v>8162</v>
      </c>
      <c r="AA650" s="143"/>
      <c r="AB650" s="170"/>
      <c r="AC650" s="143"/>
      <c r="AD650" s="143"/>
      <c r="AE650" s="143"/>
      <c r="AF650" s="143"/>
      <c r="AG650" s="143" t="s">
        <v>1396</v>
      </c>
      <c r="AH650" s="143"/>
      <c r="AI650" s="143"/>
      <c r="AJ650" s="143" t="s">
        <v>1397</v>
      </c>
      <c r="AK650" s="143"/>
      <c r="AL650" s="143"/>
      <c r="AM650" s="143"/>
    </row>
    <row r="651" s="140" customFormat="1" ht="15" spans="1:43">
      <c r="A651" s="143">
        <v>649</v>
      </c>
      <c r="B651" s="144"/>
      <c r="C651" s="143" t="s">
        <v>193</v>
      </c>
      <c r="D651" s="143" t="s">
        <v>229</v>
      </c>
      <c r="E651" s="145"/>
      <c r="F651" s="143"/>
      <c r="G651" s="143"/>
      <c r="H651" s="152" t="s">
        <v>2245</v>
      </c>
      <c r="I651" s="143" t="s">
        <v>324</v>
      </c>
      <c r="J651" s="143" t="s">
        <v>517</v>
      </c>
      <c r="K651" s="143">
        <v>145</v>
      </c>
      <c r="L651" s="143">
        <v>90</v>
      </c>
      <c r="M651" s="143"/>
      <c r="N651" s="143"/>
      <c r="O651" s="143"/>
      <c r="P651" s="143"/>
      <c r="Q651" s="143"/>
      <c r="R651" s="143"/>
      <c r="S651" s="146"/>
      <c r="T651" s="146"/>
      <c r="U651" s="146"/>
      <c r="V651" s="147"/>
      <c r="W651" s="143" t="s">
        <v>49</v>
      </c>
      <c r="X651" s="143">
        <v>8126</v>
      </c>
      <c r="Y651" s="143" t="s">
        <v>2244</v>
      </c>
      <c r="Z651" s="143">
        <v>8126</v>
      </c>
      <c r="AA651" s="143"/>
      <c r="AB651" s="170"/>
      <c r="AC651" s="143"/>
      <c r="AD651" s="143"/>
      <c r="AE651" s="143"/>
      <c r="AF651" s="143"/>
      <c r="AG651" s="143" t="s">
        <v>1396</v>
      </c>
      <c r="AH651" s="143"/>
      <c r="AI651" s="143"/>
      <c r="AJ651" s="143" t="s">
        <v>1397</v>
      </c>
      <c r="AK651" s="143"/>
      <c r="AL651" s="143"/>
      <c r="AM651" s="143"/>
    </row>
    <row r="652" s="140" customFormat="1" ht="15" spans="1:43">
      <c r="A652" s="143">
        <v>650</v>
      </c>
      <c r="B652" s="144"/>
      <c r="C652" s="143" t="s">
        <v>193</v>
      </c>
      <c r="D652" s="143" t="s">
        <v>229</v>
      </c>
      <c r="E652" s="145"/>
      <c r="F652" s="143"/>
      <c r="G652" s="143"/>
      <c r="H652" s="152" t="s">
        <v>2246</v>
      </c>
      <c r="I652" s="143" t="s">
        <v>815</v>
      </c>
      <c r="J652" s="143" t="s">
        <v>2247</v>
      </c>
      <c r="K652" s="143">
        <v>145</v>
      </c>
      <c r="L652" s="143"/>
      <c r="M652" s="143"/>
      <c r="N652" s="143"/>
      <c r="O652" s="143"/>
      <c r="P652" s="143"/>
      <c r="Q652" s="143"/>
      <c r="R652" s="143"/>
      <c r="S652" s="146"/>
      <c r="T652" s="146"/>
      <c r="U652" s="146"/>
      <c r="V652" s="147"/>
      <c r="W652" s="143" t="s">
        <v>49</v>
      </c>
      <c r="X652" s="143" t="s">
        <v>2248</v>
      </c>
      <c r="Y652" s="143" t="s">
        <v>2244</v>
      </c>
      <c r="Z652" s="143" t="s">
        <v>2248</v>
      </c>
      <c r="AA652" s="143"/>
      <c r="AB652" s="170"/>
      <c r="AC652" s="143"/>
      <c r="AD652" s="143"/>
      <c r="AE652" s="143"/>
      <c r="AF652" s="143"/>
      <c r="AG652" s="143" t="s">
        <v>1396</v>
      </c>
      <c r="AH652" s="143"/>
      <c r="AI652" s="143"/>
      <c r="AJ652" s="143" t="s">
        <v>1397</v>
      </c>
      <c r="AK652" s="143"/>
      <c r="AL652" s="143"/>
      <c r="AM652" s="143"/>
      <c r="AO652" s="148"/>
      <c r="AP652" s="148"/>
      <c r="AQ652" s="148"/>
    </row>
    <row r="653" s="140" customFormat="1" ht="15" spans="1:43">
      <c r="A653" s="143">
        <v>651</v>
      </c>
      <c r="B653" s="144"/>
      <c r="C653" s="143" t="s">
        <v>193</v>
      </c>
      <c r="D653" s="143" t="s">
        <v>229</v>
      </c>
      <c r="E653" s="145"/>
      <c r="F653" s="143"/>
      <c r="G653" s="143"/>
      <c r="H653" s="152" t="s">
        <v>2249</v>
      </c>
      <c r="I653" s="143" t="s">
        <v>45</v>
      </c>
      <c r="J653" s="143" t="s">
        <v>1572</v>
      </c>
      <c r="K653" s="143">
        <v>145</v>
      </c>
      <c r="L653" s="143"/>
      <c r="M653" s="143"/>
      <c r="N653" s="143"/>
      <c r="O653" s="143"/>
      <c r="P653" s="143"/>
      <c r="Q653" s="143"/>
      <c r="R653" s="143"/>
      <c r="S653" s="146"/>
      <c r="T653" s="146"/>
      <c r="U653" s="146"/>
      <c r="V653" s="147"/>
      <c r="W653" s="143" t="s">
        <v>49</v>
      </c>
      <c r="X653" s="143" t="s">
        <v>2250</v>
      </c>
      <c r="Y653" s="143" t="s">
        <v>2244</v>
      </c>
      <c r="Z653" s="143" t="s">
        <v>2250</v>
      </c>
      <c r="AA653" s="143"/>
      <c r="AB653" s="170"/>
      <c r="AC653" s="143"/>
      <c r="AD653" s="143"/>
      <c r="AE653" s="143"/>
      <c r="AF653" s="143"/>
      <c r="AG653" s="143" t="s">
        <v>1396</v>
      </c>
      <c r="AH653" s="143"/>
      <c r="AI653" s="143"/>
      <c r="AJ653" s="143" t="s">
        <v>1397</v>
      </c>
      <c r="AK653" s="143"/>
      <c r="AL653" s="143"/>
      <c r="AM653" s="143"/>
      <c r="AO653" s="148"/>
      <c r="AP653" s="148"/>
      <c r="AQ653" s="148"/>
    </row>
    <row r="654" s="140" customFormat="1" ht="15" spans="1:43">
      <c r="A654" s="143">
        <v>652</v>
      </c>
      <c r="B654" s="144"/>
      <c r="C654" s="143" t="s">
        <v>193</v>
      </c>
      <c r="D654" s="143" t="s">
        <v>229</v>
      </c>
      <c r="E654" s="145"/>
      <c r="F654" s="143"/>
      <c r="G654" s="143"/>
      <c r="H654" s="152" t="s">
        <v>2251</v>
      </c>
      <c r="I654" s="143" t="s">
        <v>45</v>
      </c>
      <c r="J654" s="143" t="s">
        <v>1572</v>
      </c>
      <c r="K654" s="143">
        <v>145</v>
      </c>
      <c r="L654" s="143"/>
      <c r="M654" s="143"/>
      <c r="N654" s="143"/>
      <c r="O654" s="143"/>
      <c r="P654" s="143"/>
      <c r="Q654" s="143"/>
      <c r="R654" s="143"/>
      <c r="S654" s="146"/>
      <c r="T654" s="146"/>
      <c r="U654" s="146"/>
      <c r="V654" s="147"/>
      <c r="W654" s="143" t="s">
        <v>49</v>
      </c>
      <c r="X654" s="143" t="s">
        <v>2252</v>
      </c>
      <c r="Y654" s="143" t="s">
        <v>2244</v>
      </c>
      <c r="Z654" s="143" t="s">
        <v>2252</v>
      </c>
      <c r="AA654" s="143"/>
      <c r="AB654" s="170"/>
      <c r="AC654" s="143"/>
      <c r="AD654" s="143"/>
      <c r="AE654" s="143"/>
      <c r="AF654" s="143"/>
      <c r="AG654" s="143" t="s">
        <v>1396</v>
      </c>
      <c r="AH654" s="143"/>
      <c r="AI654" s="143"/>
      <c r="AJ654" s="143" t="s">
        <v>1397</v>
      </c>
      <c r="AK654" s="143"/>
      <c r="AL654" s="143"/>
      <c r="AM654" s="143"/>
    </row>
    <row r="655" s="140" customFormat="1" ht="15" spans="1:43">
      <c r="A655" s="143">
        <v>653</v>
      </c>
      <c r="B655" s="144"/>
      <c r="C655" s="143" t="s">
        <v>193</v>
      </c>
      <c r="D655" s="143" t="s">
        <v>229</v>
      </c>
      <c r="E655" s="145"/>
      <c r="F655" s="143"/>
      <c r="G655" s="143"/>
      <c r="H655" s="152" t="s">
        <v>2253</v>
      </c>
      <c r="I655" s="143" t="s">
        <v>45</v>
      </c>
      <c r="J655" s="143" t="s">
        <v>1572</v>
      </c>
      <c r="K655" s="143">
        <v>145</v>
      </c>
      <c r="L655" s="143"/>
      <c r="M655" s="143"/>
      <c r="N655" s="143"/>
      <c r="O655" s="143"/>
      <c r="P655" s="143"/>
      <c r="Q655" s="143"/>
      <c r="R655" s="143"/>
      <c r="S655" s="146"/>
      <c r="T655" s="146"/>
      <c r="U655" s="146"/>
      <c r="V655" s="147"/>
      <c r="W655" s="143" t="s">
        <v>49</v>
      </c>
      <c r="X655" s="143" t="s">
        <v>2254</v>
      </c>
      <c r="Y655" s="143" t="s">
        <v>2244</v>
      </c>
      <c r="Z655" s="143" t="s">
        <v>2254</v>
      </c>
      <c r="AA655" s="143"/>
      <c r="AB655" s="170"/>
      <c r="AC655" s="143"/>
      <c r="AD655" s="143"/>
      <c r="AE655" s="143"/>
      <c r="AF655" s="143"/>
      <c r="AG655" s="143" t="s">
        <v>1396</v>
      </c>
      <c r="AH655" s="143"/>
      <c r="AI655" s="143"/>
      <c r="AJ655" s="143" t="s">
        <v>1397</v>
      </c>
      <c r="AK655" s="143"/>
      <c r="AL655" s="143"/>
      <c r="AM655" s="143"/>
    </row>
    <row r="656" s="140" customFormat="1" ht="15" spans="1:43">
      <c r="A656" s="143">
        <v>654</v>
      </c>
      <c r="B656" s="144"/>
      <c r="C656" s="143" t="s">
        <v>193</v>
      </c>
      <c r="D656" s="143" t="s">
        <v>229</v>
      </c>
      <c r="E656" s="145"/>
      <c r="F656" s="143"/>
      <c r="G656" s="143"/>
      <c r="H656" s="152" t="s">
        <v>2255</v>
      </c>
      <c r="I656" s="143" t="s">
        <v>324</v>
      </c>
      <c r="J656" s="143" t="s">
        <v>517</v>
      </c>
      <c r="K656" s="143">
        <v>145</v>
      </c>
      <c r="L656" s="143">
        <v>105</v>
      </c>
      <c r="M656" s="143"/>
      <c r="N656" s="143"/>
      <c r="O656" s="143"/>
      <c r="P656" s="143"/>
      <c r="Q656" s="143"/>
      <c r="R656" s="143"/>
      <c r="S656" s="146"/>
      <c r="T656" s="146"/>
      <c r="U656" s="146"/>
      <c r="V656" s="147"/>
      <c r="W656" s="143" t="s">
        <v>49</v>
      </c>
      <c r="X656" s="143" t="s">
        <v>2256</v>
      </c>
      <c r="Y656" s="143" t="s">
        <v>2244</v>
      </c>
      <c r="Z656" s="143" t="s">
        <v>2256</v>
      </c>
      <c r="AA656" s="143"/>
      <c r="AB656" s="170"/>
      <c r="AC656" s="143"/>
      <c r="AD656" s="143"/>
      <c r="AE656" s="143"/>
      <c r="AF656" s="143"/>
      <c r="AG656" s="143" t="s">
        <v>1396</v>
      </c>
      <c r="AH656" s="143"/>
      <c r="AI656" s="143"/>
      <c r="AJ656" s="143" t="s">
        <v>1397</v>
      </c>
      <c r="AK656" s="143"/>
      <c r="AL656" s="143"/>
      <c r="AM656" s="143"/>
    </row>
    <row r="657" s="140" customFormat="1" ht="15" spans="1:43">
      <c r="A657" s="143">
        <v>655</v>
      </c>
      <c r="B657" s="144"/>
      <c r="C657" s="143" t="s">
        <v>193</v>
      </c>
      <c r="D657" s="143" t="s">
        <v>229</v>
      </c>
      <c r="E657" s="145"/>
      <c r="F657" s="143"/>
      <c r="G657" s="143"/>
      <c r="H657" s="152" t="s">
        <v>2257</v>
      </c>
      <c r="I657" s="143" t="s">
        <v>324</v>
      </c>
      <c r="J657" s="143" t="s">
        <v>517</v>
      </c>
      <c r="K657" s="143">
        <v>150</v>
      </c>
      <c r="L657" s="143">
        <v>105</v>
      </c>
      <c r="M657" s="143"/>
      <c r="N657" s="143"/>
      <c r="O657" s="143"/>
      <c r="P657" s="143"/>
      <c r="Q657" s="143"/>
      <c r="R657" s="143"/>
      <c r="S657" s="146"/>
      <c r="T657" s="146"/>
      <c r="U657" s="146"/>
      <c r="V657" s="147"/>
      <c r="W657" s="143" t="s">
        <v>49</v>
      </c>
      <c r="X657" s="143" t="s">
        <v>2258</v>
      </c>
      <c r="Y657" s="143" t="s">
        <v>2244</v>
      </c>
      <c r="Z657" s="143" t="s">
        <v>2258</v>
      </c>
      <c r="AA657" s="143"/>
      <c r="AB657" s="170"/>
      <c r="AC657" s="143"/>
      <c r="AD657" s="143"/>
      <c r="AE657" s="143"/>
      <c r="AF657" s="143"/>
      <c r="AG657" s="143" t="s">
        <v>1396</v>
      </c>
      <c r="AH657" s="143"/>
      <c r="AI657" s="143"/>
      <c r="AJ657" s="143" t="s">
        <v>1397</v>
      </c>
      <c r="AK657" s="143"/>
      <c r="AL657" s="143"/>
      <c r="AM657" s="143"/>
    </row>
    <row r="658" s="140" customFormat="1" ht="15" spans="1:43">
      <c r="A658" s="143">
        <v>656</v>
      </c>
      <c r="B658" s="144"/>
      <c r="C658" s="143" t="s">
        <v>193</v>
      </c>
      <c r="D658" s="143" t="s">
        <v>229</v>
      </c>
      <c r="E658" s="145"/>
      <c r="F658" s="143"/>
      <c r="G658" s="143"/>
      <c r="H658" s="152" t="s">
        <v>2259</v>
      </c>
      <c r="I658" s="143" t="s">
        <v>2260</v>
      </c>
      <c r="J658" s="143" t="s">
        <v>2261</v>
      </c>
      <c r="K658" s="143">
        <v>145</v>
      </c>
      <c r="L658" s="143">
        <v>130</v>
      </c>
      <c r="M658" s="143"/>
      <c r="N658" s="143"/>
      <c r="O658" s="143"/>
      <c r="P658" s="143"/>
      <c r="Q658" s="143"/>
      <c r="R658" s="143"/>
      <c r="S658" s="146"/>
      <c r="T658" s="146"/>
      <c r="U658" s="146"/>
      <c r="V658" s="147"/>
      <c r="W658" s="143" t="s">
        <v>49</v>
      </c>
      <c r="X658" s="143" t="s">
        <v>2262</v>
      </c>
      <c r="Y658" s="143" t="s">
        <v>2244</v>
      </c>
      <c r="Z658" s="143" t="s">
        <v>2262</v>
      </c>
      <c r="AA658" s="143"/>
      <c r="AB658" s="170"/>
      <c r="AC658" s="143"/>
      <c r="AD658" s="143"/>
      <c r="AE658" s="143"/>
      <c r="AF658" s="143"/>
      <c r="AG658" s="143" t="s">
        <v>1396</v>
      </c>
      <c r="AH658" s="143"/>
      <c r="AI658" s="143"/>
      <c r="AJ658" s="143" t="s">
        <v>1397</v>
      </c>
      <c r="AK658" s="143"/>
      <c r="AL658" s="143"/>
      <c r="AM658" s="143"/>
    </row>
    <row r="659" s="140" customFormat="1" ht="15" spans="1:43">
      <c r="A659" s="143">
        <v>657</v>
      </c>
      <c r="B659" s="144"/>
      <c r="C659" s="143" t="s">
        <v>193</v>
      </c>
      <c r="D659" s="143" t="s">
        <v>229</v>
      </c>
      <c r="E659" s="145"/>
      <c r="F659" s="143"/>
      <c r="G659" s="143"/>
      <c r="H659" s="152" t="s">
        <v>2263</v>
      </c>
      <c r="I659" s="143" t="s">
        <v>2260</v>
      </c>
      <c r="J659" s="143" t="s">
        <v>2261</v>
      </c>
      <c r="K659" s="143">
        <v>145</v>
      </c>
      <c r="L659" s="143">
        <v>130</v>
      </c>
      <c r="M659" s="143"/>
      <c r="N659" s="143"/>
      <c r="O659" s="143"/>
      <c r="P659" s="143"/>
      <c r="Q659" s="143"/>
      <c r="R659" s="143"/>
      <c r="S659" s="146"/>
      <c r="T659" s="146"/>
      <c r="U659" s="146"/>
      <c r="V659" s="147"/>
      <c r="W659" s="143" t="s">
        <v>49</v>
      </c>
      <c r="X659" s="143" t="s">
        <v>2264</v>
      </c>
      <c r="Y659" s="143" t="s">
        <v>2244</v>
      </c>
      <c r="Z659" s="143" t="s">
        <v>2264</v>
      </c>
      <c r="AA659" s="143"/>
      <c r="AB659" s="170"/>
      <c r="AC659" s="143"/>
      <c r="AD659" s="143"/>
      <c r="AE659" s="143"/>
      <c r="AF659" s="143"/>
      <c r="AG659" s="143" t="s">
        <v>1396</v>
      </c>
      <c r="AH659" s="143"/>
      <c r="AI659" s="143"/>
      <c r="AJ659" s="143" t="s">
        <v>1397</v>
      </c>
      <c r="AK659" s="143"/>
      <c r="AL659" s="143"/>
      <c r="AM659" s="143"/>
    </row>
    <row r="660" s="140" customFormat="1" ht="15" spans="1:43">
      <c r="A660" s="143">
        <v>658</v>
      </c>
      <c r="B660" s="144"/>
      <c r="C660" s="143" t="s">
        <v>193</v>
      </c>
      <c r="D660" s="143" t="s">
        <v>229</v>
      </c>
      <c r="E660" s="145"/>
      <c r="F660" s="143"/>
      <c r="G660" s="143"/>
      <c r="H660" s="152" t="s">
        <v>2265</v>
      </c>
      <c r="I660" s="143" t="s">
        <v>2260</v>
      </c>
      <c r="J660" s="143" t="s">
        <v>2261</v>
      </c>
      <c r="K660" s="143">
        <v>145</v>
      </c>
      <c r="L660" s="143">
        <v>105</v>
      </c>
      <c r="M660" s="143"/>
      <c r="N660" s="143"/>
      <c r="O660" s="143"/>
      <c r="P660" s="143"/>
      <c r="Q660" s="143"/>
      <c r="R660" s="143"/>
      <c r="S660" s="146"/>
      <c r="T660" s="146"/>
      <c r="U660" s="146"/>
      <c r="V660" s="147"/>
      <c r="W660" s="143" t="s">
        <v>49</v>
      </c>
      <c r="X660" s="143" t="s">
        <v>2266</v>
      </c>
      <c r="Y660" s="143" t="s">
        <v>2244</v>
      </c>
      <c r="Z660" s="143" t="s">
        <v>2266</v>
      </c>
      <c r="AA660" s="143"/>
      <c r="AB660" s="170"/>
      <c r="AC660" s="143"/>
      <c r="AD660" s="143"/>
      <c r="AE660" s="143"/>
      <c r="AF660" s="143"/>
      <c r="AG660" s="143" t="s">
        <v>1396</v>
      </c>
      <c r="AH660" s="143"/>
      <c r="AI660" s="143"/>
      <c r="AJ660" s="143" t="s">
        <v>1397</v>
      </c>
      <c r="AK660" s="143"/>
      <c r="AL660" s="143"/>
      <c r="AM660" s="143"/>
    </row>
    <row r="661" s="140" customFormat="1" ht="15" spans="1:43">
      <c r="A661" s="143">
        <v>659</v>
      </c>
      <c r="B661" s="144"/>
      <c r="C661" s="143" t="s">
        <v>193</v>
      </c>
      <c r="D661" s="143" t="s">
        <v>229</v>
      </c>
      <c r="E661" s="145"/>
      <c r="F661" s="143"/>
      <c r="G661" s="143"/>
      <c r="H661" s="152" t="s">
        <v>2267</v>
      </c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6"/>
      <c r="T661" s="146"/>
      <c r="U661" s="146"/>
      <c r="V661" s="147"/>
      <c r="W661" s="143" t="s">
        <v>49</v>
      </c>
      <c r="X661" s="143">
        <v>5805</v>
      </c>
      <c r="Y661" s="143" t="s">
        <v>2244</v>
      </c>
      <c r="Z661" s="143">
        <v>5805</v>
      </c>
      <c r="AA661" s="143"/>
      <c r="AB661" s="170"/>
      <c r="AC661" s="143"/>
      <c r="AD661" s="143"/>
      <c r="AE661" s="143"/>
      <c r="AF661" s="143"/>
      <c r="AG661" s="143" t="s">
        <v>1396</v>
      </c>
      <c r="AH661" s="143"/>
      <c r="AI661" s="143"/>
      <c r="AJ661" s="143" t="s">
        <v>1397</v>
      </c>
      <c r="AK661" s="143"/>
      <c r="AL661" s="143"/>
      <c r="AM661" s="143"/>
    </row>
    <row r="662" s="140" customFormat="1" ht="15" spans="1:43">
      <c r="A662" s="143">
        <v>660</v>
      </c>
      <c r="B662" s="144"/>
      <c r="C662" s="143" t="s">
        <v>193</v>
      </c>
      <c r="D662" s="143" t="s">
        <v>229</v>
      </c>
      <c r="E662" s="145"/>
      <c r="F662" s="143"/>
      <c r="G662" s="143"/>
      <c r="H662" s="152" t="s">
        <v>2268</v>
      </c>
      <c r="I662" s="143" t="s">
        <v>324</v>
      </c>
      <c r="J662" s="143" t="s">
        <v>517</v>
      </c>
      <c r="K662" s="143">
        <v>145</v>
      </c>
      <c r="L662" s="143">
        <v>100</v>
      </c>
      <c r="M662" s="143"/>
      <c r="N662" s="143"/>
      <c r="O662" s="143"/>
      <c r="P662" s="143"/>
      <c r="Q662" s="143"/>
      <c r="R662" s="143"/>
      <c r="S662" s="146"/>
      <c r="T662" s="146"/>
      <c r="U662" s="146"/>
      <c r="V662" s="147"/>
      <c r="W662" s="143" t="s">
        <v>49</v>
      </c>
      <c r="X662" s="143">
        <v>8158</v>
      </c>
      <c r="Y662" s="143" t="s">
        <v>49</v>
      </c>
      <c r="Z662" s="143">
        <v>8158</v>
      </c>
      <c r="AA662" s="143"/>
      <c r="AB662" s="170"/>
      <c r="AC662" s="143"/>
      <c r="AD662" s="143"/>
      <c r="AE662" s="143"/>
      <c r="AF662" s="143"/>
      <c r="AG662" s="143" t="s">
        <v>1396</v>
      </c>
      <c r="AH662" s="143"/>
      <c r="AI662" s="143"/>
      <c r="AJ662" s="143" t="s">
        <v>1397</v>
      </c>
      <c r="AK662" s="143"/>
      <c r="AL662" s="143"/>
      <c r="AM662" s="143"/>
    </row>
    <row r="663" s="140" customFormat="1" ht="15" spans="1:43">
      <c r="A663" s="143">
        <v>661</v>
      </c>
      <c r="B663" s="144"/>
      <c r="C663" s="143" t="s">
        <v>193</v>
      </c>
      <c r="D663" s="143" t="s">
        <v>229</v>
      </c>
      <c r="E663" s="145"/>
      <c r="F663" s="143"/>
      <c r="G663" s="143"/>
      <c r="H663" s="172" t="s">
        <v>2269</v>
      </c>
      <c r="I663" s="143" t="s">
        <v>2270</v>
      </c>
      <c r="J663" s="143" t="s">
        <v>2271</v>
      </c>
      <c r="K663" s="143">
        <v>145</v>
      </c>
      <c r="L663" s="143">
        <v>130</v>
      </c>
      <c r="M663" s="143"/>
      <c r="N663" s="143"/>
      <c r="O663" s="143"/>
      <c r="P663" s="143"/>
      <c r="Q663" s="143"/>
      <c r="R663" s="143"/>
      <c r="S663" s="146"/>
      <c r="T663" s="146"/>
      <c r="U663" s="146"/>
      <c r="V663" s="147"/>
      <c r="W663" s="143" t="s">
        <v>49</v>
      </c>
      <c r="X663" s="143">
        <v>2050</v>
      </c>
      <c r="Y663" s="143" t="s">
        <v>2244</v>
      </c>
      <c r="Z663" s="143">
        <v>2050</v>
      </c>
      <c r="AA663" s="173">
        <v>11.6</v>
      </c>
      <c r="AB663" s="170">
        <v>46104</v>
      </c>
      <c r="AC663" s="143"/>
      <c r="AD663" s="143"/>
      <c r="AE663" s="143"/>
      <c r="AF663" s="143"/>
      <c r="AG663" s="143" t="s">
        <v>2272</v>
      </c>
      <c r="AH663" s="143" t="s">
        <v>250</v>
      </c>
      <c r="AI663" s="143"/>
      <c r="AJ663" s="143" t="s">
        <v>2273</v>
      </c>
      <c r="AK663" s="143"/>
      <c r="AL663" s="143"/>
      <c r="AM663" s="143"/>
    </row>
    <row r="664" s="140" customFormat="1" ht="15" spans="1:43">
      <c r="A664" s="143">
        <v>662</v>
      </c>
      <c r="B664" s="144"/>
      <c r="C664" s="143" t="s">
        <v>193</v>
      </c>
      <c r="D664" s="143" t="s">
        <v>229</v>
      </c>
      <c r="E664" s="145"/>
      <c r="F664" s="143"/>
      <c r="G664" s="143"/>
      <c r="H664" s="172" t="s">
        <v>2274</v>
      </c>
      <c r="I664" s="143" t="s">
        <v>2270</v>
      </c>
      <c r="J664" s="143" t="s">
        <v>2271</v>
      </c>
      <c r="K664" s="143">
        <v>145</v>
      </c>
      <c r="L664" s="143">
        <v>125</v>
      </c>
      <c r="M664" s="143"/>
      <c r="N664" s="143"/>
      <c r="O664" s="143"/>
      <c r="P664" s="143"/>
      <c r="Q664" s="143"/>
      <c r="R664" s="143"/>
      <c r="S664" s="146"/>
      <c r="T664" s="146"/>
      <c r="U664" s="146"/>
      <c r="V664" s="147"/>
      <c r="W664" s="143" t="s">
        <v>49</v>
      </c>
      <c r="X664" s="143">
        <v>2051</v>
      </c>
      <c r="Y664" s="143" t="s">
        <v>2244</v>
      </c>
      <c r="Z664" s="143">
        <v>2051</v>
      </c>
      <c r="AA664" s="173">
        <v>11.6</v>
      </c>
      <c r="AB664" s="170">
        <v>46104</v>
      </c>
      <c r="AC664" s="143"/>
      <c r="AD664" s="143"/>
      <c r="AE664" s="143"/>
      <c r="AF664" s="143"/>
      <c r="AG664" s="143" t="s">
        <v>2272</v>
      </c>
      <c r="AH664" s="143" t="s">
        <v>250</v>
      </c>
      <c r="AI664" s="143"/>
      <c r="AJ664" s="143" t="s">
        <v>2273</v>
      </c>
      <c r="AK664" s="143"/>
      <c r="AL664" s="143"/>
      <c r="AM664" s="143"/>
      <c r="AN664" s="148"/>
    </row>
    <row r="665" s="140" customFormat="1" ht="15" spans="1:43">
      <c r="A665" s="143">
        <v>663</v>
      </c>
      <c r="B665" s="144"/>
      <c r="C665" s="143" t="s">
        <v>193</v>
      </c>
      <c r="D665" s="143" t="s">
        <v>229</v>
      </c>
      <c r="E665" s="145"/>
      <c r="F665" s="143"/>
      <c r="G665" s="143"/>
      <c r="H665" s="172" t="s">
        <v>2275</v>
      </c>
      <c r="I665" s="143" t="s">
        <v>436</v>
      </c>
      <c r="J665" s="143" t="s">
        <v>559</v>
      </c>
      <c r="K665" s="143">
        <v>145</v>
      </c>
      <c r="L665" s="143">
        <v>120</v>
      </c>
      <c r="M665" s="143"/>
      <c r="N665" s="143"/>
      <c r="O665" s="143"/>
      <c r="P665" s="143"/>
      <c r="Q665" s="143"/>
      <c r="R665" s="143"/>
      <c r="S665" s="146"/>
      <c r="T665" s="146"/>
      <c r="U665" s="146"/>
      <c r="V665" s="147"/>
      <c r="W665" s="143" t="s">
        <v>49</v>
      </c>
      <c r="X665" s="143" t="s">
        <v>2276</v>
      </c>
      <c r="Y665" s="143" t="s">
        <v>2244</v>
      </c>
      <c r="Z665" s="143" t="s">
        <v>2276</v>
      </c>
      <c r="AA665" s="173">
        <v>14.3</v>
      </c>
      <c r="AB665" s="170">
        <v>46104</v>
      </c>
      <c r="AC665" s="143"/>
      <c r="AD665" s="143"/>
      <c r="AE665" s="143"/>
      <c r="AF665" s="143"/>
      <c r="AG665" s="143" t="s">
        <v>2272</v>
      </c>
      <c r="AH665" s="143" t="s">
        <v>250</v>
      </c>
      <c r="AI665" s="143"/>
      <c r="AJ665" s="143" t="s">
        <v>2273</v>
      </c>
      <c r="AK665" s="143"/>
      <c r="AL665" s="143"/>
      <c r="AM665" s="143"/>
      <c r="AO665" s="148"/>
      <c r="AP665" s="148"/>
      <c r="AQ665" s="148"/>
    </row>
    <row r="666" s="140" customFormat="1" ht="15" spans="1:43">
      <c r="A666" s="143">
        <v>664</v>
      </c>
      <c r="B666" s="144"/>
      <c r="C666" s="143" t="s">
        <v>193</v>
      </c>
      <c r="D666" s="143" t="s">
        <v>229</v>
      </c>
      <c r="E666" s="145"/>
      <c r="F666" s="143"/>
      <c r="G666" s="143"/>
      <c r="H666" s="152" t="s">
        <v>2277</v>
      </c>
      <c r="I666" s="143"/>
      <c r="J666" s="143"/>
      <c r="K666" s="143">
        <v>148</v>
      </c>
      <c r="L666" s="143"/>
      <c r="M666" s="143"/>
      <c r="N666" s="143"/>
      <c r="O666" s="143"/>
      <c r="P666" s="143"/>
      <c r="Q666" s="143"/>
      <c r="R666" s="143"/>
      <c r="S666" s="146"/>
      <c r="T666" s="146"/>
      <c r="U666" s="146"/>
      <c r="V666" s="147"/>
      <c r="W666" s="143" t="s">
        <v>49</v>
      </c>
      <c r="X666" s="143" t="s">
        <v>2278</v>
      </c>
      <c r="Y666" s="143" t="s">
        <v>2279</v>
      </c>
      <c r="Z666" s="143" t="s">
        <v>2278</v>
      </c>
      <c r="AA666" s="143"/>
      <c r="AB666" s="170"/>
      <c r="AC666" s="143"/>
      <c r="AD666" s="143"/>
      <c r="AE666" s="143"/>
      <c r="AF666" s="143"/>
      <c r="AG666" s="143" t="s">
        <v>2272</v>
      </c>
      <c r="AH666" s="143"/>
      <c r="AI666" s="143"/>
      <c r="AJ666" s="143" t="s">
        <v>2273</v>
      </c>
      <c r="AK666" s="143"/>
      <c r="AL666" s="143"/>
      <c r="AM666" s="143"/>
    </row>
    <row r="667" s="140" customFormat="1" ht="15" spans="1:43">
      <c r="A667" s="143">
        <v>665</v>
      </c>
      <c r="B667" s="144"/>
      <c r="C667" s="143" t="s">
        <v>193</v>
      </c>
      <c r="D667" s="143" t="s">
        <v>229</v>
      </c>
      <c r="E667" s="145"/>
      <c r="F667" s="143"/>
      <c r="G667" s="143"/>
      <c r="H667" s="152" t="s">
        <v>2280</v>
      </c>
      <c r="I667" s="143"/>
      <c r="J667" s="143"/>
      <c r="K667" s="143">
        <v>145</v>
      </c>
      <c r="L667" s="143"/>
      <c r="M667" s="143"/>
      <c r="N667" s="143"/>
      <c r="O667" s="143"/>
      <c r="P667" s="143"/>
      <c r="Q667" s="143"/>
      <c r="R667" s="143"/>
      <c r="S667" s="146"/>
      <c r="T667" s="146"/>
      <c r="U667" s="146"/>
      <c r="V667" s="147"/>
      <c r="W667" s="143" t="s">
        <v>49</v>
      </c>
      <c r="X667" s="143">
        <v>13847</v>
      </c>
      <c r="Y667" s="143" t="s">
        <v>2281</v>
      </c>
      <c r="Z667" s="143">
        <v>13847</v>
      </c>
      <c r="AA667" s="143"/>
      <c r="AB667" s="170"/>
      <c r="AC667" s="143"/>
      <c r="AD667" s="143"/>
      <c r="AE667" s="143"/>
      <c r="AF667" s="143"/>
      <c r="AG667" s="143" t="s">
        <v>2272</v>
      </c>
      <c r="AH667" s="143"/>
      <c r="AI667" s="143"/>
      <c r="AJ667" s="143" t="s">
        <v>2273</v>
      </c>
      <c r="AK667" s="143"/>
      <c r="AL667" s="143"/>
      <c r="AM667" s="143"/>
    </row>
    <row r="668" s="140" customFormat="1" ht="15" spans="1:43">
      <c r="A668" s="143">
        <v>666</v>
      </c>
      <c r="B668" s="144"/>
      <c r="C668" s="143" t="s">
        <v>193</v>
      </c>
      <c r="D668" s="143" t="s">
        <v>229</v>
      </c>
      <c r="E668" s="145"/>
      <c r="F668" s="143"/>
      <c r="G668" s="143"/>
      <c r="H668" s="152" t="s">
        <v>2282</v>
      </c>
      <c r="I668" s="143" t="s">
        <v>2270</v>
      </c>
      <c r="J668" s="143" t="s">
        <v>2271</v>
      </c>
      <c r="K668" s="143">
        <v>145</v>
      </c>
      <c r="L668" s="143">
        <v>100</v>
      </c>
      <c r="M668" s="143"/>
      <c r="N668" s="143"/>
      <c r="O668" s="143"/>
      <c r="P668" s="143"/>
      <c r="Q668" s="143"/>
      <c r="R668" s="143"/>
      <c r="S668" s="146"/>
      <c r="T668" s="146"/>
      <c r="U668" s="146"/>
      <c r="V668" s="147"/>
      <c r="W668" s="143" t="s">
        <v>49</v>
      </c>
      <c r="X668" s="143">
        <v>2030</v>
      </c>
      <c r="Y668" s="143" t="s">
        <v>49</v>
      </c>
      <c r="Z668" s="143">
        <v>2030</v>
      </c>
      <c r="AA668" s="143"/>
      <c r="AB668" s="170"/>
      <c r="AC668" s="143"/>
      <c r="AD668" s="143"/>
      <c r="AE668" s="143"/>
      <c r="AF668" s="143"/>
      <c r="AG668" s="143" t="s">
        <v>2272</v>
      </c>
      <c r="AH668" s="143"/>
      <c r="AI668" s="143"/>
      <c r="AJ668" s="143" t="s">
        <v>2273</v>
      </c>
      <c r="AK668" s="143"/>
      <c r="AL668" s="143"/>
      <c r="AM668" s="143"/>
    </row>
    <row r="669" s="140" customFormat="1" ht="15" spans="1:43">
      <c r="A669" s="143">
        <v>667</v>
      </c>
      <c r="B669" s="144"/>
      <c r="C669" s="143" t="s">
        <v>193</v>
      </c>
      <c r="D669" s="143" t="s">
        <v>229</v>
      </c>
      <c r="E669" s="145"/>
      <c r="F669" s="143"/>
      <c r="G669" s="143"/>
      <c r="H669" s="152" t="s">
        <v>2283</v>
      </c>
      <c r="I669" s="143" t="s">
        <v>2270</v>
      </c>
      <c r="J669" s="143" t="s">
        <v>2271</v>
      </c>
      <c r="K669" s="143">
        <v>145</v>
      </c>
      <c r="L669" s="143">
        <v>100</v>
      </c>
      <c r="M669" s="143"/>
      <c r="N669" s="143"/>
      <c r="O669" s="143"/>
      <c r="P669" s="143"/>
      <c r="Q669" s="143"/>
      <c r="R669" s="143"/>
      <c r="S669" s="146"/>
      <c r="T669" s="146"/>
      <c r="U669" s="146"/>
      <c r="V669" s="147"/>
      <c r="W669" s="143" t="s">
        <v>49</v>
      </c>
      <c r="X669" s="143" t="s">
        <v>2284</v>
      </c>
      <c r="Y669" s="143" t="s">
        <v>49</v>
      </c>
      <c r="Z669" s="143" t="s">
        <v>2284</v>
      </c>
      <c r="AA669" s="143"/>
      <c r="AB669" s="170"/>
      <c r="AC669" s="143"/>
      <c r="AD669" s="143"/>
      <c r="AE669" s="143"/>
      <c r="AF669" s="143"/>
      <c r="AG669" s="143" t="s">
        <v>2272</v>
      </c>
      <c r="AH669" s="143"/>
      <c r="AI669" s="143"/>
      <c r="AJ669" s="143" t="s">
        <v>2273</v>
      </c>
      <c r="AK669" s="143"/>
      <c r="AL669" s="143"/>
      <c r="AM669" s="143"/>
    </row>
    <row r="670" s="140" customFormat="1" ht="15" spans="1:43">
      <c r="A670" s="143">
        <v>668</v>
      </c>
      <c r="B670" s="144"/>
      <c r="C670" s="143" t="s">
        <v>193</v>
      </c>
      <c r="D670" s="143" t="s">
        <v>229</v>
      </c>
      <c r="E670" s="145"/>
      <c r="F670" s="143"/>
      <c r="G670" s="143"/>
      <c r="H670" s="152" t="s">
        <v>2285</v>
      </c>
      <c r="I670" s="143" t="s">
        <v>45</v>
      </c>
      <c r="J670" s="143" t="s">
        <v>1572</v>
      </c>
      <c r="K670" s="143">
        <v>145</v>
      </c>
      <c r="L670" s="143"/>
      <c r="M670" s="143"/>
      <c r="N670" s="143"/>
      <c r="O670" s="143"/>
      <c r="P670" s="143"/>
      <c r="Q670" s="143"/>
      <c r="R670" s="143"/>
      <c r="S670" s="146"/>
      <c r="T670" s="146"/>
      <c r="U670" s="146"/>
      <c r="V670" s="147"/>
      <c r="W670" s="143" t="s">
        <v>49</v>
      </c>
      <c r="X670" s="143" t="s">
        <v>2286</v>
      </c>
      <c r="Y670" s="143" t="s">
        <v>49</v>
      </c>
      <c r="Z670" s="143" t="s">
        <v>2286</v>
      </c>
      <c r="AA670" s="143"/>
      <c r="AB670" s="170"/>
      <c r="AC670" s="143"/>
      <c r="AD670" s="143"/>
      <c r="AE670" s="143"/>
      <c r="AF670" s="143"/>
      <c r="AG670" s="143" t="s">
        <v>2272</v>
      </c>
      <c r="AH670" s="143"/>
      <c r="AI670" s="143"/>
      <c r="AJ670" s="143" t="s">
        <v>2273</v>
      </c>
      <c r="AK670" s="143"/>
      <c r="AL670" s="143"/>
      <c r="AM670" s="143"/>
    </row>
    <row r="671" s="140" customFormat="1" ht="15" spans="1:43">
      <c r="A671" s="143">
        <v>669</v>
      </c>
      <c r="B671" s="144"/>
      <c r="C671" s="143" t="s">
        <v>193</v>
      </c>
      <c r="D671" s="143" t="s">
        <v>229</v>
      </c>
      <c r="E671" s="145"/>
      <c r="F671" s="143"/>
      <c r="G671" s="143"/>
      <c r="H671" s="152" t="s">
        <v>2287</v>
      </c>
      <c r="I671" s="143" t="s">
        <v>45</v>
      </c>
      <c r="J671" s="143" t="s">
        <v>1572</v>
      </c>
      <c r="K671" s="143">
        <v>145</v>
      </c>
      <c r="L671" s="143">
        <v>100</v>
      </c>
      <c r="M671" s="143"/>
      <c r="N671" s="143"/>
      <c r="O671" s="143"/>
      <c r="P671" s="143"/>
      <c r="Q671" s="143"/>
      <c r="R671" s="143"/>
      <c r="S671" s="146"/>
      <c r="T671" s="146"/>
      <c r="U671" s="146"/>
      <c r="V671" s="147"/>
      <c r="W671" s="143" t="s">
        <v>49</v>
      </c>
      <c r="X671" s="143">
        <v>1004</v>
      </c>
      <c r="Y671" s="143" t="s">
        <v>49</v>
      </c>
      <c r="Z671" s="143">
        <v>1004</v>
      </c>
      <c r="AA671" s="143"/>
      <c r="AB671" s="170"/>
      <c r="AC671" s="143"/>
      <c r="AD671" s="143"/>
      <c r="AE671" s="143"/>
      <c r="AF671" s="143"/>
      <c r="AG671" s="143" t="s">
        <v>2272</v>
      </c>
      <c r="AH671" s="143"/>
      <c r="AI671" s="143"/>
      <c r="AJ671" s="143" t="s">
        <v>2273</v>
      </c>
      <c r="AK671" s="143"/>
      <c r="AL671" s="143"/>
      <c r="AM671" s="143"/>
    </row>
    <row r="672" s="140" customFormat="1" ht="15" spans="1:43">
      <c r="A672" s="143">
        <v>670</v>
      </c>
      <c r="B672" s="144"/>
      <c r="C672" s="143" t="s">
        <v>193</v>
      </c>
      <c r="D672" s="143" t="s">
        <v>229</v>
      </c>
      <c r="E672" s="145"/>
      <c r="F672" s="143"/>
      <c r="G672" s="143"/>
      <c r="H672" s="152" t="s">
        <v>2288</v>
      </c>
      <c r="I672" s="143" t="s">
        <v>324</v>
      </c>
      <c r="J672" s="143" t="s">
        <v>517</v>
      </c>
      <c r="K672" s="143">
        <v>145</v>
      </c>
      <c r="L672" s="143">
        <v>100</v>
      </c>
      <c r="M672" s="143"/>
      <c r="N672" s="143"/>
      <c r="O672" s="143"/>
      <c r="P672" s="143"/>
      <c r="Q672" s="143"/>
      <c r="R672" s="143"/>
      <c r="S672" s="146"/>
      <c r="T672" s="146"/>
      <c r="U672" s="146"/>
      <c r="V672" s="147"/>
      <c r="W672" s="143" t="s">
        <v>49</v>
      </c>
      <c r="X672" s="143">
        <v>2014</v>
      </c>
      <c r="Y672" s="143" t="s">
        <v>49</v>
      </c>
      <c r="Z672" s="143">
        <v>2014</v>
      </c>
      <c r="AA672" s="143"/>
      <c r="AB672" s="170"/>
      <c r="AC672" s="143"/>
      <c r="AD672" s="143"/>
      <c r="AE672" s="143"/>
      <c r="AF672" s="143"/>
      <c r="AG672" s="143" t="s">
        <v>2272</v>
      </c>
      <c r="AH672" s="143"/>
      <c r="AI672" s="143"/>
      <c r="AJ672" s="143" t="s">
        <v>2273</v>
      </c>
      <c r="AK672" s="143"/>
      <c r="AL672" s="143"/>
      <c r="AM672" s="143"/>
    </row>
    <row r="673" s="140" customFormat="1" ht="15" spans="1:43">
      <c r="A673" s="143">
        <v>671</v>
      </c>
      <c r="B673" s="144"/>
      <c r="C673" s="143" t="s">
        <v>193</v>
      </c>
      <c r="D673" s="143" t="s">
        <v>229</v>
      </c>
      <c r="E673" s="145"/>
      <c r="F673" s="143"/>
      <c r="G673" s="143"/>
      <c r="H673" s="152" t="s">
        <v>2289</v>
      </c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6"/>
      <c r="T673" s="146"/>
      <c r="U673" s="146"/>
      <c r="V673" s="147"/>
      <c r="W673" s="143" t="s">
        <v>49</v>
      </c>
      <c r="X673" s="143" t="s">
        <v>2290</v>
      </c>
      <c r="Y673" s="143" t="s">
        <v>49</v>
      </c>
      <c r="Z673" s="143" t="s">
        <v>2290</v>
      </c>
      <c r="AA673" s="143"/>
      <c r="AB673" s="170"/>
      <c r="AC673" s="143"/>
      <c r="AD673" s="143"/>
      <c r="AE673" s="143"/>
      <c r="AF673" s="143"/>
      <c r="AG673" s="143" t="s">
        <v>2272</v>
      </c>
      <c r="AH673" s="143"/>
      <c r="AI673" s="143"/>
      <c r="AJ673" s="143" t="s">
        <v>2273</v>
      </c>
      <c r="AK673" s="143"/>
      <c r="AL673" s="143"/>
      <c r="AM673" s="143"/>
    </row>
    <row r="674" s="140" customFormat="1" ht="15" spans="1:43">
      <c r="A674" s="143">
        <v>672</v>
      </c>
      <c r="B674" s="144"/>
      <c r="C674" s="143" t="s">
        <v>193</v>
      </c>
      <c r="D674" s="143" t="s">
        <v>229</v>
      </c>
      <c r="E674" s="145"/>
      <c r="F674" s="143"/>
      <c r="G674" s="143"/>
      <c r="H674" s="152" t="s">
        <v>2291</v>
      </c>
      <c r="I674" s="143" t="s">
        <v>2292</v>
      </c>
      <c r="J674" s="143" t="s">
        <v>2293</v>
      </c>
      <c r="K674" s="143">
        <v>140</v>
      </c>
      <c r="L674" s="143">
        <v>145</v>
      </c>
      <c r="M674" s="143"/>
      <c r="N674" s="143"/>
      <c r="O674" s="143"/>
      <c r="P674" s="143"/>
      <c r="Q674" s="143"/>
      <c r="R674" s="143"/>
      <c r="S674" s="146"/>
      <c r="T674" s="146"/>
      <c r="U674" s="146"/>
      <c r="V674" s="147"/>
      <c r="W674" s="143" t="s">
        <v>49</v>
      </c>
      <c r="X674" s="143" t="s">
        <v>2294</v>
      </c>
      <c r="Y674" s="143" t="s">
        <v>49</v>
      </c>
      <c r="Z674" s="143" t="s">
        <v>2294</v>
      </c>
      <c r="AA674" s="143"/>
      <c r="AB674" s="170"/>
      <c r="AC674" s="143"/>
      <c r="AD674" s="143"/>
      <c r="AE674" s="143"/>
      <c r="AF674" s="143"/>
      <c r="AG674" s="143" t="s">
        <v>2272</v>
      </c>
      <c r="AH674" s="143"/>
      <c r="AI674" s="143"/>
      <c r="AJ674" s="143" t="s">
        <v>2273</v>
      </c>
      <c r="AK674" s="143"/>
      <c r="AL674" s="143"/>
      <c r="AM674" s="143"/>
    </row>
    <row r="675" s="140" customFormat="1" ht="15" spans="1:43">
      <c r="A675" s="143">
        <v>673</v>
      </c>
      <c r="B675" s="144"/>
      <c r="C675" s="143" t="s">
        <v>193</v>
      </c>
      <c r="D675" s="143" t="s">
        <v>229</v>
      </c>
      <c r="E675" s="145"/>
      <c r="F675" s="143"/>
      <c r="G675" s="143"/>
      <c r="H675" s="152" t="s">
        <v>2295</v>
      </c>
      <c r="I675" s="143" t="s">
        <v>324</v>
      </c>
      <c r="J675" s="143" t="s">
        <v>517</v>
      </c>
      <c r="K675" s="143">
        <v>150</v>
      </c>
      <c r="L675" s="143">
        <v>260</v>
      </c>
      <c r="M675" s="143"/>
      <c r="N675" s="143"/>
      <c r="O675" s="143"/>
      <c r="P675" s="143"/>
      <c r="Q675" s="143"/>
      <c r="R675" s="143"/>
      <c r="S675" s="146"/>
      <c r="T675" s="146"/>
      <c r="U675" s="146"/>
      <c r="V675" s="147"/>
      <c r="W675" s="143" t="s">
        <v>49</v>
      </c>
      <c r="X675" s="143" t="s">
        <v>2296</v>
      </c>
      <c r="Y675" s="143" t="s">
        <v>49</v>
      </c>
      <c r="Z675" s="143" t="s">
        <v>2296</v>
      </c>
      <c r="AA675" s="143"/>
      <c r="AB675" s="170"/>
      <c r="AC675" s="143"/>
      <c r="AD675" s="143"/>
      <c r="AE675" s="143"/>
      <c r="AF675" s="143"/>
      <c r="AG675" s="143" t="s">
        <v>2272</v>
      </c>
      <c r="AH675" s="143"/>
      <c r="AI675" s="143"/>
      <c r="AJ675" s="143" t="s">
        <v>2273</v>
      </c>
      <c r="AK675" s="143"/>
      <c r="AL675" s="143"/>
      <c r="AM675" s="143"/>
    </row>
    <row r="676" s="140" customFormat="1" ht="15" spans="1:43">
      <c r="A676" s="143">
        <v>674</v>
      </c>
      <c r="B676" s="144"/>
      <c r="C676" s="143" t="s">
        <v>193</v>
      </c>
      <c r="D676" s="143" t="s">
        <v>229</v>
      </c>
      <c r="E676" s="145"/>
      <c r="F676" s="143"/>
      <c r="G676" s="143"/>
      <c r="H676" s="152" t="s">
        <v>2297</v>
      </c>
      <c r="I676" s="143" t="s">
        <v>324</v>
      </c>
      <c r="J676" s="143" t="s">
        <v>517</v>
      </c>
      <c r="K676" s="143">
        <v>150</v>
      </c>
      <c r="L676" s="143">
        <v>260</v>
      </c>
      <c r="M676" s="143"/>
      <c r="N676" s="143"/>
      <c r="O676" s="143"/>
      <c r="P676" s="143"/>
      <c r="Q676" s="143"/>
      <c r="R676" s="143"/>
      <c r="S676" s="146"/>
      <c r="T676" s="146"/>
      <c r="U676" s="146"/>
      <c r="V676" s="147"/>
      <c r="W676" s="143" t="s">
        <v>49</v>
      </c>
      <c r="X676" s="143" t="s">
        <v>2298</v>
      </c>
      <c r="Y676" s="143" t="s">
        <v>49</v>
      </c>
      <c r="Z676" s="143" t="s">
        <v>2298</v>
      </c>
      <c r="AA676" s="143"/>
      <c r="AB676" s="170"/>
      <c r="AC676" s="143"/>
      <c r="AD676" s="143"/>
      <c r="AE676" s="143"/>
      <c r="AF676" s="143"/>
      <c r="AG676" s="143" t="s">
        <v>2272</v>
      </c>
      <c r="AH676" s="143"/>
      <c r="AI676" s="143"/>
      <c r="AJ676" s="143" t="s">
        <v>2273</v>
      </c>
      <c r="AK676" s="143"/>
      <c r="AL676" s="143"/>
      <c r="AM676" s="143"/>
    </row>
    <row r="677" s="140" customFormat="1" ht="15" spans="1:43">
      <c r="A677" s="143">
        <v>675</v>
      </c>
      <c r="B677" s="144"/>
      <c r="C677" s="143" t="s">
        <v>193</v>
      </c>
      <c r="D677" s="143" t="s">
        <v>229</v>
      </c>
      <c r="E677" s="145"/>
      <c r="F677" s="143"/>
      <c r="G677" s="143"/>
      <c r="H677" s="152" t="s">
        <v>2299</v>
      </c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6"/>
      <c r="T677" s="146"/>
      <c r="U677" s="146"/>
      <c r="V677" s="147"/>
      <c r="W677" s="143" t="s">
        <v>49</v>
      </c>
      <c r="X677" s="143">
        <v>18362</v>
      </c>
      <c r="Y677" s="143" t="s">
        <v>2300</v>
      </c>
      <c r="Z677" s="143">
        <v>18362</v>
      </c>
      <c r="AA677" s="143"/>
      <c r="AB677" s="170"/>
      <c r="AC677" s="143"/>
      <c r="AD677" s="143"/>
      <c r="AE677" s="143"/>
      <c r="AF677" s="143"/>
      <c r="AG677" s="143" t="s">
        <v>2272</v>
      </c>
      <c r="AH677" s="143"/>
      <c r="AI677" s="143"/>
      <c r="AJ677" s="143" t="s">
        <v>2273</v>
      </c>
      <c r="AK677" s="143"/>
      <c r="AL677" s="143"/>
      <c r="AM677" s="143"/>
    </row>
    <row r="678" s="140" customFormat="1" ht="15" spans="1:43">
      <c r="A678" s="143">
        <v>676</v>
      </c>
      <c r="B678" s="144">
        <v>45841</v>
      </c>
      <c r="C678" s="143" t="s">
        <v>193</v>
      </c>
      <c r="D678" s="143" t="s">
        <v>41</v>
      </c>
      <c r="E678" s="145"/>
      <c r="F678" s="143" t="s">
        <v>2301</v>
      </c>
      <c r="G678" s="143"/>
      <c r="H678" s="143" t="s">
        <v>2302</v>
      </c>
      <c r="I678" s="143" t="s">
        <v>45</v>
      </c>
      <c r="J678" s="143" t="s">
        <v>46</v>
      </c>
      <c r="K678" s="143">
        <v>145</v>
      </c>
      <c r="L678" s="143">
        <v>95</v>
      </c>
      <c r="M678" s="143"/>
      <c r="N678" s="143"/>
      <c r="O678" s="143"/>
      <c r="P678" s="143"/>
      <c r="Q678" s="143"/>
      <c r="R678" s="143"/>
      <c r="S678" s="146"/>
      <c r="T678" s="146"/>
      <c r="U678" s="146"/>
      <c r="V678" s="147"/>
      <c r="W678" s="143" t="s">
        <v>2303</v>
      </c>
      <c r="X678" s="143" t="s">
        <v>2304</v>
      </c>
      <c r="Y678" s="143" t="s">
        <v>2214</v>
      </c>
      <c r="Z678" s="181" t="s">
        <v>2305</v>
      </c>
      <c r="AA678" s="143">
        <v>14.2</v>
      </c>
      <c r="AB678" s="170">
        <v>45841</v>
      </c>
      <c r="AC678" s="143"/>
      <c r="AD678" s="143"/>
      <c r="AE678" s="143"/>
      <c r="AF678" s="143"/>
      <c r="AG678" s="143"/>
      <c r="AH678" s="143"/>
      <c r="AI678" s="143"/>
      <c r="AJ678" s="143"/>
      <c r="AK678" s="143"/>
      <c r="AL678" s="143"/>
      <c r="AM678" s="143"/>
    </row>
    <row r="679" s="140" customFormat="1" ht="15" spans="1:43">
      <c r="A679" s="143">
        <v>677</v>
      </c>
      <c r="B679" s="144">
        <v>45841</v>
      </c>
      <c r="C679" s="143" t="s">
        <v>193</v>
      </c>
      <c r="D679" s="143" t="s">
        <v>41</v>
      </c>
      <c r="E679" s="145"/>
      <c r="F679" s="143" t="s">
        <v>2306</v>
      </c>
      <c r="G679" s="143"/>
      <c r="H679" s="143" t="s">
        <v>2307</v>
      </c>
      <c r="I679" s="143" t="s">
        <v>2308</v>
      </c>
      <c r="J679" s="143" t="s">
        <v>2309</v>
      </c>
      <c r="K679" s="143">
        <v>145</v>
      </c>
      <c r="L679" s="143">
        <v>100</v>
      </c>
      <c r="M679" s="143"/>
      <c r="N679" s="143"/>
      <c r="O679" s="143"/>
      <c r="P679" s="143"/>
      <c r="Q679" s="143"/>
      <c r="R679" s="143"/>
      <c r="S679" s="146"/>
      <c r="T679" s="146"/>
      <c r="U679" s="146"/>
      <c r="V679" s="147"/>
      <c r="W679" s="143" t="s">
        <v>2303</v>
      </c>
      <c r="X679" s="143" t="s">
        <v>2310</v>
      </c>
      <c r="Y679" s="143" t="s">
        <v>2214</v>
      </c>
      <c r="Z679" s="181" t="s">
        <v>2311</v>
      </c>
      <c r="AA679" s="143">
        <v>9.2</v>
      </c>
      <c r="AB679" s="170">
        <v>45841</v>
      </c>
      <c r="AC679" s="143"/>
      <c r="AD679" s="143"/>
      <c r="AE679" s="143"/>
      <c r="AF679" s="143"/>
      <c r="AG679" s="143"/>
      <c r="AH679" s="143"/>
      <c r="AI679" s="143"/>
      <c r="AJ679" s="143"/>
      <c r="AK679" s="143"/>
      <c r="AL679" s="143"/>
      <c r="AM679" s="143"/>
      <c r="AO679" s="148"/>
      <c r="AP679" s="148"/>
      <c r="AQ679" s="148"/>
    </row>
    <row r="680" s="140" customFormat="1" ht="15" spans="1:43">
      <c r="A680" s="143">
        <v>678</v>
      </c>
      <c r="B680" s="144">
        <v>45841</v>
      </c>
      <c r="C680" s="143" t="s">
        <v>193</v>
      </c>
      <c r="D680" s="143" t="s">
        <v>41</v>
      </c>
      <c r="E680" s="145"/>
      <c r="F680" s="143" t="s">
        <v>2312</v>
      </c>
      <c r="G680" s="143"/>
      <c r="H680" s="143" t="s">
        <v>2313</v>
      </c>
      <c r="I680" s="143" t="s">
        <v>2314</v>
      </c>
      <c r="J680" s="143" t="s">
        <v>2315</v>
      </c>
      <c r="K680" s="143">
        <v>145</v>
      </c>
      <c r="L680" s="143">
        <v>95</v>
      </c>
      <c r="M680" s="143"/>
      <c r="N680" s="143"/>
      <c r="O680" s="143"/>
      <c r="P680" s="143"/>
      <c r="Q680" s="143"/>
      <c r="R680" s="143"/>
      <c r="S680" s="146"/>
      <c r="T680" s="146"/>
      <c r="U680" s="146"/>
      <c r="V680" s="147"/>
      <c r="W680" s="143" t="s">
        <v>2303</v>
      </c>
      <c r="X680" s="143" t="s">
        <v>2316</v>
      </c>
      <c r="Y680" s="143" t="s">
        <v>2214</v>
      </c>
      <c r="Z680" s="181" t="s">
        <v>2317</v>
      </c>
      <c r="AA680" s="143">
        <v>12.3</v>
      </c>
      <c r="AB680" s="170">
        <v>45841</v>
      </c>
      <c r="AC680" s="143"/>
      <c r="AD680" s="143"/>
      <c r="AE680" s="143"/>
      <c r="AF680" s="143"/>
      <c r="AG680" s="143"/>
      <c r="AH680" s="143"/>
      <c r="AI680" s="143"/>
      <c r="AJ680" s="143"/>
      <c r="AK680" s="143"/>
      <c r="AL680" s="143"/>
      <c r="AM680" s="143"/>
      <c r="AO680" s="148"/>
      <c r="AP680" s="148"/>
      <c r="AQ680" s="148"/>
    </row>
    <row r="681" s="140" customFormat="1" ht="15" spans="1:43">
      <c r="A681" s="143">
        <v>679</v>
      </c>
      <c r="B681" s="144">
        <v>45841</v>
      </c>
      <c r="C681" s="143" t="s">
        <v>193</v>
      </c>
      <c r="D681" s="143" t="s">
        <v>41</v>
      </c>
      <c r="E681" s="145"/>
      <c r="F681" s="143" t="s">
        <v>2318</v>
      </c>
      <c r="G681" s="143"/>
      <c r="H681" s="143" t="s">
        <v>2319</v>
      </c>
      <c r="I681" s="143" t="s">
        <v>45</v>
      </c>
      <c r="J681" s="143" t="s">
        <v>46</v>
      </c>
      <c r="K681" s="143">
        <v>145</v>
      </c>
      <c r="L681" s="143">
        <v>95</v>
      </c>
      <c r="M681" s="143"/>
      <c r="N681" s="143"/>
      <c r="O681" s="143"/>
      <c r="P681" s="143"/>
      <c r="Q681" s="143"/>
      <c r="R681" s="143"/>
      <c r="S681" s="146"/>
      <c r="T681" s="146"/>
      <c r="U681" s="146"/>
      <c r="V681" s="147"/>
      <c r="W681" s="143" t="s">
        <v>2303</v>
      </c>
      <c r="X681" s="143" t="s">
        <v>2320</v>
      </c>
      <c r="Y681" s="143" t="s">
        <v>2321</v>
      </c>
      <c r="Z681" s="143" t="s">
        <v>2320</v>
      </c>
      <c r="AA681" s="143">
        <v>11.5</v>
      </c>
      <c r="AB681" s="170">
        <v>45841</v>
      </c>
      <c r="AC681" s="143"/>
      <c r="AD681" s="143"/>
      <c r="AE681" s="143"/>
      <c r="AF681" s="143"/>
      <c r="AG681" s="143"/>
      <c r="AH681" s="143"/>
      <c r="AI681" s="143"/>
      <c r="AJ681" s="143"/>
      <c r="AK681" s="143"/>
      <c r="AL681" s="143"/>
      <c r="AM681" s="143"/>
      <c r="AO681" s="148"/>
      <c r="AP681" s="148"/>
      <c r="AQ681" s="148"/>
    </row>
    <row r="682" s="140" customFormat="1" ht="15" spans="1:43">
      <c r="A682" s="143">
        <v>680</v>
      </c>
      <c r="B682" s="144">
        <v>45841</v>
      </c>
      <c r="C682" s="143" t="s">
        <v>193</v>
      </c>
      <c r="D682" s="143" t="s">
        <v>41</v>
      </c>
      <c r="E682" s="145"/>
      <c r="F682" s="143" t="s">
        <v>2322</v>
      </c>
      <c r="G682" s="143"/>
      <c r="H682" s="143" t="s">
        <v>2323</v>
      </c>
      <c r="I682" s="143" t="s">
        <v>2324</v>
      </c>
      <c r="J682" s="143" t="s">
        <v>2325</v>
      </c>
      <c r="K682" s="143">
        <v>145</v>
      </c>
      <c r="L682" s="143">
        <v>115</v>
      </c>
      <c r="M682" s="143"/>
      <c r="N682" s="143"/>
      <c r="O682" s="143"/>
      <c r="P682" s="143"/>
      <c r="Q682" s="143"/>
      <c r="R682" s="143"/>
      <c r="S682" s="146"/>
      <c r="T682" s="146"/>
      <c r="U682" s="146"/>
      <c r="V682" s="147"/>
      <c r="W682" s="143" t="s">
        <v>2303</v>
      </c>
      <c r="X682" s="143" t="s">
        <v>2322</v>
      </c>
      <c r="Y682" s="143" t="s">
        <v>2217</v>
      </c>
      <c r="Z682" s="143" t="s">
        <v>2322</v>
      </c>
      <c r="AA682" s="143">
        <v>14</v>
      </c>
      <c r="AB682" s="170">
        <v>45841</v>
      </c>
      <c r="AC682" s="143"/>
      <c r="AD682" s="143"/>
      <c r="AE682" s="143"/>
      <c r="AF682" s="143"/>
      <c r="AG682" s="143"/>
      <c r="AH682" s="143"/>
      <c r="AI682" s="143"/>
      <c r="AJ682" s="143"/>
      <c r="AK682" s="143"/>
      <c r="AL682" s="143"/>
      <c r="AM682" s="143"/>
    </row>
    <row r="683" s="140" customFormat="1" ht="15" spans="1:43">
      <c r="A683" s="143">
        <v>681</v>
      </c>
      <c r="B683" s="144">
        <v>45841</v>
      </c>
      <c r="C683" s="143" t="s">
        <v>193</v>
      </c>
      <c r="D683" s="143" t="s">
        <v>41</v>
      </c>
      <c r="E683" s="145"/>
      <c r="F683" s="143" t="s">
        <v>2326</v>
      </c>
      <c r="G683" s="143"/>
      <c r="H683" s="143" t="s">
        <v>2327</v>
      </c>
      <c r="I683" s="143" t="s">
        <v>1362</v>
      </c>
      <c r="J683" s="143" t="s">
        <v>2328</v>
      </c>
      <c r="K683" s="143">
        <v>145</v>
      </c>
      <c r="L683" s="143">
        <v>85</v>
      </c>
      <c r="M683" s="143"/>
      <c r="N683" s="143"/>
      <c r="O683" s="143"/>
      <c r="P683" s="143"/>
      <c r="Q683" s="143"/>
      <c r="R683" s="143"/>
      <c r="S683" s="146"/>
      <c r="T683" s="146"/>
      <c r="U683" s="146"/>
      <c r="V683" s="147"/>
      <c r="W683" s="143" t="s">
        <v>2303</v>
      </c>
      <c r="X683" s="143" t="s">
        <v>2326</v>
      </c>
      <c r="Y683" s="143" t="s">
        <v>2329</v>
      </c>
      <c r="Z683" s="143" t="s">
        <v>2326</v>
      </c>
      <c r="AA683" s="143">
        <v>14.2</v>
      </c>
      <c r="AB683" s="170">
        <v>45841</v>
      </c>
      <c r="AC683" s="143"/>
      <c r="AD683" s="143"/>
      <c r="AE683" s="143"/>
      <c r="AF683" s="143"/>
      <c r="AG683" s="143"/>
      <c r="AH683" s="143"/>
      <c r="AI683" s="143"/>
      <c r="AJ683" s="143"/>
      <c r="AK683" s="143"/>
      <c r="AL683" s="143"/>
      <c r="AM683" s="143"/>
    </row>
    <row r="684" s="140" customFormat="1" ht="15" spans="1:43">
      <c r="A684" s="143">
        <v>682</v>
      </c>
      <c r="B684" s="144">
        <v>45842</v>
      </c>
      <c r="C684" s="143" t="s">
        <v>193</v>
      </c>
      <c r="D684" s="143" t="s">
        <v>41</v>
      </c>
      <c r="E684" s="145"/>
      <c r="F684" s="143" t="s">
        <v>2330</v>
      </c>
      <c r="G684" s="143"/>
      <c r="H684" s="143" t="s">
        <v>2331</v>
      </c>
      <c r="I684" s="143" t="s">
        <v>2270</v>
      </c>
      <c r="J684" s="143" t="s">
        <v>2332</v>
      </c>
      <c r="K684" s="143">
        <v>145</v>
      </c>
      <c r="L684" s="143">
        <v>105</v>
      </c>
      <c r="M684" s="143"/>
      <c r="N684" s="143"/>
      <c r="O684" s="143"/>
      <c r="P684" s="143"/>
      <c r="Q684" s="143"/>
      <c r="R684" s="143"/>
      <c r="S684" s="146"/>
      <c r="T684" s="146"/>
      <c r="U684" s="146"/>
      <c r="V684" s="147"/>
      <c r="W684" s="143" t="s">
        <v>2303</v>
      </c>
      <c r="X684" s="143" t="s">
        <v>2330</v>
      </c>
      <c r="Y684" s="143" t="s">
        <v>2333</v>
      </c>
      <c r="Z684" s="143" t="s">
        <v>2330</v>
      </c>
      <c r="AA684" s="143">
        <v>16.5</v>
      </c>
      <c r="AB684" s="170">
        <v>45842</v>
      </c>
      <c r="AC684" s="143"/>
      <c r="AD684" s="143"/>
      <c r="AE684" s="143"/>
      <c r="AF684" s="143"/>
      <c r="AG684" s="143"/>
      <c r="AH684" s="143"/>
      <c r="AI684" s="143"/>
      <c r="AJ684" s="143"/>
      <c r="AK684" s="143"/>
      <c r="AL684" s="143"/>
      <c r="AM684" s="143"/>
    </row>
    <row r="685" s="140" customFormat="1" ht="15" spans="1:43">
      <c r="A685" s="143">
        <v>683</v>
      </c>
      <c r="B685" s="144">
        <v>45842</v>
      </c>
      <c r="C685" s="143" t="s">
        <v>193</v>
      </c>
      <c r="D685" s="143" t="s">
        <v>41</v>
      </c>
      <c r="E685" s="145"/>
      <c r="F685" s="143" t="s">
        <v>2334</v>
      </c>
      <c r="G685" s="143"/>
      <c r="H685" s="143" t="s">
        <v>2335</v>
      </c>
      <c r="I685" s="143" t="s">
        <v>2270</v>
      </c>
      <c r="J685" s="143" t="s">
        <v>2332</v>
      </c>
      <c r="K685" s="143">
        <v>145</v>
      </c>
      <c r="L685" s="143">
        <v>95</v>
      </c>
      <c r="M685" s="143"/>
      <c r="N685" s="143"/>
      <c r="O685" s="143"/>
      <c r="P685" s="143"/>
      <c r="Q685" s="143"/>
      <c r="R685" s="143"/>
      <c r="S685" s="146"/>
      <c r="T685" s="146"/>
      <c r="U685" s="146"/>
      <c r="V685" s="147"/>
      <c r="W685" s="143" t="s">
        <v>2303</v>
      </c>
      <c r="X685" s="143" t="s">
        <v>2334</v>
      </c>
      <c r="Y685" s="143" t="s">
        <v>2333</v>
      </c>
      <c r="Z685" s="143" t="s">
        <v>2334</v>
      </c>
      <c r="AA685" s="143">
        <v>17.6</v>
      </c>
      <c r="AB685" s="170">
        <v>45842</v>
      </c>
      <c r="AC685" s="143"/>
      <c r="AD685" s="143"/>
      <c r="AE685" s="143"/>
      <c r="AF685" s="143"/>
      <c r="AG685" s="143"/>
      <c r="AH685" s="143"/>
      <c r="AI685" s="143"/>
      <c r="AJ685" s="143"/>
      <c r="AK685" s="143"/>
      <c r="AL685" s="143"/>
      <c r="AM685" s="143"/>
    </row>
    <row r="686" s="140" customFormat="1" ht="15" spans="1:43">
      <c r="A686" s="143">
        <v>684</v>
      </c>
      <c r="B686" s="144">
        <v>45842</v>
      </c>
      <c r="C686" s="143" t="s">
        <v>193</v>
      </c>
      <c r="D686" s="143" t="s">
        <v>41</v>
      </c>
      <c r="E686" s="145"/>
      <c r="F686" s="143" t="s">
        <v>2336</v>
      </c>
      <c r="G686" s="143"/>
      <c r="H686" s="143" t="s">
        <v>2337</v>
      </c>
      <c r="I686" s="143" t="s">
        <v>2270</v>
      </c>
      <c r="J686" s="143" t="s">
        <v>2332</v>
      </c>
      <c r="K686" s="143">
        <v>145</v>
      </c>
      <c r="L686" s="143">
        <v>105</v>
      </c>
      <c r="M686" s="143"/>
      <c r="N686" s="143"/>
      <c r="O686" s="143"/>
      <c r="P686" s="143"/>
      <c r="Q686" s="143"/>
      <c r="R686" s="143"/>
      <c r="S686" s="146"/>
      <c r="T686" s="146"/>
      <c r="U686" s="146"/>
      <c r="V686" s="147"/>
      <c r="W686" s="143" t="s">
        <v>2303</v>
      </c>
      <c r="X686" s="143" t="s">
        <v>2336</v>
      </c>
      <c r="Y686" s="143" t="s">
        <v>2333</v>
      </c>
      <c r="Z686" s="143" t="s">
        <v>2336</v>
      </c>
      <c r="AA686" s="143">
        <v>16.5</v>
      </c>
      <c r="AB686" s="170">
        <v>45842</v>
      </c>
      <c r="AC686" s="143"/>
      <c r="AD686" s="143"/>
      <c r="AE686" s="143"/>
      <c r="AF686" s="143"/>
      <c r="AG686" s="143"/>
      <c r="AH686" s="143"/>
      <c r="AI686" s="143"/>
      <c r="AJ686" s="143"/>
      <c r="AK686" s="143"/>
      <c r="AL686" s="143"/>
      <c r="AM686" s="143"/>
    </row>
    <row r="687" s="140" customFormat="1" ht="16.5" spans="1:43">
      <c r="A687" s="143">
        <v>685</v>
      </c>
      <c r="B687" s="144">
        <v>45842</v>
      </c>
      <c r="C687" s="143" t="s">
        <v>40</v>
      </c>
      <c r="D687" s="143" t="s">
        <v>2338</v>
      </c>
      <c r="E687" s="145"/>
      <c r="F687" s="143" t="s">
        <v>2339</v>
      </c>
      <c r="G687" s="143"/>
      <c r="H687" s="152" t="s">
        <v>2340</v>
      </c>
      <c r="I687" s="176" t="s">
        <v>2341</v>
      </c>
      <c r="J687" s="143" t="s">
        <v>2342</v>
      </c>
      <c r="K687" s="143">
        <v>138</v>
      </c>
      <c r="L687" s="143">
        <v>148</v>
      </c>
      <c r="M687" s="143"/>
      <c r="N687" s="143"/>
      <c r="O687" s="143"/>
      <c r="P687" s="143"/>
      <c r="Q687" s="143"/>
      <c r="R687" s="143"/>
      <c r="S687" s="146"/>
      <c r="T687" s="146"/>
      <c r="U687" s="146"/>
      <c r="V687" s="147"/>
      <c r="W687" s="143" t="s">
        <v>2343</v>
      </c>
      <c r="X687" s="176" t="s">
        <v>2344</v>
      </c>
      <c r="Y687" s="143" t="s">
        <v>2343</v>
      </c>
      <c r="Z687" s="176" t="s">
        <v>2344</v>
      </c>
      <c r="AA687" s="143">
        <v>35</v>
      </c>
      <c r="AB687" s="170"/>
      <c r="AC687" s="143"/>
      <c r="AD687" s="143"/>
      <c r="AE687" s="143"/>
      <c r="AF687" s="143"/>
      <c r="AG687" s="143"/>
      <c r="AH687" s="143"/>
      <c r="AI687" s="143"/>
      <c r="AJ687" s="143"/>
      <c r="AK687" s="143"/>
      <c r="AL687" s="143"/>
      <c r="AM687" s="143"/>
    </row>
    <row r="688" s="140" customFormat="1" ht="16.5" spans="1:43">
      <c r="A688" s="143">
        <v>686</v>
      </c>
      <c r="B688" s="144">
        <v>45842</v>
      </c>
      <c r="C688" s="143" t="s">
        <v>40</v>
      </c>
      <c r="D688" s="143" t="s">
        <v>2338</v>
      </c>
      <c r="E688" s="145"/>
      <c r="F688" s="143" t="s">
        <v>2339</v>
      </c>
      <c r="G688" s="143"/>
      <c r="H688" s="152" t="s">
        <v>2345</v>
      </c>
      <c r="I688" s="176" t="s">
        <v>2341</v>
      </c>
      <c r="J688" s="143" t="s">
        <v>2342</v>
      </c>
      <c r="K688" s="143">
        <v>138</v>
      </c>
      <c r="L688" s="143">
        <v>190</v>
      </c>
      <c r="M688" s="143"/>
      <c r="N688" s="143"/>
      <c r="O688" s="143"/>
      <c r="P688" s="143"/>
      <c r="Q688" s="143"/>
      <c r="R688" s="143"/>
      <c r="S688" s="146"/>
      <c r="T688" s="146"/>
      <c r="U688" s="146"/>
      <c r="V688" s="147"/>
      <c r="W688" s="143" t="s">
        <v>2343</v>
      </c>
      <c r="X688" s="176" t="s">
        <v>2346</v>
      </c>
      <c r="Y688" s="143" t="s">
        <v>2343</v>
      </c>
      <c r="Z688" s="176" t="s">
        <v>2346</v>
      </c>
      <c r="AA688" s="143">
        <v>39</v>
      </c>
      <c r="AB688" s="170"/>
      <c r="AC688" s="143"/>
      <c r="AD688" s="143"/>
      <c r="AE688" s="143"/>
      <c r="AF688" s="143"/>
      <c r="AG688" s="143"/>
      <c r="AH688" s="143"/>
      <c r="AI688" s="143"/>
      <c r="AJ688" s="143"/>
      <c r="AK688" s="143"/>
      <c r="AL688" s="143"/>
      <c r="AM688" s="143"/>
    </row>
    <row r="689" s="140" customFormat="1" ht="16.5" spans="1:39">
      <c r="A689" s="143">
        <v>687</v>
      </c>
      <c r="B689" s="144">
        <v>45842</v>
      </c>
      <c r="C689" s="143" t="s">
        <v>40</v>
      </c>
      <c r="D689" s="143" t="s">
        <v>2338</v>
      </c>
      <c r="E689" s="145"/>
      <c r="F689" s="143" t="s">
        <v>2339</v>
      </c>
      <c r="G689" s="143"/>
      <c r="H689" s="152" t="s">
        <v>2347</v>
      </c>
      <c r="I689" s="176" t="s">
        <v>2341</v>
      </c>
      <c r="J689" s="143" t="s">
        <v>2342</v>
      </c>
      <c r="K689" s="143">
        <v>138</v>
      </c>
      <c r="L689" s="143">
        <v>119</v>
      </c>
      <c r="M689" s="143"/>
      <c r="N689" s="143"/>
      <c r="O689" s="143"/>
      <c r="P689" s="143"/>
      <c r="Q689" s="143"/>
      <c r="R689" s="143"/>
      <c r="S689" s="146"/>
      <c r="T689" s="146"/>
      <c r="U689" s="146"/>
      <c r="V689" s="147"/>
      <c r="W689" s="143" t="s">
        <v>2343</v>
      </c>
      <c r="X689" s="176" t="s">
        <v>2348</v>
      </c>
      <c r="Y689" s="143" t="s">
        <v>2343</v>
      </c>
      <c r="Z689" s="176" t="s">
        <v>2348</v>
      </c>
      <c r="AA689" s="143">
        <v>36</v>
      </c>
      <c r="AB689" s="170"/>
      <c r="AC689" s="143"/>
      <c r="AD689" s="143"/>
      <c r="AE689" s="143"/>
      <c r="AF689" s="143"/>
      <c r="AG689" s="143"/>
      <c r="AH689" s="143"/>
      <c r="AI689" s="143"/>
      <c r="AJ689" s="143"/>
      <c r="AK689" s="143"/>
      <c r="AL689" s="143"/>
      <c r="AM689" s="143"/>
    </row>
    <row r="690" s="140" customFormat="1" ht="16.5" spans="1:39">
      <c r="A690" s="143">
        <v>688</v>
      </c>
      <c r="B690" s="144">
        <v>45842</v>
      </c>
      <c r="C690" s="143" t="s">
        <v>40</v>
      </c>
      <c r="D690" s="143" t="s">
        <v>2338</v>
      </c>
      <c r="E690" s="145"/>
      <c r="F690" s="143" t="s">
        <v>2339</v>
      </c>
      <c r="G690" s="143"/>
      <c r="H690" s="152" t="s">
        <v>2349</v>
      </c>
      <c r="I690" s="176" t="s">
        <v>2350</v>
      </c>
      <c r="J690" s="143" t="s">
        <v>2351</v>
      </c>
      <c r="K690" s="143">
        <v>138</v>
      </c>
      <c r="L690" s="143">
        <v>125</v>
      </c>
      <c r="M690" s="143"/>
      <c r="N690" s="143"/>
      <c r="O690" s="143"/>
      <c r="P690" s="143"/>
      <c r="Q690" s="143"/>
      <c r="R690" s="143"/>
      <c r="S690" s="146"/>
      <c r="T690" s="146"/>
      <c r="U690" s="146"/>
      <c r="V690" s="147"/>
      <c r="W690" s="143" t="s">
        <v>2343</v>
      </c>
      <c r="X690" s="176" t="s">
        <v>2352</v>
      </c>
      <c r="Y690" s="143" t="s">
        <v>2343</v>
      </c>
      <c r="Z690" s="176" t="s">
        <v>2352</v>
      </c>
      <c r="AA690" s="143">
        <v>22</v>
      </c>
      <c r="AB690" s="170"/>
      <c r="AC690" s="143"/>
      <c r="AD690" s="143"/>
      <c r="AE690" s="143"/>
      <c r="AF690" s="143"/>
      <c r="AG690" s="143"/>
      <c r="AH690" s="143"/>
      <c r="AI690" s="143"/>
      <c r="AJ690" s="143"/>
      <c r="AK690" s="143"/>
      <c r="AL690" s="143"/>
      <c r="AM690" s="143"/>
    </row>
    <row r="691" s="140" customFormat="1" ht="16.5" spans="1:39">
      <c r="A691" s="143">
        <v>689</v>
      </c>
      <c r="B691" s="144">
        <v>45842</v>
      </c>
      <c r="C691" s="143" t="s">
        <v>40</v>
      </c>
      <c r="D691" s="143" t="s">
        <v>2338</v>
      </c>
      <c r="E691" s="145"/>
      <c r="F691" s="143" t="s">
        <v>2339</v>
      </c>
      <c r="G691" s="143"/>
      <c r="H691" s="152" t="s">
        <v>2353</v>
      </c>
      <c r="I691" s="176" t="s">
        <v>2354</v>
      </c>
      <c r="J691" s="143" t="s">
        <v>2351</v>
      </c>
      <c r="K691" s="143">
        <v>138</v>
      </c>
      <c r="L691" s="143">
        <v>170</v>
      </c>
      <c r="M691" s="143"/>
      <c r="N691" s="143"/>
      <c r="O691" s="143"/>
      <c r="P691" s="143"/>
      <c r="Q691" s="143"/>
      <c r="R691" s="143"/>
      <c r="S691" s="146"/>
      <c r="T691" s="146"/>
      <c r="U691" s="146"/>
      <c r="V691" s="147"/>
      <c r="W691" s="143" t="s">
        <v>2343</v>
      </c>
      <c r="X691" s="176" t="s">
        <v>2355</v>
      </c>
      <c r="Y691" s="143" t="s">
        <v>2343</v>
      </c>
      <c r="Z691" s="176" t="s">
        <v>2355</v>
      </c>
      <c r="AA691" s="143">
        <v>24</v>
      </c>
      <c r="AB691" s="170"/>
      <c r="AC691" s="143"/>
      <c r="AD691" s="143"/>
      <c r="AE691" s="143"/>
      <c r="AF691" s="143"/>
      <c r="AG691" s="143"/>
      <c r="AH691" s="143"/>
      <c r="AI691" s="143"/>
      <c r="AJ691" s="143"/>
      <c r="AK691" s="143"/>
      <c r="AL691" s="143"/>
      <c r="AM691" s="143"/>
    </row>
    <row r="692" s="140" customFormat="1" ht="16.5" spans="1:39">
      <c r="A692" s="143">
        <v>690</v>
      </c>
      <c r="B692" s="144">
        <v>45842</v>
      </c>
      <c r="C692" s="143" t="s">
        <v>40</v>
      </c>
      <c r="D692" s="143" t="s">
        <v>2338</v>
      </c>
      <c r="E692" s="145"/>
      <c r="F692" s="143" t="s">
        <v>2339</v>
      </c>
      <c r="G692" s="143"/>
      <c r="H692" s="152" t="s">
        <v>2356</v>
      </c>
      <c r="I692" s="176" t="s">
        <v>2357</v>
      </c>
      <c r="J692" s="143" t="s">
        <v>2358</v>
      </c>
      <c r="K692" s="143">
        <v>138</v>
      </c>
      <c r="L692" s="143">
        <v>175</v>
      </c>
      <c r="M692" s="143"/>
      <c r="N692" s="143"/>
      <c r="O692" s="143"/>
      <c r="P692" s="143"/>
      <c r="Q692" s="143"/>
      <c r="R692" s="143"/>
      <c r="S692" s="146"/>
      <c r="T692" s="146"/>
      <c r="U692" s="146"/>
      <c r="V692" s="147"/>
      <c r="W692" s="143" t="s">
        <v>2343</v>
      </c>
      <c r="X692" s="176" t="s">
        <v>2359</v>
      </c>
      <c r="Y692" s="143" t="s">
        <v>2343</v>
      </c>
      <c r="Z692" s="176" t="s">
        <v>2359</v>
      </c>
      <c r="AA692" s="143">
        <v>10.5</v>
      </c>
      <c r="AB692" s="170"/>
      <c r="AC692" s="143"/>
      <c r="AD692" s="143"/>
      <c r="AE692" s="143"/>
      <c r="AF692" s="143"/>
      <c r="AG692" s="143"/>
      <c r="AH692" s="143"/>
      <c r="AI692" s="143"/>
      <c r="AJ692" s="143"/>
      <c r="AK692" s="143"/>
      <c r="AL692" s="143"/>
      <c r="AM692" s="143"/>
    </row>
    <row r="693" s="140" customFormat="1" ht="16.5" spans="1:39">
      <c r="A693" s="143">
        <v>691</v>
      </c>
      <c r="B693" s="144">
        <v>45842</v>
      </c>
      <c r="C693" s="143" t="s">
        <v>40</v>
      </c>
      <c r="D693" s="143" t="s">
        <v>2338</v>
      </c>
      <c r="E693" s="145"/>
      <c r="F693" s="143" t="s">
        <v>2339</v>
      </c>
      <c r="G693" s="143"/>
      <c r="H693" s="152" t="s">
        <v>2360</v>
      </c>
      <c r="I693" s="176" t="s">
        <v>2361</v>
      </c>
      <c r="J693" s="143" t="s">
        <v>2362</v>
      </c>
      <c r="K693" s="143">
        <v>138</v>
      </c>
      <c r="L693" s="143">
        <v>165</v>
      </c>
      <c r="M693" s="143"/>
      <c r="N693" s="143"/>
      <c r="O693" s="143"/>
      <c r="P693" s="143"/>
      <c r="Q693" s="143"/>
      <c r="R693" s="143"/>
      <c r="S693" s="146"/>
      <c r="T693" s="146"/>
      <c r="U693" s="146"/>
      <c r="V693" s="147"/>
      <c r="W693" s="143" t="s">
        <v>2343</v>
      </c>
      <c r="X693" s="176" t="s">
        <v>2363</v>
      </c>
      <c r="Y693" s="169" t="s">
        <v>2364</v>
      </c>
      <c r="Z693" s="176" t="s">
        <v>2363</v>
      </c>
      <c r="AA693" s="143">
        <v>8</v>
      </c>
      <c r="AB693" s="170"/>
      <c r="AC693" s="143"/>
      <c r="AD693" s="143"/>
      <c r="AE693" s="143"/>
      <c r="AF693" s="143"/>
      <c r="AG693" s="143"/>
      <c r="AH693" s="143"/>
      <c r="AI693" s="143"/>
      <c r="AJ693" s="143"/>
      <c r="AK693" s="143"/>
      <c r="AL693" s="143"/>
      <c r="AM693" s="143"/>
    </row>
    <row r="694" s="140" customFormat="1" ht="16.5" spans="1:39">
      <c r="A694" s="143">
        <v>692</v>
      </c>
      <c r="B694" s="144">
        <v>45842</v>
      </c>
      <c r="C694" s="143" t="s">
        <v>40</v>
      </c>
      <c r="D694" s="143" t="s">
        <v>2338</v>
      </c>
      <c r="E694" s="145"/>
      <c r="F694" s="143" t="s">
        <v>2339</v>
      </c>
      <c r="G694" s="143"/>
      <c r="H694" s="152" t="s">
        <v>2365</v>
      </c>
      <c r="I694" s="176" t="s">
        <v>2361</v>
      </c>
      <c r="J694" s="143" t="s">
        <v>2362</v>
      </c>
      <c r="K694" s="143">
        <v>138</v>
      </c>
      <c r="L694" s="143">
        <v>195</v>
      </c>
      <c r="M694" s="143"/>
      <c r="N694" s="143"/>
      <c r="O694" s="143"/>
      <c r="P694" s="143"/>
      <c r="Q694" s="143"/>
      <c r="R694" s="143"/>
      <c r="S694" s="146"/>
      <c r="T694" s="146"/>
      <c r="U694" s="146"/>
      <c r="V694" s="147"/>
      <c r="W694" s="169" t="s">
        <v>2364</v>
      </c>
      <c r="X694" s="176" t="s">
        <v>2366</v>
      </c>
      <c r="Y694" s="143" t="s">
        <v>2343</v>
      </c>
      <c r="Z694" s="176" t="s">
        <v>2366</v>
      </c>
      <c r="AA694" s="143">
        <v>9.2</v>
      </c>
      <c r="AB694" s="170"/>
      <c r="AC694" s="143"/>
      <c r="AD694" s="143"/>
      <c r="AE694" s="143"/>
      <c r="AF694" s="143"/>
      <c r="AG694" s="143"/>
      <c r="AH694" s="143"/>
      <c r="AI694" s="143"/>
      <c r="AJ694" s="143"/>
      <c r="AK694" s="143"/>
      <c r="AL694" s="143"/>
      <c r="AM694" s="143"/>
    </row>
    <row r="695" s="140" customFormat="1" ht="16.5" spans="1:39">
      <c r="A695" s="143">
        <v>693</v>
      </c>
      <c r="B695" s="144">
        <v>45842</v>
      </c>
      <c r="C695" s="143" t="s">
        <v>40</v>
      </c>
      <c r="D695" s="143" t="s">
        <v>2338</v>
      </c>
      <c r="E695" s="145"/>
      <c r="F695" s="143" t="s">
        <v>2339</v>
      </c>
      <c r="G695" s="143"/>
      <c r="H695" s="152" t="s">
        <v>2367</v>
      </c>
      <c r="I695" s="176" t="s">
        <v>2368</v>
      </c>
      <c r="J695" s="143" t="s">
        <v>2369</v>
      </c>
      <c r="K695" s="143">
        <v>142</v>
      </c>
      <c r="L695" s="143">
        <v>155</v>
      </c>
      <c r="M695" s="143"/>
      <c r="N695" s="143"/>
      <c r="O695" s="143"/>
      <c r="P695" s="143"/>
      <c r="Q695" s="143"/>
      <c r="R695" s="143"/>
      <c r="S695" s="146"/>
      <c r="T695" s="146"/>
      <c r="U695" s="146"/>
      <c r="V695" s="147"/>
      <c r="W695" s="143" t="s">
        <v>2343</v>
      </c>
      <c r="X695" s="176" t="s">
        <v>2370</v>
      </c>
      <c r="Y695" s="143" t="s">
        <v>2343</v>
      </c>
      <c r="Z695" s="176" t="s">
        <v>2370</v>
      </c>
      <c r="AA695" s="143">
        <v>24</v>
      </c>
      <c r="AB695" s="170"/>
      <c r="AC695" s="143"/>
      <c r="AD695" s="143"/>
      <c r="AE695" s="143"/>
      <c r="AF695" s="143"/>
      <c r="AG695" s="143"/>
      <c r="AH695" s="143"/>
      <c r="AI695" s="143"/>
      <c r="AJ695" s="143"/>
      <c r="AK695" s="143"/>
      <c r="AL695" s="143"/>
      <c r="AM695" s="143"/>
    </row>
    <row r="696" s="140" customFormat="1" ht="16.5" spans="1:39">
      <c r="A696" s="143">
        <v>694</v>
      </c>
      <c r="B696" s="144">
        <v>45842</v>
      </c>
      <c r="C696" s="143" t="s">
        <v>40</v>
      </c>
      <c r="D696" s="143" t="s">
        <v>2338</v>
      </c>
      <c r="E696" s="145"/>
      <c r="F696" s="143" t="s">
        <v>2339</v>
      </c>
      <c r="G696" s="143"/>
      <c r="H696" s="152" t="s">
        <v>2371</v>
      </c>
      <c r="I696" s="176" t="s">
        <v>2368</v>
      </c>
      <c r="J696" s="143" t="s">
        <v>2369</v>
      </c>
      <c r="K696" s="143">
        <v>145</v>
      </c>
      <c r="L696" s="143">
        <v>180</v>
      </c>
      <c r="M696" s="143"/>
      <c r="N696" s="143"/>
      <c r="O696" s="143"/>
      <c r="P696" s="143"/>
      <c r="Q696" s="143"/>
      <c r="R696" s="143"/>
      <c r="S696" s="146"/>
      <c r="T696" s="146"/>
      <c r="U696" s="146"/>
      <c r="V696" s="147"/>
      <c r="W696" s="143" t="s">
        <v>2343</v>
      </c>
      <c r="X696" s="176" t="s">
        <v>2372</v>
      </c>
      <c r="Y696" s="143" t="s">
        <v>2343</v>
      </c>
      <c r="Z696" s="176" t="s">
        <v>2372</v>
      </c>
      <c r="AA696" s="143">
        <v>21</v>
      </c>
      <c r="AB696" s="170"/>
      <c r="AC696" s="143"/>
      <c r="AD696" s="143"/>
      <c r="AE696" s="143"/>
      <c r="AF696" s="143"/>
      <c r="AG696" s="143"/>
      <c r="AH696" s="143"/>
      <c r="AI696" s="143"/>
      <c r="AJ696" s="143"/>
      <c r="AK696" s="143"/>
      <c r="AL696" s="143"/>
      <c r="AM696" s="143"/>
    </row>
    <row r="697" s="140" customFormat="1" ht="16.5" spans="1:39">
      <c r="A697" s="143">
        <v>695</v>
      </c>
      <c r="B697" s="144">
        <v>45842</v>
      </c>
      <c r="C697" s="143" t="s">
        <v>40</v>
      </c>
      <c r="D697" s="143" t="s">
        <v>2338</v>
      </c>
      <c r="E697" s="145"/>
      <c r="F697" s="143" t="s">
        <v>2339</v>
      </c>
      <c r="G697" s="143"/>
      <c r="H697" s="152" t="s">
        <v>2373</v>
      </c>
      <c r="I697" s="176" t="s">
        <v>2368</v>
      </c>
      <c r="J697" s="143" t="s">
        <v>2369</v>
      </c>
      <c r="K697" s="143">
        <v>145</v>
      </c>
      <c r="L697" s="143">
        <v>155</v>
      </c>
      <c r="M697" s="143"/>
      <c r="N697" s="143"/>
      <c r="O697" s="143"/>
      <c r="P697" s="143"/>
      <c r="Q697" s="143"/>
      <c r="R697" s="143"/>
      <c r="S697" s="146"/>
      <c r="T697" s="146"/>
      <c r="U697" s="146"/>
      <c r="V697" s="147"/>
      <c r="W697" s="143" t="s">
        <v>2343</v>
      </c>
      <c r="X697" s="176" t="s">
        <v>2374</v>
      </c>
      <c r="Y697" s="143" t="s">
        <v>2343</v>
      </c>
      <c r="Z697" s="176" t="s">
        <v>2374</v>
      </c>
      <c r="AA697" s="143">
        <v>21</v>
      </c>
      <c r="AB697" s="170"/>
      <c r="AC697" s="143"/>
      <c r="AD697" s="143"/>
      <c r="AE697" s="143"/>
      <c r="AF697" s="143"/>
      <c r="AG697" s="143"/>
      <c r="AH697" s="143"/>
      <c r="AI697" s="143"/>
      <c r="AJ697" s="143"/>
      <c r="AK697" s="143"/>
      <c r="AL697" s="143"/>
      <c r="AM697" s="143"/>
    </row>
    <row r="698" s="140" customFormat="1" ht="16.5" spans="1:39">
      <c r="A698" s="143">
        <v>696</v>
      </c>
      <c r="B698" s="144">
        <v>45842</v>
      </c>
      <c r="C698" s="143" t="s">
        <v>40</v>
      </c>
      <c r="D698" s="143" t="s">
        <v>2338</v>
      </c>
      <c r="E698" s="145"/>
      <c r="F698" s="143" t="s">
        <v>2339</v>
      </c>
      <c r="G698" s="143"/>
      <c r="H698" s="152" t="s">
        <v>2375</v>
      </c>
      <c r="I698" s="176" t="s">
        <v>2368</v>
      </c>
      <c r="J698" s="143" t="s">
        <v>2369</v>
      </c>
      <c r="K698" s="143">
        <v>145</v>
      </c>
      <c r="L698" s="143">
        <v>235</v>
      </c>
      <c r="M698" s="143"/>
      <c r="N698" s="143"/>
      <c r="O698" s="143"/>
      <c r="P698" s="143"/>
      <c r="Q698" s="143"/>
      <c r="R698" s="143"/>
      <c r="S698" s="146"/>
      <c r="T698" s="146"/>
      <c r="U698" s="146"/>
      <c r="V698" s="147"/>
      <c r="W698" s="143" t="s">
        <v>2343</v>
      </c>
      <c r="X698" s="176" t="s">
        <v>2376</v>
      </c>
      <c r="Y698" s="143" t="s">
        <v>2343</v>
      </c>
      <c r="Z698" s="176" t="s">
        <v>2376</v>
      </c>
      <c r="AA698" s="143">
        <v>22</v>
      </c>
      <c r="AB698" s="170"/>
      <c r="AC698" s="143"/>
      <c r="AD698" s="143"/>
      <c r="AE698" s="143"/>
      <c r="AF698" s="143"/>
      <c r="AG698" s="143"/>
      <c r="AH698" s="143"/>
      <c r="AI698" s="143"/>
      <c r="AJ698" s="143"/>
      <c r="AK698" s="143"/>
      <c r="AL698" s="143"/>
      <c r="AM698" s="143"/>
    </row>
    <row r="699" s="140" customFormat="1" ht="16.5" spans="1:39">
      <c r="A699" s="143">
        <v>697</v>
      </c>
      <c r="B699" s="144">
        <v>45842</v>
      </c>
      <c r="C699" s="143" t="s">
        <v>40</v>
      </c>
      <c r="D699" s="143" t="s">
        <v>2338</v>
      </c>
      <c r="E699" s="145"/>
      <c r="F699" s="143" t="s">
        <v>2339</v>
      </c>
      <c r="G699" s="143"/>
      <c r="H699" s="152" t="s">
        <v>2377</v>
      </c>
      <c r="I699" s="176" t="s">
        <v>2368</v>
      </c>
      <c r="J699" s="143" t="s">
        <v>2369</v>
      </c>
      <c r="K699" s="143">
        <v>140</v>
      </c>
      <c r="L699" s="143">
        <v>128</v>
      </c>
      <c r="M699" s="143"/>
      <c r="N699" s="143"/>
      <c r="O699" s="143"/>
      <c r="P699" s="143"/>
      <c r="Q699" s="143"/>
      <c r="R699" s="143"/>
      <c r="S699" s="146"/>
      <c r="T699" s="146"/>
      <c r="U699" s="146"/>
      <c r="V699" s="147"/>
      <c r="W699" s="143" t="s">
        <v>2343</v>
      </c>
      <c r="X699" s="176" t="s">
        <v>2378</v>
      </c>
      <c r="Y699" s="143" t="s">
        <v>2343</v>
      </c>
      <c r="Z699" s="176" t="s">
        <v>2378</v>
      </c>
      <c r="AA699" s="143">
        <v>14</v>
      </c>
      <c r="AB699" s="170"/>
      <c r="AC699" s="143"/>
      <c r="AD699" s="143"/>
      <c r="AE699" s="143"/>
      <c r="AF699" s="143"/>
      <c r="AG699" s="143"/>
      <c r="AH699" s="143"/>
      <c r="AI699" s="143"/>
      <c r="AJ699" s="143"/>
      <c r="AK699" s="143"/>
      <c r="AL699" s="143"/>
      <c r="AM699" s="143"/>
    </row>
    <row r="700" s="140" customFormat="1" ht="16.5" spans="1:39">
      <c r="A700" s="143">
        <v>698</v>
      </c>
      <c r="B700" s="144">
        <v>45842</v>
      </c>
      <c r="C700" s="143" t="s">
        <v>40</v>
      </c>
      <c r="D700" s="143" t="s">
        <v>2338</v>
      </c>
      <c r="E700" s="145"/>
      <c r="F700" s="143" t="s">
        <v>2339</v>
      </c>
      <c r="G700" s="143"/>
      <c r="H700" s="152" t="s">
        <v>2379</v>
      </c>
      <c r="I700" s="176" t="s">
        <v>2368</v>
      </c>
      <c r="J700" s="143" t="s">
        <v>2369</v>
      </c>
      <c r="K700" s="143">
        <v>140</v>
      </c>
      <c r="L700" s="143">
        <v>128</v>
      </c>
      <c r="M700" s="143"/>
      <c r="N700" s="143"/>
      <c r="O700" s="143"/>
      <c r="P700" s="143"/>
      <c r="Q700" s="143"/>
      <c r="R700" s="143"/>
      <c r="S700" s="146"/>
      <c r="T700" s="146"/>
      <c r="U700" s="146"/>
      <c r="V700" s="147"/>
      <c r="W700" s="143" t="s">
        <v>2343</v>
      </c>
      <c r="X700" s="176" t="s">
        <v>2380</v>
      </c>
      <c r="Y700" s="143" t="s">
        <v>2343</v>
      </c>
      <c r="Z700" s="176" t="s">
        <v>2380</v>
      </c>
      <c r="AA700" s="143">
        <v>14</v>
      </c>
      <c r="AB700" s="170"/>
      <c r="AC700" s="143"/>
      <c r="AD700" s="143"/>
      <c r="AE700" s="143"/>
      <c r="AF700" s="143"/>
      <c r="AG700" s="143"/>
      <c r="AH700" s="143"/>
      <c r="AI700" s="143"/>
      <c r="AJ700" s="143"/>
      <c r="AK700" s="143"/>
      <c r="AL700" s="143"/>
      <c r="AM700" s="143"/>
    </row>
    <row r="701" s="140" customFormat="1" ht="15" spans="1:39">
      <c r="A701" s="143">
        <v>699</v>
      </c>
      <c r="B701" s="144">
        <v>45842</v>
      </c>
      <c r="C701" s="143" t="s">
        <v>40</v>
      </c>
      <c r="D701" s="143" t="s">
        <v>2338</v>
      </c>
      <c r="E701" s="145"/>
      <c r="F701" s="143" t="s">
        <v>514</v>
      </c>
      <c r="G701" s="143"/>
      <c r="H701" s="152" t="s">
        <v>2381</v>
      </c>
      <c r="I701" s="143" t="s">
        <v>330</v>
      </c>
      <c r="J701" s="143"/>
      <c r="K701" s="143">
        <v>150</v>
      </c>
      <c r="L701" s="143">
        <v>200</v>
      </c>
      <c r="M701" s="143"/>
      <c r="N701" s="143"/>
      <c r="O701" s="143"/>
      <c r="P701" s="143"/>
      <c r="Q701" s="143"/>
      <c r="R701" s="143"/>
      <c r="S701" s="146"/>
      <c r="T701" s="146"/>
      <c r="U701" s="146"/>
      <c r="V701" s="147"/>
      <c r="W701" s="143" t="s">
        <v>49</v>
      </c>
      <c r="X701" s="143" t="s">
        <v>2382</v>
      </c>
      <c r="Y701" s="143" t="s">
        <v>2383</v>
      </c>
      <c r="Z701" s="143" t="s">
        <v>2382</v>
      </c>
      <c r="AA701" s="143">
        <v>7.3</v>
      </c>
      <c r="AB701" s="170"/>
      <c r="AC701" s="143"/>
      <c r="AD701" s="143"/>
      <c r="AE701" s="143"/>
      <c r="AF701" s="143"/>
      <c r="AG701" s="143"/>
      <c r="AH701" s="143"/>
      <c r="AI701" s="143"/>
      <c r="AJ701" s="143"/>
      <c r="AK701" s="143"/>
      <c r="AL701" s="143"/>
      <c r="AM701" s="143"/>
    </row>
    <row r="702" s="140" customFormat="1" ht="15" spans="1:39">
      <c r="A702" s="143">
        <v>700</v>
      </c>
      <c r="B702" s="144">
        <v>45842</v>
      </c>
      <c r="C702" s="143" t="s">
        <v>40</v>
      </c>
      <c r="D702" s="143" t="s">
        <v>2338</v>
      </c>
      <c r="E702" s="145"/>
      <c r="F702" s="143" t="s">
        <v>514</v>
      </c>
      <c r="G702" s="143"/>
      <c r="H702" s="152" t="s">
        <v>2384</v>
      </c>
      <c r="I702" s="143" t="s">
        <v>330</v>
      </c>
      <c r="J702" s="143"/>
      <c r="K702" s="143">
        <v>150</v>
      </c>
      <c r="L702" s="143">
        <v>190</v>
      </c>
      <c r="M702" s="143"/>
      <c r="N702" s="143"/>
      <c r="O702" s="143"/>
      <c r="P702" s="143"/>
      <c r="Q702" s="143"/>
      <c r="R702" s="143"/>
      <c r="S702" s="146"/>
      <c r="T702" s="146"/>
      <c r="U702" s="146"/>
      <c r="V702" s="147"/>
      <c r="W702" s="143" t="s">
        <v>49</v>
      </c>
      <c r="X702" s="143" t="s">
        <v>2385</v>
      </c>
      <c r="Y702" s="143" t="s">
        <v>2383</v>
      </c>
      <c r="Z702" s="143" t="s">
        <v>2385</v>
      </c>
      <c r="AA702" s="143">
        <v>6.6</v>
      </c>
      <c r="AB702" s="170"/>
      <c r="AC702" s="143"/>
      <c r="AD702" s="143"/>
      <c r="AE702" s="143"/>
      <c r="AF702" s="143"/>
      <c r="AG702" s="143"/>
      <c r="AH702" s="143"/>
      <c r="AI702" s="143"/>
      <c r="AJ702" s="143"/>
      <c r="AK702" s="143"/>
      <c r="AL702" s="143"/>
      <c r="AM702" s="143"/>
    </row>
    <row r="703" s="140" customFormat="1" ht="15" spans="1:39">
      <c r="A703" s="143">
        <v>701</v>
      </c>
      <c r="B703" s="144">
        <v>45842</v>
      </c>
      <c r="C703" s="143" t="s">
        <v>40</v>
      </c>
      <c r="D703" s="143" t="s">
        <v>2338</v>
      </c>
      <c r="E703" s="145"/>
      <c r="F703" s="143" t="s">
        <v>514</v>
      </c>
      <c r="G703" s="143"/>
      <c r="H703" s="152" t="s">
        <v>2386</v>
      </c>
      <c r="I703" s="143" t="s">
        <v>105</v>
      </c>
      <c r="J703" s="143"/>
      <c r="K703" s="143">
        <v>150</v>
      </c>
      <c r="L703" s="143">
        <v>200</v>
      </c>
      <c r="M703" s="143"/>
      <c r="N703" s="143"/>
      <c r="O703" s="143"/>
      <c r="P703" s="143"/>
      <c r="Q703" s="143"/>
      <c r="R703" s="143"/>
      <c r="S703" s="146"/>
      <c r="T703" s="146"/>
      <c r="U703" s="146"/>
      <c r="V703" s="147"/>
      <c r="W703" s="143" t="s">
        <v>49</v>
      </c>
      <c r="X703" s="143" t="s">
        <v>2387</v>
      </c>
      <c r="Y703" s="143" t="s">
        <v>2383</v>
      </c>
      <c r="Z703" s="143" t="s">
        <v>2387</v>
      </c>
      <c r="AA703" s="143">
        <v>14</v>
      </c>
      <c r="AB703" s="170"/>
      <c r="AC703" s="143"/>
      <c r="AD703" s="143"/>
      <c r="AE703" s="143"/>
      <c r="AF703" s="143"/>
      <c r="AG703" s="143"/>
      <c r="AH703" s="143"/>
      <c r="AI703" s="143"/>
      <c r="AJ703" s="143"/>
      <c r="AK703" s="143"/>
      <c r="AL703" s="143"/>
      <c r="AM703" s="143"/>
    </row>
    <row r="704" s="140" customFormat="1" ht="15" spans="1:39">
      <c r="A704" s="143">
        <v>702</v>
      </c>
      <c r="B704" s="144">
        <v>45842</v>
      </c>
      <c r="C704" s="143" t="s">
        <v>40</v>
      </c>
      <c r="D704" s="143" t="s">
        <v>2338</v>
      </c>
      <c r="E704" s="145"/>
      <c r="F704" s="143" t="s">
        <v>514</v>
      </c>
      <c r="G704" s="143"/>
      <c r="H704" s="152" t="s">
        <v>2388</v>
      </c>
      <c r="I704" s="143" t="s">
        <v>105</v>
      </c>
      <c r="J704" s="143"/>
      <c r="K704" s="143">
        <v>150</v>
      </c>
      <c r="L704" s="143">
        <v>150</v>
      </c>
      <c r="M704" s="143"/>
      <c r="N704" s="143"/>
      <c r="O704" s="143"/>
      <c r="P704" s="143"/>
      <c r="Q704" s="143"/>
      <c r="R704" s="143"/>
      <c r="S704" s="146"/>
      <c r="T704" s="146"/>
      <c r="U704" s="146"/>
      <c r="V704" s="147"/>
      <c r="W704" s="143" t="s">
        <v>49</v>
      </c>
      <c r="X704" s="143" t="s">
        <v>2389</v>
      </c>
      <c r="Y704" s="143" t="s">
        <v>2383</v>
      </c>
      <c r="Z704" s="143" t="s">
        <v>2389</v>
      </c>
      <c r="AA704" s="143">
        <v>12.8</v>
      </c>
      <c r="AB704" s="170"/>
      <c r="AC704" s="143"/>
      <c r="AD704" s="143"/>
      <c r="AE704" s="143"/>
      <c r="AF704" s="143"/>
      <c r="AG704" s="143"/>
      <c r="AH704" s="143"/>
      <c r="AI704" s="143"/>
      <c r="AJ704" s="143"/>
      <c r="AK704" s="143"/>
      <c r="AL704" s="143"/>
      <c r="AM704" s="143"/>
    </row>
    <row r="705" s="140" customFormat="1" ht="15" spans="1:43">
      <c r="A705" s="143">
        <v>703</v>
      </c>
      <c r="B705" s="144">
        <v>45842</v>
      </c>
      <c r="C705" s="143" t="s">
        <v>40</v>
      </c>
      <c r="D705" s="143" t="s">
        <v>2338</v>
      </c>
      <c r="E705" s="145"/>
      <c r="F705" s="143" t="s">
        <v>514</v>
      </c>
      <c r="G705" s="143"/>
      <c r="H705" s="152" t="s">
        <v>2390</v>
      </c>
      <c r="I705" s="143" t="s">
        <v>2391</v>
      </c>
      <c r="J705" s="143"/>
      <c r="K705" s="143">
        <v>150</v>
      </c>
      <c r="L705" s="143">
        <v>170</v>
      </c>
      <c r="M705" s="143"/>
      <c r="N705" s="143"/>
      <c r="O705" s="143"/>
      <c r="P705" s="143"/>
      <c r="Q705" s="143"/>
      <c r="R705" s="143"/>
      <c r="S705" s="146"/>
      <c r="T705" s="146"/>
      <c r="U705" s="146"/>
      <c r="V705" s="147"/>
      <c r="W705" s="143" t="s">
        <v>49</v>
      </c>
      <c r="X705" s="143" t="s">
        <v>2392</v>
      </c>
      <c r="Y705" s="143" t="s">
        <v>2383</v>
      </c>
      <c r="Z705" s="143" t="s">
        <v>2392</v>
      </c>
      <c r="AA705" s="143">
        <v>18.5</v>
      </c>
      <c r="AB705" s="170"/>
      <c r="AC705" s="143"/>
      <c r="AD705" s="143"/>
      <c r="AE705" s="143"/>
      <c r="AF705" s="143"/>
      <c r="AG705" s="143"/>
      <c r="AH705" s="143"/>
      <c r="AI705" s="143"/>
      <c r="AJ705" s="143"/>
      <c r="AK705" s="143"/>
      <c r="AL705" s="143"/>
      <c r="AM705" s="143"/>
    </row>
    <row r="706" s="140" customFormat="1" ht="15" spans="1:43">
      <c r="A706" s="143">
        <v>704</v>
      </c>
      <c r="B706" s="144">
        <v>45842</v>
      </c>
      <c r="C706" s="143" t="s">
        <v>40</v>
      </c>
      <c r="D706" s="143" t="s">
        <v>2338</v>
      </c>
      <c r="E706" s="145"/>
      <c r="F706" s="143" t="s">
        <v>514</v>
      </c>
      <c r="G706" s="143"/>
      <c r="H706" s="152" t="s">
        <v>2393</v>
      </c>
      <c r="I706" s="143" t="s">
        <v>2391</v>
      </c>
      <c r="J706" s="143"/>
      <c r="K706" s="143">
        <v>150</v>
      </c>
      <c r="L706" s="143">
        <v>280</v>
      </c>
      <c r="M706" s="143"/>
      <c r="N706" s="143"/>
      <c r="O706" s="143"/>
      <c r="P706" s="143"/>
      <c r="Q706" s="143"/>
      <c r="R706" s="143"/>
      <c r="S706" s="146"/>
      <c r="T706" s="146"/>
      <c r="U706" s="146"/>
      <c r="V706" s="147"/>
      <c r="W706" s="143" t="s">
        <v>49</v>
      </c>
      <c r="X706" s="143" t="s">
        <v>2394</v>
      </c>
      <c r="Y706" s="143" t="s">
        <v>2383</v>
      </c>
      <c r="Z706" s="143" t="s">
        <v>2394</v>
      </c>
      <c r="AA706" s="143">
        <v>17.8</v>
      </c>
      <c r="AB706" s="170"/>
      <c r="AC706" s="143"/>
      <c r="AD706" s="143"/>
      <c r="AE706" s="143"/>
      <c r="AF706" s="143"/>
      <c r="AG706" s="143"/>
      <c r="AH706" s="143"/>
      <c r="AI706" s="143"/>
      <c r="AJ706" s="143"/>
      <c r="AK706" s="143"/>
      <c r="AL706" s="143"/>
      <c r="AM706" s="143"/>
      <c r="AN706" s="148"/>
    </row>
    <row r="707" s="140" customFormat="1" ht="15" spans="1:43">
      <c r="A707" s="143">
        <v>705</v>
      </c>
      <c r="B707" s="144">
        <v>45843</v>
      </c>
      <c r="C707" s="143" t="s">
        <v>40</v>
      </c>
      <c r="D707" s="143" t="s">
        <v>2338</v>
      </c>
      <c r="E707" s="145"/>
      <c r="F707" s="143" t="s">
        <v>2395</v>
      </c>
      <c r="G707" s="143"/>
      <c r="H707" s="152" t="s">
        <v>2396</v>
      </c>
      <c r="I707" s="143" t="s">
        <v>2397</v>
      </c>
      <c r="J707" s="143"/>
      <c r="K707" s="143">
        <v>150</v>
      </c>
      <c r="L707" s="143">
        <v>185</v>
      </c>
      <c r="M707" s="143"/>
      <c r="N707" s="143"/>
      <c r="O707" s="143"/>
      <c r="P707" s="143"/>
      <c r="Q707" s="143"/>
      <c r="R707" s="143"/>
      <c r="S707" s="146"/>
      <c r="T707" s="146"/>
      <c r="U707" s="146"/>
      <c r="V707" s="147"/>
      <c r="W707" s="143" t="s">
        <v>49</v>
      </c>
      <c r="X707" s="143" t="s">
        <v>2398</v>
      </c>
      <c r="Y707" s="143" t="s">
        <v>2399</v>
      </c>
      <c r="Z707" s="143" t="s">
        <v>2398</v>
      </c>
      <c r="AA707" s="143">
        <v>12.2</v>
      </c>
      <c r="AB707" s="170"/>
      <c r="AC707" s="143"/>
      <c r="AD707" s="143"/>
      <c r="AE707" s="143"/>
      <c r="AF707" s="143"/>
      <c r="AG707" s="143"/>
      <c r="AH707" s="143"/>
      <c r="AI707" s="143"/>
      <c r="AJ707" s="143"/>
      <c r="AK707" s="143"/>
      <c r="AL707" s="143"/>
      <c r="AM707" s="143"/>
      <c r="AN707" s="148"/>
      <c r="AO707" s="148"/>
      <c r="AP707" s="148"/>
      <c r="AQ707" s="148"/>
    </row>
    <row r="708" s="140" customFormat="1" ht="15" spans="1:43">
      <c r="A708" s="143">
        <v>706</v>
      </c>
      <c r="B708" s="144">
        <v>45843</v>
      </c>
      <c r="C708" s="143" t="s">
        <v>40</v>
      </c>
      <c r="D708" s="143" t="s">
        <v>2338</v>
      </c>
      <c r="E708" s="145"/>
      <c r="F708" s="143" t="s">
        <v>2395</v>
      </c>
      <c r="G708" s="143"/>
      <c r="H708" s="152" t="s">
        <v>2400</v>
      </c>
      <c r="I708" s="143" t="s">
        <v>2397</v>
      </c>
      <c r="J708" s="143"/>
      <c r="K708" s="143">
        <v>150</v>
      </c>
      <c r="L708" s="143">
        <v>215</v>
      </c>
      <c r="M708" s="143"/>
      <c r="N708" s="143"/>
      <c r="O708" s="143"/>
      <c r="P708" s="143"/>
      <c r="Q708" s="143"/>
      <c r="R708" s="143"/>
      <c r="S708" s="146"/>
      <c r="T708" s="146"/>
      <c r="U708" s="146"/>
      <c r="V708" s="147"/>
      <c r="W708" s="143" t="s">
        <v>49</v>
      </c>
      <c r="X708" s="143" t="s">
        <v>2401</v>
      </c>
      <c r="Y708" s="143" t="s">
        <v>2399</v>
      </c>
      <c r="Z708" s="143" t="s">
        <v>2401</v>
      </c>
      <c r="AA708" s="143">
        <v>13.5</v>
      </c>
      <c r="AB708" s="170"/>
      <c r="AC708" s="143"/>
      <c r="AD708" s="143"/>
      <c r="AE708" s="143"/>
      <c r="AF708" s="143"/>
      <c r="AG708" s="143"/>
      <c r="AH708" s="143"/>
      <c r="AI708" s="143"/>
      <c r="AJ708" s="143"/>
      <c r="AK708" s="143"/>
      <c r="AL708" s="143"/>
      <c r="AM708" s="143"/>
    </row>
    <row r="709" s="140" customFormat="1" ht="15" spans="1:43">
      <c r="A709" s="143">
        <v>707</v>
      </c>
      <c r="B709" s="144">
        <v>45843</v>
      </c>
      <c r="C709" s="143" t="s">
        <v>40</v>
      </c>
      <c r="D709" s="143" t="s">
        <v>2338</v>
      </c>
      <c r="E709" s="145"/>
      <c r="F709" s="143" t="s">
        <v>2395</v>
      </c>
      <c r="G709" s="143"/>
      <c r="H709" s="152" t="s">
        <v>2402</v>
      </c>
      <c r="I709" s="143" t="s">
        <v>2397</v>
      </c>
      <c r="J709" s="143"/>
      <c r="K709" s="143">
        <v>150</v>
      </c>
      <c r="L709" s="143">
        <v>165</v>
      </c>
      <c r="M709" s="143"/>
      <c r="N709" s="143"/>
      <c r="O709" s="143"/>
      <c r="P709" s="143"/>
      <c r="Q709" s="143"/>
      <c r="R709" s="143"/>
      <c r="S709" s="146"/>
      <c r="T709" s="146"/>
      <c r="U709" s="146"/>
      <c r="V709" s="147"/>
      <c r="W709" s="143" t="s">
        <v>49</v>
      </c>
      <c r="X709" s="143" t="s">
        <v>2403</v>
      </c>
      <c r="Y709" s="143" t="s">
        <v>2399</v>
      </c>
      <c r="Z709" s="143" t="s">
        <v>2403</v>
      </c>
      <c r="AA709" s="143">
        <v>9.8</v>
      </c>
      <c r="AB709" s="170"/>
      <c r="AC709" s="143"/>
      <c r="AD709" s="143"/>
      <c r="AE709" s="143"/>
      <c r="AF709" s="143"/>
      <c r="AG709" s="143"/>
      <c r="AH709" s="143"/>
      <c r="AI709" s="143"/>
      <c r="AJ709" s="143"/>
      <c r="AK709" s="143"/>
      <c r="AL709" s="143"/>
      <c r="AM709" s="143"/>
    </row>
    <row r="710" s="140" customFormat="1" ht="15" spans="1:43">
      <c r="A710" s="143">
        <v>708</v>
      </c>
      <c r="B710" s="144">
        <v>45843</v>
      </c>
      <c r="C710" s="143" t="s">
        <v>40</v>
      </c>
      <c r="D710" s="143" t="s">
        <v>2338</v>
      </c>
      <c r="E710" s="145"/>
      <c r="F710" s="143" t="s">
        <v>2395</v>
      </c>
      <c r="G710" s="143"/>
      <c r="H710" s="152" t="s">
        <v>2404</v>
      </c>
      <c r="I710" s="143" t="s">
        <v>2405</v>
      </c>
      <c r="J710" s="143"/>
      <c r="K710" s="143">
        <v>150</v>
      </c>
      <c r="L710" s="143">
        <v>225</v>
      </c>
      <c r="M710" s="143"/>
      <c r="N710" s="143"/>
      <c r="O710" s="143"/>
      <c r="P710" s="143"/>
      <c r="Q710" s="143"/>
      <c r="R710" s="143"/>
      <c r="S710" s="146"/>
      <c r="T710" s="146"/>
      <c r="U710" s="146"/>
      <c r="V710" s="147"/>
      <c r="W710" s="143" t="s">
        <v>49</v>
      </c>
      <c r="X710" s="143" t="s">
        <v>2406</v>
      </c>
      <c r="Y710" s="143" t="s">
        <v>2399</v>
      </c>
      <c r="Z710" s="143" t="s">
        <v>2406</v>
      </c>
      <c r="AA710" s="143">
        <v>13.9</v>
      </c>
      <c r="AB710" s="170"/>
      <c r="AC710" s="143"/>
      <c r="AD710" s="143"/>
      <c r="AE710" s="143"/>
      <c r="AF710" s="143"/>
      <c r="AG710" s="143"/>
      <c r="AH710" s="143"/>
      <c r="AI710" s="143"/>
      <c r="AJ710" s="143"/>
      <c r="AK710" s="143"/>
      <c r="AL710" s="143"/>
      <c r="AM710" s="143"/>
    </row>
    <row r="711" s="140" customFormat="1" ht="15" spans="1:43">
      <c r="A711" s="143">
        <v>709</v>
      </c>
      <c r="B711" s="144">
        <v>45843</v>
      </c>
      <c r="C711" s="143" t="s">
        <v>40</v>
      </c>
      <c r="D711" s="143" t="s">
        <v>2338</v>
      </c>
      <c r="E711" s="145"/>
      <c r="F711" s="143" t="s">
        <v>2395</v>
      </c>
      <c r="G711" s="143"/>
      <c r="H711" s="152" t="s">
        <v>2407</v>
      </c>
      <c r="I711" s="143" t="s">
        <v>2408</v>
      </c>
      <c r="J711" s="143"/>
      <c r="K711" s="143">
        <v>150</v>
      </c>
      <c r="L711" s="143">
        <v>245</v>
      </c>
      <c r="M711" s="143"/>
      <c r="N711" s="143"/>
      <c r="O711" s="143"/>
      <c r="P711" s="143"/>
      <c r="Q711" s="143"/>
      <c r="R711" s="143"/>
      <c r="S711" s="146"/>
      <c r="T711" s="146"/>
      <c r="U711" s="146"/>
      <c r="V711" s="147"/>
      <c r="W711" s="143" t="s">
        <v>49</v>
      </c>
      <c r="X711" s="143" t="s">
        <v>2409</v>
      </c>
      <c r="Y711" s="143" t="s">
        <v>2399</v>
      </c>
      <c r="Z711" s="143" t="s">
        <v>2409</v>
      </c>
      <c r="AA711" s="143">
        <v>14.8</v>
      </c>
      <c r="AB711" s="170"/>
      <c r="AC711" s="143"/>
      <c r="AD711" s="143"/>
      <c r="AE711" s="143"/>
      <c r="AF711" s="143"/>
      <c r="AG711" s="143"/>
      <c r="AH711" s="143"/>
      <c r="AI711" s="143"/>
      <c r="AJ711" s="143"/>
      <c r="AK711" s="143"/>
      <c r="AL711" s="143"/>
      <c r="AM711" s="143"/>
    </row>
    <row r="712" s="140" customFormat="1" ht="15" spans="1:43">
      <c r="A712" s="143">
        <v>710</v>
      </c>
      <c r="B712" s="144">
        <v>45843</v>
      </c>
      <c r="C712" s="143" t="s">
        <v>40</v>
      </c>
      <c r="D712" s="143" t="s">
        <v>2338</v>
      </c>
      <c r="E712" s="145"/>
      <c r="F712" s="143" t="s">
        <v>2395</v>
      </c>
      <c r="G712" s="143"/>
      <c r="H712" s="152" t="s">
        <v>2410</v>
      </c>
      <c r="I712" s="143" t="s">
        <v>2397</v>
      </c>
      <c r="J712" s="143"/>
      <c r="K712" s="143">
        <v>150</v>
      </c>
      <c r="L712" s="143">
        <v>160</v>
      </c>
      <c r="M712" s="143"/>
      <c r="N712" s="143"/>
      <c r="O712" s="143"/>
      <c r="P712" s="143"/>
      <c r="Q712" s="143"/>
      <c r="R712" s="143"/>
      <c r="S712" s="146"/>
      <c r="T712" s="146"/>
      <c r="U712" s="146"/>
      <c r="V712" s="147"/>
      <c r="W712" s="143" t="s">
        <v>49</v>
      </c>
      <c r="X712" s="143" t="s">
        <v>2411</v>
      </c>
      <c r="Y712" s="143" t="s">
        <v>2399</v>
      </c>
      <c r="Z712" s="143" t="s">
        <v>2411</v>
      </c>
      <c r="AA712" s="143">
        <v>10.5</v>
      </c>
      <c r="AB712" s="170"/>
      <c r="AC712" s="143"/>
      <c r="AD712" s="143"/>
      <c r="AE712" s="143"/>
      <c r="AF712" s="143"/>
      <c r="AG712" s="143"/>
      <c r="AH712" s="143"/>
      <c r="AI712" s="143"/>
      <c r="AJ712" s="143"/>
      <c r="AK712" s="143"/>
      <c r="AL712" s="143"/>
      <c r="AM712" s="143"/>
    </row>
    <row r="713" s="140" customFormat="1" ht="15" spans="1:43">
      <c r="A713" s="143">
        <v>711</v>
      </c>
      <c r="B713" s="144">
        <v>45843</v>
      </c>
      <c r="C713" s="143" t="s">
        <v>40</v>
      </c>
      <c r="D713" s="143" t="s">
        <v>2338</v>
      </c>
      <c r="E713" s="145"/>
      <c r="F713" s="143" t="s">
        <v>2395</v>
      </c>
      <c r="G713" s="143"/>
      <c r="H713" s="152" t="s">
        <v>2412</v>
      </c>
      <c r="I713" s="143" t="s">
        <v>2413</v>
      </c>
      <c r="J713" s="143" t="s">
        <v>2413</v>
      </c>
      <c r="K713" s="143">
        <v>150</v>
      </c>
      <c r="L713" s="143">
        <v>250</v>
      </c>
      <c r="M713" s="143"/>
      <c r="N713" s="143"/>
      <c r="O713" s="143"/>
      <c r="P713" s="143"/>
      <c r="Q713" s="143"/>
      <c r="R713" s="143"/>
      <c r="S713" s="146"/>
      <c r="T713" s="146"/>
      <c r="U713" s="146"/>
      <c r="V713" s="147"/>
      <c r="W713" s="143" t="s">
        <v>49</v>
      </c>
      <c r="X713" s="143" t="s">
        <v>2414</v>
      </c>
      <c r="Y713" s="143" t="s">
        <v>2415</v>
      </c>
      <c r="Z713" s="143" t="s">
        <v>2414</v>
      </c>
      <c r="AA713" s="143">
        <v>13.2</v>
      </c>
      <c r="AB713" s="170"/>
      <c r="AC713" s="143"/>
      <c r="AD713" s="143"/>
      <c r="AE713" s="143"/>
      <c r="AF713" s="143"/>
      <c r="AG713" s="143"/>
      <c r="AH713" s="143"/>
      <c r="AI713" s="143"/>
      <c r="AJ713" s="143"/>
      <c r="AK713" s="143"/>
      <c r="AL713" s="143"/>
      <c r="AM713" s="143"/>
    </row>
    <row r="714" s="140" customFormat="1" ht="15" spans="1:43">
      <c r="A714" s="143">
        <v>712</v>
      </c>
      <c r="B714" s="144">
        <v>45843</v>
      </c>
      <c r="C714" s="143" t="s">
        <v>40</v>
      </c>
      <c r="D714" s="143" t="s">
        <v>2338</v>
      </c>
      <c r="E714" s="145"/>
      <c r="F714" s="143" t="s">
        <v>2395</v>
      </c>
      <c r="G714" s="143"/>
      <c r="H714" s="152" t="s">
        <v>2416</v>
      </c>
      <c r="I714" s="143" t="s">
        <v>2413</v>
      </c>
      <c r="J714" s="143" t="s">
        <v>2413</v>
      </c>
      <c r="K714" s="143">
        <v>150</v>
      </c>
      <c r="L714" s="143">
        <v>360</v>
      </c>
      <c r="M714" s="143"/>
      <c r="N714" s="143"/>
      <c r="O714" s="143"/>
      <c r="P714" s="143"/>
      <c r="Q714" s="143"/>
      <c r="R714" s="143"/>
      <c r="S714" s="146"/>
      <c r="T714" s="146"/>
      <c r="U714" s="146"/>
      <c r="V714" s="147"/>
      <c r="W714" s="143" t="s">
        <v>49</v>
      </c>
      <c r="X714" s="143" t="s">
        <v>2417</v>
      </c>
      <c r="Y714" s="143" t="s">
        <v>2415</v>
      </c>
      <c r="Z714" s="143" t="s">
        <v>2417</v>
      </c>
      <c r="AA714" s="143">
        <v>12.6</v>
      </c>
      <c r="AB714" s="170"/>
      <c r="AC714" s="143"/>
      <c r="AD714" s="143"/>
      <c r="AE714" s="143"/>
      <c r="AF714" s="143"/>
      <c r="AG714" s="143"/>
      <c r="AH714" s="143"/>
      <c r="AI714" s="143"/>
      <c r="AJ714" s="143"/>
      <c r="AK714" s="143"/>
      <c r="AL714" s="143"/>
      <c r="AM714" s="143"/>
    </row>
    <row r="715" s="140" customFormat="1" ht="15" spans="1:43">
      <c r="A715" s="143">
        <v>713</v>
      </c>
      <c r="B715" s="144">
        <v>45843</v>
      </c>
      <c r="C715" s="143" t="s">
        <v>40</v>
      </c>
      <c r="D715" s="143" t="s">
        <v>2338</v>
      </c>
      <c r="E715" s="145"/>
      <c r="F715" s="143" t="s">
        <v>2395</v>
      </c>
      <c r="G715" s="143"/>
      <c r="H715" s="152" t="s">
        <v>2418</v>
      </c>
      <c r="I715" s="143" t="s">
        <v>2413</v>
      </c>
      <c r="J715" s="143" t="s">
        <v>2413</v>
      </c>
      <c r="K715" s="143">
        <v>150</v>
      </c>
      <c r="L715" s="143">
        <v>300</v>
      </c>
      <c r="M715" s="143"/>
      <c r="N715" s="143"/>
      <c r="O715" s="143"/>
      <c r="P715" s="143"/>
      <c r="Q715" s="143"/>
      <c r="R715" s="143"/>
      <c r="S715" s="146"/>
      <c r="T715" s="146"/>
      <c r="U715" s="146"/>
      <c r="V715" s="147"/>
      <c r="W715" s="143" t="s">
        <v>49</v>
      </c>
      <c r="X715" s="143" t="s">
        <v>2419</v>
      </c>
      <c r="Y715" s="143" t="s">
        <v>2415</v>
      </c>
      <c r="Z715" s="143" t="s">
        <v>2419</v>
      </c>
      <c r="AA715" s="143">
        <v>13.5</v>
      </c>
      <c r="AB715" s="170"/>
      <c r="AC715" s="143"/>
      <c r="AD715" s="143"/>
      <c r="AE715" s="143"/>
      <c r="AF715" s="143"/>
      <c r="AG715" s="143"/>
      <c r="AH715" s="143"/>
      <c r="AI715" s="143"/>
      <c r="AJ715" s="143"/>
      <c r="AK715" s="143"/>
      <c r="AL715" s="143"/>
      <c r="AM715" s="143"/>
    </row>
    <row r="716" s="140" customFormat="1" ht="15" spans="1:43">
      <c r="A716" s="143">
        <v>714</v>
      </c>
      <c r="B716" s="144">
        <v>45843</v>
      </c>
      <c r="C716" s="143" t="s">
        <v>40</v>
      </c>
      <c r="D716" s="143" t="s">
        <v>2338</v>
      </c>
      <c r="E716" s="145"/>
      <c r="F716" s="143" t="s">
        <v>2395</v>
      </c>
      <c r="G716" s="143"/>
      <c r="H716" s="152" t="s">
        <v>2420</v>
      </c>
      <c r="I716" s="143" t="s">
        <v>2413</v>
      </c>
      <c r="J716" s="143" t="s">
        <v>2413</v>
      </c>
      <c r="K716" s="143">
        <v>150</v>
      </c>
      <c r="L716" s="143">
        <v>360</v>
      </c>
      <c r="M716" s="143"/>
      <c r="N716" s="143"/>
      <c r="O716" s="143"/>
      <c r="P716" s="143"/>
      <c r="Q716" s="143"/>
      <c r="R716" s="143"/>
      <c r="S716" s="146"/>
      <c r="T716" s="146"/>
      <c r="U716" s="146"/>
      <c r="V716" s="147"/>
      <c r="W716" s="143" t="s">
        <v>49</v>
      </c>
      <c r="X716" s="143" t="s">
        <v>2421</v>
      </c>
      <c r="Y716" s="143" t="s">
        <v>2415</v>
      </c>
      <c r="Z716" s="143" t="s">
        <v>2421</v>
      </c>
      <c r="AA716" s="143">
        <v>13.3</v>
      </c>
      <c r="AB716" s="170"/>
      <c r="AC716" s="143"/>
      <c r="AD716" s="143"/>
      <c r="AE716" s="143"/>
      <c r="AF716" s="143"/>
      <c r="AG716" s="143"/>
      <c r="AH716" s="143"/>
      <c r="AI716" s="143"/>
      <c r="AJ716" s="143"/>
      <c r="AK716" s="143"/>
      <c r="AL716" s="143"/>
      <c r="AM716" s="143"/>
    </row>
    <row r="717" s="140" customFormat="1" ht="15" spans="1:43">
      <c r="A717" s="143">
        <v>715</v>
      </c>
      <c r="B717" s="144">
        <v>45843</v>
      </c>
      <c r="C717" s="143" t="s">
        <v>40</v>
      </c>
      <c r="D717" s="143" t="s">
        <v>2338</v>
      </c>
      <c r="E717" s="145"/>
      <c r="F717" s="143" t="s">
        <v>2395</v>
      </c>
      <c r="G717" s="143"/>
      <c r="H717" s="152" t="s">
        <v>2422</v>
      </c>
      <c r="I717" s="143" t="s">
        <v>2413</v>
      </c>
      <c r="J717" s="143" t="s">
        <v>2413</v>
      </c>
      <c r="K717" s="143">
        <v>150</v>
      </c>
      <c r="L717" s="143">
        <v>215</v>
      </c>
      <c r="M717" s="143"/>
      <c r="N717" s="143"/>
      <c r="O717" s="143"/>
      <c r="P717" s="143"/>
      <c r="Q717" s="143"/>
      <c r="R717" s="143"/>
      <c r="S717" s="146"/>
      <c r="T717" s="146"/>
      <c r="U717" s="146"/>
      <c r="V717" s="147"/>
      <c r="W717" s="143" t="s">
        <v>49</v>
      </c>
      <c r="X717" s="143" t="s">
        <v>2423</v>
      </c>
      <c r="Y717" s="143" t="s">
        <v>2424</v>
      </c>
      <c r="Z717" s="143" t="s">
        <v>2423</v>
      </c>
      <c r="AA717" s="143">
        <v>13.8</v>
      </c>
      <c r="AB717" s="170"/>
      <c r="AC717" s="143"/>
      <c r="AD717" s="143"/>
      <c r="AE717" s="143"/>
      <c r="AF717" s="143"/>
      <c r="AG717" s="143"/>
      <c r="AH717" s="143"/>
      <c r="AI717" s="143"/>
      <c r="AJ717" s="143"/>
      <c r="AK717" s="143"/>
      <c r="AL717" s="143"/>
      <c r="AM717" s="143"/>
    </row>
    <row r="718" s="140" customFormat="1" ht="15" spans="1:43">
      <c r="A718" s="143">
        <v>716</v>
      </c>
      <c r="B718" s="144">
        <v>45843</v>
      </c>
      <c r="C718" s="143" t="s">
        <v>40</v>
      </c>
      <c r="D718" s="143" t="s">
        <v>2338</v>
      </c>
      <c r="E718" s="145"/>
      <c r="F718" s="143" t="s">
        <v>2395</v>
      </c>
      <c r="G718" s="143"/>
      <c r="H718" s="152" t="s">
        <v>2425</v>
      </c>
      <c r="I718" s="143" t="s">
        <v>2426</v>
      </c>
      <c r="J718" s="143" t="s">
        <v>2426</v>
      </c>
      <c r="K718" s="143">
        <v>150</v>
      </c>
      <c r="L718" s="143">
        <v>240</v>
      </c>
      <c r="M718" s="143"/>
      <c r="N718" s="143"/>
      <c r="O718" s="143"/>
      <c r="P718" s="143"/>
      <c r="Q718" s="143" t="s">
        <v>2427</v>
      </c>
      <c r="R718" s="143"/>
      <c r="S718" s="146"/>
      <c r="T718" s="146"/>
      <c r="U718" s="146"/>
      <c r="V718" s="147"/>
      <c r="W718" s="143" t="s">
        <v>49</v>
      </c>
      <c r="X718" s="143" t="s">
        <v>2428</v>
      </c>
      <c r="Y718" s="143" t="s">
        <v>2429</v>
      </c>
      <c r="Z718" s="143" t="s">
        <v>2428</v>
      </c>
      <c r="AA718" s="143">
        <v>13.2</v>
      </c>
      <c r="AB718" s="170"/>
      <c r="AC718" s="143"/>
      <c r="AD718" s="143"/>
      <c r="AE718" s="143"/>
      <c r="AF718" s="143"/>
      <c r="AG718" s="143"/>
      <c r="AH718" s="143" t="s">
        <v>2427</v>
      </c>
      <c r="AI718" s="143"/>
      <c r="AJ718" s="143"/>
      <c r="AK718" s="143"/>
      <c r="AL718" s="143"/>
      <c r="AM718" s="143"/>
    </row>
    <row r="719" s="140" customFormat="1" ht="15" spans="1:43">
      <c r="A719" s="143">
        <v>717</v>
      </c>
      <c r="B719" s="144">
        <v>45843</v>
      </c>
      <c r="C719" s="143" t="s">
        <v>40</v>
      </c>
      <c r="D719" s="143" t="s">
        <v>2338</v>
      </c>
      <c r="E719" s="145"/>
      <c r="F719" s="143" t="s">
        <v>2395</v>
      </c>
      <c r="G719" s="143"/>
      <c r="H719" s="152" t="s">
        <v>2430</v>
      </c>
      <c r="I719" s="143" t="s">
        <v>2426</v>
      </c>
      <c r="J719" s="143" t="s">
        <v>2426</v>
      </c>
      <c r="K719" s="143">
        <v>150</v>
      </c>
      <c r="L719" s="143">
        <v>250</v>
      </c>
      <c r="M719" s="143"/>
      <c r="N719" s="143"/>
      <c r="O719" s="143"/>
      <c r="P719" s="143"/>
      <c r="Q719" s="143" t="s">
        <v>2427</v>
      </c>
      <c r="R719" s="143"/>
      <c r="S719" s="146"/>
      <c r="T719" s="146"/>
      <c r="U719" s="146"/>
      <c r="V719" s="147"/>
      <c r="W719" s="143" t="s">
        <v>49</v>
      </c>
      <c r="X719" s="143" t="s">
        <v>2431</v>
      </c>
      <c r="Y719" s="143" t="s">
        <v>2429</v>
      </c>
      <c r="Z719" s="143" t="s">
        <v>2431</v>
      </c>
      <c r="AA719" s="143">
        <v>14.8</v>
      </c>
      <c r="AB719" s="170"/>
      <c r="AC719" s="143"/>
      <c r="AD719" s="143"/>
      <c r="AE719" s="143"/>
      <c r="AF719" s="143"/>
      <c r="AG719" s="143"/>
      <c r="AH719" s="143" t="s">
        <v>2427</v>
      </c>
      <c r="AI719" s="143"/>
      <c r="AJ719" s="143"/>
      <c r="AK719" s="143"/>
      <c r="AL719" s="143"/>
      <c r="AM719" s="143"/>
    </row>
    <row r="720" s="140" customFormat="1" ht="15" spans="1:43">
      <c r="A720" s="143">
        <v>718</v>
      </c>
      <c r="B720" s="144">
        <v>45843</v>
      </c>
      <c r="C720" s="143" t="s">
        <v>40</v>
      </c>
      <c r="D720" s="143" t="s">
        <v>2338</v>
      </c>
      <c r="E720" s="145"/>
      <c r="F720" s="143" t="s">
        <v>2395</v>
      </c>
      <c r="G720" s="143"/>
      <c r="H720" s="152" t="s">
        <v>2432</v>
      </c>
      <c r="I720" s="143" t="s">
        <v>2426</v>
      </c>
      <c r="J720" s="143" t="s">
        <v>2426</v>
      </c>
      <c r="K720" s="143">
        <v>150</v>
      </c>
      <c r="L720" s="143">
        <v>250</v>
      </c>
      <c r="M720" s="143"/>
      <c r="N720" s="143"/>
      <c r="O720" s="143"/>
      <c r="P720" s="143"/>
      <c r="Q720" s="143" t="s">
        <v>2427</v>
      </c>
      <c r="R720" s="143"/>
      <c r="S720" s="146"/>
      <c r="T720" s="146"/>
      <c r="U720" s="146"/>
      <c r="V720" s="147"/>
      <c r="W720" s="143" t="s">
        <v>49</v>
      </c>
      <c r="X720" s="143" t="s">
        <v>2433</v>
      </c>
      <c r="Y720" s="143" t="s">
        <v>2429</v>
      </c>
      <c r="Z720" s="143" t="s">
        <v>2433</v>
      </c>
      <c r="AA720" s="143">
        <v>14</v>
      </c>
      <c r="AB720" s="170"/>
      <c r="AC720" s="143"/>
      <c r="AD720" s="143"/>
      <c r="AE720" s="143"/>
      <c r="AF720" s="143"/>
      <c r="AG720" s="143"/>
      <c r="AH720" s="143" t="s">
        <v>2427</v>
      </c>
      <c r="AI720" s="143"/>
      <c r="AJ720" s="143"/>
      <c r="AK720" s="143"/>
      <c r="AL720" s="143"/>
      <c r="AM720" s="143"/>
    </row>
    <row r="721" s="140" customFormat="1" ht="15" spans="1:39">
      <c r="A721" s="143">
        <v>719</v>
      </c>
      <c r="B721" s="144">
        <v>45843</v>
      </c>
      <c r="C721" s="143" t="s">
        <v>40</v>
      </c>
      <c r="D721" s="143" t="s">
        <v>2338</v>
      </c>
      <c r="E721" s="145"/>
      <c r="F721" s="143" t="s">
        <v>2395</v>
      </c>
      <c r="G721" s="143"/>
      <c r="H721" s="152" t="s">
        <v>2434</v>
      </c>
      <c r="I721" s="143" t="s">
        <v>2426</v>
      </c>
      <c r="J721" s="143" t="s">
        <v>2426</v>
      </c>
      <c r="K721" s="143">
        <v>150</v>
      </c>
      <c r="L721" s="143">
        <v>210</v>
      </c>
      <c r="M721" s="143"/>
      <c r="N721" s="143"/>
      <c r="O721" s="143"/>
      <c r="P721" s="143"/>
      <c r="Q721" s="143" t="s">
        <v>2427</v>
      </c>
      <c r="R721" s="143"/>
      <c r="S721" s="146"/>
      <c r="T721" s="146"/>
      <c r="U721" s="146"/>
      <c r="V721" s="147"/>
      <c r="W721" s="143" t="s">
        <v>49</v>
      </c>
      <c r="X721" s="143" t="s">
        <v>2435</v>
      </c>
      <c r="Y721" s="143" t="s">
        <v>2429</v>
      </c>
      <c r="Z721" s="143" t="s">
        <v>2435</v>
      </c>
      <c r="AA721" s="143">
        <v>14.5</v>
      </c>
      <c r="AB721" s="170"/>
      <c r="AC721" s="143"/>
      <c r="AD721" s="143"/>
      <c r="AE721" s="143"/>
      <c r="AF721" s="143"/>
      <c r="AG721" s="143"/>
      <c r="AH721" s="143" t="s">
        <v>2427</v>
      </c>
      <c r="AI721" s="143"/>
      <c r="AJ721" s="143"/>
      <c r="AK721" s="143"/>
      <c r="AL721" s="143"/>
      <c r="AM721" s="143"/>
    </row>
    <row r="722" s="140" customFormat="1" ht="15" spans="1:39">
      <c r="A722" s="143">
        <v>720</v>
      </c>
      <c r="B722" s="144">
        <v>45843</v>
      </c>
      <c r="C722" s="143" t="s">
        <v>40</v>
      </c>
      <c r="D722" s="143" t="s">
        <v>2338</v>
      </c>
      <c r="E722" s="145"/>
      <c r="F722" s="143" t="s">
        <v>2395</v>
      </c>
      <c r="G722" s="143"/>
      <c r="H722" s="152" t="s">
        <v>2436</v>
      </c>
      <c r="I722" s="143" t="s">
        <v>2426</v>
      </c>
      <c r="J722" s="143" t="s">
        <v>2426</v>
      </c>
      <c r="K722" s="143">
        <v>150</v>
      </c>
      <c r="L722" s="143">
        <v>200</v>
      </c>
      <c r="M722" s="143"/>
      <c r="N722" s="143"/>
      <c r="O722" s="143"/>
      <c r="P722" s="143"/>
      <c r="Q722" s="143" t="s">
        <v>2427</v>
      </c>
      <c r="R722" s="143"/>
      <c r="S722" s="146"/>
      <c r="T722" s="146"/>
      <c r="U722" s="146"/>
      <c r="V722" s="147"/>
      <c r="W722" s="143" t="s">
        <v>49</v>
      </c>
      <c r="X722" s="143" t="s">
        <v>2437</v>
      </c>
      <c r="Y722" s="143" t="s">
        <v>2429</v>
      </c>
      <c r="Z722" s="143" t="s">
        <v>2437</v>
      </c>
      <c r="AA722" s="143">
        <v>10.2</v>
      </c>
      <c r="AB722" s="170"/>
      <c r="AC722" s="143"/>
      <c r="AD722" s="143"/>
      <c r="AE722" s="143"/>
      <c r="AF722" s="143"/>
      <c r="AG722" s="143"/>
      <c r="AH722" s="143" t="s">
        <v>2427</v>
      </c>
      <c r="AI722" s="143"/>
      <c r="AJ722" s="143"/>
      <c r="AK722" s="143"/>
      <c r="AL722" s="143"/>
      <c r="AM722" s="143"/>
    </row>
    <row r="723" s="140" customFormat="1" ht="15" spans="1:39">
      <c r="A723" s="143">
        <v>721</v>
      </c>
      <c r="B723" s="144">
        <v>45843</v>
      </c>
      <c r="C723" s="143" t="s">
        <v>40</v>
      </c>
      <c r="D723" s="143" t="s">
        <v>2338</v>
      </c>
      <c r="E723" s="145"/>
      <c r="F723" s="143" t="s">
        <v>2395</v>
      </c>
      <c r="G723" s="143"/>
      <c r="H723" s="152" t="s">
        <v>2438</v>
      </c>
      <c r="I723" s="143" t="s">
        <v>2426</v>
      </c>
      <c r="J723" s="143" t="s">
        <v>2426</v>
      </c>
      <c r="K723" s="143">
        <v>150</v>
      </c>
      <c r="L723" s="143">
        <v>250</v>
      </c>
      <c r="M723" s="143"/>
      <c r="N723" s="143"/>
      <c r="O723" s="143"/>
      <c r="P723" s="143"/>
      <c r="Q723" s="143" t="s">
        <v>2427</v>
      </c>
      <c r="R723" s="143"/>
      <c r="S723" s="146"/>
      <c r="T723" s="146"/>
      <c r="U723" s="146"/>
      <c r="V723" s="147"/>
      <c r="W723" s="143" t="s">
        <v>49</v>
      </c>
      <c r="X723" s="143" t="s">
        <v>2439</v>
      </c>
      <c r="Y723" s="143" t="s">
        <v>2429</v>
      </c>
      <c r="Z723" s="143" t="s">
        <v>2439</v>
      </c>
      <c r="AA723" s="143">
        <v>14.8</v>
      </c>
      <c r="AB723" s="170"/>
      <c r="AC723" s="143"/>
      <c r="AD723" s="143"/>
      <c r="AE723" s="143"/>
      <c r="AF723" s="143"/>
      <c r="AG723" s="143"/>
      <c r="AH723" s="143" t="s">
        <v>2427</v>
      </c>
      <c r="AI723" s="143"/>
      <c r="AJ723" s="143"/>
      <c r="AK723" s="143"/>
      <c r="AL723" s="143"/>
      <c r="AM723" s="143"/>
    </row>
    <row r="724" s="140" customFormat="1" ht="15" spans="1:39">
      <c r="A724" s="143">
        <v>722</v>
      </c>
      <c r="B724" s="144">
        <v>45843</v>
      </c>
      <c r="C724" s="143" t="s">
        <v>40</v>
      </c>
      <c r="D724" s="143" t="s">
        <v>2338</v>
      </c>
      <c r="E724" s="145"/>
      <c r="F724" s="143" t="s">
        <v>2395</v>
      </c>
      <c r="G724" s="143"/>
      <c r="H724" s="152" t="s">
        <v>2440</v>
      </c>
      <c r="I724" s="143" t="s">
        <v>2426</v>
      </c>
      <c r="J724" s="143" t="s">
        <v>2426</v>
      </c>
      <c r="K724" s="143">
        <v>150</v>
      </c>
      <c r="L724" s="143">
        <v>280</v>
      </c>
      <c r="M724" s="143"/>
      <c r="N724" s="143"/>
      <c r="O724" s="143"/>
      <c r="P724" s="143"/>
      <c r="Q724" s="143" t="s">
        <v>2427</v>
      </c>
      <c r="R724" s="143"/>
      <c r="S724" s="146"/>
      <c r="T724" s="146"/>
      <c r="U724" s="146"/>
      <c r="V724" s="147"/>
      <c r="W724" s="143" t="s">
        <v>49</v>
      </c>
      <c r="X724" s="143" t="s">
        <v>2441</v>
      </c>
      <c r="Y724" s="143" t="s">
        <v>2429</v>
      </c>
      <c r="Z724" s="143" t="s">
        <v>2441</v>
      </c>
      <c r="AA724" s="143">
        <v>13.2</v>
      </c>
      <c r="AB724" s="170"/>
      <c r="AC724" s="143"/>
      <c r="AD724" s="143"/>
      <c r="AE724" s="143"/>
      <c r="AF724" s="143"/>
      <c r="AG724" s="143"/>
      <c r="AH724" s="143" t="s">
        <v>2427</v>
      </c>
      <c r="AI724" s="143"/>
      <c r="AJ724" s="143"/>
      <c r="AK724" s="143"/>
      <c r="AL724" s="143"/>
      <c r="AM724" s="143"/>
    </row>
    <row r="725" s="140" customFormat="1" ht="15" spans="1:39">
      <c r="A725" s="143">
        <v>723</v>
      </c>
      <c r="B725" s="144">
        <v>45843</v>
      </c>
      <c r="C725" s="143" t="s">
        <v>40</v>
      </c>
      <c r="D725" s="143" t="s">
        <v>2338</v>
      </c>
      <c r="E725" s="145"/>
      <c r="F725" s="143" t="s">
        <v>2395</v>
      </c>
      <c r="G725" s="143"/>
      <c r="H725" s="152" t="s">
        <v>2442</v>
      </c>
      <c r="I725" s="143" t="s">
        <v>2443</v>
      </c>
      <c r="J725" s="143" t="s">
        <v>2443</v>
      </c>
      <c r="K725" s="143">
        <v>150</v>
      </c>
      <c r="L725" s="143">
        <v>280</v>
      </c>
      <c r="M725" s="143"/>
      <c r="N725" s="143"/>
      <c r="O725" s="143"/>
      <c r="P725" s="143"/>
      <c r="Q725" s="143" t="s">
        <v>2444</v>
      </c>
      <c r="R725" s="143"/>
      <c r="S725" s="146"/>
      <c r="T725" s="146"/>
      <c r="U725" s="146"/>
      <c r="V725" s="147"/>
      <c r="W725" s="143" t="s">
        <v>49</v>
      </c>
      <c r="X725" s="143">
        <v>1863</v>
      </c>
      <c r="Y725" s="143" t="s">
        <v>2445</v>
      </c>
      <c r="Z725" s="143">
        <v>1863</v>
      </c>
      <c r="AA725" s="143">
        <v>14</v>
      </c>
      <c r="AB725" s="170"/>
      <c r="AC725" s="143"/>
      <c r="AD725" s="143"/>
      <c r="AE725" s="143"/>
      <c r="AF725" s="143"/>
      <c r="AG725" s="143"/>
      <c r="AH725" s="143"/>
      <c r="AI725" s="143"/>
      <c r="AJ725" s="143"/>
      <c r="AK725" s="143"/>
      <c r="AL725" s="143"/>
      <c r="AM725" s="143"/>
    </row>
    <row r="726" s="140" customFormat="1" ht="15" spans="1:39">
      <c r="A726" s="143">
        <v>724</v>
      </c>
      <c r="B726" s="144">
        <v>45843</v>
      </c>
      <c r="C726" s="143" t="s">
        <v>40</v>
      </c>
      <c r="D726" s="143" t="s">
        <v>2338</v>
      </c>
      <c r="E726" s="145"/>
      <c r="F726" s="143" t="s">
        <v>2395</v>
      </c>
      <c r="G726" s="143"/>
      <c r="H726" s="152" t="s">
        <v>2446</v>
      </c>
      <c r="I726" s="143" t="s">
        <v>2447</v>
      </c>
      <c r="J726" s="143" t="s">
        <v>2447</v>
      </c>
      <c r="K726" s="143">
        <v>150</v>
      </c>
      <c r="L726" s="143">
        <v>270</v>
      </c>
      <c r="M726" s="143"/>
      <c r="N726" s="143"/>
      <c r="O726" s="143"/>
      <c r="P726" s="143"/>
      <c r="Q726" s="143" t="s">
        <v>2444</v>
      </c>
      <c r="R726" s="143"/>
      <c r="S726" s="146"/>
      <c r="T726" s="146"/>
      <c r="U726" s="146"/>
      <c r="V726" s="147"/>
      <c r="W726" s="143" t="s">
        <v>49</v>
      </c>
      <c r="X726" s="143">
        <v>1833</v>
      </c>
      <c r="Y726" s="143" t="s">
        <v>2445</v>
      </c>
      <c r="Z726" s="143">
        <v>1833</v>
      </c>
      <c r="AA726" s="143">
        <v>15</v>
      </c>
      <c r="AB726" s="170"/>
      <c r="AC726" s="143"/>
      <c r="AD726" s="143"/>
      <c r="AE726" s="143"/>
      <c r="AF726" s="143"/>
      <c r="AG726" s="143"/>
      <c r="AH726" s="143"/>
      <c r="AI726" s="143"/>
      <c r="AJ726" s="143"/>
      <c r="AK726" s="143"/>
      <c r="AL726" s="143"/>
      <c r="AM726" s="143"/>
    </row>
    <row r="727" s="140" customFormat="1" ht="15" spans="1:39">
      <c r="A727" s="143">
        <v>725</v>
      </c>
      <c r="B727" s="144">
        <v>45843</v>
      </c>
      <c r="C727" s="143" t="s">
        <v>40</v>
      </c>
      <c r="D727" s="143" t="s">
        <v>2338</v>
      </c>
      <c r="E727" s="145"/>
      <c r="F727" s="143" t="s">
        <v>2395</v>
      </c>
      <c r="G727" s="143"/>
      <c r="H727" s="152" t="s">
        <v>2448</v>
      </c>
      <c r="I727" s="143" t="s">
        <v>2449</v>
      </c>
      <c r="J727" s="143" t="s">
        <v>2449</v>
      </c>
      <c r="K727" s="143">
        <v>150</v>
      </c>
      <c r="L727" s="143">
        <v>280</v>
      </c>
      <c r="M727" s="143"/>
      <c r="N727" s="143"/>
      <c r="O727" s="143"/>
      <c r="P727" s="143"/>
      <c r="Q727" s="143" t="s">
        <v>2444</v>
      </c>
      <c r="R727" s="143"/>
      <c r="S727" s="146"/>
      <c r="T727" s="146"/>
      <c r="U727" s="146"/>
      <c r="V727" s="147"/>
      <c r="W727" s="143" t="s">
        <v>49</v>
      </c>
      <c r="X727" s="143">
        <v>1336</v>
      </c>
      <c r="Y727" s="143" t="s">
        <v>2445</v>
      </c>
      <c r="Z727" s="143">
        <v>1336</v>
      </c>
      <c r="AA727" s="143">
        <v>18</v>
      </c>
      <c r="AB727" s="170"/>
      <c r="AC727" s="143"/>
      <c r="AD727" s="143"/>
      <c r="AE727" s="143"/>
      <c r="AF727" s="143"/>
      <c r="AG727" s="143"/>
      <c r="AH727" s="143"/>
      <c r="AI727" s="143"/>
      <c r="AJ727" s="143"/>
      <c r="AK727" s="143"/>
      <c r="AL727" s="143"/>
      <c r="AM727" s="143"/>
    </row>
    <row r="728" s="140" customFormat="1" ht="15" spans="1:39">
      <c r="A728" s="143">
        <v>726</v>
      </c>
      <c r="B728" s="144">
        <v>45843</v>
      </c>
      <c r="C728" s="143" t="s">
        <v>40</v>
      </c>
      <c r="D728" s="143" t="s">
        <v>2338</v>
      </c>
      <c r="E728" s="145"/>
      <c r="F728" s="143" t="s">
        <v>2395</v>
      </c>
      <c r="G728" s="143"/>
      <c r="H728" s="152" t="s">
        <v>2450</v>
      </c>
      <c r="I728" s="143" t="s">
        <v>2447</v>
      </c>
      <c r="J728" s="143" t="s">
        <v>2447</v>
      </c>
      <c r="K728" s="143">
        <v>150</v>
      </c>
      <c r="L728" s="143">
        <v>240</v>
      </c>
      <c r="M728" s="143"/>
      <c r="N728" s="143"/>
      <c r="O728" s="143"/>
      <c r="P728" s="143"/>
      <c r="Q728" s="143" t="s">
        <v>2444</v>
      </c>
      <c r="R728" s="143"/>
      <c r="S728" s="146"/>
      <c r="T728" s="146"/>
      <c r="U728" s="146"/>
      <c r="V728" s="147"/>
      <c r="W728" s="143" t="s">
        <v>49</v>
      </c>
      <c r="X728" s="143">
        <v>1828</v>
      </c>
      <c r="Y728" s="143" t="s">
        <v>2445</v>
      </c>
      <c r="Z728" s="143">
        <v>1828</v>
      </c>
      <c r="AA728" s="143">
        <v>14</v>
      </c>
      <c r="AB728" s="170"/>
      <c r="AC728" s="143"/>
      <c r="AD728" s="143"/>
      <c r="AE728" s="143"/>
      <c r="AF728" s="143"/>
      <c r="AG728" s="143"/>
      <c r="AH728" s="143"/>
      <c r="AI728" s="143"/>
      <c r="AJ728" s="143"/>
      <c r="AK728" s="143"/>
      <c r="AL728" s="143"/>
      <c r="AM728" s="143"/>
    </row>
    <row r="729" s="140" customFormat="1" ht="15" spans="1:39">
      <c r="A729" s="143">
        <v>727</v>
      </c>
      <c r="B729" s="144"/>
      <c r="C729" s="143" t="s">
        <v>193</v>
      </c>
      <c r="D729" s="143" t="s">
        <v>229</v>
      </c>
      <c r="E729" s="145"/>
      <c r="F729" s="143"/>
      <c r="G729" s="143"/>
      <c r="H729" s="152" t="s">
        <v>2451</v>
      </c>
      <c r="I729" s="143" t="s">
        <v>2452</v>
      </c>
      <c r="J729" s="143" t="s">
        <v>2453</v>
      </c>
      <c r="K729" s="143">
        <v>145</v>
      </c>
      <c r="L729" s="143">
        <v>278</v>
      </c>
      <c r="M729" s="143"/>
      <c r="N729" s="143"/>
      <c r="O729" s="143"/>
      <c r="P729" s="143"/>
      <c r="Q729" s="143"/>
      <c r="R729" s="143"/>
      <c r="S729" s="146"/>
      <c r="T729" s="146"/>
      <c r="U729" s="146"/>
      <c r="V729" s="147"/>
      <c r="W729" s="143" t="s">
        <v>2454</v>
      </c>
      <c r="X729" s="143" t="s">
        <v>2455</v>
      </c>
      <c r="Y729" s="143" t="s">
        <v>2454</v>
      </c>
      <c r="Z729" s="143" t="s">
        <v>2455</v>
      </c>
      <c r="AA729" s="143"/>
      <c r="AB729" s="170"/>
      <c r="AC729" s="143"/>
      <c r="AD729" s="143"/>
      <c r="AE729" s="143"/>
      <c r="AF729" s="143"/>
      <c r="AG729" s="143" t="s">
        <v>2456</v>
      </c>
      <c r="AH729" s="143"/>
      <c r="AI729" s="143"/>
      <c r="AJ729" s="143" t="s">
        <v>2457</v>
      </c>
      <c r="AK729" s="143"/>
      <c r="AL729" s="143"/>
      <c r="AM729" s="143"/>
    </row>
    <row r="730" s="140" customFormat="1" ht="15" spans="1:39">
      <c r="A730" s="143">
        <v>728</v>
      </c>
      <c r="B730" s="144"/>
      <c r="C730" s="143" t="s">
        <v>193</v>
      </c>
      <c r="D730" s="143" t="s">
        <v>229</v>
      </c>
      <c r="E730" s="145"/>
      <c r="F730" s="143"/>
      <c r="G730" s="143"/>
      <c r="H730" s="152" t="s">
        <v>2458</v>
      </c>
      <c r="I730" s="143" t="s">
        <v>45</v>
      </c>
      <c r="J730" s="143" t="s">
        <v>1572</v>
      </c>
      <c r="K730" s="143">
        <v>145</v>
      </c>
      <c r="L730" s="143">
        <v>382</v>
      </c>
      <c r="M730" s="143"/>
      <c r="N730" s="143"/>
      <c r="O730" s="143"/>
      <c r="P730" s="143"/>
      <c r="Q730" s="143"/>
      <c r="R730" s="143"/>
      <c r="S730" s="146"/>
      <c r="T730" s="146"/>
      <c r="U730" s="146"/>
      <c r="V730" s="147"/>
      <c r="W730" s="143" t="s">
        <v>2454</v>
      </c>
      <c r="X730" s="143" t="s">
        <v>2459</v>
      </c>
      <c r="Y730" s="143" t="s">
        <v>2454</v>
      </c>
      <c r="Z730" s="143" t="s">
        <v>2459</v>
      </c>
      <c r="AA730" s="143"/>
      <c r="AB730" s="170"/>
      <c r="AC730" s="143"/>
      <c r="AD730" s="143"/>
      <c r="AE730" s="143"/>
      <c r="AF730" s="143"/>
      <c r="AG730" s="143" t="s">
        <v>2456</v>
      </c>
      <c r="AH730" s="143"/>
      <c r="AI730" s="143"/>
      <c r="AJ730" s="143" t="s">
        <v>2457</v>
      </c>
      <c r="AK730" s="143"/>
      <c r="AL730" s="143"/>
      <c r="AM730" s="143"/>
    </row>
    <row r="731" s="140" customFormat="1" ht="15" spans="1:39">
      <c r="A731" s="143">
        <v>729</v>
      </c>
      <c r="B731" s="144"/>
      <c r="C731" s="143" t="s">
        <v>193</v>
      </c>
      <c r="D731" s="143" t="s">
        <v>229</v>
      </c>
      <c r="E731" s="145"/>
      <c r="F731" s="143"/>
      <c r="G731" s="143"/>
      <c r="H731" s="152" t="s">
        <v>2460</v>
      </c>
      <c r="I731" s="143" t="s">
        <v>2461</v>
      </c>
      <c r="J731" s="143" t="s">
        <v>2462</v>
      </c>
      <c r="K731" s="143">
        <v>144</v>
      </c>
      <c r="L731" s="143">
        <v>280</v>
      </c>
      <c r="M731" s="143"/>
      <c r="N731" s="143"/>
      <c r="O731" s="143"/>
      <c r="P731" s="143"/>
      <c r="Q731" s="143"/>
      <c r="R731" s="143"/>
      <c r="S731" s="146"/>
      <c r="T731" s="146"/>
      <c r="U731" s="146"/>
      <c r="V731" s="147"/>
      <c r="W731" s="143" t="s">
        <v>2454</v>
      </c>
      <c r="X731" s="143" t="s">
        <v>2463</v>
      </c>
      <c r="Y731" s="143" t="s">
        <v>2454</v>
      </c>
      <c r="Z731" s="143" t="s">
        <v>2463</v>
      </c>
      <c r="AA731" s="143"/>
      <c r="AB731" s="170"/>
      <c r="AC731" s="143"/>
      <c r="AD731" s="143"/>
      <c r="AE731" s="143"/>
      <c r="AF731" s="143"/>
      <c r="AG731" s="143" t="s">
        <v>2456</v>
      </c>
      <c r="AH731" s="143"/>
      <c r="AI731" s="143"/>
      <c r="AJ731" s="143" t="s">
        <v>2457</v>
      </c>
      <c r="AK731" s="143"/>
      <c r="AL731" s="143"/>
      <c r="AM731" s="143"/>
    </row>
    <row r="732" s="140" customFormat="1" ht="15" spans="1:39">
      <c r="A732" s="143">
        <v>730</v>
      </c>
      <c r="B732" s="144"/>
      <c r="C732" s="143" t="s">
        <v>193</v>
      </c>
      <c r="D732" s="143" t="s">
        <v>229</v>
      </c>
      <c r="E732" s="145"/>
      <c r="F732" s="143"/>
      <c r="G732" s="143"/>
      <c r="H732" s="152" t="s">
        <v>2464</v>
      </c>
      <c r="I732" s="143" t="s">
        <v>2465</v>
      </c>
      <c r="J732" s="143" t="s">
        <v>2466</v>
      </c>
      <c r="K732" s="143">
        <v>145</v>
      </c>
      <c r="L732" s="143">
        <v>275</v>
      </c>
      <c r="M732" s="143"/>
      <c r="N732" s="143"/>
      <c r="O732" s="143"/>
      <c r="P732" s="143"/>
      <c r="Q732" s="143"/>
      <c r="R732" s="143"/>
      <c r="S732" s="146"/>
      <c r="T732" s="146"/>
      <c r="U732" s="146"/>
      <c r="V732" s="147"/>
      <c r="W732" s="143" t="s">
        <v>2454</v>
      </c>
      <c r="X732" s="143" t="s">
        <v>2467</v>
      </c>
      <c r="Y732" s="143" t="s">
        <v>2454</v>
      </c>
      <c r="Z732" s="143" t="s">
        <v>2467</v>
      </c>
      <c r="AA732" s="143"/>
      <c r="AB732" s="170"/>
      <c r="AC732" s="143"/>
      <c r="AD732" s="143"/>
      <c r="AE732" s="143"/>
      <c r="AF732" s="143"/>
      <c r="AG732" s="143" t="s">
        <v>2456</v>
      </c>
      <c r="AH732" s="143"/>
      <c r="AI732" s="143"/>
      <c r="AJ732" s="143" t="s">
        <v>2457</v>
      </c>
      <c r="AK732" s="143"/>
      <c r="AL732" s="143"/>
      <c r="AM732" s="143"/>
    </row>
    <row r="733" s="140" customFormat="1" ht="15" spans="1:39">
      <c r="A733" s="143">
        <v>731</v>
      </c>
      <c r="B733" s="144"/>
      <c r="C733" s="143" t="s">
        <v>193</v>
      </c>
      <c r="D733" s="143" t="s">
        <v>229</v>
      </c>
      <c r="E733" s="145"/>
      <c r="F733" s="143"/>
      <c r="G733" s="143"/>
      <c r="H733" s="152" t="s">
        <v>2468</v>
      </c>
      <c r="I733" s="143" t="s">
        <v>2469</v>
      </c>
      <c r="J733" s="143" t="s">
        <v>2470</v>
      </c>
      <c r="K733" s="143">
        <v>145</v>
      </c>
      <c r="L733" s="143">
        <v>196</v>
      </c>
      <c r="M733" s="143"/>
      <c r="N733" s="143"/>
      <c r="O733" s="143"/>
      <c r="P733" s="143"/>
      <c r="Q733" s="143"/>
      <c r="R733" s="143"/>
      <c r="S733" s="146"/>
      <c r="T733" s="146"/>
      <c r="U733" s="146"/>
      <c r="V733" s="147"/>
      <c r="W733" s="143" t="s">
        <v>2454</v>
      </c>
      <c r="X733" s="143">
        <v>3066</v>
      </c>
      <c r="Y733" s="143" t="s">
        <v>2454</v>
      </c>
      <c r="Z733" s="143">
        <v>3066</v>
      </c>
      <c r="AA733" s="143"/>
      <c r="AB733" s="170"/>
      <c r="AC733" s="143"/>
      <c r="AD733" s="143"/>
      <c r="AE733" s="143"/>
      <c r="AF733" s="143"/>
      <c r="AG733" s="143" t="s">
        <v>2456</v>
      </c>
      <c r="AH733" s="143"/>
      <c r="AI733" s="143"/>
      <c r="AJ733" s="143" t="s">
        <v>2457</v>
      </c>
      <c r="AK733" s="143"/>
      <c r="AL733" s="143"/>
      <c r="AM733" s="143"/>
    </row>
    <row r="734" s="140" customFormat="1" ht="15" spans="1:39">
      <c r="A734" s="143">
        <v>732</v>
      </c>
      <c r="B734" s="144"/>
      <c r="C734" s="143" t="s">
        <v>193</v>
      </c>
      <c r="D734" s="143" t="s">
        <v>229</v>
      </c>
      <c r="E734" s="145"/>
      <c r="F734" s="143"/>
      <c r="G734" s="143"/>
      <c r="H734" s="152" t="s">
        <v>2471</v>
      </c>
      <c r="I734" s="143" t="s">
        <v>2472</v>
      </c>
      <c r="J734" s="143" t="s">
        <v>2473</v>
      </c>
      <c r="K734" s="143">
        <v>145</v>
      </c>
      <c r="L734" s="143">
        <v>165</v>
      </c>
      <c r="M734" s="143"/>
      <c r="N734" s="143"/>
      <c r="O734" s="143"/>
      <c r="P734" s="143"/>
      <c r="Q734" s="143"/>
      <c r="R734" s="143"/>
      <c r="S734" s="146"/>
      <c r="T734" s="146"/>
      <c r="U734" s="146"/>
      <c r="V734" s="147"/>
      <c r="W734" s="143" t="s">
        <v>2454</v>
      </c>
      <c r="X734" s="143">
        <v>3108</v>
      </c>
      <c r="Y734" s="143" t="s">
        <v>2454</v>
      </c>
      <c r="Z734" s="143">
        <v>3108</v>
      </c>
      <c r="AA734" s="143"/>
      <c r="AB734" s="170"/>
      <c r="AC734" s="143"/>
      <c r="AD734" s="143"/>
      <c r="AE734" s="143"/>
      <c r="AF734" s="143"/>
      <c r="AG734" s="143" t="s">
        <v>2456</v>
      </c>
      <c r="AH734" s="143"/>
      <c r="AI734" s="143"/>
      <c r="AJ734" s="143" t="s">
        <v>2457</v>
      </c>
      <c r="AK734" s="143"/>
      <c r="AL734" s="143"/>
      <c r="AM734" s="143"/>
    </row>
    <row r="735" s="140" customFormat="1" ht="15" spans="1:39">
      <c r="A735" s="143">
        <v>733</v>
      </c>
      <c r="B735" s="144"/>
      <c r="C735" s="143" t="s">
        <v>193</v>
      </c>
      <c r="D735" s="143" t="s">
        <v>229</v>
      </c>
      <c r="E735" s="145"/>
      <c r="F735" s="143"/>
      <c r="G735" s="143"/>
      <c r="H735" s="152" t="s">
        <v>2474</v>
      </c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6"/>
      <c r="T735" s="146"/>
      <c r="U735" s="146"/>
      <c r="V735" s="147"/>
      <c r="W735" s="143" t="s">
        <v>49</v>
      </c>
      <c r="X735" s="143" t="s">
        <v>2475</v>
      </c>
      <c r="Y735" s="143" t="s">
        <v>49</v>
      </c>
      <c r="Z735" s="143" t="s">
        <v>2475</v>
      </c>
      <c r="AA735" s="143"/>
      <c r="AB735" s="170"/>
      <c r="AC735" s="143"/>
      <c r="AD735" s="143"/>
      <c r="AE735" s="143"/>
      <c r="AF735" s="143"/>
      <c r="AG735" s="143" t="s">
        <v>2161</v>
      </c>
      <c r="AH735" s="143"/>
      <c r="AI735" s="143"/>
      <c r="AJ735" s="143" t="s">
        <v>2162</v>
      </c>
      <c r="AK735" s="143"/>
      <c r="AL735" s="143"/>
      <c r="AM735" s="143"/>
    </row>
    <row r="736" s="140" customFormat="1" ht="15" spans="1:39">
      <c r="A736" s="143">
        <v>734</v>
      </c>
      <c r="B736" s="144"/>
      <c r="C736" s="143" t="s">
        <v>193</v>
      </c>
      <c r="D736" s="143" t="s">
        <v>229</v>
      </c>
      <c r="E736" s="145"/>
      <c r="F736" s="143"/>
      <c r="G736" s="143"/>
      <c r="H736" s="172" t="s">
        <v>2476</v>
      </c>
      <c r="I736" s="143" t="s">
        <v>324</v>
      </c>
      <c r="J736" s="143" t="s">
        <v>517</v>
      </c>
      <c r="K736" s="143">
        <v>145</v>
      </c>
      <c r="L736" s="143">
        <v>210</v>
      </c>
      <c r="M736" s="143"/>
      <c r="N736" s="143"/>
      <c r="O736" s="143"/>
      <c r="P736" s="143"/>
      <c r="Q736" s="143"/>
      <c r="R736" s="143"/>
      <c r="S736" s="146"/>
      <c r="T736" s="146"/>
      <c r="U736" s="146"/>
      <c r="V736" s="147"/>
      <c r="W736" s="143" t="s">
        <v>49</v>
      </c>
      <c r="X736" s="143">
        <v>860365</v>
      </c>
      <c r="Y736" s="143" t="s">
        <v>2477</v>
      </c>
      <c r="Z736" s="143">
        <v>860365</v>
      </c>
      <c r="AA736" s="173">
        <v>19.5</v>
      </c>
      <c r="AB736" s="170">
        <v>46104</v>
      </c>
      <c r="AC736" s="143"/>
      <c r="AD736" s="143"/>
      <c r="AE736" s="143"/>
      <c r="AF736" s="143"/>
      <c r="AG736" s="143" t="s">
        <v>249</v>
      </c>
      <c r="AH736" s="143" t="s">
        <v>250</v>
      </c>
      <c r="AI736" s="143"/>
      <c r="AJ736" s="143" t="s">
        <v>251</v>
      </c>
      <c r="AK736" s="143"/>
      <c r="AL736" s="143"/>
      <c r="AM736" s="143"/>
    </row>
    <row r="737" s="140" customFormat="1" ht="15" spans="1:39">
      <c r="A737" s="143">
        <v>735</v>
      </c>
      <c r="B737" s="144"/>
      <c r="C737" s="143" t="s">
        <v>193</v>
      </c>
      <c r="D737" s="143" t="s">
        <v>229</v>
      </c>
      <c r="E737" s="145"/>
      <c r="F737" s="143"/>
      <c r="G737" s="143"/>
      <c r="H737" s="152" t="s">
        <v>2478</v>
      </c>
      <c r="I737" s="143" t="s">
        <v>2479</v>
      </c>
      <c r="J737" s="143" t="s">
        <v>2480</v>
      </c>
      <c r="K737" s="143">
        <v>145</v>
      </c>
      <c r="L737" s="143"/>
      <c r="M737" s="143"/>
      <c r="N737" s="143"/>
      <c r="O737" s="143"/>
      <c r="P737" s="143"/>
      <c r="Q737" s="143"/>
      <c r="R737" s="143"/>
      <c r="S737" s="146"/>
      <c r="T737" s="146"/>
      <c r="U737" s="146"/>
      <c r="V737" s="147"/>
      <c r="W737" s="143" t="s">
        <v>49</v>
      </c>
      <c r="X737" s="143" t="s">
        <v>2481</v>
      </c>
      <c r="Y737" s="143" t="s">
        <v>2214</v>
      </c>
      <c r="Z737" s="143" t="s">
        <v>2481</v>
      </c>
      <c r="AA737" s="143"/>
      <c r="AB737" s="170"/>
      <c r="AC737" s="143"/>
      <c r="AD737" s="143"/>
      <c r="AE737" s="143"/>
      <c r="AF737" s="143"/>
      <c r="AG737" s="143" t="s">
        <v>1396</v>
      </c>
      <c r="AH737" s="143"/>
      <c r="AI737" s="143"/>
      <c r="AJ737" s="143" t="s">
        <v>1397</v>
      </c>
      <c r="AK737" s="143"/>
      <c r="AL737" s="143"/>
      <c r="AM737" s="143"/>
    </row>
    <row r="738" s="140" customFormat="1" ht="15" spans="1:39">
      <c r="A738" s="143">
        <v>736</v>
      </c>
      <c r="B738" s="144"/>
      <c r="C738" s="143" t="s">
        <v>193</v>
      </c>
      <c r="D738" s="143" t="s">
        <v>229</v>
      </c>
      <c r="E738" s="145"/>
      <c r="F738" s="143"/>
      <c r="G738" s="143"/>
      <c r="H738" s="152" t="s">
        <v>2482</v>
      </c>
      <c r="I738" s="143" t="s">
        <v>45</v>
      </c>
      <c r="J738" s="143" t="s">
        <v>1572</v>
      </c>
      <c r="K738" s="143">
        <v>145</v>
      </c>
      <c r="L738" s="143"/>
      <c r="M738" s="143"/>
      <c r="N738" s="143"/>
      <c r="O738" s="143"/>
      <c r="P738" s="143"/>
      <c r="Q738" s="143"/>
      <c r="R738" s="143"/>
      <c r="S738" s="146"/>
      <c r="T738" s="146"/>
      <c r="U738" s="146"/>
      <c r="V738" s="147"/>
      <c r="W738" s="143" t="s">
        <v>49</v>
      </c>
      <c r="X738" s="143" t="s">
        <v>2483</v>
      </c>
      <c r="Y738" s="143" t="s">
        <v>2214</v>
      </c>
      <c r="Z738" s="143" t="s">
        <v>2483</v>
      </c>
      <c r="AA738" s="143"/>
      <c r="AB738" s="170"/>
      <c r="AC738" s="143"/>
      <c r="AD738" s="143"/>
      <c r="AE738" s="143"/>
      <c r="AF738" s="143"/>
      <c r="AG738" s="143" t="s">
        <v>1396</v>
      </c>
      <c r="AH738" s="143"/>
      <c r="AI738" s="143"/>
      <c r="AJ738" s="143" t="s">
        <v>1397</v>
      </c>
      <c r="AK738" s="143"/>
      <c r="AL738" s="143"/>
      <c r="AM738" s="143"/>
    </row>
    <row r="739" s="140" customFormat="1" ht="15" spans="1:39">
      <c r="A739" s="143">
        <v>737</v>
      </c>
      <c r="B739" s="144"/>
      <c r="C739" s="143" t="s">
        <v>193</v>
      </c>
      <c r="D739" s="143" t="s">
        <v>229</v>
      </c>
      <c r="E739" s="145"/>
      <c r="F739" s="143"/>
      <c r="G739" s="143"/>
      <c r="H739" s="152" t="s">
        <v>2484</v>
      </c>
      <c r="I739" s="143"/>
      <c r="J739" s="143"/>
      <c r="K739" s="143">
        <v>146</v>
      </c>
      <c r="L739" s="143"/>
      <c r="M739" s="143"/>
      <c r="N739" s="143"/>
      <c r="O739" s="143"/>
      <c r="P739" s="143"/>
      <c r="Q739" s="143"/>
      <c r="R739" s="143"/>
      <c r="S739" s="146"/>
      <c r="T739" s="146"/>
      <c r="U739" s="146"/>
      <c r="V739" s="147"/>
      <c r="W739" s="143" t="s">
        <v>49</v>
      </c>
      <c r="X739" s="143" t="s">
        <v>2485</v>
      </c>
      <c r="Y739" s="143" t="s">
        <v>2486</v>
      </c>
      <c r="Z739" s="143" t="s">
        <v>2485</v>
      </c>
      <c r="AA739" s="143"/>
      <c r="AB739" s="170"/>
      <c r="AC739" s="143"/>
      <c r="AD739" s="143"/>
      <c r="AE739" s="143"/>
      <c r="AF739" s="143"/>
      <c r="AG739" s="143" t="s">
        <v>2487</v>
      </c>
      <c r="AH739" s="143"/>
      <c r="AI739" s="143"/>
      <c r="AJ739" s="143" t="s">
        <v>2488</v>
      </c>
      <c r="AK739" s="143"/>
      <c r="AL739" s="143"/>
      <c r="AM739" s="143"/>
    </row>
    <row r="740" s="140" customFormat="1" ht="15" spans="1:39">
      <c r="A740" s="143">
        <v>738</v>
      </c>
      <c r="B740" s="144"/>
      <c r="C740" s="143" t="s">
        <v>193</v>
      </c>
      <c r="D740" s="143" t="s">
        <v>229</v>
      </c>
      <c r="E740" s="145"/>
      <c r="F740" s="143"/>
      <c r="G740" s="143"/>
      <c r="H740" s="152" t="s">
        <v>2489</v>
      </c>
      <c r="I740" s="143"/>
      <c r="J740" s="143"/>
      <c r="K740" s="143">
        <v>148</v>
      </c>
      <c r="L740" s="143"/>
      <c r="M740" s="143"/>
      <c r="N740" s="143"/>
      <c r="O740" s="143"/>
      <c r="P740" s="143"/>
      <c r="Q740" s="143"/>
      <c r="R740" s="143"/>
      <c r="S740" s="146"/>
      <c r="T740" s="146"/>
      <c r="U740" s="146"/>
      <c r="V740" s="147"/>
      <c r="W740" s="143" t="s">
        <v>49</v>
      </c>
      <c r="X740" s="143" t="s">
        <v>2490</v>
      </c>
      <c r="Y740" s="143" t="s">
        <v>2486</v>
      </c>
      <c r="Z740" s="143" t="s">
        <v>2490</v>
      </c>
      <c r="AA740" s="143"/>
      <c r="AB740" s="170"/>
      <c r="AC740" s="143"/>
      <c r="AD740" s="143"/>
      <c r="AE740" s="143"/>
      <c r="AF740" s="143"/>
      <c r="AG740" s="143" t="s">
        <v>2487</v>
      </c>
      <c r="AH740" s="143"/>
      <c r="AI740" s="143"/>
      <c r="AJ740" s="143" t="s">
        <v>2488</v>
      </c>
      <c r="AK740" s="143"/>
      <c r="AL740" s="143"/>
      <c r="AM740" s="143"/>
    </row>
    <row r="741" s="140" customFormat="1" ht="15" spans="1:39">
      <c r="A741" s="143">
        <v>739</v>
      </c>
      <c r="B741" s="144"/>
      <c r="C741" s="143" t="s">
        <v>193</v>
      </c>
      <c r="D741" s="143" t="s">
        <v>229</v>
      </c>
      <c r="E741" s="145"/>
      <c r="F741" s="143"/>
      <c r="G741" s="143"/>
      <c r="H741" s="152" t="s">
        <v>2491</v>
      </c>
      <c r="I741" s="143" t="s">
        <v>2041</v>
      </c>
      <c r="J741" s="143" t="s">
        <v>2042</v>
      </c>
      <c r="K741" s="143">
        <v>146</v>
      </c>
      <c r="L741" s="143">
        <v>170</v>
      </c>
      <c r="M741" s="143"/>
      <c r="N741" s="143"/>
      <c r="O741" s="143"/>
      <c r="P741" s="143"/>
      <c r="Q741" s="143"/>
      <c r="R741" s="143"/>
      <c r="S741" s="146"/>
      <c r="T741" s="146"/>
      <c r="U741" s="146"/>
      <c r="V741" s="147"/>
      <c r="W741" s="143" t="s">
        <v>49</v>
      </c>
      <c r="X741" s="143" t="s">
        <v>2492</v>
      </c>
      <c r="Y741" s="143" t="s">
        <v>2486</v>
      </c>
      <c r="Z741" s="143" t="s">
        <v>2492</v>
      </c>
      <c r="AA741" s="143">
        <v>19.3</v>
      </c>
      <c r="AB741" s="170">
        <v>45862</v>
      </c>
      <c r="AC741" s="143"/>
      <c r="AD741" s="143"/>
      <c r="AE741" s="143"/>
      <c r="AF741" s="143"/>
      <c r="AG741" s="143" t="s">
        <v>2487</v>
      </c>
      <c r="AH741" s="143" t="s">
        <v>259</v>
      </c>
      <c r="AI741" s="143"/>
      <c r="AJ741" s="143" t="s">
        <v>2488</v>
      </c>
      <c r="AK741" s="143"/>
      <c r="AL741" s="143"/>
      <c r="AM741" s="143"/>
    </row>
    <row r="742" s="140" customFormat="1" ht="15" spans="1:39">
      <c r="A742" s="143">
        <v>740</v>
      </c>
      <c r="B742" s="144"/>
      <c r="C742" s="143" t="s">
        <v>193</v>
      </c>
      <c r="D742" s="143" t="s">
        <v>229</v>
      </c>
      <c r="E742" s="145"/>
      <c r="F742" s="143"/>
      <c r="G742" s="143"/>
      <c r="H742" s="152" t="s">
        <v>2493</v>
      </c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6"/>
      <c r="T742" s="146"/>
      <c r="U742" s="146"/>
      <c r="V742" s="147"/>
      <c r="W742" s="143" t="s">
        <v>49</v>
      </c>
      <c r="X742" s="143" t="s">
        <v>2494</v>
      </c>
      <c r="Y742" s="143" t="s">
        <v>2495</v>
      </c>
      <c r="Z742" s="143" t="s">
        <v>2494</v>
      </c>
      <c r="AA742" s="143"/>
      <c r="AB742" s="170"/>
      <c r="AC742" s="143"/>
      <c r="AD742" s="143"/>
      <c r="AE742" s="143"/>
      <c r="AF742" s="143"/>
      <c r="AG742" s="143" t="s">
        <v>249</v>
      </c>
      <c r="AH742" s="143"/>
      <c r="AI742" s="143"/>
      <c r="AJ742" s="143" t="s">
        <v>251</v>
      </c>
      <c r="AK742" s="143"/>
      <c r="AL742" s="143"/>
      <c r="AM742" s="143"/>
    </row>
    <row r="743" s="140" customFormat="1" ht="15" spans="1:39">
      <c r="A743" s="143">
        <v>741</v>
      </c>
      <c r="B743" s="144"/>
      <c r="C743" s="143" t="s">
        <v>193</v>
      </c>
      <c r="D743" s="143" t="s">
        <v>229</v>
      </c>
      <c r="E743" s="145"/>
      <c r="F743" s="143"/>
      <c r="G743" s="143"/>
      <c r="H743" s="152" t="s">
        <v>2496</v>
      </c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6"/>
      <c r="T743" s="146"/>
      <c r="U743" s="146"/>
      <c r="V743" s="147"/>
      <c r="W743" s="143" t="s">
        <v>49</v>
      </c>
      <c r="X743" s="143" t="s">
        <v>2497</v>
      </c>
      <c r="Y743" s="143" t="s">
        <v>2495</v>
      </c>
      <c r="Z743" s="143" t="s">
        <v>2497</v>
      </c>
      <c r="AA743" s="143"/>
      <c r="AB743" s="170"/>
      <c r="AC743" s="143"/>
      <c r="AD743" s="143"/>
      <c r="AE743" s="143"/>
      <c r="AF743" s="143"/>
      <c r="AG743" s="143" t="s">
        <v>249</v>
      </c>
      <c r="AH743" s="143"/>
      <c r="AI743" s="143"/>
      <c r="AJ743" s="143" t="s">
        <v>251</v>
      </c>
      <c r="AK743" s="143"/>
      <c r="AL743" s="143"/>
      <c r="AM743" s="143"/>
    </row>
    <row r="744" s="140" customFormat="1" ht="15" spans="1:39">
      <c r="A744" s="143">
        <v>742</v>
      </c>
      <c r="B744" s="144"/>
      <c r="C744" s="143" t="s">
        <v>193</v>
      </c>
      <c r="D744" s="143" t="s">
        <v>229</v>
      </c>
      <c r="E744" s="145"/>
      <c r="F744" s="143"/>
      <c r="G744" s="143"/>
      <c r="H744" s="152" t="s">
        <v>2498</v>
      </c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6"/>
      <c r="T744" s="146"/>
      <c r="U744" s="146"/>
      <c r="V744" s="147"/>
      <c r="W744" s="143" t="s">
        <v>49</v>
      </c>
      <c r="X744" s="143" t="s">
        <v>2499</v>
      </c>
      <c r="Y744" s="143" t="s">
        <v>2495</v>
      </c>
      <c r="Z744" s="143" t="s">
        <v>2499</v>
      </c>
      <c r="AA744" s="143"/>
      <c r="AB744" s="170"/>
      <c r="AC744" s="143"/>
      <c r="AD744" s="143"/>
      <c r="AE744" s="143"/>
      <c r="AF744" s="143"/>
      <c r="AG744" s="143" t="s">
        <v>506</v>
      </c>
      <c r="AH744" s="143"/>
      <c r="AI744" s="143"/>
      <c r="AJ744" s="143" t="s">
        <v>508</v>
      </c>
      <c r="AK744" s="143"/>
      <c r="AL744" s="143"/>
      <c r="AM744" s="143"/>
    </row>
    <row r="745" s="140" customFormat="1" ht="15" spans="1:39">
      <c r="A745" s="143">
        <v>743</v>
      </c>
      <c r="B745" s="144"/>
      <c r="C745" s="143" t="s">
        <v>193</v>
      </c>
      <c r="D745" s="143" t="s">
        <v>229</v>
      </c>
      <c r="E745" s="145"/>
      <c r="F745" s="143"/>
      <c r="G745" s="143"/>
      <c r="H745" s="152" t="s">
        <v>2500</v>
      </c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6"/>
      <c r="T745" s="146"/>
      <c r="U745" s="146"/>
      <c r="V745" s="147"/>
      <c r="W745" s="143" t="s">
        <v>49</v>
      </c>
      <c r="X745" s="143" t="s">
        <v>2501</v>
      </c>
      <c r="Y745" s="143" t="s">
        <v>2495</v>
      </c>
      <c r="Z745" s="143" t="s">
        <v>2501</v>
      </c>
      <c r="AA745" s="143"/>
      <c r="AB745" s="170"/>
      <c r="AC745" s="143"/>
      <c r="AD745" s="143"/>
      <c r="AE745" s="143"/>
      <c r="AF745" s="143"/>
      <c r="AG745" s="143" t="s">
        <v>506</v>
      </c>
      <c r="AH745" s="143"/>
      <c r="AI745" s="143"/>
      <c r="AJ745" s="143" t="s">
        <v>508</v>
      </c>
      <c r="AK745" s="143"/>
      <c r="AL745" s="143"/>
      <c r="AM745" s="143"/>
    </row>
    <row r="746" s="140" customFormat="1" ht="15" spans="1:39">
      <c r="A746" s="143">
        <v>744</v>
      </c>
      <c r="B746" s="144">
        <v>45846</v>
      </c>
      <c r="C746" s="143" t="s">
        <v>40</v>
      </c>
      <c r="D746" s="143" t="s">
        <v>2338</v>
      </c>
      <c r="E746" s="145"/>
      <c r="F746" s="143" t="s">
        <v>2502</v>
      </c>
      <c r="G746" s="143"/>
      <c r="H746" s="152" t="s">
        <v>2503</v>
      </c>
      <c r="I746" s="143" t="s">
        <v>330</v>
      </c>
      <c r="J746" s="143" t="s">
        <v>330</v>
      </c>
      <c r="K746" s="143">
        <v>150</v>
      </c>
      <c r="L746" s="143">
        <v>63</v>
      </c>
      <c r="M746" s="143"/>
      <c r="N746" s="143"/>
      <c r="O746" s="143"/>
      <c r="P746" s="143"/>
      <c r="Q746" s="143" t="s">
        <v>2504</v>
      </c>
      <c r="R746" s="143"/>
      <c r="S746" s="146"/>
      <c r="T746" s="146"/>
      <c r="U746" s="146"/>
      <c r="V746" s="147"/>
      <c r="W746" s="143" t="s">
        <v>49</v>
      </c>
      <c r="X746" s="143" t="s">
        <v>2505</v>
      </c>
      <c r="Y746" s="143" t="s">
        <v>2506</v>
      </c>
      <c r="Z746" s="143" t="s">
        <v>2505</v>
      </c>
      <c r="AA746" s="143">
        <v>4.5</v>
      </c>
      <c r="AB746" s="170"/>
      <c r="AC746" s="143"/>
      <c r="AD746" s="143"/>
      <c r="AE746" s="143"/>
      <c r="AF746" s="143"/>
      <c r="AG746" s="143"/>
      <c r="AH746" s="143"/>
      <c r="AI746" s="143"/>
      <c r="AJ746" s="143"/>
      <c r="AK746" s="143"/>
      <c r="AL746" s="143"/>
      <c r="AM746" s="143"/>
    </row>
    <row r="747" s="140" customFormat="1" ht="15" spans="1:39">
      <c r="A747" s="143">
        <v>745</v>
      </c>
      <c r="B747" s="144">
        <v>45846</v>
      </c>
      <c r="C747" s="143" t="s">
        <v>40</v>
      </c>
      <c r="D747" s="143" t="s">
        <v>2338</v>
      </c>
      <c r="E747" s="145"/>
      <c r="F747" s="143" t="s">
        <v>2502</v>
      </c>
      <c r="G747" s="143"/>
      <c r="H747" s="152" t="s">
        <v>2507</v>
      </c>
      <c r="I747" s="143" t="s">
        <v>330</v>
      </c>
      <c r="J747" s="143" t="s">
        <v>330</v>
      </c>
      <c r="K747" s="143">
        <v>148</v>
      </c>
      <c r="L747" s="143">
        <v>56</v>
      </c>
      <c r="M747" s="143"/>
      <c r="N747" s="143"/>
      <c r="O747" s="143"/>
      <c r="P747" s="143"/>
      <c r="Q747" s="143" t="s">
        <v>2504</v>
      </c>
      <c r="R747" s="143"/>
      <c r="S747" s="146"/>
      <c r="T747" s="146"/>
      <c r="U747" s="146"/>
      <c r="V747" s="147"/>
      <c r="W747" s="143" t="s">
        <v>49</v>
      </c>
      <c r="X747" s="143" t="s">
        <v>2508</v>
      </c>
      <c r="Y747" s="143" t="s">
        <v>2506</v>
      </c>
      <c r="Z747" s="143" t="s">
        <v>2508</v>
      </c>
      <c r="AA747" s="143">
        <v>5.3</v>
      </c>
      <c r="AB747" s="170"/>
      <c r="AC747" s="143"/>
      <c r="AD747" s="143"/>
      <c r="AE747" s="143"/>
      <c r="AF747" s="143"/>
      <c r="AG747" s="143"/>
      <c r="AH747" s="143"/>
      <c r="AI747" s="143"/>
      <c r="AJ747" s="143"/>
      <c r="AK747" s="143"/>
      <c r="AL747" s="143"/>
      <c r="AM747" s="143"/>
    </row>
    <row r="748" s="140" customFormat="1" ht="15" spans="1:39">
      <c r="A748" s="143">
        <v>746</v>
      </c>
      <c r="B748" s="144">
        <v>45846</v>
      </c>
      <c r="C748" s="143" t="s">
        <v>40</v>
      </c>
      <c r="D748" s="143" t="s">
        <v>2338</v>
      </c>
      <c r="E748" s="145"/>
      <c r="F748" s="143" t="s">
        <v>2502</v>
      </c>
      <c r="G748" s="143"/>
      <c r="H748" s="152" t="s">
        <v>2509</v>
      </c>
      <c r="I748" s="143" t="s">
        <v>330</v>
      </c>
      <c r="J748" s="143" t="s">
        <v>330</v>
      </c>
      <c r="K748" s="143">
        <v>150</v>
      </c>
      <c r="L748" s="143">
        <v>60</v>
      </c>
      <c r="M748" s="143"/>
      <c r="N748" s="143"/>
      <c r="O748" s="143"/>
      <c r="P748" s="143"/>
      <c r="Q748" s="143" t="s">
        <v>2510</v>
      </c>
      <c r="R748" s="143"/>
      <c r="S748" s="146"/>
      <c r="T748" s="146"/>
      <c r="U748" s="146"/>
      <c r="V748" s="147"/>
      <c r="W748" s="143" t="s">
        <v>49</v>
      </c>
      <c r="X748" s="143">
        <v>6850</v>
      </c>
      <c r="Y748" s="143" t="s">
        <v>2511</v>
      </c>
      <c r="Z748" s="143">
        <v>6850</v>
      </c>
      <c r="AA748" s="143">
        <v>4</v>
      </c>
      <c r="AB748" s="170"/>
      <c r="AC748" s="143"/>
      <c r="AD748" s="143"/>
      <c r="AE748" s="143"/>
      <c r="AF748" s="143"/>
      <c r="AG748" s="143"/>
      <c r="AH748" s="143"/>
      <c r="AI748" s="143"/>
      <c r="AJ748" s="143"/>
      <c r="AK748" s="143"/>
      <c r="AL748" s="143"/>
      <c r="AM748" s="143"/>
    </row>
    <row r="749" s="140" customFormat="1" ht="15" spans="1:39">
      <c r="A749" s="143">
        <v>747</v>
      </c>
      <c r="B749" s="144">
        <v>45846</v>
      </c>
      <c r="C749" s="143" t="s">
        <v>40</v>
      </c>
      <c r="D749" s="143" t="s">
        <v>2338</v>
      </c>
      <c r="E749" s="145"/>
      <c r="F749" s="143" t="s">
        <v>2502</v>
      </c>
      <c r="G749" s="143"/>
      <c r="H749" s="152" t="s">
        <v>2512</v>
      </c>
      <c r="I749" s="143" t="s">
        <v>330</v>
      </c>
      <c r="J749" s="143" t="s">
        <v>330</v>
      </c>
      <c r="K749" s="143">
        <v>150</v>
      </c>
      <c r="L749" s="143">
        <v>55</v>
      </c>
      <c r="M749" s="143"/>
      <c r="N749" s="143"/>
      <c r="O749" s="143"/>
      <c r="P749" s="143"/>
      <c r="Q749" s="143" t="s">
        <v>2510</v>
      </c>
      <c r="R749" s="143"/>
      <c r="S749" s="146"/>
      <c r="T749" s="146"/>
      <c r="U749" s="146"/>
      <c r="V749" s="147"/>
      <c r="W749" s="143" t="s">
        <v>49</v>
      </c>
      <c r="X749" s="143" t="s">
        <v>2513</v>
      </c>
      <c r="Y749" s="143" t="s">
        <v>2511</v>
      </c>
      <c r="Z749" s="143" t="s">
        <v>2513</v>
      </c>
      <c r="AA749" s="143">
        <v>3.5</v>
      </c>
      <c r="AB749" s="170"/>
      <c r="AC749" s="143"/>
      <c r="AD749" s="143"/>
      <c r="AE749" s="143"/>
      <c r="AF749" s="143"/>
      <c r="AG749" s="143"/>
      <c r="AH749" s="143"/>
      <c r="AI749" s="143"/>
      <c r="AJ749" s="143"/>
      <c r="AK749" s="143"/>
      <c r="AL749" s="143"/>
      <c r="AM749" s="143"/>
    </row>
    <row r="750" s="140" customFormat="1" ht="15" spans="1:39">
      <c r="A750" s="143">
        <v>748</v>
      </c>
      <c r="B750" s="144">
        <v>45846</v>
      </c>
      <c r="C750" s="143" t="s">
        <v>40</v>
      </c>
      <c r="D750" s="143" t="s">
        <v>2338</v>
      </c>
      <c r="E750" s="145"/>
      <c r="F750" s="143" t="s">
        <v>2502</v>
      </c>
      <c r="G750" s="143"/>
      <c r="H750" s="152" t="s">
        <v>2514</v>
      </c>
      <c r="I750" s="143" t="s">
        <v>2515</v>
      </c>
      <c r="J750" s="143" t="s">
        <v>2515</v>
      </c>
      <c r="K750" s="143">
        <v>147</v>
      </c>
      <c r="L750" s="143">
        <v>86</v>
      </c>
      <c r="M750" s="143"/>
      <c r="N750" s="143"/>
      <c r="O750" s="143"/>
      <c r="P750" s="143"/>
      <c r="Q750" s="143"/>
      <c r="R750" s="143"/>
      <c r="S750" s="146"/>
      <c r="T750" s="146"/>
      <c r="U750" s="146"/>
      <c r="V750" s="147"/>
      <c r="W750" s="143" t="s">
        <v>49</v>
      </c>
      <c r="X750" s="143" t="s">
        <v>2516</v>
      </c>
      <c r="Y750" s="143" t="s">
        <v>2506</v>
      </c>
      <c r="Z750" s="143" t="s">
        <v>2516</v>
      </c>
      <c r="AA750" s="143">
        <v>11.5</v>
      </c>
      <c r="AB750" s="170"/>
      <c r="AC750" s="143"/>
      <c r="AD750" s="143"/>
      <c r="AE750" s="143"/>
      <c r="AF750" s="143"/>
      <c r="AG750" s="143"/>
      <c r="AH750" s="143"/>
      <c r="AI750" s="143"/>
      <c r="AJ750" s="143"/>
      <c r="AK750" s="143"/>
      <c r="AL750" s="143"/>
      <c r="AM750" s="143"/>
    </row>
    <row r="751" s="140" customFormat="1" ht="15" spans="1:39">
      <c r="A751" s="143">
        <v>749</v>
      </c>
      <c r="B751" s="144">
        <v>45846</v>
      </c>
      <c r="C751" s="143" t="s">
        <v>40</v>
      </c>
      <c r="D751" s="143" t="s">
        <v>2338</v>
      </c>
      <c r="E751" s="145"/>
      <c r="F751" s="143" t="s">
        <v>2502</v>
      </c>
      <c r="G751" s="143"/>
      <c r="H751" s="152" t="s">
        <v>2517</v>
      </c>
      <c r="I751" s="143" t="s">
        <v>2518</v>
      </c>
      <c r="J751" s="143" t="s">
        <v>2518</v>
      </c>
      <c r="K751" s="143">
        <v>147</v>
      </c>
      <c r="L751" s="143">
        <v>99</v>
      </c>
      <c r="M751" s="143"/>
      <c r="N751" s="143"/>
      <c r="O751" s="143"/>
      <c r="P751" s="143"/>
      <c r="Q751" s="143"/>
      <c r="R751" s="143"/>
      <c r="S751" s="146"/>
      <c r="T751" s="146"/>
      <c r="U751" s="146"/>
      <c r="V751" s="147"/>
      <c r="W751" s="143" t="s">
        <v>49</v>
      </c>
      <c r="X751" s="143" t="s">
        <v>2519</v>
      </c>
      <c r="Y751" s="143" t="s">
        <v>2506</v>
      </c>
      <c r="Z751" s="143" t="s">
        <v>2519</v>
      </c>
      <c r="AA751" s="143">
        <v>11.5</v>
      </c>
      <c r="AB751" s="170"/>
      <c r="AC751" s="143"/>
      <c r="AD751" s="143"/>
      <c r="AE751" s="143"/>
      <c r="AF751" s="143"/>
      <c r="AG751" s="143"/>
      <c r="AH751" s="143"/>
      <c r="AI751" s="143"/>
      <c r="AJ751" s="143"/>
      <c r="AK751" s="143"/>
      <c r="AL751" s="143"/>
      <c r="AM751" s="143"/>
    </row>
    <row r="752" s="140" customFormat="1" ht="15" spans="1:39">
      <c r="A752" s="143">
        <v>750</v>
      </c>
      <c r="B752" s="144">
        <v>45846</v>
      </c>
      <c r="C752" s="143" t="s">
        <v>40</v>
      </c>
      <c r="D752" s="143" t="s">
        <v>2338</v>
      </c>
      <c r="E752" s="145"/>
      <c r="F752" s="143" t="s">
        <v>2502</v>
      </c>
      <c r="G752" s="143"/>
      <c r="H752" s="152" t="s">
        <v>2520</v>
      </c>
      <c r="I752" s="143" t="s">
        <v>2521</v>
      </c>
      <c r="J752" s="143" t="s">
        <v>2521</v>
      </c>
      <c r="K752" s="143">
        <v>142</v>
      </c>
      <c r="L752" s="143">
        <v>68</v>
      </c>
      <c r="M752" s="143"/>
      <c r="N752" s="143"/>
      <c r="O752" s="143"/>
      <c r="P752" s="143"/>
      <c r="Q752" s="143" t="s">
        <v>2504</v>
      </c>
      <c r="R752" s="143"/>
      <c r="S752" s="146"/>
      <c r="T752" s="146"/>
      <c r="U752" s="146"/>
      <c r="V752" s="147"/>
      <c r="W752" s="143" t="s">
        <v>49</v>
      </c>
      <c r="X752" s="143" t="s">
        <v>2522</v>
      </c>
      <c r="Y752" s="143" t="s">
        <v>2523</v>
      </c>
      <c r="Z752" s="143" t="s">
        <v>2522</v>
      </c>
      <c r="AA752" s="143">
        <v>7.8</v>
      </c>
      <c r="AB752" s="170"/>
      <c r="AC752" s="143"/>
      <c r="AD752" s="143"/>
      <c r="AE752" s="143"/>
      <c r="AF752" s="143"/>
      <c r="AG752" s="143"/>
      <c r="AH752" s="143"/>
      <c r="AI752" s="143"/>
      <c r="AJ752" s="143"/>
      <c r="AK752" s="143"/>
      <c r="AL752" s="143"/>
      <c r="AM752" s="143"/>
    </row>
    <row r="753" s="140" customFormat="1" ht="15" spans="1:39">
      <c r="A753" s="143">
        <v>751</v>
      </c>
      <c r="B753" s="144">
        <v>45846</v>
      </c>
      <c r="C753" s="143" t="s">
        <v>40</v>
      </c>
      <c r="D753" s="143" t="s">
        <v>2338</v>
      </c>
      <c r="E753" s="145"/>
      <c r="F753" s="143" t="s">
        <v>2502</v>
      </c>
      <c r="G753" s="143"/>
      <c r="H753" s="152" t="s">
        <v>2524</v>
      </c>
      <c r="I753" s="143" t="s">
        <v>2525</v>
      </c>
      <c r="J753" s="143" t="s">
        <v>2525</v>
      </c>
      <c r="K753" s="143">
        <v>145</v>
      </c>
      <c r="L753" s="143">
        <v>75</v>
      </c>
      <c r="M753" s="143"/>
      <c r="N753" s="143"/>
      <c r="O753" s="143"/>
      <c r="P753" s="143"/>
      <c r="Q753" s="143"/>
      <c r="R753" s="143"/>
      <c r="S753" s="146"/>
      <c r="T753" s="146"/>
      <c r="U753" s="146"/>
      <c r="V753" s="147"/>
      <c r="W753" s="143" t="s">
        <v>49</v>
      </c>
      <c r="X753" s="143" t="s">
        <v>2526</v>
      </c>
      <c r="Y753" s="143" t="s">
        <v>2506</v>
      </c>
      <c r="Z753" s="143" t="s">
        <v>2526</v>
      </c>
      <c r="AA753" s="143">
        <v>7.8</v>
      </c>
      <c r="AB753" s="170"/>
      <c r="AC753" s="143"/>
      <c r="AD753" s="143"/>
      <c r="AE753" s="143"/>
      <c r="AF753" s="143"/>
      <c r="AG753" s="143"/>
      <c r="AH753" s="143"/>
      <c r="AI753" s="143"/>
      <c r="AJ753" s="143"/>
      <c r="AK753" s="143"/>
      <c r="AL753" s="143"/>
      <c r="AM753" s="143"/>
    </row>
    <row r="754" s="140" customFormat="1" ht="15" spans="1:39">
      <c r="A754" s="143">
        <v>752</v>
      </c>
      <c r="B754" s="144">
        <v>45846</v>
      </c>
      <c r="C754" s="143" t="s">
        <v>40</v>
      </c>
      <c r="D754" s="143" t="s">
        <v>2338</v>
      </c>
      <c r="E754" s="145"/>
      <c r="F754" s="143" t="s">
        <v>2502</v>
      </c>
      <c r="G754" s="143"/>
      <c r="H754" s="152" t="s">
        <v>2527</v>
      </c>
      <c r="I754" s="143" t="s">
        <v>2528</v>
      </c>
      <c r="J754" s="143" t="s">
        <v>2528</v>
      </c>
      <c r="K754" s="143">
        <v>146</v>
      </c>
      <c r="L754" s="143">
        <v>103</v>
      </c>
      <c r="M754" s="143"/>
      <c r="N754" s="143"/>
      <c r="O754" s="143"/>
      <c r="P754" s="143"/>
      <c r="Q754" s="143" t="s">
        <v>2529</v>
      </c>
      <c r="R754" s="143"/>
      <c r="S754" s="146"/>
      <c r="T754" s="146"/>
      <c r="U754" s="146"/>
      <c r="V754" s="147"/>
      <c r="W754" s="143" t="s">
        <v>49</v>
      </c>
      <c r="X754" s="143" t="s">
        <v>2530</v>
      </c>
      <c r="Y754" s="143" t="s">
        <v>2506</v>
      </c>
      <c r="Z754" s="143" t="s">
        <v>2530</v>
      </c>
      <c r="AA754" s="143">
        <v>6.5</v>
      </c>
      <c r="AB754" s="170"/>
      <c r="AC754" s="143"/>
      <c r="AD754" s="143"/>
      <c r="AE754" s="143"/>
      <c r="AF754" s="143"/>
      <c r="AG754" s="143"/>
      <c r="AH754" s="143"/>
      <c r="AI754" s="143"/>
      <c r="AJ754" s="143"/>
      <c r="AK754" s="143"/>
      <c r="AL754" s="143"/>
      <c r="AM754" s="143"/>
    </row>
    <row r="755" s="140" customFormat="1" ht="15" spans="1:39">
      <c r="A755" s="143">
        <v>753</v>
      </c>
      <c r="B755" s="144">
        <v>45846</v>
      </c>
      <c r="C755" s="143" t="s">
        <v>40</v>
      </c>
      <c r="D755" s="143" t="s">
        <v>2338</v>
      </c>
      <c r="E755" s="145"/>
      <c r="F755" s="143" t="s">
        <v>2502</v>
      </c>
      <c r="G755" s="143"/>
      <c r="H755" s="152" t="s">
        <v>2531</v>
      </c>
      <c r="I755" s="143" t="s">
        <v>2528</v>
      </c>
      <c r="J755" s="143" t="s">
        <v>2528</v>
      </c>
      <c r="K755" s="143">
        <v>146</v>
      </c>
      <c r="L755" s="143">
        <v>94</v>
      </c>
      <c r="M755" s="143"/>
      <c r="N755" s="143"/>
      <c r="O755" s="143"/>
      <c r="P755" s="143"/>
      <c r="Q755" s="143" t="s">
        <v>2532</v>
      </c>
      <c r="R755" s="143"/>
      <c r="S755" s="146"/>
      <c r="T755" s="146"/>
      <c r="U755" s="146"/>
      <c r="V755" s="147"/>
      <c r="W755" s="143" t="s">
        <v>49</v>
      </c>
      <c r="X755" s="143" t="s">
        <v>2533</v>
      </c>
      <c r="Y755" s="143" t="s">
        <v>2506</v>
      </c>
      <c r="Z755" s="143" t="s">
        <v>2533</v>
      </c>
      <c r="AA755" s="143">
        <v>5.8</v>
      </c>
      <c r="AB755" s="170"/>
      <c r="AC755" s="143"/>
      <c r="AD755" s="143"/>
      <c r="AE755" s="143"/>
      <c r="AF755" s="143"/>
      <c r="AG755" s="143"/>
      <c r="AH755" s="143"/>
      <c r="AI755" s="143"/>
      <c r="AJ755" s="143"/>
      <c r="AK755" s="143"/>
      <c r="AL755" s="143"/>
      <c r="AM755" s="143"/>
    </row>
    <row r="756" s="140" customFormat="1" ht="15" spans="1:39">
      <c r="A756" s="143">
        <v>754</v>
      </c>
      <c r="B756" s="144">
        <v>45846</v>
      </c>
      <c r="C756" s="143" t="s">
        <v>40</v>
      </c>
      <c r="D756" s="143" t="s">
        <v>2338</v>
      </c>
      <c r="E756" s="145"/>
      <c r="F756" s="143" t="s">
        <v>2502</v>
      </c>
      <c r="G756" s="143"/>
      <c r="H756" s="152" t="s">
        <v>2534</v>
      </c>
      <c r="I756" s="143" t="s">
        <v>749</v>
      </c>
      <c r="J756" s="143" t="s">
        <v>749</v>
      </c>
      <c r="K756" s="143">
        <v>150</v>
      </c>
      <c r="L756" s="143">
        <v>110</v>
      </c>
      <c r="M756" s="143"/>
      <c r="N756" s="143"/>
      <c r="O756" s="143"/>
      <c r="P756" s="143"/>
      <c r="Q756" s="143"/>
      <c r="R756" s="143"/>
      <c r="S756" s="146"/>
      <c r="T756" s="146"/>
      <c r="U756" s="146"/>
      <c r="V756" s="147"/>
      <c r="W756" s="143" t="s">
        <v>2535</v>
      </c>
      <c r="X756" s="143" t="s">
        <v>2536</v>
      </c>
      <c r="Y756" s="143" t="s">
        <v>2535</v>
      </c>
      <c r="Z756" s="143" t="s">
        <v>2536</v>
      </c>
      <c r="AA756" s="143">
        <v>9.5</v>
      </c>
      <c r="AB756" s="170"/>
      <c r="AC756" s="143"/>
      <c r="AD756" s="143"/>
      <c r="AE756" s="143"/>
      <c r="AF756" s="143"/>
      <c r="AG756" s="143"/>
      <c r="AH756" s="143"/>
      <c r="AI756" s="143"/>
      <c r="AJ756" s="143"/>
      <c r="AK756" s="143"/>
      <c r="AL756" s="143"/>
      <c r="AM756" s="143"/>
    </row>
    <row r="757" s="140" customFormat="1" ht="15" spans="1:39">
      <c r="A757" s="143">
        <v>755</v>
      </c>
      <c r="B757" s="144">
        <v>45846</v>
      </c>
      <c r="C757" s="143" t="s">
        <v>40</v>
      </c>
      <c r="D757" s="143" t="s">
        <v>2338</v>
      </c>
      <c r="E757" s="145"/>
      <c r="F757" s="143" t="s">
        <v>2502</v>
      </c>
      <c r="G757" s="143"/>
      <c r="H757" s="152" t="s">
        <v>2537</v>
      </c>
      <c r="I757" s="143" t="s">
        <v>2528</v>
      </c>
      <c r="J757" s="143" t="s">
        <v>2528</v>
      </c>
      <c r="K757" s="143">
        <v>150</v>
      </c>
      <c r="L757" s="143">
        <v>160</v>
      </c>
      <c r="M757" s="143"/>
      <c r="N757" s="143"/>
      <c r="O757" s="143"/>
      <c r="P757" s="143"/>
      <c r="Q757" s="143" t="s">
        <v>2538</v>
      </c>
      <c r="R757" s="143"/>
      <c r="S757" s="146"/>
      <c r="T757" s="146"/>
      <c r="U757" s="146"/>
      <c r="V757" s="147"/>
      <c r="W757" s="143" t="s">
        <v>2535</v>
      </c>
      <c r="X757" s="143" t="s">
        <v>2539</v>
      </c>
      <c r="Y757" s="143" t="s">
        <v>2535</v>
      </c>
      <c r="Z757" s="143" t="s">
        <v>2539</v>
      </c>
      <c r="AA757" s="143">
        <v>7.3</v>
      </c>
      <c r="AB757" s="170"/>
      <c r="AC757" s="143"/>
      <c r="AD757" s="143"/>
      <c r="AE757" s="143"/>
      <c r="AF757" s="143"/>
      <c r="AG757" s="143"/>
      <c r="AH757" s="143"/>
      <c r="AI757" s="143"/>
      <c r="AJ757" s="143"/>
      <c r="AK757" s="143"/>
      <c r="AL757" s="143"/>
      <c r="AM757" s="143"/>
    </row>
    <row r="758" s="140" customFormat="1" ht="15" spans="1:39">
      <c r="A758" s="143">
        <v>756</v>
      </c>
      <c r="B758" s="144">
        <v>45846</v>
      </c>
      <c r="C758" s="143" t="s">
        <v>40</v>
      </c>
      <c r="D758" s="143" t="s">
        <v>2338</v>
      </c>
      <c r="E758" s="145"/>
      <c r="F758" s="143" t="s">
        <v>2502</v>
      </c>
      <c r="G758" s="143"/>
      <c r="H758" s="152" t="s">
        <v>2540</v>
      </c>
      <c r="I758" s="143" t="s">
        <v>2528</v>
      </c>
      <c r="J758" s="143" t="s">
        <v>2528</v>
      </c>
      <c r="K758" s="143">
        <v>150</v>
      </c>
      <c r="L758" s="143">
        <v>120</v>
      </c>
      <c r="M758" s="143"/>
      <c r="N758" s="143"/>
      <c r="O758" s="143"/>
      <c r="P758" s="143"/>
      <c r="Q758" s="143" t="s">
        <v>2529</v>
      </c>
      <c r="R758" s="143"/>
      <c r="S758" s="146"/>
      <c r="T758" s="146"/>
      <c r="U758" s="146"/>
      <c r="V758" s="147"/>
      <c r="W758" s="143" t="s">
        <v>2535</v>
      </c>
      <c r="X758" s="143" t="s">
        <v>2541</v>
      </c>
      <c r="Y758" s="143" t="s">
        <v>2535</v>
      </c>
      <c r="Z758" s="143" t="s">
        <v>2541</v>
      </c>
      <c r="AA758" s="143">
        <v>6.2</v>
      </c>
      <c r="AB758" s="170"/>
      <c r="AC758" s="143"/>
      <c r="AD758" s="143"/>
      <c r="AE758" s="143"/>
      <c r="AF758" s="143"/>
      <c r="AG758" s="143"/>
      <c r="AH758" s="143"/>
      <c r="AI758" s="143"/>
      <c r="AJ758" s="143"/>
      <c r="AK758" s="143"/>
      <c r="AL758" s="143"/>
      <c r="AM758" s="143"/>
    </row>
    <row r="759" s="140" customFormat="1" ht="15" spans="1:39">
      <c r="A759" s="143">
        <v>757</v>
      </c>
      <c r="B759" s="144">
        <v>45846</v>
      </c>
      <c r="C759" s="143" t="s">
        <v>40</v>
      </c>
      <c r="D759" s="143" t="s">
        <v>2338</v>
      </c>
      <c r="E759" s="145"/>
      <c r="F759" s="143" t="s">
        <v>2502</v>
      </c>
      <c r="G759" s="143"/>
      <c r="H759" s="152" t="s">
        <v>2542</v>
      </c>
      <c r="I759" s="143" t="s">
        <v>2528</v>
      </c>
      <c r="J759" s="143" t="s">
        <v>2528</v>
      </c>
      <c r="K759" s="143">
        <v>150</v>
      </c>
      <c r="L759" s="143" t="s">
        <v>2543</v>
      </c>
      <c r="M759" s="143"/>
      <c r="N759" s="143"/>
      <c r="O759" s="143"/>
      <c r="P759" s="143"/>
      <c r="Q759" s="143" t="s">
        <v>2544</v>
      </c>
      <c r="R759" s="143"/>
      <c r="S759" s="146"/>
      <c r="T759" s="146"/>
      <c r="U759" s="146"/>
      <c r="V759" s="147"/>
      <c r="W759" s="143" t="s">
        <v>2535</v>
      </c>
      <c r="X759" s="143" t="s">
        <v>2545</v>
      </c>
      <c r="Y759" s="143" t="s">
        <v>2535</v>
      </c>
      <c r="Z759" s="143" t="s">
        <v>2545</v>
      </c>
      <c r="AA759" s="143">
        <v>5.5</v>
      </c>
      <c r="AB759" s="170"/>
      <c r="AC759" s="143"/>
      <c r="AD759" s="143"/>
      <c r="AE759" s="143"/>
      <c r="AF759" s="143"/>
      <c r="AG759" s="143"/>
      <c r="AH759" s="143"/>
      <c r="AI759" s="143"/>
      <c r="AJ759" s="143"/>
      <c r="AK759" s="143"/>
      <c r="AL759" s="143"/>
      <c r="AM759" s="143"/>
    </row>
    <row r="760" s="140" customFormat="1" ht="15" spans="1:39">
      <c r="A760" s="143">
        <v>758</v>
      </c>
      <c r="B760" s="144">
        <v>45846</v>
      </c>
      <c r="C760" s="143" t="s">
        <v>40</v>
      </c>
      <c r="D760" s="143" t="s">
        <v>2338</v>
      </c>
      <c r="E760" s="145"/>
      <c r="F760" s="143" t="s">
        <v>2502</v>
      </c>
      <c r="G760" s="143"/>
      <c r="H760" s="152" t="s">
        <v>2546</v>
      </c>
      <c r="I760" s="143" t="s">
        <v>749</v>
      </c>
      <c r="J760" s="143" t="s">
        <v>749</v>
      </c>
      <c r="K760" s="143">
        <v>150</v>
      </c>
      <c r="L760" s="143">
        <v>200</v>
      </c>
      <c r="M760" s="143"/>
      <c r="N760" s="143"/>
      <c r="O760" s="143"/>
      <c r="P760" s="143"/>
      <c r="Q760" s="143"/>
      <c r="R760" s="143"/>
      <c r="S760" s="146"/>
      <c r="T760" s="146"/>
      <c r="U760" s="146"/>
      <c r="V760" s="147"/>
      <c r="W760" s="143" t="s">
        <v>2535</v>
      </c>
      <c r="X760" s="143">
        <v>5007</v>
      </c>
      <c r="Y760" s="143" t="s">
        <v>2535</v>
      </c>
      <c r="Z760" s="143">
        <v>5007</v>
      </c>
      <c r="AA760" s="143">
        <v>9.5</v>
      </c>
      <c r="AB760" s="170"/>
      <c r="AC760" s="143"/>
      <c r="AD760" s="143"/>
      <c r="AE760" s="143"/>
      <c r="AF760" s="143"/>
      <c r="AG760" s="143"/>
      <c r="AH760" s="143"/>
      <c r="AI760" s="143"/>
      <c r="AJ760" s="143"/>
      <c r="AK760" s="143"/>
      <c r="AL760" s="143"/>
      <c r="AM760" s="143"/>
    </row>
    <row r="761" s="140" customFormat="1" ht="15" spans="1:39">
      <c r="A761" s="143">
        <v>759</v>
      </c>
      <c r="B761" s="144">
        <v>45846</v>
      </c>
      <c r="C761" s="143" t="s">
        <v>40</v>
      </c>
      <c r="D761" s="143" t="s">
        <v>2338</v>
      </c>
      <c r="E761" s="145"/>
      <c r="F761" s="143" t="s">
        <v>2502</v>
      </c>
      <c r="G761" s="143"/>
      <c r="H761" s="152" t="s">
        <v>2547</v>
      </c>
      <c r="I761" s="143" t="s">
        <v>2528</v>
      </c>
      <c r="J761" s="143" t="s">
        <v>2528</v>
      </c>
      <c r="K761" s="143">
        <v>150</v>
      </c>
      <c r="L761" s="143">
        <v>120</v>
      </c>
      <c r="M761" s="143"/>
      <c r="N761" s="143"/>
      <c r="O761" s="143"/>
      <c r="P761" s="143"/>
      <c r="Q761" s="143" t="s">
        <v>2548</v>
      </c>
      <c r="R761" s="143"/>
      <c r="S761" s="146"/>
      <c r="T761" s="146"/>
      <c r="U761" s="146"/>
      <c r="V761" s="147"/>
      <c r="W761" s="143" t="s">
        <v>2535</v>
      </c>
      <c r="X761" s="143" t="s">
        <v>2549</v>
      </c>
      <c r="Y761" s="143" t="s">
        <v>2535</v>
      </c>
      <c r="Z761" s="143" t="s">
        <v>2549</v>
      </c>
      <c r="AA761" s="143">
        <v>5.5</v>
      </c>
      <c r="AB761" s="170"/>
      <c r="AC761" s="143"/>
      <c r="AD761" s="143"/>
      <c r="AE761" s="143"/>
      <c r="AF761" s="143"/>
      <c r="AG761" s="143"/>
      <c r="AH761" s="143"/>
      <c r="AI761" s="143"/>
      <c r="AJ761" s="143"/>
      <c r="AK761" s="143"/>
      <c r="AL761" s="143"/>
      <c r="AM761" s="143"/>
    </row>
    <row r="762" s="140" customFormat="1" ht="15" spans="1:39">
      <c r="A762" s="143">
        <v>760</v>
      </c>
      <c r="B762" s="144">
        <v>45846</v>
      </c>
      <c r="C762" s="143" t="s">
        <v>40</v>
      </c>
      <c r="D762" s="143" t="s">
        <v>2338</v>
      </c>
      <c r="E762" s="145"/>
      <c r="F762" s="143" t="s">
        <v>2502</v>
      </c>
      <c r="G762" s="143"/>
      <c r="H762" s="152" t="s">
        <v>2550</v>
      </c>
      <c r="I762" s="143" t="s">
        <v>749</v>
      </c>
      <c r="J762" s="143" t="s">
        <v>749</v>
      </c>
      <c r="K762" s="143">
        <v>150</v>
      </c>
      <c r="L762" s="143">
        <v>200</v>
      </c>
      <c r="M762" s="143"/>
      <c r="N762" s="143"/>
      <c r="O762" s="143"/>
      <c r="P762" s="143"/>
      <c r="Q762" s="143"/>
      <c r="R762" s="143"/>
      <c r="S762" s="146"/>
      <c r="T762" s="146"/>
      <c r="U762" s="146"/>
      <c r="V762" s="147"/>
      <c r="W762" s="143" t="s">
        <v>2535</v>
      </c>
      <c r="X762" s="143" t="s">
        <v>2551</v>
      </c>
      <c r="Y762" s="143" t="s">
        <v>2535</v>
      </c>
      <c r="Z762" s="143" t="s">
        <v>2551</v>
      </c>
      <c r="AA762" s="143">
        <v>8.6</v>
      </c>
      <c r="AB762" s="170"/>
      <c r="AC762" s="143"/>
      <c r="AD762" s="143"/>
      <c r="AE762" s="143"/>
      <c r="AF762" s="143"/>
      <c r="AG762" s="143"/>
      <c r="AH762" s="143"/>
      <c r="AI762" s="143"/>
      <c r="AJ762" s="143"/>
      <c r="AK762" s="143"/>
      <c r="AL762" s="143"/>
      <c r="AM762" s="143"/>
    </row>
    <row r="763" s="140" customFormat="1" ht="15" spans="1:39">
      <c r="A763" s="143">
        <v>761</v>
      </c>
      <c r="B763" s="144">
        <v>45846</v>
      </c>
      <c r="C763" s="143" t="s">
        <v>40</v>
      </c>
      <c r="D763" s="143" t="s">
        <v>2338</v>
      </c>
      <c r="E763" s="145"/>
      <c r="F763" s="143" t="s">
        <v>2502</v>
      </c>
      <c r="G763" s="143"/>
      <c r="H763" s="152" t="s">
        <v>2552</v>
      </c>
      <c r="I763" s="143" t="s">
        <v>2553</v>
      </c>
      <c r="J763" s="143" t="s">
        <v>2553</v>
      </c>
      <c r="K763" s="143">
        <v>150</v>
      </c>
      <c r="L763" s="143" t="s">
        <v>2554</v>
      </c>
      <c r="M763" s="143"/>
      <c r="N763" s="143"/>
      <c r="O763" s="143"/>
      <c r="P763" s="143"/>
      <c r="Q763" s="143" t="s">
        <v>2555</v>
      </c>
      <c r="R763" s="143"/>
      <c r="S763" s="146"/>
      <c r="T763" s="146"/>
      <c r="U763" s="146"/>
      <c r="V763" s="147"/>
      <c r="W763" s="143" t="s">
        <v>2535</v>
      </c>
      <c r="X763" s="143" t="s">
        <v>2556</v>
      </c>
      <c r="Y763" s="143" t="s">
        <v>2535</v>
      </c>
      <c r="Z763" s="143" t="s">
        <v>2556</v>
      </c>
      <c r="AA763" s="143">
        <v>4</v>
      </c>
      <c r="AB763" s="170"/>
      <c r="AC763" s="143"/>
      <c r="AD763" s="143"/>
      <c r="AE763" s="143"/>
      <c r="AF763" s="143"/>
      <c r="AG763" s="143"/>
      <c r="AH763" s="143"/>
      <c r="AI763" s="143"/>
      <c r="AJ763" s="143"/>
      <c r="AK763" s="143"/>
      <c r="AL763" s="143"/>
      <c r="AM763" s="143"/>
    </row>
    <row r="764" s="140" customFormat="1" ht="15" spans="1:39">
      <c r="A764" s="143">
        <v>762</v>
      </c>
      <c r="B764" s="144">
        <v>45846</v>
      </c>
      <c r="C764" s="143" t="s">
        <v>40</v>
      </c>
      <c r="D764" s="143" t="s">
        <v>2338</v>
      </c>
      <c r="E764" s="145"/>
      <c r="F764" s="143" t="s">
        <v>2502</v>
      </c>
      <c r="G764" s="143"/>
      <c r="H764" s="152" t="s">
        <v>2557</v>
      </c>
      <c r="I764" s="143" t="s">
        <v>749</v>
      </c>
      <c r="J764" s="143" t="s">
        <v>749</v>
      </c>
      <c r="K764" s="143">
        <v>150</v>
      </c>
      <c r="L764" s="143">
        <v>120</v>
      </c>
      <c r="M764" s="143"/>
      <c r="N764" s="143"/>
      <c r="O764" s="143"/>
      <c r="P764" s="143"/>
      <c r="Q764" s="143"/>
      <c r="R764" s="143"/>
      <c r="S764" s="146"/>
      <c r="T764" s="146"/>
      <c r="U764" s="146"/>
      <c r="V764" s="147"/>
      <c r="W764" s="143" t="s">
        <v>2535</v>
      </c>
      <c r="X764" s="143" t="s">
        <v>2558</v>
      </c>
      <c r="Y764" s="143" t="s">
        <v>2535</v>
      </c>
      <c r="Z764" s="143" t="s">
        <v>2558</v>
      </c>
      <c r="AA764" s="143">
        <v>7.5</v>
      </c>
      <c r="AB764" s="170"/>
      <c r="AC764" s="143"/>
      <c r="AD764" s="143"/>
      <c r="AE764" s="143"/>
      <c r="AF764" s="143"/>
      <c r="AG764" s="143"/>
      <c r="AH764" s="143"/>
      <c r="AI764" s="143"/>
      <c r="AJ764" s="143"/>
      <c r="AK764" s="143"/>
      <c r="AL764" s="143"/>
      <c r="AM764" s="143"/>
    </row>
    <row r="765" s="140" customFormat="1" ht="15" spans="1:39">
      <c r="A765" s="143">
        <v>763</v>
      </c>
      <c r="B765" s="144">
        <v>45846</v>
      </c>
      <c r="C765" s="143" t="s">
        <v>40</v>
      </c>
      <c r="D765" s="143" t="s">
        <v>2338</v>
      </c>
      <c r="E765" s="145"/>
      <c r="F765" s="143" t="s">
        <v>2502</v>
      </c>
      <c r="G765" s="143"/>
      <c r="H765" s="152" t="s">
        <v>2559</v>
      </c>
      <c r="I765" s="143" t="s">
        <v>749</v>
      </c>
      <c r="J765" s="143" t="s">
        <v>749</v>
      </c>
      <c r="K765" s="143">
        <v>150</v>
      </c>
      <c r="L765" s="143">
        <v>120</v>
      </c>
      <c r="M765" s="143"/>
      <c r="N765" s="143"/>
      <c r="O765" s="143"/>
      <c r="P765" s="143"/>
      <c r="Q765" s="143"/>
      <c r="R765" s="143"/>
      <c r="S765" s="146"/>
      <c r="T765" s="146"/>
      <c r="U765" s="146"/>
      <c r="V765" s="147"/>
      <c r="W765" s="143" t="s">
        <v>2535</v>
      </c>
      <c r="X765" s="143" t="s">
        <v>2560</v>
      </c>
      <c r="Y765" s="143" t="s">
        <v>2535</v>
      </c>
      <c r="Z765" s="143" t="s">
        <v>2560</v>
      </c>
      <c r="AA765" s="143">
        <v>9</v>
      </c>
      <c r="AB765" s="170"/>
      <c r="AC765" s="143"/>
      <c r="AD765" s="143"/>
      <c r="AE765" s="143"/>
      <c r="AF765" s="143"/>
      <c r="AG765" s="143"/>
      <c r="AH765" s="143"/>
      <c r="AI765" s="143"/>
      <c r="AJ765" s="143"/>
      <c r="AK765" s="143"/>
      <c r="AL765" s="143"/>
      <c r="AM765" s="143"/>
    </row>
    <row r="766" s="140" customFormat="1" ht="15" spans="1:39">
      <c r="A766" s="143">
        <v>764</v>
      </c>
      <c r="B766" s="144">
        <v>45846</v>
      </c>
      <c r="C766" s="143" t="s">
        <v>40</v>
      </c>
      <c r="D766" s="143" t="s">
        <v>2338</v>
      </c>
      <c r="E766" s="145"/>
      <c r="F766" s="143" t="s">
        <v>2502</v>
      </c>
      <c r="G766" s="143"/>
      <c r="H766" s="152" t="s">
        <v>2561</v>
      </c>
      <c r="I766" s="143" t="s">
        <v>749</v>
      </c>
      <c r="J766" s="143" t="s">
        <v>749</v>
      </c>
      <c r="K766" s="143">
        <v>150</v>
      </c>
      <c r="L766" s="143">
        <v>110</v>
      </c>
      <c r="M766" s="143"/>
      <c r="N766" s="143"/>
      <c r="O766" s="143"/>
      <c r="P766" s="143"/>
      <c r="Q766" s="143"/>
      <c r="R766" s="143"/>
      <c r="S766" s="146"/>
      <c r="T766" s="146"/>
      <c r="U766" s="146"/>
      <c r="V766" s="147"/>
      <c r="W766" s="143" t="s">
        <v>2535</v>
      </c>
      <c r="X766" s="143" t="s">
        <v>2562</v>
      </c>
      <c r="Y766" s="143" t="s">
        <v>2535</v>
      </c>
      <c r="Z766" s="143" t="s">
        <v>2562</v>
      </c>
      <c r="AA766" s="143">
        <v>8.3</v>
      </c>
      <c r="AB766" s="170"/>
      <c r="AC766" s="143"/>
      <c r="AD766" s="143"/>
      <c r="AE766" s="143"/>
      <c r="AF766" s="143"/>
      <c r="AG766" s="143"/>
      <c r="AH766" s="143"/>
      <c r="AI766" s="143"/>
      <c r="AJ766" s="143"/>
      <c r="AK766" s="143"/>
      <c r="AL766" s="143"/>
      <c r="AM766" s="143"/>
    </row>
    <row r="767" s="140" customFormat="1" ht="15" spans="1:39">
      <c r="A767" s="143">
        <v>765</v>
      </c>
      <c r="B767" s="144">
        <v>45846</v>
      </c>
      <c r="C767" s="143" t="s">
        <v>40</v>
      </c>
      <c r="D767" s="143" t="s">
        <v>2338</v>
      </c>
      <c r="E767" s="145"/>
      <c r="F767" s="143" t="s">
        <v>2502</v>
      </c>
      <c r="G767" s="143"/>
      <c r="H767" s="152" t="s">
        <v>2563</v>
      </c>
      <c r="I767" s="143" t="s">
        <v>749</v>
      </c>
      <c r="J767" s="143" t="s">
        <v>749</v>
      </c>
      <c r="K767" s="143">
        <v>150</v>
      </c>
      <c r="L767" s="143">
        <v>120</v>
      </c>
      <c r="M767" s="143"/>
      <c r="N767" s="143"/>
      <c r="O767" s="143"/>
      <c r="P767" s="143"/>
      <c r="Q767" s="143"/>
      <c r="R767" s="143"/>
      <c r="S767" s="146"/>
      <c r="T767" s="146"/>
      <c r="U767" s="146"/>
      <c r="V767" s="147"/>
      <c r="W767" s="143" t="s">
        <v>2535</v>
      </c>
      <c r="X767" s="143" t="s">
        <v>2564</v>
      </c>
      <c r="Y767" s="143" t="s">
        <v>2535</v>
      </c>
      <c r="Z767" s="143" t="s">
        <v>2564</v>
      </c>
      <c r="AA767" s="143">
        <v>8.5</v>
      </c>
      <c r="AB767" s="170"/>
      <c r="AC767" s="143"/>
      <c r="AD767" s="143"/>
      <c r="AE767" s="143"/>
      <c r="AF767" s="143"/>
      <c r="AG767" s="143"/>
      <c r="AH767" s="143"/>
      <c r="AI767" s="143"/>
      <c r="AJ767" s="143"/>
      <c r="AK767" s="143"/>
      <c r="AL767" s="143"/>
      <c r="AM767" s="143"/>
    </row>
    <row r="768" s="140" customFormat="1" ht="15" spans="1:39">
      <c r="A768" s="143">
        <v>766</v>
      </c>
      <c r="B768" s="144">
        <v>45846</v>
      </c>
      <c r="C768" s="143" t="s">
        <v>40</v>
      </c>
      <c r="D768" s="143" t="s">
        <v>2338</v>
      </c>
      <c r="E768" s="145"/>
      <c r="F768" s="143" t="s">
        <v>2502</v>
      </c>
      <c r="G768" s="143"/>
      <c r="H768" s="152" t="s">
        <v>2565</v>
      </c>
      <c r="I768" s="143" t="s">
        <v>2528</v>
      </c>
      <c r="J768" s="143" t="s">
        <v>2528</v>
      </c>
      <c r="K768" s="143">
        <v>150</v>
      </c>
      <c r="L768" s="143" t="s">
        <v>2554</v>
      </c>
      <c r="M768" s="143"/>
      <c r="N768" s="143"/>
      <c r="O768" s="143"/>
      <c r="P768" s="143"/>
      <c r="Q768" s="143" t="s">
        <v>2548</v>
      </c>
      <c r="R768" s="143"/>
      <c r="S768" s="146"/>
      <c r="T768" s="146"/>
      <c r="U768" s="146"/>
      <c r="V768" s="147"/>
      <c r="W768" s="143" t="s">
        <v>2535</v>
      </c>
      <c r="X768" s="143" t="s">
        <v>2566</v>
      </c>
      <c r="Y768" s="143" t="s">
        <v>2535</v>
      </c>
      <c r="Z768" s="143" t="s">
        <v>2566</v>
      </c>
      <c r="AA768" s="143">
        <v>4.8</v>
      </c>
      <c r="AB768" s="170"/>
      <c r="AC768" s="143"/>
      <c r="AD768" s="143"/>
      <c r="AE768" s="143"/>
      <c r="AF768" s="143"/>
      <c r="AG768" s="143"/>
      <c r="AH768" s="143"/>
      <c r="AI768" s="143"/>
      <c r="AJ768" s="143"/>
      <c r="AK768" s="143"/>
      <c r="AL768" s="143"/>
      <c r="AM768" s="143"/>
    </row>
    <row r="769" s="140" customFormat="1" ht="15" spans="1:39">
      <c r="A769" s="143">
        <v>767</v>
      </c>
      <c r="B769" s="144">
        <v>45846</v>
      </c>
      <c r="C769" s="143" t="s">
        <v>40</v>
      </c>
      <c r="D769" s="143" t="s">
        <v>2338</v>
      </c>
      <c r="E769" s="145"/>
      <c r="F769" s="143" t="s">
        <v>2502</v>
      </c>
      <c r="G769" s="143"/>
      <c r="H769" s="152" t="s">
        <v>2567</v>
      </c>
      <c r="I769" s="143" t="s">
        <v>2568</v>
      </c>
      <c r="J769" s="143" t="s">
        <v>2568</v>
      </c>
      <c r="K769" s="143">
        <v>150</v>
      </c>
      <c r="L769" s="143">
        <v>240</v>
      </c>
      <c r="M769" s="143"/>
      <c r="N769" s="143"/>
      <c r="O769" s="143"/>
      <c r="P769" s="143"/>
      <c r="Q769" s="143"/>
      <c r="R769" s="143"/>
      <c r="S769" s="146"/>
      <c r="T769" s="146"/>
      <c r="U769" s="146"/>
      <c r="V769" s="147"/>
      <c r="W769" s="143" t="s">
        <v>2535</v>
      </c>
      <c r="X769" s="143" t="s">
        <v>2569</v>
      </c>
      <c r="Y769" s="143" t="s">
        <v>2535</v>
      </c>
      <c r="Z769" s="143" t="s">
        <v>2569</v>
      </c>
      <c r="AA769" s="143">
        <v>10.2</v>
      </c>
      <c r="AB769" s="170"/>
      <c r="AC769" s="143"/>
      <c r="AD769" s="143"/>
      <c r="AE769" s="143"/>
      <c r="AF769" s="143"/>
      <c r="AG769" s="143"/>
      <c r="AH769" s="143"/>
      <c r="AI769" s="143"/>
      <c r="AJ769" s="143"/>
      <c r="AK769" s="143"/>
      <c r="AL769" s="143"/>
      <c r="AM769" s="143"/>
    </row>
    <row r="770" s="140" customFormat="1" ht="15" spans="1:39">
      <c r="A770" s="143">
        <v>768</v>
      </c>
      <c r="B770" s="144">
        <v>45846</v>
      </c>
      <c r="C770" s="143" t="s">
        <v>40</v>
      </c>
      <c r="D770" s="143" t="s">
        <v>2338</v>
      </c>
      <c r="E770" s="145"/>
      <c r="F770" s="143" t="s">
        <v>2502</v>
      </c>
      <c r="G770" s="143"/>
      <c r="H770" s="152" t="s">
        <v>2570</v>
      </c>
      <c r="I770" s="143" t="s">
        <v>2568</v>
      </c>
      <c r="J770" s="143" t="s">
        <v>2568</v>
      </c>
      <c r="K770" s="143">
        <v>150</v>
      </c>
      <c r="L770" s="143">
        <v>150</v>
      </c>
      <c r="M770" s="143"/>
      <c r="N770" s="143"/>
      <c r="O770" s="143"/>
      <c r="P770" s="143"/>
      <c r="Q770" s="143" t="s">
        <v>2571</v>
      </c>
      <c r="R770" s="143"/>
      <c r="S770" s="146"/>
      <c r="T770" s="146"/>
      <c r="U770" s="146"/>
      <c r="V770" s="147"/>
      <c r="W770" s="143" t="s">
        <v>2535</v>
      </c>
      <c r="X770" s="143" t="s">
        <v>2572</v>
      </c>
      <c r="Y770" s="143" t="s">
        <v>2535</v>
      </c>
      <c r="Z770" s="143" t="s">
        <v>2572</v>
      </c>
      <c r="AA770" s="143">
        <v>9.5</v>
      </c>
      <c r="AB770" s="170"/>
      <c r="AC770" s="143"/>
      <c r="AD770" s="143"/>
      <c r="AE770" s="143"/>
      <c r="AF770" s="143"/>
      <c r="AG770" s="143"/>
      <c r="AH770" s="143"/>
      <c r="AI770" s="143"/>
      <c r="AJ770" s="143"/>
      <c r="AK770" s="143"/>
      <c r="AL770" s="143"/>
      <c r="AM770" s="143"/>
    </row>
    <row r="771" s="140" customFormat="1" ht="15" spans="1:39">
      <c r="A771" s="143">
        <v>769</v>
      </c>
      <c r="B771" s="144">
        <v>45846</v>
      </c>
      <c r="C771" s="143" t="s">
        <v>40</v>
      </c>
      <c r="D771" s="143" t="s">
        <v>2338</v>
      </c>
      <c r="E771" s="145"/>
      <c r="F771" s="143" t="s">
        <v>2502</v>
      </c>
      <c r="G771" s="143"/>
      <c r="H771" s="152" t="s">
        <v>2573</v>
      </c>
      <c r="I771" s="143" t="s">
        <v>2568</v>
      </c>
      <c r="J771" s="143" t="s">
        <v>2568</v>
      </c>
      <c r="K771" s="143">
        <v>150</v>
      </c>
      <c r="L771" s="143">
        <v>200</v>
      </c>
      <c r="M771" s="143"/>
      <c r="N771" s="143"/>
      <c r="O771" s="143"/>
      <c r="P771" s="143"/>
      <c r="Q771" s="143"/>
      <c r="R771" s="143"/>
      <c r="S771" s="146"/>
      <c r="T771" s="146"/>
      <c r="U771" s="146"/>
      <c r="V771" s="147"/>
      <c r="W771" s="143" t="s">
        <v>2535</v>
      </c>
      <c r="X771" s="143" t="s">
        <v>2574</v>
      </c>
      <c r="Y771" s="143" t="s">
        <v>2535</v>
      </c>
      <c r="Z771" s="143" t="s">
        <v>2574</v>
      </c>
      <c r="AA771" s="143">
        <v>11.8</v>
      </c>
      <c r="AB771" s="170"/>
      <c r="AC771" s="143"/>
      <c r="AD771" s="143"/>
      <c r="AE771" s="143"/>
      <c r="AF771" s="143"/>
      <c r="AG771" s="143"/>
      <c r="AH771" s="143"/>
      <c r="AI771" s="143"/>
      <c r="AJ771" s="143"/>
      <c r="AK771" s="143"/>
      <c r="AL771" s="143"/>
      <c r="AM771" s="143"/>
    </row>
    <row r="772" s="140" customFormat="1" ht="15" spans="1:39">
      <c r="A772" s="143">
        <v>770</v>
      </c>
      <c r="B772" s="144">
        <v>45846</v>
      </c>
      <c r="C772" s="143" t="s">
        <v>40</v>
      </c>
      <c r="D772" s="143" t="s">
        <v>2338</v>
      </c>
      <c r="E772" s="145"/>
      <c r="F772" s="143" t="s">
        <v>2502</v>
      </c>
      <c r="G772" s="143"/>
      <c r="H772" s="152" t="s">
        <v>2575</v>
      </c>
      <c r="I772" s="143" t="s">
        <v>2568</v>
      </c>
      <c r="J772" s="143" t="s">
        <v>2568</v>
      </c>
      <c r="K772" s="143">
        <v>150</v>
      </c>
      <c r="L772" s="143">
        <v>120</v>
      </c>
      <c r="M772" s="143"/>
      <c r="N772" s="143"/>
      <c r="O772" s="143"/>
      <c r="P772" s="143"/>
      <c r="Q772" s="143"/>
      <c r="R772" s="143"/>
      <c r="S772" s="146"/>
      <c r="T772" s="146"/>
      <c r="U772" s="146"/>
      <c r="V772" s="147"/>
      <c r="W772" s="143" t="s">
        <v>2535</v>
      </c>
      <c r="X772" s="143" t="s">
        <v>2576</v>
      </c>
      <c r="Y772" s="143" t="s">
        <v>2535</v>
      </c>
      <c r="Z772" s="143" t="s">
        <v>2576</v>
      </c>
      <c r="AA772" s="143">
        <v>7.8</v>
      </c>
      <c r="AB772" s="170"/>
      <c r="AC772" s="143"/>
      <c r="AD772" s="143"/>
      <c r="AE772" s="143"/>
      <c r="AF772" s="143"/>
      <c r="AG772" s="143"/>
      <c r="AH772" s="143"/>
      <c r="AI772" s="143"/>
      <c r="AJ772" s="143"/>
      <c r="AK772" s="143"/>
      <c r="AL772" s="143"/>
      <c r="AM772" s="143"/>
    </row>
    <row r="773" s="140" customFormat="1" ht="15" spans="1:39">
      <c r="A773" s="143">
        <v>771</v>
      </c>
      <c r="B773" s="144">
        <v>45846</v>
      </c>
      <c r="C773" s="143" t="s">
        <v>40</v>
      </c>
      <c r="D773" s="143" t="s">
        <v>2338</v>
      </c>
      <c r="E773" s="145"/>
      <c r="F773" s="143" t="s">
        <v>2502</v>
      </c>
      <c r="G773" s="143"/>
      <c r="H773" s="152" t="s">
        <v>2577</v>
      </c>
      <c r="I773" s="143" t="s">
        <v>2568</v>
      </c>
      <c r="J773" s="143" t="s">
        <v>2568</v>
      </c>
      <c r="K773" s="143">
        <v>150</v>
      </c>
      <c r="L773" s="143">
        <v>165</v>
      </c>
      <c r="M773" s="143"/>
      <c r="N773" s="143"/>
      <c r="O773" s="143"/>
      <c r="P773" s="143"/>
      <c r="Q773" s="143"/>
      <c r="R773" s="143"/>
      <c r="S773" s="146"/>
      <c r="T773" s="146"/>
      <c r="U773" s="146"/>
      <c r="V773" s="147"/>
      <c r="W773" s="143" t="s">
        <v>2535</v>
      </c>
      <c r="X773" s="143" t="s">
        <v>2578</v>
      </c>
      <c r="Y773" s="143" t="s">
        <v>2535</v>
      </c>
      <c r="Z773" s="143" t="s">
        <v>2578</v>
      </c>
      <c r="AA773" s="143">
        <v>8.9</v>
      </c>
      <c r="AB773" s="170"/>
      <c r="AC773" s="143"/>
      <c r="AD773" s="143"/>
      <c r="AE773" s="143"/>
      <c r="AF773" s="143"/>
      <c r="AG773" s="143"/>
      <c r="AH773" s="143"/>
      <c r="AI773" s="143"/>
      <c r="AJ773" s="143"/>
      <c r="AK773" s="143"/>
      <c r="AL773" s="143"/>
      <c r="AM773" s="143"/>
    </row>
    <row r="774" s="140" customFormat="1" ht="15" spans="1:39">
      <c r="A774" s="143">
        <v>772</v>
      </c>
      <c r="B774" s="144">
        <v>45846</v>
      </c>
      <c r="C774" s="143" t="s">
        <v>40</v>
      </c>
      <c r="D774" s="143" t="s">
        <v>2338</v>
      </c>
      <c r="E774" s="145"/>
      <c r="F774" s="143" t="s">
        <v>2502</v>
      </c>
      <c r="G774" s="143"/>
      <c r="H774" s="152" t="s">
        <v>2579</v>
      </c>
      <c r="I774" s="143" t="s">
        <v>2568</v>
      </c>
      <c r="J774" s="143" t="s">
        <v>2568</v>
      </c>
      <c r="K774" s="143">
        <v>150</v>
      </c>
      <c r="L774" s="143">
        <v>165</v>
      </c>
      <c r="M774" s="143"/>
      <c r="N774" s="143"/>
      <c r="O774" s="143"/>
      <c r="P774" s="143"/>
      <c r="Q774" s="143" t="s">
        <v>2580</v>
      </c>
      <c r="R774" s="143"/>
      <c r="S774" s="146"/>
      <c r="T774" s="146"/>
      <c r="U774" s="146"/>
      <c r="V774" s="147"/>
      <c r="W774" s="143" t="s">
        <v>2535</v>
      </c>
      <c r="X774" s="143" t="s">
        <v>2581</v>
      </c>
      <c r="Y774" s="143" t="s">
        <v>2535</v>
      </c>
      <c r="Z774" s="143" t="s">
        <v>2581</v>
      </c>
      <c r="AA774" s="143">
        <v>7.7</v>
      </c>
      <c r="AB774" s="170"/>
      <c r="AC774" s="143"/>
      <c r="AD774" s="143"/>
      <c r="AE774" s="143"/>
      <c r="AF774" s="143"/>
      <c r="AG774" s="143"/>
      <c r="AH774" s="143"/>
      <c r="AI774" s="143"/>
      <c r="AJ774" s="143"/>
      <c r="AK774" s="143"/>
      <c r="AL774" s="143"/>
      <c r="AM774" s="143"/>
    </row>
    <row r="775" s="140" customFormat="1" ht="15" spans="1:39">
      <c r="A775" s="143">
        <v>773</v>
      </c>
      <c r="B775" s="144">
        <v>45846</v>
      </c>
      <c r="C775" s="143" t="s">
        <v>40</v>
      </c>
      <c r="D775" s="143" t="s">
        <v>2338</v>
      </c>
      <c r="E775" s="145"/>
      <c r="F775" s="143" t="s">
        <v>2502</v>
      </c>
      <c r="G775" s="143"/>
      <c r="H775" s="152" t="s">
        <v>2582</v>
      </c>
      <c r="I775" s="143" t="s">
        <v>330</v>
      </c>
      <c r="J775" s="143" t="s">
        <v>330</v>
      </c>
      <c r="K775" s="143">
        <v>150</v>
      </c>
      <c r="L775" s="143">
        <v>120</v>
      </c>
      <c r="M775" s="143"/>
      <c r="N775" s="143"/>
      <c r="O775" s="143"/>
      <c r="P775" s="143"/>
      <c r="Q775" s="143" t="s">
        <v>2583</v>
      </c>
      <c r="R775" s="143"/>
      <c r="S775" s="146"/>
      <c r="T775" s="146"/>
      <c r="U775" s="146"/>
      <c r="V775" s="147"/>
      <c r="W775" s="143" t="s">
        <v>2535</v>
      </c>
      <c r="X775" s="143" t="s">
        <v>2584</v>
      </c>
      <c r="Y775" s="143" t="s">
        <v>2535</v>
      </c>
      <c r="Z775" s="143" t="s">
        <v>2584</v>
      </c>
      <c r="AA775" s="143">
        <v>5.5</v>
      </c>
      <c r="AB775" s="170"/>
      <c r="AC775" s="143"/>
      <c r="AD775" s="143"/>
      <c r="AE775" s="143"/>
      <c r="AF775" s="143"/>
      <c r="AG775" s="143"/>
      <c r="AH775" s="143"/>
      <c r="AI775" s="143"/>
      <c r="AJ775" s="143"/>
      <c r="AK775" s="143"/>
      <c r="AL775" s="143"/>
      <c r="AM775" s="143"/>
    </row>
    <row r="776" s="140" customFormat="1" ht="15" spans="1:39">
      <c r="A776" s="143">
        <v>774</v>
      </c>
      <c r="B776" s="144">
        <v>45846</v>
      </c>
      <c r="C776" s="143" t="s">
        <v>40</v>
      </c>
      <c r="D776" s="143" t="s">
        <v>2338</v>
      </c>
      <c r="E776" s="145"/>
      <c r="F776" s="143" t="s">
        <v>2502</v>
      </c>
      <c r="G776" s="143"/>
      <c r="H776" s="152" t="s">
        <v>2585</v>
      </c>
      <c r="I776" s="143" t="s">
        <v>330</v>
      </c>
      <c r="J776" s="143" t="s">
        <v>330</v>
      </c>
      <c r="K776" s="143">
        <v>150</v>
      </c>
      <c r="L776" s="143">
        <v>155</v>
      </c>
      <c r="M776" s="143"/>
      <c r="N776" s="143"/>
      <c r="O776" s="143"/>
      <c r="P776" s="143"/>
      <c r="Q776" s="143"/>
      <c r="R776" s="143"/>
      <c r="S776" s="146"/>
      <c r="T776" s="146"/>
      <c r="U776" s="146"/>
      <c r="V776" s="147"/>
      <c r="W776" s="143" t="s">
        <v>2535</v>
      </c>
      <c r="X776" s="143" t="s">
        <v>2586</v>
      </c>
      <c r="Y776" s="143" t="s">
        <v>2535</v>
      </c>
      <c r="Z776" s="143" t="s">
        <v>2586</v>
      </c>
      <c r="AA776" s="143">
        <v>4.6</v>
      </c>
      <c r="AB776" s="170"/>
      <c r="AC776" s="143"/>
      <c r="AD776" s="143"/>
      <c r="AE776" s="143"/>
      <c r="AF776" s="143"/>
      <c r="AG776" s="143"/>
      <c r="AH776" s="143"/>
      <c r="AI776" s="143"/>
      <c r="AJ776" s="143"/>
      <c r="AK776" s="143"/>
      <c r="AL776" s="143"/>
      <c r="AM776" s="143"/>
    </row>
    <row r="777" s="140" customFormat="1" ht="15" spans="1:39">
      <c r="A777" s="143">
        <v>775</v>
      </c>
      <c r="B777" s="144">
        <v>45846</v>
      </c>
      <c r="C777" s="143" t="s">
        <v>40</v>
      </c>
      <c r="D777" s="143" t="s">
        <v>2338</v>
      </c>
      <c r="E777" s="145"/>
      <c r="F777" s="143" t="s">
        <v>2502</v>
      </c>
      <c r="G777" s="143"/>
      <c r="H777" s="152" t="s">
        <v>2587</v>
      </c>
      <c r="I777" s="143" t="s">
        <v>330</v>
      </c>
      <c r="J777" s="143" t="s">
        <v>330</v>
      </c>
      <c r="K777" s="143">
        <v>150</v>
      </c>
      <c r="L777" s="143">
        <v>150</v>
      </c>
      <c r="M777" s="143"/>
      <c r="N777" s="143"/>
      <c r="O777" s="143"/>
      <c r="P777" s="143"/>
      <c r="Q777" s="143" t="s">
        <v>2588</v>
      </c>
      <c r="R777" s="143"/>
      <c r="S777" s="146"/>
      <c r="T777" s="146"/>
      <c r="U777" s="146"/>
      <c r="V777" s="147"/>
      <c r="W777" s="143" t="s">
        <v>2535</v>
      </c>
      <c r="X777" s="143" t="s">
        <v>2589</v>
      </c>
      <c r="Y777" s="143" t="s">
        <v>2535</v>
      </c>
      <c r="Z777" s="143" t="s">
        <v>2589</v>
      </c>
      <c r="AA777" s="143">
        <v>4.2</v>
      </c>
      <c r="AB777" s="170"/>
      <c r="AC777" s="143"/>
      <c r="AD777" s="143"/>
      <c r="AE777" s="143"/>
      <c r="AF777" s="143"/>
      <c r="AG777" s="143"/>
      <c r="AH777" s="143"/>
      <c r="AI777" s="143"/>
      <c r="AJ777" s="143"/>
      <c r="AK777" s="143"/>
      <c r="AL777" s="143"/>
      <c r="AM777" s="143"/>
    </row>
    <row r="778" s="140" customFormat="1" ht="15" spans="1:39">
      <c r="A778" s="143">
        <v>776</v>
      </c>
      <c r="B778" s="144">
        <v>45846</v>
      </c>
      <c r="C778" s="143" t="s">
        <v>40</v>
      </c>
      <c r="D778" s="143" t="s">
        <v>2338</v>
      </c>
      <c r="E778" s="145"/>
      <c r="F778" s="143" t="s">
        <v>2502</v>
      </c>
      <c r="G778" s="143"/>
      <c r="H778" s="152" t="s">
        <v>2590</v>
      </c>
      <c r="I778" s="143" t="s">
        <v>330</v>
      </c>
      <c r="J778" s="143" t="s">
        <v>330</v>
      </c>
      <c r="K778" s="143">
        <v>150</v>
      </c>
      <c r="L778" s="143">
        <v>160</v>
      </c>
      <c r="M778" s="143"/>
      <c r="N778" s="143"/>
      <c r="O778" s="143"/>
      <c r="P778" s="143"/>
      <c r="Q778" s="143" t="s">
        <v>2529</v>
      </c>
      <c r="R778" s="143"/>
      <c r="S778" s="146"/>
      <c r="T778" s="146"/>
      <c r="U778" s="146"/>
      <c r="V778" s="147"/>
      <c r="W778" s="143" t="s">
        <v>2535</v>
      </c>
      <c r="X778" s="143" t="s">
        <v>2591</v>
      </c>
      <c r="Y778" s="143" t="s">
        <v>2535</v>
      </c>
      <c r="Z778" s="143" t="s">
        <v>2591</v>
      </c>
      <c r="AA778" s="143">
        <v>6.2</v>
      </c>
      <c r="AB778" s="170"/>
      <c r="AC778" s="143"/>
      <c r="AD778" s="143"/>
      <c r="AE778" s="143"/>
      <c r="AF778" s="143"/>
      <c r="AG778" s="143"/>
      <c r="AH778" s="143"/>
      <c r="AI778" s="143"/>
      <c r="AJ778" s="143"/>
      <c r="AK778" s="143"/>
      <c r="AL778" s="143"/>
      <c r="AM778" s="143"/>
    </row>
    <row r="779" s="140" customFormat="1" ht="15" spans="1:39">
      <c r="A779" s="143">
        <v>777</v>
      </c>
      <c r="B779" s="144">
        <v>45846</v>
      </c>
      <c r="C779" s="143" t="s">
        <v>40</v>
      </c>
      <c r="D779" s="143" t="s">
        <v>2338</v>
      </c>
      <c r="E779" s="145"/>
      <c r="F779" s="143" t="s">
        <v>2502</v>
      </c>
      <c r="G779" s="143"/>
      <c r="H779" s="152" t="s">
        <v>2592</v>
      </c>
      <c r="I779" s="143" t="s">
        <v>330</v>
      </c>
      <c r="J779" s="143" t="s">
        <v>330</v>
      </c>
      <c r="K779" s="143">
        <v>150</v>
      </c>
      <c r="L779" s="143">
        <v>200</v>
      </c>
      <c r="M779" s="143"/>
      <c r="N779" s="143"/>
      <c r="O779" s="143"/>
      <c r="P779" s="143"/>
      <c r="Q779" s="143"/>
      <c r="R779" s="143"/>
      <c r="S779" s="146"/>
      <c r="T779" s="146"/>
      <c r="U779" s="146"/>
      <c r="V779" s="147"/>
      <c r="W779" s="143" t="s">
        <v>2535</v>
      </c>
      <c r="X779" s="143" t="s">
        <v>2593</v>
      </c>
      <c r="Y779" s="143" t="s">
        <v>2535</v>
      </c>
      <c r="Z779" s="143" t="s">
        <v>2593</v>
      </c>
      <c r="AA779" s="143">
        <v>12</v>
      </c>
      <c r="AB779" s="170"/>
      <c r="AC779" s="143"/>
      <c r="AD779" s="143"/>
      <c r="AE779" s="143"/>
      <c r="AF779" s="143"/>
      <c r="AG779" s="143"/>
      <c r="AH779" s="143"/>
      <c r="AI779" s="143"/>
      <c r="AJ779" s="143"/>
      <c r="AK779" s="143"/>
      <c r="AL779" s="143"/>
      <c r="AM779" s="143"/>
    </row>
    <row r="780" s="140" customFormat="1" ht="15" spans="1:39">
      <c r="A780" s="143">
        <v>778</v>
      </c>
      <c r="B780" s="144">
        <v>45846</v>
      </c>
      <c r="C780" s="143" t="s">
        <v>40</v>
      </c>
      <c r="D780" s="143" t="s">
        <v>2338</v>
      </c>
      <c r="E780" s="145"/>
      <c r="F780" s="143" t="s">
        <v>2502</v>
      </c>
      <c r="G780" s="143"/>
      <c r="H780" s="152" t="s">
        <v>2594</v>
      </c>
      <c r="I780" s="143" t="s">
        <v>330</v>
      </c>
      <c r="J780" s="143" t="s">
        <v>330</v>
      </c>
      <c r="K780" s="143">
        <v>150</v>
      </c>
      <c r="L780" s="143">
        <v>90</v>
      </c>
      <c r="M780" s="143"/>
      <c r="N780" s="143"/>
      <c r="O780" s="143"/>
      <c r="P780" s="143"/>
      <c r="Q780" s="143" t="s">
        <v>2595</v>
      </c>
      <c r="R780" s="143"/>
      <c r="S780" s="146"/>
      <c r="T780" s="146"/>
      <c r="U780" s="146"/>
      <c r="V780" s="147"/>
      <c r="W780" s="143" t="s">
        <v>2535</v>
      </c>
      <c r="X780" s="143" t="s">
        <v>2596</v>
      </c>
      <c r="Y780" s="143" t="s">
        <v>2535</v>
      </c>
      <c r="Z780" s="143" t="s">
        <v>2596</v>
      </c>
      <c r="AA780" s="143">
        <v>6.2</v>
      </c>
      <c r="AB780" s="170"/>
      <c r="AC780" s="143"/>
      <c r="AD780" s="143"/>
      <c r="AE780" s="143"/>
      <c r="AF780" s="143"/>
      <c r="AG780" s="143"/>
      <c r="AH780" s="143"/>
      <c r="AI780" s="143"/>
      <c r="AJ780" s="143"/>
      <c r="AK780" s="143"/>
      <c r="AL780" s="143"/>
      <c r="AM780" s="143"/>
    </row>
    <row r="781" s="140" customFormat="1" ht="15" spans="1:39">
      <c r="A781" s="143">
        <v>779</v>
      </c>
      <c r="B781" s="144">
        <v>45846</v>
      </c>
      <c r="C781" s="143" t="s">
        <v>40</v>
      </c>
      <c r="D781" s="143" t="s">
        <v>2338</v>
      </c>
      <c r="E781" s="145"/>
      <c r="F781" s="143" t="s">
        <v>2502</v>
      </c>
      <c r="G781" s="143"/>
      <c r="H781" s="152" t="s">
        <v>2597</v>
      </c>
      <c r="I781" s="143" t="s">
        <v>2598</v>
      </c>
      <c r="J781" s="143" t="s">
        <v>2598</v>
      </c>
      <c r="K781" s="143">
        <v>150</v>
      </c>
      <c r="L781" s="143">
        <v>110</v>
      </c>
      <c r="M781" s="143"/>
      <c r="N781" s="143"/>
      <c r="O781" s="143"/>
      <c r="P781" s="143"/>
      <c r="Q781" s="143" t="s">
        <v>2599</v>
      </c>
      <c r="R781" s="143"/>
      <c r="S781" s="146"/>
      <c r="T781" s="146"/>
      <c r="U781" s="146"/>
      <c r="V781" s="147"/>
      <c r="W781" s="143" t="s">
        <v>2535</v>
      </c>
      <c r="X781" s="143" t="s">
        <v>2600</v>
      </c>
      <c r="Y781" s="143" t="s">
        <v>2535</v>
      </c>
      <c r="Z781" s="143" t="s">
        <v>2600</v>
      </c>
      <c r="AA781" s="143">
        <v>7.8</v>
      </c>
      <c r="AB781" s="170"/>
      <c r="AC781" s="143"/>
      <c r="AD781" s="143"/>
      <c r="AE781" s="143"/>
      <c r="AF781" s="143"/>
      <c r="AG781" s="143"/>
      <c r="AH781" s="143"/>
      <c r="AI781" s="143"/>
      <c r="AJ781" s="143"/>
      <c r="AK781" s="143"/>
      <c r="AL781" s="143"/>
      <c r="AM781" s="143"/>
    </row>
    <row r="782" s="140" customFormat="1" ht="15" spans="1:39">
      <c r="A782" s="143">
        <v>780</v>
      </c>
      <c r="B782" s="144">
        <v>45847</v>
      </c>
      <c r="C782" s="143" t="s">
        <v>40</v>
      </c>
      <c r="D782" s="143" t="s">
        <v>2338</v>
      </c>
      <c r="E782" s="145"/>
      <c r="F782" s="143" t="s">
        <v>2601</v>
      </c>
      <c r="G782" s="143"/>
      <c r="H782" s="152" t="s">
        <v>2602</v>
      </c>
      <c r="I782" s="143" t="s">
        <v>2603</v>
      </c>
      <c r="J782" s="143" t="s">
        <v>2603</v>
      </c>
      <c r="K782" s="143">
        <v>120</v>
      </c>
      <c r="L782" s="143">
        <v>180</v>
      </c>
      <c r="M782" s="143"/>
      <c r="N782" s="143"/>
      <c r="O782" s="143"/>
      <c r="P782" s="143"/>
      <c r="Q782" s="143" t="s">
        <v>2604</v>
      </c>
      <c r="R782" s="143"/>
      <c r="S782" s="146"/>
      <c r="T782" s="146"/>
      <c r="U782" s="146"/>
      <c r="V782" s="147"/>
      <c r="W782" s="143" t="s">
        <v>49</v>
      </c>
      <c r="X782" s="143">
        <v>11001</v>
      </c>
      <c r="Y782" s="143" t="s">
        <v>2605</v>
      </c>
      <c r="Z782" s="143">
        <v>11001</v>
      </c>
      <c r="AA782" s="143">
        <v>13.2</v>
      </c>
      <c r="AB782" s="170"/>
      <c r="AC782" s="143"/>
      <c r="AD782" s="143"/>
      <c r="AE782" s="143"/>
      <c r="AF782" s="143"/>
      <c r="AG782" s="143"/>
      <c r="AH782" s="143"/>
      <c r="AI782" s="143"/>
      <c r="AJ782" s="143"/>
      <c r="AK782" s="143"/>
      <c r="AL782" s="143"/>
      <c r="AM782" s="143"/>
    </row>
    <row r="783" s="140" customFormat="1" ht="15" spans="1:39">
      <c r="A783" s="143">
        <v>781</v>
      </c>
      <c r="B783" s="144">
        <v>45847</v>
      </c>
      <c r="C783" s="143" t="s">
        <v>40</v>
      </c>
      <c r="D783" s="143" t="s">
        <v>2338</v>
      </c>
      <c r="E783" s="145"/>
      <c r="F783" s="143" t="s">
        <v>2601</v>
      </c>
      <c r="G783" s="143"/>
      <c r="H783" s="152" t="s">
        <v>2606</v>
      </c>
      <c r="I783" s="143" t="s">
        <v>2603</v>
      </c>
      <c r="J783" s="143" t="s">
        <v>2603</v>
      </c>
      <c r="K783" s="143">
        <v>118</v>
      </c>
      <c r="L783" s="143">
        <v>180</v>
      </c>
      <c r="M783" s="143"/>
      <c r="N783" s="143"/>
      <c r="O783" s="143"/>
      <c r="P783" s="143"/>
      <c r="Q783" s="143" t="s">
        <v>2604</v>
      </c>
      <c r="R783" s="143"/>
      <c r="S783" s="146"/>
      <c r="T783" s="146"/>
      <c r="U783" s="146"/>
      <c r="V783" s="147"/>
      <c r="W783" s="143" t="s">
        <v>49</v>
      </c>
      <c r="X783" s="143">
        <v>10957</v>
      </c>
      <c r="Y783" s="143" t="s">
        <v>2605</v>
      </c>
      <c r="Z783" s="143">
        <v>10957</v>
      </c>
      <c r="AA783" s="143">
        <v>7.5</v>
      </c>
      <c r="AB783" s="170"/>
      <c r="AC783" s="143"/>
      <c r="AD783" s="143"/>
      <c r="AE783" s="143"/>
      <c r="AF783" s="143"/>
      <c r="AG783" s="143"/>
      <c r="AH783" s="143"/>
      <c r="AI783" s="143"/>
      <c r="AJ783" s="143"/>
      <c r="AK783" s="143"/>
      <c r="AL783" s="143"/>
      <c r="AM783" s="143"/>
    </row>
    <row r="784" s="140" customFormat="1" ht="15" spans="1:39">
      <c r="A784" s="143">
        <v>782</v>
      </c>
      <c r="B784" s="144">
        <v>45847</v>
      </c>
      <c r="C784" s="143" t="s">
        <v>40</v>
      </c>
      <c r="D784" s="143" t="s">
        <v>2338</v>
      </c>
      <c r="E784" s="145"/>
      <c r="F784" s="143" t="s">
        <v>2601</v>
      </c>
      <c r="G784" s="143"/>
      <c r="H784" s="152" t="s">
        <v>2607</v>
      </c>
      <c r="I784" s="143" t="s">
        <v>378</v>
      </c>
      <c r="J784" s="143" t="s">
        <v>378</v>
      </c>
      <c r="K784" s="143">
        <v>150</v>
      </c>
      <c r="L784" s="143">
        <v>170</v>
      </c>
      <c r="M784" s="143"/>
      <c r="N784" s="143"/>
      <c r="O784" s="143"/>
      <c r="P784" s="143"/>
      <c r="Q784" s="143" t="s">
        <v>2604</v>
      </c>
      <c r="R784" s="143"/>
      <c r="S784" s="146"/>
      <c r="T784" s="146"/>
      <c r="U784" s="146"/>
      <c r="V784" s="147"/>
      <c r="W784" s="143" t="s">
        <v>49</v>
      </c>
      <c r="X784" s="143">
        <v>10993</v>
      </c>
      <c r="Y784" s="169" t="s">
        <v>2608</v>
      </c>
      <c r="Z784" s="143">
        <v>10993</v>
      </c>
      <c r="AA784" s="143">
        <v>8.2</v>
      </c>
      <c r="AB784" s="170"/>
      <c r="AC784" s="143"/>
      <c r="AD784" s="143"/>
      <c r="AE784" s="143"/>
      <c r="AF784" s="143"/>
      <c r="AG784" s="143"/>
      <c r="AH784" s="169" t="s">
        <v>2609</v>
      </c>
      <c r="AI784" s="143"/>
      <c r="AJ784" s="143"/>
      <c r="AK784" s="143"/>
      <c r="AL784" s="143"/>
      <c r="AM784" s="143"/>
    </row>
    <row r="785" s="140" customFormat="1" ht="15" spans="1:39">
      <c r="A785" s="143">
        <v>783</v>
      </c>
      <c r="B785" s="144">
        <v>45847</v>
      </c>
      <c r="C785" s="143" t="s">
        <v>40</v>
      </c>
      <c r="D785" s="143" t="s">
        <v>2338</v>
      </c>
      <c r="E785" s="145"/>
      <c r="F785" s="143" t="s">
        <v>2601</v>
      </c>
      <c r="G785" s="143"/>
      <c r="H785" s="152" t="s">
        <v>2610</v>
      </c>
      <c r="I785" s="143" t="s">
        <v>378</v>
      </c>
      <c r="J785" s="143" t="s">
        <v>378</v>
      </c>
      <c r="K785" s="143">
        <v>150</v>
      </c>
      <c r="L785" s="143">
        <v>180</v>
      </c>
      <c r="M785" s="143"/>
      <c r="N785" s="143"/>
      <c r="O785" s="143"/>
      <c r="P785" s="143"/>
      <c r="Q785" s="143" t="s">
        <v>2604</v>
      </c>
      <c r="R785" s="143"/>
      <c r="S785" s="146"/>
      <c r="T785" s="146"/>
      <c r="U785" s="146"/>
      <c r="V785" s="147"/>
      <c r="W785" s="143" t="s">
        <v>49</v>
      </c>
      <c r="X785" s="143">
        <v>10921</v>
      </c>
      <c r="Y785" s="143" t="s">
        <v>2605</v>
      </c>
      <c r="Z785" s="143">
        <v>10921</v>
      </c>
      <c r="AA785" s="143">
        <v>8.5</v>
      </c>
      <c r="AB785" s="170"/>
      <c r="AC785" s="143"/>
      <c r="AD785" s="143"/>
      <c r="AE785" s="143"/>
      <c r="AF785" s="143"/>
      <c r="AG785" s="143"/>
      <c r="AH785" s="143"/>
      <c r="AI785" s="143"/>
      <c r="AJ785" s="143"/>
      <c r="AK785" s="143"/>
      <c r="AL785" s="143"/>
      <c r="AM785" s="143"/>
    </row>
    <row r="786" s="140" customFormat="1" ht="15" spans="1:39">
      <c r="A786" s="143">
        <v>784</v>
      </c>
      <c r="B786" s="144">
        <v>45847</v>
      </c>
      <c r="C786" s="143" t="s">
        <v>40</v>
      </c>
      <c r="D786" s="143" t="s">
        <v>2338</v>
      </c>
      <c r="E786" s="145"/>
      <c r="F786" s="143" t="s">
        <v>2601</v>
      </c>
      <c r="G786" s="143"/>
      <c r="H786" s="152" t="s">
        <v>2611</v>
      </c>
      <c r="I786" s="143" t="s">
        <v>378</v>
      </c>
      <c r="J786" s="143" t="s">
        <v>378</v>
      </c>
      <c r="K786" s="143">
        <v>150</v>
      </c>
      <c r="L786" s="143">
        <v>165</v>
      </c>
      <c r="M786" s="143"/>
      <c r="N786" s="143"/>
      <c r="O786" s="143"/>
      <c r="P786" s="143"/>
      <c r="Q786" s="143" t="s">
        <v>2604</v>
      </c>
      <c r="R786" s="143"/>
      <c r="S786" s="146"/>
      <c r="T786" s="146"/>
      <c r="U786" s="146"/>
      <c r="V786" s="147"/>
      <c r="W786" s="143" t="s">
        <v>49</v>
      </c>
      <c r="X786" s="143">
        <v>10903</v>
      </c>
      <c r="Y786" s="143" t="s">
        <v>2605</v>
      </c>
      <c r="Z786" s="143">
        <v>10903</v>
      </c>
      <c r="AA786" s="143">
        <v>9.5</v>
      </c>
      <c r="AB786" s="170"/>
      <c r="AC786" s="143"/>
      <c r="AD786" s="143"/>
      <c r="AE786" s="143"/>
      <c r="AF786" s="143"/>
      <c r="AG786" s="143"/>
      <c r="AH786" s="143"/>
      <c r="AI786" s="143"/>
      <c r="AJ786" s="143"/>
      <c r="AK786" s="143"/>
      <c r="AL786" s="143"/>
      <c r="AM786" s="143"/>
    </row>
    <row r="787" s="140" customFormat="1" ht="15" spans="1:39">
      <c r="A787" s="143">
        <v>785</v>
      </c>
      <c r="B787" s="144">
        <v>45847</v>
      </c>
      <c r="C787" s="143" t="s">
        <v>40</v>
      </c>
      <c r="D787" s="143" t="s">
        <v>2338</v>
      </c>
      <c r="E787" s="145"/>
      <c r="F787" s="143" t="s">
        <v>2601</v>
      </c>
      <c r="G787" s="143"/>
      <c r="H787" s="152" t="s">
        <v>2612</v>
      </c>
      <c r="I787" s="143" t="s">
        <v>330</v>
      </c>
      <c r="J787" s="143" t="s">
        <v>330</v>
      </c>
      <c r="K787" s="143">
        <v>150</v>
      </c>
      <c r="L787" s="143">
        <v>90</v>
      </c>
      <c r="M787" s="143"/>
      <c r="N787" s="143"/>
      <c r="O787" s="143"/>
      <c r="P787" s="143"/>
      <c r="Q787" s="143" t="s">
        <v>2604</v>
      </c>
      <c r="R787" s="143"/>
      <c r="S787" s="146"/>
      <c r="T787" s="146"/>
      <c r="U787" s="146"/>
      <c r="V787" s="147"/>
      <c r="W787" s="143" t="s">
        <v>49</v>
      </c>
      <c r="X787" s="270" t="s">
        <v>2613</v>
      </c>
      <c r="Y787" s="143" t="s">
        <v>2605</v>
      </c>
      <c r="Z787" s="270" t="s">
        <v>2613</v>
      </c>
      <c r="AA787" s="143">
        <v>7</v>
      </c>
      <c r="AB787" s="170"/>
      <c r="AC787" s="143"/>
      <c r="AD787" s="143"/>
      <c r="AE787" s="143"/>
      <c r="AF787" s="143"/>
      <c r="AG787" s="143"/>
      <c r="AH787" s="143"/>
      <c r="AI787" s="143"/>
      <c r="AJ787" s="143"/>
      <c r="AK787" s="143"/>
      <c r="AL787" s="143"/>
      <c r="AM787" s="143"/>
    </row>
    <row r="788" s="140" customFormat="1" ht="15" spans="1:39">
      <c r="A788" s="143">
        <v>786</v>
      </c>
      <c r="B788" s="144">
        <v>45847</v>
      </c>
      <c r="C788" s="143" t="s">
        <v>40</v>
      </c>
      <c r="D788" s="143" t="s">
        <v>2338</v>
      </c>
      <c r="E788" s="145"/>
      <c r="F788" s="143" t="s">
        <v>2601</v>
      </c>
      <c r="G788" s="143"/>
      <c r="H788" s="152" t="s">
        <v>2614</v>
      </c>
      <c r="I788" s="143" t="s">
        <v>330</v>
      </c>
      <c r="J788" s="143" t="s">
        <v>330</v>
      </c>
      <c r="K788" s="143">
        <v>150</v>
      </c>
      <c r="L788" s="143">
        <v>160</v>
      </c>
      <c r="M788" s="143"/>
      <c r="N788" s="143"/>
      <c r="O788" s="143"/>
      <c r="P788" s="143"/>
      <c r="Q788" s="143" t="s">
        <v>2604</v>
      </c>
      <c r="R788" s="143"/>
      <c r="S788" s="146"/>
      <c r="T788" s="146"/>
      <c r="U788" s="146"/>
      <c r="V788" s="147"/>
      <c r="W788" s="143" t="s">
        <v>49</v>
      </c>
      <c r="X788" s="143">
        <v>11042</v>
      </c>
      <c r="Y788" s="143" t="s">
        <v>2605</v>
      </c>
      <c r="Z788" s="143">
        <v>11042</v>
      </c>
      <c r="AA788" s="143">
        <v>9</v>
      </c>
      <c r="AB788" s="170"/>
      <c r="AC788" s="143"/>
      <c r="AD788" s="143"/>
      <c r="AE788" s="143"/>
      <c r="AF788" s="143"/>
      <c r="AG788" s="143"/>
      <c r="AH788" s="143"/>
      <c r="AI788" s="143"/>
      <c r="AJ788" s="143"/>
      <c r="AK788" s="143"/>
      <c r="AL788" s="143"/>
      <c r="AM788" s="143"/>
    </row>
    <row r="789" s="140" customFormat="1" ht="15" spans="1:39">
      <c r="A789" s="143">
        <v>787</v>
      </c>
      <c r="B789" s="144">
        <v>45847</v>
      </c>
      <c r="C789" s="143" t="s">
        <v>40</v>
      </c>
      <c r="D789" s="143" t="s">
        <v>2338</v>
      </c>
      <c r="E789" s="145"/>
      <c r="F789" s="143" t="s">
        <v>2601</v>
      </c>
      <c r="G789" s="143"/>
      <c r="H789" s="152" t="s">
        <v>2615</v>
      </c>
      <c r="I789" s="143" t="s">
        <v>330</v>
      </c>
      <c r="J789" s="143" t="s">
        <v>330</v>
      </c>
      <c r="K789" s="143">
        <v>150</v>
      </c>
      <c r="L789" s="143">
        <v>190</v>
      </c>
      <c r="M789" s="143"/>
      <c r="N789" s="143"/>
      <c r="O789" s="143"/>
      <c r="P789" s="143"/>
      <c r="Q789" s="143" t="s">
        <v>2604</v>
      </c>
      <c r="R789" s="143"/>
      <c r="S789" s="146"/>
      <c r="T789" s="146"/>
      <c r="U789" s="146"/>
      <c r="V789" s="147"/>
      <c r="W789" s="143" t="s">
        <v>49</v>
      </c>
      <c r="X789" s="270" t="s">
        <v>2616</v>
      </c>
      <c r="Y789" s="143" t="s">
        <v>2605</v>
      </c>
      <c r="Z789" s="270" t="s">
        <v>2616</v>
      </c>
      <c r="AA789" s="143">
        <v>10.8</v>
      </c>
      <c r="AB789" s="170"/>
      <c r="AC789" s="143"/>
      <c r="AD789" s="143"/>
      <c r="AE789" s="143"/>
      <c r="AF789" s="143"/>
      <c r="AG789" s="143"/>
      <c r="AH789" s="143"/>
      <c r="AI789" s="143"/>
      <c r="AJ789" s="143"/>
      <c r="AK789" s="143"/>
      <c r="AL789" s="143"/>
      <c r="AM789" s="143"/>
    </row>
    <row r="790" s="140" customFormat="1" ht="15" spans="1:39">
      <c r="A790" s="143">
        <v>788</v>
      </c>
      <c r="B790" s="144">
        <v>45847</v>
      </c>
      <c r="C790" s="143" t="s">
        <v>40</v>
      </c>
      <c r="D790" s="143" t="s">
        <v>2338</v>
      </c>
      <c r="E790" s="145"/>
      <c r="F790" s="143" t="s">
        <v>2601</v>
      </c>
      <c r="G790" s="143"/>
      <c r="H790" s="152" t="s">
        <v>2617</v>
      </c>
      <c r="I790" s="143" t="s">
        <v>330</v>
      </c>
      <c r="J790" s="143" t="s">
        <v>330</v>
      </c>
      <c r="K790" s="143">
        <v>150</v>
      </c>
      <c r="L790" s="143">
        <v>240</v>
      </c>
      <c r="M790" s="143"/>
      <c r="N790" s="143"/>
      <c r="O790" s="143"/>
      <c r="P790" s="143"/>
      <c r="Q790" s="143" t="s">
        <v>2604</v>
      </c>
      <c r="R790" s="143"/>
      <c r="S790" s="146"/>
      <c r="T790" s="146"/>
      <c r="U790" s="146"/>
      <c r="V790" s="147"/>
      <c r="W790" s="143" t="s">
        <v>49</v>
      </c>
      <c r="X790" s="270" t="s">
        <v>2618</v>
      </c>
      <c r="Y790" s="143" t="s">
        <v>2605</v>
      </c>
      <c r="Z790" s="270" t="s">
        <v>2618</v>
      </c>
      <c r="AA790" s="143">
        <v>12</v>
      </c>
      <c r="AB790" s="170"/>
      <c r="AC790" s="143"/>
      <c r="AD790" s="143"/>
      <c r="AE790" s="143"/>
      <c r="AF790" s="143"/>
      <c r="AG790" s="143"/>
      <c r="AH790" s="143"/>
      <c r="AI790" s="143"/>
      <c r="AJ790" s="143"/>
      <c r="AK790" s="143"/>
      <c r="AL790" s="143"/>
      <c r="AM790" s="143"/>
    </row>
    <row r="791" s="140" customFormat="1" ht="15" spans="1:39">
      <c r="A791" s="143">
        <v>789</v>
      </c>
      <c r="B791" s="144">
        <v>45847</v>
      </c>
      <c r="C791" s="143" t="s">
        <v>40</v>
      </c>
      <c r="D791" s="143" t="s">
        <v>2338</v>
      </c>
      <c r="E791" s="145"/>
      <c r="F791" s="143" t="s">
        <v>2601</v>
      </c>
      <c r="G791" s="143"/>
      <c r="H791" s="152" t="s">
        <v>2619</v>
      </c>
      <c r="I791" s="143" t="s">
        <v>330</v>
      </c>
      <c r="J791" s="143" t="s">
        <v>330</v>
      </c>
      <c r="K791" s="143">
        <v>150</v>
      </c>
      <c r="L791" s="143">
        <v>180</v>
      </c>
      <c r="M791" s="143"/>
      <c r="N791" s="143"/>
      <c r="O791" s="143"/>
      <c r="P791" s="143"/>
      <c r="Q791" s="143" t="s">
        <v>2604</v>
      </c>
      <c r="R791" s="143"/>
      <c r="S791" s="146"/>
      <c r="T791" s="146"/>
      <c r="U791" s="146"/>
      <c r="V791" s="147"/>
      <c r="W791" s="143" t="s">
        <v>49</v>
      </c>
      <c r="X791" s="143" t="s">
        <v>2620</v>
      </c>
      <c r="Y791" s="143" t="s">
        <v>2605</v>
      </c>
      <c r="Z791" s="143" t="s">
        <v>2620</v>
      </c>
      <c r="AA791" s="143">
        <v>7</v>
      </c>
      <c r="AB791" s="170"/>
      <c r="AC791" s="143"/>
      <c r="AD791" s="143"/>
      <c r="AE791" s="143"/>
      <c r="AF791" s="143"/>
      <c r="AG791" s="143"/>
      <c r="AH791" s="143"/>
      <c r="AI791" s="143"/>
      <c r="AJ791" s="143"/>
      <c r="AK791" s="143"/>
      <c r="AL791" s="143"/>
      <c r="AM791" s="143"/>
    </row>
    <row r="792" s="140" customFormat="1" ht="15" spans="1:39">
      <c r="A792" s="143">
        <v>790</v>
      </c>
      <c r="B792" s="144">
        <v>45847</v>
      </c>
      <c r="C792" s="143" t="s">
        <v>40</v>
      </c>
      <c r="D792" s="143" t="s">
        <v>2338</v>
      </c>
      <c r="E792" s="145"/>
      <c r="F792" s="143" t="s">
        <v>2601</v>
      </c>
      <c r="G792" s="143"/>
      <c r="H792" s="152" t="s">
        <v>2621</v>
      </c>
      <c r="I792" s="143" t="s">
        <v>330</v>
      </c>
      <c r="J792" s="143" t="s">
        <v>330</v>
      </c>
      <c r="K792" s="143">
        <v>150</v>
      </c>
      <c r="L792" s="143">
        <v>138</v>
      </c>
      <c r="M792" s="143"/>
      <c r="N792" s="143"/>
      <c r="O792" s="143"/>
      <c r="P792" s="143"/>
      <c r="Q792" s="143" t="s">
        <v>2604</v>
      </c>
      <c r="R792" s="143"/>
      <c r="S792" s="146"/>
      <c r="T792" s="146"/>
      <c r="U792" s="146"/>
      <c r="V792" s="147"/>
      <c r="W792" s="143" t="s">
        <v>49</v>
      </c>
      <c r="X792" s="143">
        <v>11106</v>
      </c>
      <c r="Y792" s="143" t="s">
        <v>2605</v>
      </c>
      <c r="Z792" s="143">
        <v>11106</v>
      </c>
      <c r="AA792" s="143">
        <v>15.5</v>
      </c>
      <c r="AB792" s="170"/>
      <c r="AC792" s="143"/>
      <c r="AD792" s="143"/>
      <c r="AE792" s="143"/>
      <c r="AF792" s="143"/>
      <c r="AG792" s="143"/>
      <c r="AH792" s="143"/>
      <c r="AI792" s="143"/>
      <c r="AJ792" s="143"/>
      <c r="AK792" s="143"/>
      <c r="AL792" s="143"/>
      <c r="AM792" s="143"/>
    </row>
    <row r="793" s="140" customFormat="1" ht="15" spans="1:39">
      <c r="A793" s="143">
        <v>791</v>
      </c>
      <c r="B793" s="144">
        <v>45847</v>
      </c>
      <c r="C793" s="143" t="s">
        <v>40</v>
      </c>
      <c r="D793" s="143" t="s">
        <v>2338</v>
      </c>
      <c r="E793" s="145"/>
      <c r="F793" s="143" t="s">
        <v>2601</v>
      </c>
      <c r="G793" s="143"/>
      <c r="H793" s="152" t="s">
        <v>2622</v>
      </c>
      <c r="I793" s="143" t="s">
        <v>330</v>
      </c>
      <c r="J793" s="143" t="s">
        <v>330</v>
      </c>
      <c r="K793" s="143">
        <v>150</v>
      </c>
      <c r="L793" s="143">
        <v>160</v>
      </c>
      <c r="M793" s="143"/>
      <c r="N793" s="143"/>
      <c r="O793" s="143"/>
      <c r="P793" s="143"/>
      <c r="Q793" s="143" t="s">
        <v>2604</v>
      </c>
      <c r="R793" s="143"/>
      <c r="S793" s="146"/>
      <c r="T793" s="146"/>
      <c r="U793" s="146"/>
      <c r="V793" s="147"/>
      <c r="W793" s="143" t="s">
        <v>49</v>
      </c>
      <c r="X793" s="143">
        <v>11017</v>
      </c>
      <c r="Y793" s="143" t="s">
        <v>2605</v>
      </c>
      <c r="Z793" s="143">
        <v>11017</v>
      </c>
      <c r="AA793" s="143">
        <v>6.5</v>
      </c>
      <c r="AB793" s="170"/>
      <c r="AC793" s="143"/>
      <c r="AD793" s="143"/>
      <c r="AE793" s="143"/>
      <c r="AF793" s="143"/>
      <c r="AG793" s="143"/>
      <c r="AH793" s="143"/>
      <c r="AI793" s="143"/>
      <c r="AJ793" s="143"/>
      <c r="AK793" s="143"/>
      <c r="AL793" s="143"/>
      <c r="AM793" s="143"/>
    </row>
    <row r="794" s="140" customFormat="1" ht="15" spans="1:39">
      <c r="A794" s="143">
        <v>792</v>
      </c>
      <c r="B794" s="144">
        <v>45847</v>
      </c>
      <c r="C794" s="143" t="s">
        <v>40</v>
      </c>
      <c r="D794" s="143" t="s">
        <v>2338</v>
      </c>
      <c r="E794" s="145"/>
      <c r="F794" s="143" t="s">
        <v>2601</v>
      </c>
      <c r="G794" s="143"/>
      <c r="H794" s="152" t="s">
        <v>2623</v>
      </c>
      <c r="I794" s="143" t="s">
        <v>330</v>
      </c>
      <c r="J794" s="143" t="s">
        <v>330</v>
      </c>
      <c r="K794" s="143">
        <v>150</v>
      </c>
      <c r="L794" s="143">
        <v>260</v>
      </c>
      <c r="M794" s="143"/>
      <c r="N794" s="143"/>
      <c r="O794" s="143"/>
      <c r="P794" s="143"/>
      <c r="Q794" s="143" t="s">
        <v>2604</v>
      </c>
      <c r="R794" s="143"/>
      <c r="S794" s="146"/>
      <c r="T794" s="146"/>
      <c r="U794" s="146"/>
      <c r="V794" s="147"/>
      <c r="W794" s="143" t="s">
        <v>49</v>
      </c>
      <c r="X794" s="270" t="s">
        <v>2624</v>
      </c>
      <c r="Y794" s="143" t="s">
        <v>2605</v>
      </c>
      <c r="Z794" s="270" t="s">
        <v>2624</v>
      </c>
      <c r="AA794" s="143">
        <v>9.6</v>
      </c>
      <c r="AB794" s="170"/>
      <c r="AC794" s="143"/>
      <c r="AD794" s="143"/>
      <c r="AE794" s="143"/>
      <c r="AF794" s="143"/>
      <c r="AG794" s="143"/>
      <c r="AH794" s="143"/>
      <c r="AI794" s="143"/>
      <c r="AJ794" s="143"/>
      <c r="AK794" s="143"/>
      <c r="AL794" s="143"/>
      <c r="AM794" s="143"/>
    </row>
    <row r="795" s="140" customFormat="1" ht="15" spans="1:39">
      <c r="A795" s="143">
        <v>793</v>
      </c>
      <c r="B795" s="144">
        <v>45847</v>
      </c>
      <c r="C795" s="143" t="s">
        <v>40</v>
      </c>
      <c r="D795" s="143" t="s">
        <v>2338</v>
      </c>
      <c r="E795" s="145"/>
      <c r="F795" s="143" t="s">
        <v>2601</v>
      </c>
      <c r="G795" s="143"/>
      <c r="H795" s="152" t="s">
        <v>2625</v>
      </c>
      <c r="I795" s="143" t="s">
        <v>330</v>
      </c>
      <c r="J795" s="143" t="s">
        <v>330</v>
      </c>
      <c r="K795" s="143">
        <v>150</v>
      </c>
      <c r="L795" s="143">
        <v>260</v>
      </c>
      <c r="M795" s="143"/>
      <c r="N795" s="143"/>
      <c r="O795" s="143"/>
      <c r="P795" s="143"/>
      <c r="Q795" s="143" t="s">
        <v>2604</v>
      </c>
      <c r="R795" s="143"/>
      <c r="S795" s="146"/>
      <c r="T795" s="146"/>
      <c r="U795" s="146"/>
      <c r="V795" s="147"/>
      <c r="W795" s="143" t="s">
        <v>49</v>
      </c>
      <c r="X795" s="143" t="s">
        <v>2143</v>
      </c>
      <c r="Y795" s="169" t="s">
        <v>2608</v>
      </c>
      <c r="Z795" s="169" t="s">
        <v>2626</v>
      </c>
      <c r="AA795" s="143">
        <v>9</v>
      </c>
      <c r="AB795" s="170"/>
      <c r="AC795" s="143"/>
      <c r="AD795" s="143"/>
      <c r="AE795" s="143"/>
      <c r="AF795" s="143"/>
      <c r="AG795" s="143"/>
      <c r="AH795" s="143"/>
      <c r="AI795" s="143"/>
      <c r="AJ795" s="143"/>
      <c r="AK795" s="143"/>
      <c r="AL795" s="143"/>
      <c r="AM795" s="143"/>
    </row>
    <row r="796" s="140" customFormat="1" ht="15" spans="1:39">
      <c r="A796" s="143">
        <v>794</v>
      </c>
      <c r="B796" s="144">
        <v>45847</v>
      </c>
      <c r="C796" s="143" t="s">
        <v>40</v>
      </c>
      <c r="D796" s="143" t="s">
        <v>2338</v>
      </c>
      <c r="E796" s="145"/>
      <c r="F796" s="143" t="s">
        <v>2601</v>
      </c>
      <c r="G796" s="143"/>
      <c r="H796" s="152" t="s">
        <v>2627</v>
      </c>
      <c r="I796" s="143" t="s">
        <v>330</v>
      </c>
      <c r="J796" s="143" t="s">
        <v>330</v>
      </c>
      <c r="K796" s="143">
        <v>150</v>
      </c>
      <c r="L796" s="143">
        <v>150</v>
      </c>
      <c r="M796" s="143"/>
      <c r="N796" s="143"/>
      <c r="O796" s="143"/>
      <c r="P796" s="143"/>
      <c r="Q796" s="143" t="s">
        <v>2604</v>
      </c>
      <c r="R796" s="143"/>
      <c r="S796" s="146"/>
      <c r="T796" s="146"/>
      <c r="U796" s="146"/>
      <c r="V796" s="147"/>
      <c r="W796" s="143" t="s">
        <v>49</v>
      </c>
      <c r="X796" s="143" t="s">
        <v>2628</v>
      </c>
      <c r="Y796" s="143" t="s">
        <v>2605</v>
      </c>
      <c r="Z796" s="143" t="s">
        <v>2628</v>
      </c>
      <c r="AA796" s="143">
        <v>7.2</v>
      </c>
      <c r="AB796" s="170"/>
      <c r="AC796" s="143"/>
      <c r="AD796" s="143"/>
      <c r="AE796" s="143"/>
      <c r="AF796" s="143"/>
      <c r="AG796" s="143"/>
      <c r="AH796" s="143"/>
      <c r="AI796" s="143"/>
      <c r="AJ796" s="143"/>
      <c r="AK796" s="143"/>
      <c r="AL796" s="143"/>
      <c r="AM796" s="143"/>
    </row>
    <row r="797" s="140" customFormat="1" ht="15" spans="1:39">
      <c r="A797" s="143">
        <v>795</v>
      </c>
      <c r="B797" s="144">
        <v>45847</v>
      </c>
      <c r="C797" s="143" t="s">
        <v>40</v>
      </c>
      <c r="D797" s="143" t="s">
        <v>2338</v>
      </c>
      <c r="E797" s="145"/>
      <c r="F797" s="143" t="s">
        <v>2601</v>
      </c>
      <c r="G797" s="143"/>
      <c r="H797" s="152" t="s">
        <v>2629</v>
      </c>
      <c r="I797" s="143" t="s">
        <v>2630</v>
      </c>
      <c r="J797" s="143" t="s">
        <v>2630</v>
      </c>
      <c r="K797" s="143">
        <v>150</v>
      </c>
      <c r="L797" s="143">
        <v>90</v>
      </c>
      <c r="M797" s="143"/>
      <c r="N797" s="143"/>
      <c r="O797" s="143"/>
      <c r="P797" s="143"/>
      <c r="Q797" s="143" t="s">
        <v>2631</v>
      </c>
      <c r="R797" s="143"/>
      <c r="S797" s="146"/>
      <c r="T797" s="146"/>
      <c r="U797" s="146"/>
      <c r="V797" s="147"/>
      <c r="W797" s="143" t="s">
        <v>49</v>
      </c>
      <c r="X797" s="143">
        <v>920</v>
      </c>
      <c r="Y797" s="143" t="s">
        <v>2632</v>
      </c>
      <c r="Z797" s="143">
        <v>920</v>
      </c>
      <c r="AA797" s="143">
        <v>4.7</v>
      </c>
      <c r="AB797" s="170"/>
      <c r="AC797" s="143"/>
      <c r="AD797" s="143"/>
      <c r="AE797" s="143"/>
      <c r="AF797" s="143"/>
      <c r="AG797" s="143"/>
      <c r="AH797" s="143"/>
      <c r="AI797" s="143"/>
      <c r="AJ797" s="143"/>
      <c r="AK797" s="143"/>
      <c r="AL797" s="143"/>
      <c r="AM797" s="143"/>
    </row>
    <row r="798" s="140" customFormat="1" ht="15" spans="1:39">
      <c r="A798" s="143">
        <v>796</v>
      </c>
      <c r="B798" s="144">
        <v>45847</v>
      </c>
      <c r="C798" s="143" t="s">
        <v>40</v>
      </c>
      <c r="D798" s="143" t="s">
        <v>2338</v>
      </c>
      <c r="E798" s="145"/>
      <c r="F798" s="143" t="s">
        <v>2601</v>
      </c>
      <c r="G798" s="143"/>
      <c r="H798" s="152" t="s">
        <v>2633</v>
      </c>
      <c r="I798" s="143" t="s">
        <v>2634</v>
      </c>
      <c r="J798" s="143" t="s">
        <v>2634</v>
      </c>
      <c r="K798" s="143">
        <v>150</v>
      </c>
      <c r="L798" s="143">
        <v>175</v>
      </c>
      <c r="M798" s="143"/>
      <c r="N798" s="143"/>
      <c r="O798" s="143"/>
      <c r="P798" s="143"/>
      <c r="Q798" s="169" t="s">
        <v>2635</v>
      </c>
      <c r="R798" s="143"/>
      <c r="S798" s="146"/>
      <c r="T798" s="146"/>
      <c r="U798" s="146"/>
      <c r="V798" s="147"/>
      <c r="W798" s="143" t="s">
        <v>49</v>
      </c>
      <c r="X798" s="143">
        <v>931</v>
      </c>
      <c r="Y798" s="143" t="s">
        <v>2632</v>
      </c>
      <c r="Z798" s="143">
        <v>931</v>
      </c>
      <c r="AA798" s="143">
        <v>8</v>
      </c>
      <c r="AB798" s="170"/>
      <c r="AC798" s="143"/>
      <c r="AD798" s="143"/>
      <c r="AE798" s="143"/>
      <c r="AF798" s="143"/>
      <c r="AG798" s="143"/>
      <c r="AH798" s="143"/>
      <c r="AI798" s="143"/>
      <c r="AJ798" s="143"/>
      <c r="AK798" s="143"/>
      <c r="AL798" s="143"/>
      <c r="AM798" s="143"/>
    </row>
    <row r="799" s="140" customFormat="1" ht="15" spans="1:39">
      <c r="A799" s="143">
        <v>797</v>
      </c>
      <c r="B799" s="144">
        <v>45847</v>
      </c>
      <c r="C799" s="143" t="s">
        <v>40</v>
      </c>
      <c r="D799" s="143" t="s">
        <v>2338</v>
      </c>
      <c r="E799" s="145"/>
      <c r="F799" s="143" t="s">
        <v>2601</v>
      </c>
      <c r="G799" s="143"/>
      <c r="H799" s="152" t="s">
        <v>2636</v>
      </c>
      <c r="I799" s="143" t="s">
        <v>2634</v>
      </c>
      <c r="J799" s="143" t="s">
        <v>2634</v>
      </c>
      <c r="K799" s="143">
        <v>150</v>
      </c>
      <c r="L799" s="143">
        <v>90</v>
      </c>
      <c r="M799" s="143"/>
      <c r="N799" s="143"/>
      <c r="O799" s="143"/>
      <c r="P799" s="143"/>
      <c r="Q799" s="143" t="s">
        <v>2637</v>
      </c>
      <c r="R799" s="143"/>
      <c r="S799" s="146"/>
      <c r="T799" s="146"/>
      <c r="U799" s="146"/>
      <c r="V799" s="147"/>
      <c r="W799" s="143" t="s">
        <v>49</v>
      </c>
      <c r="X799" s="143">
        <v>937</v>
      </c>
      <c r="Y799" s="143" t="s">
        <v>2632</v>
      </c>
      <c r="Z799" s="143">
        <v>937</v>
      </c>
      <c r="AA799" s="143">
        <v>6</v>
      </c>
      <c r="AB799" s="170"/>
      <c r="AC799" s="143"/>
      <c r="AD799" s="143"/>
      <c r="AE799" s="143"/>
      <c r="AF799" s="143"/>
      <c r="AG799" s="143"/>
      <c r="AH799" s="143"/>
      <c r="AI799" s="143"/>
      <c r="AJ799" s="143"/>
      <c r="AK799" s="143"/>
      <c r="AL799" s="143"/>
      <c r="AM799" s="143"/>
    </row>
    <row r="800" s="140" customFormat="1" ht="15" spans="1:39">
      <c r="A800" s="143">
        <v>798</v>
      </c>
      <c r="B800" s="144">
        <v>45847</v>
      </c>
      <c r="C800" s="143" t="s">
        <v>40</v>
      </c>
      <c r="D800" s="143" t="s">
        <v>2338</v>
      </c>
      <c r="E800" s="145"/>
      <c r="F800" s="143" t="s">
        <v>2601</v>
      </c>
      <c r="G800" s="143"/>
      <c r="H800" s="152" t="s">
        <v>2638</v>
      </c>
      <c r="I800" s="143" t="s">
        <v>330</v>
      </c>
      <c r="J800" s="143" t="s">
        <v>330</v>
      </c>
      <c r="K800" s="143">
        <v>150</v>
      </c>
      <c r="L800" s="143">
        <v>180</v>
      </c>
      <c r="M800" s="143"/>
      <c r="N800" s="143"/>
      <c r="O800" s="143"/>
      <c r="P800" s="143"/>
      <c r="Q800" s="143" t="s">
        <v>2639</v>
      </c>
      <c r="R800" s="143"/>
      <c r="S800" s="146"/>
      <c r="T800" s="146"/>
      <c r="U800" s="146"/>
      <c r="V800" s="147"/>
      <c r="W800" s="143" t="s">
        <v>49</v>
      </c>
      <c r="X800" s="143">
        <v>938</v>
      </c>
      <c r="Y800" s="143" t="s">
        <v>2632</v>
      </c>
      <c r="Z800" s="143">
        <v>938</v>
      </c>
      <c r="AA800" s="143">
        <v>8.8</v>
      </c>
      <c r="AB800" s="170"/>
      <c r="AC800" s="143"/>
      <c r="AD800" s="143"/>
      <c r="AE800" s="143"/>
      <c r="AF800" s="143"/>
      <c r="AG800" s="143"/>
      <c r="AH800" s="143"/>
      <c r="AI800" s="143"/>
      <c r="AJ800" s="143"/>
      <c r="AK800" s="143"/>
      <c r="AL800" s="143"/>
      <c r="AM800" s="143"/>
    </row>
    <row r="801" s="140" customFormat="1" ht="15" spans="1:39">
      <c r="A801" s="143">
        <v>799</v>
      </c>
      <c r="B801" s="144"/>
      <c r="C801" s="143" t="s">
        <v>193</v>
      </c>
      <c r="D801" s="143" t="s">
        <v>229</v>
      </c>
      <c r="E801" s="145"/>
      <c r="F801" s="143"/>
      <c r="G801" s="143"/>
      <c r="H801" s="152" t="s">
        <v>2640</v>
      </c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6"/>
      <c r="T801" s="146"/>
      <c r="U801" s="146"/>
      <c r="V801" s="147"/>
      <c r="W801" s="143" t="s">
        <v>2641</v>
      </c>
      <c r="X801" s="143" t="s">
        <v>2642</v>
      </c>
      <c r="Y801" s="143" t="s">
        <v>2641</v>
      </c>
      <c r="Z801" s="143" t="s">
        <v>2642</v>
      </c>
      <c r="AA801" s="143"/>
      <c r="AB801" s="170"/>
      <c r="AC801" s="143"/>
      <c r="AD801" s="143"/>
      <c r="AE801" s="143"/>
      <c r="AF801" s="143"/>
      <c r="AG801" s="143" t="s">
        <v>2643</v>
      </c>
      <c r="AH801" s="143"/>
      <c r="AI801" s="143"/>
      <c r="AJ801" s="143" t="s">
        <v>2644</v>
      </c>
      <c r="AK801" s="143"/>
      <c r="AL801" s="143"/>
      <c r="AM801" s="143"/>
    </row>
    <row r="802" s="140" customFormat="1" ht="15" spans="1:39">
      <c r="A802" s="143">
        <v>800</v>
      </c>
      <c r="B802" s="144"/>
      <c r="C802" s="143" t="s">
        <v>193</v>
      </c>
      <c r="D802" s="143" t="s">
        <v>229</v>
      </c>
      <c r="E802" s="145"/>
      <c r="F802" s="143"/>
      <c r="G802" s="143"/>
      <c r="H802" s="152" t="s">
        <v>2645</v>
      </c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6"/>
      <c r="T802" s="146"/>
      <c r="U802" s="146"/>
      <c r="V802" s="147"/>
      <c r="W802" s="143" t="s">
        <v>2641</v>
      </c>
      <c r="X802" s="143" t="s">
        <v>2646</v>
      </c>
      <c r="Y802" s="143" t="s">
        <v>2641</v>
      </c>
      <c r="Z802" s="143" t="s">
        <v>2646</v>
      </c>
      <c r="AA802" s="143"/>
      <c r="AB802" s="170"/>
      <c r="AC802" s="143"/>
      <c r="AD802" s="143"/>
      <c r="AE802" s="143"/>
      <c r="AF802" s="143"/>
      <c r="AG802" s="143" t="s">
        <v>2643</v>
      </c>
      <c r="AH802" s="143"/>
      <c r="AI802" s="143"/>
      <c r="AJ802" s="143" t="s">
        <v>2644</v>
      </c>
      <c r="AK802" s="143"/>
      <c r="AL802" s="143"/>
      <c r="AM802" s="143"/>
    </row>
    <row r="803" s="140" customFormat="1" ht="15" spans="1:39">
      <c r="A803" s="143">
        <v>801</v>
      </c>
      <c r="B803" s="144"/>
      <c r="C803" s="143" t="s">
        <v>193</v>
      </c>
      <c r="D803" s="143" t="s">
        <v>229</v>
      </c>
      <c r="E803" s="145"/>
      <c r="F803" s="143"/>
      <c r="G803" s="143"/>
      <c r="H803" s="152" t="s">
        <v>2647</v>
      </c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6"/>
      <c r="T803" s="146"/>
      <c r="U803" s="146"/>
      <c r="V803" s="147"/>
      <c r="W803" s="143" t="s">
        <v>2641</v>
      </c>
      <c r="X803" s="143" t="s">
        <v>2648</v>
      </c>
      <c r="Y803" s="143" t="s">
        <v>2641</v>
      </c>
      <c r="Z803" s="143" t="s">
        <v>2648</v>
      </c>
      <c r="AA803" s="143"/>
      <c r="AB803" s="170"/>
      <c r="AC803" s="143"/>
      <c r="AD803" s="143"/>
      <c r="AE803" s="143"/>
      <c r="AF803" s="143"/>
      <c r="AG803" s="143" t="s">
        <v>2643</v>
      </c>
      <c r="AH803" s="143"/>
      <c r="AI803" s="143"/>
      <c r="AJ803" s="143" t="s">
        <v>2644</v>
      </c>
      <c r="AK803" s="143"/>
      <c r="AL803" s="143"/>
      <c r="AM803" s="143"/>
    </row>
    <row r="804" s="140" customFormat="1" ht="15" spans="1:39">
      <c r="A804" s="143">
        <v>802</v>
      </c>
      <c r="B804" s="144"/>
      <c r="C804" s="143" t="s">
        <v>193</v>
      </c>
      <c r="D804" s="143" t="s">
        <v>229</v>
      </c>
      <c r="E804" s="145"/>
      <c r="F804" s="143"/>
      <c r="G804" s="143"/>
      <c r="H804" s="152" t="s">
        <v>2649</v>
      </c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6"/>
      <c r="T804" s="146"/>
      <c r="U804" s="146"/>
      <c r="V804" s="147"/>
      <c r="W804" s="143" t="s">
        <v>2641</v>
      </c>
      <c r="X804" s="143" t="s">
        <v>2650</v>
      </c>
      <c r="Y804" s="143" t="s">
        <v>2641</v>
      </c>
      <c r="Z804" s="143" t="s">
        <v>2650</v>
      </c>
      <c r="AA804" s="143"/>
      <c r="AB804" s="170"/>
      <c r="AC804" s="143"/>
      <c r="AD804" s="143"/>
      <c r="AE804" s="143"/>
      <c r="AF804" s="143"/>
      <c r="AG804" s="143" t="s">
        <v>2643</v>
      </c>
      <c r="AH804" s="143"/>
      <c r="AI804" s="143"/>
      <c r="AJ804" s="143" t="s">
        <v>2644</v>
      </c>
      <c r="AK804" s="143"/>
      <c r="AL804" s="143"/>
      <c r="AM804" s="143"/>
    </row>
    <row r="805" s="140" customFormat="1" ht="15" spans="1:39">
      <c r="A805" s="143">
        <v>803</v>
      </c>
      <c r="B805" s="144"/>
      <c r="C805" s="143" t="s">
        <v>193</v>
      </c>
      <c r="D805" s="143" t="s">
        <v>229</v>
      </c>
      <c r="E805" s="145"/>
      <c r="F805" s="143"/>
      <c r="G805" s="143"/>
      <c r="H805" s="152" t="s">
        <v>2651</v>
      </c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6"/>
      <c r="T805" s="146"/>
      <c r="U805" s="146"/>
      <c r="V805" s="147"/>
      <c r="W805" s="143" t="s">
        <v>2641</v>
      </c>
      <c r="X805" s="143" t="s">
        <v>2652</v>
      </c>
      <c r="Y805" s="143" t="s">
        <v>2641</v>
      </c>
      <c r="Z805" s="143" t="s">
        <v>2652</v>
      </c>
      <c r="AA805" s="143"/>
      <c r="AB805" s="170"/>
      <c r="AC805" s="143"/>
      <c r="AD805" s="143"/>
      <c r="AE805" s="143"/>
      <c r="AF805" s="143"/>
      <c r="AG805" s="143" t="s">
        <v>2643</v>
      </c>
      <c r="AH805" s="143"/>
      <c r="AI805" s="143"/>
      <c r="AJ805" s="143" t="s">
        <v>2644</v>
      </c>
      <c r="AK805" s="143"/>
      <c r="AL805" s="143"/>
      <c r="AM805" s="143"/>
    </row>
    <row r="806" s="140" customFormat="1" ht="15" spans="1:39">
      <c r="A806" s="143">
        <v>804</v>
      </c>
      <c r="B806" s="144">
        <v>45848</v>
      </c>
      <c r="C806" s="143" t="s">
        <v>40</v>
      </c>
      <c r="D806" s="143" t="s">
        <v>2338</v>
      </c>
      <c r="E806" s="145"/>
      <c r="F806" s="143" t="s">
        <v>2653</v>
      </c>
      <c r="G806" s="143"/>
      <c r="H806" s="152" t="s">
        <v>2654</v>
      </c>
      <c r="I806" s="143" t="s">
        <v>2655</v>
      </c>
      <c r="J806" s="143" t="s">
        <v>46</v>
      </c>
      <c r="K806" s="143">
        <v>185</v>
      </c>
      <c r="L806" s="143">
        <v>180</v>
      </c>
      <c r="M806" s="143"/>
      <c r="N806" s="143"/>
      <c r="O806" s="143"/>
      <c r="P806" s="143"/>
      <c r="Q806" s="143" t="s">
        <v>2656</v>
      </c>
      <c r="R806" s="143"/>
      <c r="S806" s="146"/>
      <c r="T806" s="146"/>
      <c r="U806" s="146"/>
      <c r="V806" s="147"/>
      <c r="W806" s="143" t="s">
        <v>2657</v>
      </c>
      <c r="X806" s="143" t="s">
        <v>2658</v>
      </c>
      <c r="Y806" s="143" t="s">
        <v>2657</v>
      </c>
      <c r="Z806" s="143" t="s">
        <v>2658</v>
      </c>
      <c r="AA806" s="143" t="s">
        <v>2659</v>
      </c>
      <c r="AB806" s="170"/>
      <c r="AC806" s="143"/>
      <c r="AD806" s="143"/>
      <c r="AE806" s="143"/>
      <c r="AF806" s="143"/>
      <c r="AG806" s="143"/>
      <c r="AH806" s="143"/>
      <c r="AI806" s="143"/>
      <c r="AJ806" s="143"/>
      <c r="AK806" s="143"/>
      <c r="AL806" s="143"/>
      <c r="AM806" s="143"/>
    </row>
    <row r="807" s="140" customFormat="1" ht="15" spans="1:39">
      <c r="A807" s="143">
        <v>805</v>
      </c>
      <c r="B807" s="144">
        <v>45848</v>
      </c>
      <c r="C807" s="143" t="s">
        <v>40</v>
      </c>
      <c r="D807" s="143" t="s">
        <v>2338</v>
      </c>
      <c r="E807" s="145"/>
      <c r="F807" s="143" t="s">
        <v>2653</v>
      </c>
      <c r="G807" s="143"/>
      <c r="H807" s="152" t="s">
        <v>2660</v>
      </c>
      <c r="I807" s="143" t="s">
        <v>45</v>
      </c>
      <c r="J807" s="143" t="s">
        <v>46</v>
      </c>
      <c r="K807" s="143">
        <v>185</v>
      </c>
      <c r="L807" s="143">
        <v>160</v>
      </c>
      <c r="M807" s="143"/>
      <c r="N807" s="143"/>
      <c r="O807" s="143"/>
      <c r="P807" s="143"/>
      <c r="Q807" s="143" t="s">
        <v>2661</v>
      </c>
      <c r="R807" s="143"/>
      <c r="S807" s="146"/>
      <c r="T807" s="146"/>
      <c r="U807" s="146"/>
      <c r="V807" s="147"/>
      <c r="W807" s="143" t="s">
        <v>2657</v>
      </c>
      <c r="X807" s="143" t="s">
        <v>2662</v>
      </c>
      <c r="Y807" s="143" t="s">
        <v>2657</v>
      </c>
      <c r="Z807" s="143" t="s">
        <v>2662</v>
      </c>
      <c r="AA807" s="143" t="s">
        <v>2663</v>
      </c>
      <c r="AB807" s="170"/>
      <c r="AC807" s="143"/>
      <c r="AD807" s="143"/>
      <c r="AE807" s="143"/>
      <c r="AF807" s="143"/>
      <c r="AG807" s="143"/>
      <c r="AH807" s="143"/>
      <c r="AI807" s="143"/>
      <c r="AJ807" s="143"/>
      <c r="AK807" s="143"/>
      <c r="AL807" s="143"/>
      <c r="AM807" s="143"/>
    </row>
    <row r="808" s="140" customFormat="1" ht="15" spans="1:39">
      <c r="A808" s="143">
        <v>806</v>
      </c>
      <c r="B808" s="144">
        <v>45848</v>
      </c>
      <c r="C808" s="143" t="s">
        <v>40</v>
      </c>
      <c r="D808" s="143" t="s">
        <v>2338</v>
      </c>
      <c r="E808" s="145"/>
      <c r="F808" s="143" t="s">
        <v>2653</v>
      </c>
      <c r="G808" s="143"/>
      <c r="H808" s="152" t="s">
        <v>2664</v>
      </c>
      <c r="I808" s="143" t="s">
        <v>45</v>
      </c>
      <c r="J808" s="143" t="s">
        <v>46</v>
      </c>
      <c r="K808" s="143">
        <v>185</v>
      </c>
      <c r="L808" s="143">
        <v>190</v>
      </c>
      <c r="M808" s="143"/>
      <c r="N808" s="143"/>
      <c r="O808" s="143"/>
      <c r="P808" s="143"/>
      <c r="Q808" s="143" t="s">
        <v>2661</v>
      </c>
      <c r="R808" s="143"/>
      <c r="S808" s="146"/>
      <c r="T808" s="146"/>
      <c r="U808" s="146"/>
      <c r="V808" s="147"/>
      <c r="W808" s="143" t="s">
        <v>2657</v>
      </c>
      <c r="X808" s="143" t="s">
        <v>2665</v>
      </c>
      <c r="Y808" s="143" t="s">
        <v>2657</v>
      </c>
      <c r="Z808" s="143" t="s">
        <v>2665</v>
      </c>
      <c r="AA808" s="143" t="s">
        <v>2666</v>
      </c>
      <c r="AB808" s="170"/>
      <c r="AC808" s="143"/>
      <c r="AD808" s="143"/>
      <c r="AE808" s="143"/>
      <c r="AF808" s="143"/>
      <c r="AG808" s="143"/>
      <c r="AH808" s="143"/>
      <c r="AI808" s="143"/>
      <c r="AJ808" s="143"/>
      <c r="AK808" s="143"/>
      <c r="AL808" s="143"/>
      <c r="AM808" s="143"/>
    </row>
    <row r="809" s="140" customFormat="1" ht="15" spans="1:39">
      <c r="A809" s="143">
        <v>807</v>
      </c>
      <c r="B809" s="144">
        <v>45848</v>
      </c>
      <c r="C809" s="143" t="s">
        <v>40</v>
      </c>
      <c r="D809" s="143" t="s">
        <v>2338</v>
      </c>
      <c r="E809" s="145"/>
      <c r="F809" s="143" t="s">
        <v>2653</v>
      </c>
      <c r="G809" s="143"/>
      <c r="H809" s="152" t="s">
        <v>2667</v>
      </c>
      <c r="I809" s="143" t="s">
        <v>45</v>
      </c>
      <c r="J809" s="143" t="s">
        <v>46</v>
      </c>
      <c r="K809" s="143">
        <v>185</v>
      </c>
      <c r="L809" s="143">
        <v>130</v>
      </c>
      <c r="M809" s="143"/>
      <c r="N809" s="143"/>
      <c r="O809" s="143"/>
      <c r="P809" s="143"/>
      <c r="Q809" s="143" t="s">
        <v>2668</v>
      </c>
      <c r="R809" s="143"/>
      <c r="S809" s="146"/>
      <c r="T809" s="146"/>
      <c r="U809" s="146"/>
      <c r="V809" s="147"/>
      <c r="W809" s="143" t="s">
        <v>2657</v>
      </c>
      <c r="X809" s="143" t="s">
        <v>2669</v>
      </c>
      <c r="Y809" s="143" t="s">
        <v>2657</v>
      </c>
      <c r="Z809" s="143" t="s">
        <v>2669</v>
      </c>
      <c r="AA809" s="143" t="s">
        <v>2670</v>
      </c>
      <c r="AB809" s="170"/>
      <c r="AC809" s="143"/>
      <c r="AD809" s="143"/>
      <c r="AE809" s="143"/>
      <c r="AF809" s="143"/>
      <c r="AG809" s="143"/>
      <c r="AH809" s="143"/>
      <c r="AI809" s="143"/>
      <c r="AJ809" s="143"/>
      <c r="AK809" s="143"/>
      <c r="AL809" s="143"/>
      <c r="AM809" s="143"/>
    </row>
    <row r="810" s="140" customFormat="1" ht="15" spans="1:39">
      <c r="A810" s="143">
        <v>808</v>
      </c>
      <c r="B810" s="144">
        <v>45848</v>
      </c>
      <c r="C810" s="143" t="s">
        <v>40</v>
      </c>
      <c r="D810" s="143" t="s">
        <v>2338</v>
      </c>
      <c r="E810" s="145"/>
      <c r="F810" s="143" t="s">
        <v>2653</v>
      </c>
      <c r="G810" s="143"/>
      <c r="H810" s="152" t="s">
        <v>2671</v>
      </c>
      <c r="I810" s="143" t="s">
        <v>45</v>
      </c>
      <c r="J810" s="143" t="s">
        <v>46</v>
      </c>
      <c r="K810" s="143">
        <v>185</v>
      </c>
      <c r="L810" s="143">
        <v>180</v>
      </c>
      <c r="M810" s="143"/>
      <c r="N810" s="143"/>
      <c r="O810" s="143"/>
      <c r="P810" s="143"/>
      <c r="Q810" s="143" t="s">
        <v>2672</v>
      </c>
      <c r="R810" s="143"/>
      <c r="S810" s="146"/>
      <c r="T810" s="146"/>
      <c r="U810" s="146"/>
      <c r="V810" s="147"/>
      <c r="W810" s="143" t="s">
        <v>2657</v>
      </c>
      <c r="X810" s="143">
        <v>2158</v>
      </c>
      <c r="Y810" s="143" t="s">
        <v>2657</v>
      </c>
      <c r="Z810" s="143">
        <v>2158</v>
      </c>
      <c r="AA810" s="143" t="s">
        <v>2673</v>
      </c>
      <c r="AB810" s="170"/>
      <c r="AC810" s="143"/>
      <c r="AD810" s="143"/>
      <c r="AE810" s="143"/>
      <c r="AF810" s="143"/>
      <c r="AG810" s="143"/>
      <c r="AH810" s="143"/>
      <c r="AI810" s="143"/>
      <c r="AJ810" s="143"/>
      <c r="AK810" s="143"/>
      <c r="AL810" s="143"/>
      <c r="AM810" s="143"/>
    </row>
    <row r="811" s="140" customFormat="1" ht="15" spans="1:39">
      <c r="A811" s="143">
        <v>809</v>
      </c>
      <c r="B811" s="144">
        <v>45848</v>
      </c>
      <c r="C811" s="143" t="s">
        <v>40</v>
      </c>
      <c r="D811" s="143" t="s">
        <v>2338</v>
      </c>
      <c r="E811" s="145"/>
      <c r="F811" s="143" t="s">
        <v>2653</v>
      </c>
      <c r="G811" s="143"/>
      <c r="H811" s="152" t="s">
        <v>2674</v>
      </c>
      <c r="I811" s="143" t="s">
        <v>45</v>
      </c>
      <c r="J811" s="143" t="s">
        <v>46</v>
      </c>
      <c r="K811" s="143">
        <v>175</v>
      </c>
      <c r="L811" s="143">
        <v>140</v>
      </c>
      <c r="M811" s="143"/>
      <c r="N811" s="143"/>
      <c r="O811" s="143"/>
      <c r="P811" s="143"/>
      <c r="Q811" s="143" t="s">
        <v>2675</v>
      </c>
      <c r="R811" s="143"/>
      <c r="S811" s="146"/>
      <c r="T811" s="146"/>
      <c r="U811" s="146"/>
      <c r="V811" s="147"/>
      <c r="W811" s="143" t="s">
        <v>2657</v>
      </c>
      <c r="X811" s="143" t="s">
        <v>2676</v>
      </c>
      <c r="Y811" s="143" t="s">
        <v>2657</v>
      </c>
      <c r="Z811" s="143" t="s">
        <v>2676</v>
      </c>
      <c r="AA811" s="143" t="s">
        <v>2677</v>
      </c>
      <c r="AB811" s="170"/>
      <c r="AC811" s="143"/>
      <c r="AD811" s="143"/>
      <c r="AE811" s="143"/>
      <c r="AF811" s="143"/>
      <c r="AG811" s="143"/>
      <c r="AH811" s="143"/>
      <c r="AI811" s="143"/>
      <c r="AJ811" s="143"/>
      <c r="AK811" s="143"/>
      <c r="AL811" s="143"/>
      <c r="AM811" s="143"/>
    </row>
    <row r="812" s="140" customFormat="1" ht="15" spans="1:39">
      <c r="A812" s="143">
        <v>810</v>
      </c>
      <c r="B812" s="144">
        <v>45848</v>
      </c>
      <c r="C812" s="143" t="s">
        <v>40</v>
      </c>
      <c r="D812" s="143" t="s">
        <v>2338</v>
      </c>
      <c r="E812" s="145"/>
      <c r="F812" s="143" t="s">
        <v>2653</v>
      </c>
      <c r="G812" s="143"/>
      <c r="H812" s="152" t="s">
        <v>2678</v>
      </c>
      <c r="I812" s="143" t="s">
        <v>45</v>
      </c>
      <c r="J812" s="143" t="s">
        <v>46</v>
      </c>
      <c r="K812" s="143">
        <v>185</v>
      </c>
      <c r="L812" s="143">
        <v>165</v>
      </c>
      <c r="M812" s="143"/>
      <c r="N812" s="143"/>
      <c r="O812" s="143"/>
      <c r="P812" s="143"/>
      <c r="Q812" s="143" t="s">
        <v>2679</v>
      </c>
      <c r="R812" s="143"/>
      <c r="S812" s="146"/>
      <c r="T812" s="146"/>
      <c r="U812" s="146"/>
      <c r="V812" s="147"/>
      <c r="W812" s="143" t="s">
        <v>2657</v>
      </c>
      <c r="X812" s="143" t="s">
        <v>2680</v>
      </c>
      <c r="Y812" s="143" t="s">
        <v>2657</v>
      </c>
      <c r="Z812" s="143" t="s">
        <v>2680</v>
      </c>
      <c r="AA812" s="143" t="s">
        <v>2666</v>
      </c>
      <c r="AB812" s="170"/>
      <c r="AC812" s="143"/>
      <c r="AD812" s="143"/>
      <c r="AE812" s="143"/>
      <c r="AF812" s="143"/>
      <c r="AG812" s="143"/>
      <c r="AH812" s="143"/>
      <c r="AI812" s="143"/>
      <c r="AJ812" s="143"/>
      <c r="AK812" s="143"/>
      <c r="AL812" s="143"/>
      <c r="AM812" s="143"/>
    </row>
    <row r="813" s="140" customFormat="1" ht="15" spans="1:39">
      <c r="A813" s="143">
        <v>811</v>
      </c>
      <c r="B813" s="144">
        <v>45848</v>
      </c>
      <c r="C813" s="143" t="s">
        <v>40</v>
      </c>
      <c r="D813" s="143" t="s">
        <v>2338</v>
      </c>
      <c r="E813" s="145"/>
      <c r="F813" s="143" t="s">
        <v>2653</v>
      </c>
      <c r="G813" s="143"/>
      <c r="H813" s="152" t="s">
        <v>2681</v>
      </c>
      <c r="I813" s="143" t="s">
        <v>2682</v>
      </c>
      <c r="J813" s="143" t="s">
        <v>46</v>
      </c>
      <c r="K813" s="143">
        <v>185</v>
      </c>
      <c r="L813" s="143">
        <v>180</v>
      </c>
      <c r="M813" s="143"/>
      <c r="N813" s="143"/>
      <c r="O813" s="143"/>
      <c r="P813" s="143"/>
      <c r="Q813" s="143" t="s">
        <v>2672</v>
      </c>
      <c r="R813" s="143"/>
      <c r="S813" s="146"/>
      <c r="T813" s="146"/>
      <c r="U813" s="146"/>
      <c r="V813" s="147"/>
      <c r="W813" s="143" t="s">
        <v>2657</v>
      </c>
      <c r="X813" s="143" t="s">
        <v>2683</v>
      </c>
      <c r="Y813" s="143" t="s">
        <v>2657</v>
      </c>
      <c r="Z813" s="143" t="s">
        <v>2683</v>
      </c>
      <c r="AA813" s="143" t="s">
        <v>2684</v>
      </c>
      <c r="AB813" s="170"/>
      <c r="AC813" s="143"/>
      <c r="AD813" s="143"/>
      <c r="AE813" s="143"/>
      <c r="AF813" s="143"/>
      <c r="AG813" s="143"/>
      <c r="AH813" s="143"/>
      <c r="AI813" s="143"/>
      <c r="AJ813" s="143"/>
      <c r="AK813" s="143"/>
      <c r="AL813" s="143"/>
      <c r="AM813" s="143"/>
    </row>
    <row r="814" s="140" customFormat="1" ht="15" spans="1:39">
      <c r="A814" s="143">
        <v>812</v>
      </c>
      <c r="B814" s="144">
        <v>45848</v>
      </c>
      <c r="C814" s="143" t="s">
        <v>40</v>
      </c>
      <c r="D814" s="143" t="s">
        <v>2338</v>
      </c>
      <c r="E814" s="145"/>
      <c r="F814" s="143" t="s">
        <v>2653</v>
      </c>
      <c r="G814" s="143"/>
      <c r="H814" s="152" t="s">
        <v>2685</v>
      </c>
      <c r="I814" s="143" t="s">
        <v>2655</v>
      </c>
      <c r="J814" s="143" t="s">
        <v>46</v>
      </c>
      <c r="K814" s="143">
        <v>185</v>
      </c>
      <c r="L814" s="143">
        <v>130</v>
      </c>
      <c r="M814" s="143"/>
      <c r="N814" s="143"/>
      <c r="O814" s="143"/>
      <c r="P814" s="143"/>
      <c r="Q814" s="143" t="s">
        <v>2686</v>
      </c>
      <c r="R814" s="143"/>
      <c r="S814" s="146"/>
      <c r="T814" s="146"/>
      <c r="U814" s="146"/>
      <c r="V814" s="147"/>
      <c r="W814" s="143" t="s">
        <v>2657</v>
      </c>
      <c r="X814" s="143" t="s">
        <v>2687</v>
      </c>
      <c r="Y814" s="143" t="s">
        <v>2657</v>
      </c>
      <c r="Z814" s="143" t="s">
        <v>2687</v>
      </c>
      <c r="AA814" s="143" t="s">
        <v>2688</v>
      </c>
      <c r="AB814" s="170"/>
      <c r="AC814" s="143"/>
      <c r="AD814" s="143"/>
      <c r="AE814" s="143"/>
      <c r="AF814" s="143"/>
      <c r="AG814" s="143"/>
      <c r="AH814" s="143"/>
      <c r="AI814" s="143"/>
      <c r="AJ814" s="143"/>
      <c r="AK814" s="143"/>
      <c r="AL814" s="143"/>
      <c r="AM814" s="143"/>
    </row>
    <row r="815" s="140" customFormat="1" ht="15" spans="1:39">
      <c r="A815" s="143">
        <v>813</v>
      </c>
      <c r="B815" s="144">
        <v>45848</v>
      </c>
      <c r="C815" s="143" t="s">
        <v>40</v>
      </c>
      <c r="D815" s="143" t="s">
        <v>2338</v>
      </c>
      <c r="E815" s="145"/>
      <c r="F815" s="143" t="s">
        <v>2653</v>
      </c>
      <c r="G815" s="143"/>
      <c r="H815" s="152" t="s">
        <v>2689</v>
      </c>
      <c r="I815" s="143" t="s">
        <v>2690</v>
      </c>
      <c r="J815" s="143" t="s">
        <v>2691</v>
      </c>
      <c r="K815" s="143">
        <v>175</v>
      </c>
      <c r="L815" s="143">
        <v>150</v>
      </c>
      <c r="M815" s="143"/>
      <c r="N815" s="143"/>
      <c r="O815" s="143"/>
      <c r="P815" s="143"/>
      <c r="Q815" s="143" t="s">
        <v>2661</v>
      </c>
      <c r="R815" s="143"/>
      <c r="S815" s="146"/>
      <c r="T815" s="146"/>
      <c r="U815" s="146"/>
      <c r="V815" s="147"/>
      <c r="W815" s="143" t="s">
        <v>2657</v>
      </c>
      <c r="X815" s="143" t="s">
        <v>2692</v>
      </c>
      <c r="Y815" s="143" t="s">
        <v>2657</v>
      </c>
      <c r="Z815" s="143" t="s">
        <v>2692</v>
      </c>
      <c r="AA815" s="143" t="s">
        <v>2693</v>
      </c>
      <c r="AB815" s="170"/>
      <c r="AC815" s="143"/>
      <c r="AD815" s="143"/>
      <c r="AE815" s="143"/>
      <c r="AF815" s="143"/>
      <c r="AG815" s="143"/>
      <c r="AH815" s="143"/>
      <c r="AI815" s="143"/>
      <c r="AJ815" s="143"/>
      <c r="AK815" s="143"/>
      <c r="AL815" s="143"/>
      <c r="AM815" s="143"/>
    </row>
    <row r="816" s="140" customFormat="1" ht="15" spans="1:39">
      <c r="A816" s="143">
        <v>814</v>
      </c>
      <c r="B816" s="144">
        <v>45848</v>
      </c>
      <c r="C816" s="143" t="s">
        <v>40</v>
      </c>
      <c r="D816" s="143" t="s">
        <v>2338</v>
      </c>
      <c r="E816" s="145"/>
      <c r="F816" s="143" t="s">
        <v>2653</v>
      </c>
      <c r="G816" s="143"/>
      <c r="H816" s="152" t="s">
        <v>2694</v>
      </c>
      <c r="I816" s="143" t="s">
        <v>2690</v>
      </c>
      <c r="J816" s="143" t="s">
        <v>2691</v>
      </c>
      <c r="K816" s="143">
        <v>172</v>
      </c>
      <c r="L816" s="143">
        <v>180</v>
      </c>
      <c r="M816" s="143"/>
      <c r="N816" s="143"/>
      <c r="O816" s="143"/>
      <c r="P816" s="143"/>
      <c r="Q816" s="143" t="s">
        <v>2679</v>
      </c>
      <c r="R816" s="143"/>
      <c r="S816" s="146"/>
      <c r="T816" s="146"/>
      <c r="U816" s="146"/>
      <c r="V816" s="147"/>
      <c r="W816" s="143" t="s">
        <v>2657</v>
      </c>
      <c r="X816" s="143" t="s">
        <v>2695</v>
      </c>
      <c r="Y816" s="143" t="s">
        <v>2657</v>
      </c>
      <c r="Z816" s="143" t="s">
        <v>2695</v>
      </c>
      <c r="AA816" s="143" t="s">
        <v>2688</v>
      </c>
      <c r="AB816" s="170"/>
      <c r="AC816" s="143"/>
      <c r="AD816" s="143"/>
      <c r="AE816" s="143"/>
      <c r="AF816" s="143"/>
      <c r="AG816" s="143"/>
      <c r="AH816" s="143"/>
      <c r="AI816" s="143"/>
      <c r="AJ816" s="143"/>
      <c r="AK816" s="143"/>
      <c r="AL816" s="143"/>
      <c r="AM816" s="143"/>
    </row>
    <row r="817" s="140" customFormat="1" ht="15" spans="1:39">
      <c r="A817" s="143">
        <v>815</v>
      </c>
      <c r="B817" s="144">
        <v>45848</v>
      </c>
      <c r="C817" s="143" t="s">
        <v>40</v>
      </c>
      <c r="D817" s="143" t="s">
        <v>2338</v>
      </c>
      <c r="E817" s="145"/>
      <c r="F817" s="143" t="s">
        <v>2653</v>
      </c>
      <c r="G817" s="143"/>
      <c r="H817" s="152" t="s">
        <v>2696</v>
      </c>
      <c r="I817" s="143" t="s">
        <v>2690</v>
      </c>
      <c r="J817" s="143" t="s">
        <v>2691</v>
      </c>
      <c r="K817" s="143">
        <v>178</v>
      </c>
      <c r="L817" s="143">
        <v>150</v>
      </c>
      <c r="M817" s="143"/>
      <c r="N817" s="143"/>
      <c r="O817" s="143"/>
      <c r="P817" s="143"/>
      <c r="Q817" s="143" t="s">
        <v>2697</v>
      </c>
      <c r="R817" s="143"/>
      <c r="S817" s="146"/>
      <c r="T817" s="146"/>
      <c r="U817" s="146"/>
      <c r="V817" s="147"/>
      <c r="W817" s="143" t="s">
        <v>2657</v>
      </c>
      <c r="X817" s="143" t="s">
        <v>2698</v>
      </c>
      <c r="Y817" s="143" t="s">
        <v>2657</v>
      </c>
      <c r="Z817" s="143" t="s">
        <v>2698</v>
      </c>
      <c r="AA817" s="143" t="s">
        <v>2666</v>
      </c>
      <c r="AB817" s="170"/>
      <c r="AC817" s="143"/>
      <c r="AD817" s="143"/>
      <c r="AE817" s="143"/>
      <c r="AF817" s="143"/>
      <c r="AG817" s="143"/>
      <c r="AH817" s="143"/>
      <c r="AI817" s="143"/>
      <c r="AJ817" s="143"/>
      <c r="AK817" s="143"/>
      <c r="AL817" s="143"/>
      <c r="AM817" s="143"/>
    </row>
    <row r="818" s="140" customFormat="1" ht="15" spans="1:39">
      <c r="A818" s="143">
        <v>816</v>
      </c>
      <c r="B818" s="144">
        <v>45848</v>
      </c>
      <c r="C818" s="143" t="s">
        <v>40</v>
      </c>
      <c r="D818" s="143" t="s">
        <v>2338</v>
      </c>
      <c r="E818" s="145"/>
      <c r="F818" s="143" t="s">
        <v>2653</v>
      </c>
      <c r="G818" s="143"/>
      <c r="H818" s="152" t="s">
        <v>2699</v>
      </c>
      <c r="I818" s="143" t="s">
        <v>2700</v>
      </c>
      <c r="J818" s="143" t="s">
        <v>2701</v>
      </c>
      <c r="K818" s="143">
        <v>175</v>
      </c>
      <c r="L818" s="143">
        <v>170</v>
      </c>
      <c r="M818" s="143"/>
      <c r="N818" s="143"/>
      <c r="O818" s="143"/>
      <c r="P818" s="143"/>
      <c r="Q818" s="143" t="s">
        <v>2702</v>
      </c>
      <c r="R818" s="143"/>
      <c r="S818" s="146"/>
      <c r="T818" s="146"/>
      <c r="U818" s="146"/>
      <c r="V818" s="147"/>
      <c r="W818" s="143" t="s">
        <v>2657</v>
      </c>
      <c r="X818" s="143" t="s">
        <v>2703</v>
      </c>
      <c r="Y818" s="143" t="s">
        <v>2657</v>
      </c>
      <c r="Z818" s="143" t="s">
        <v>2703</v>
      </c>
      <c r="AA818" s="143" t="s">
        <v>2673</v>
      </c>
      <c r="AB818" s="170"/>
      <c r="AC818" s="143"/>
      <c r="AD818" s="143"/>
      <c r="AE818" s="143"/>
      <c r="AF818" s="143"/>
      <c r="AG818" s="143"/>
      <c r="AH818" s="143"/>
      <c r="AI818" s="143"/>
      <c r="AJ818" s="143"/>
      <c r="AK818" s="143"/>
      <c r="AL818" s="143"/>
      <c r="AM818" s="143"/>
    </row>
    <row r="819" s="140" customFormat="1" ht="15" spans="1:39">
      <c r="A819" s="143">
        <v>817</v>
      </c>
      <c r="B819" s="144">
        <v>45848</v>
      </c>
      <c r="C819" s="143" t="s">
        <v>40</v>
      </c>
      <c r="D819" s="143" t="s">
        <v>2338</v>
      </c>
      <c r="E819" s="145"/>
      <c r="F819" s="143" t="s">
        <v>2653</v>
      </c>
      <c r="G819" s="143"/>
      <c r="H819" s="152" t="s">
        <v>2704</v>
      </c>
      <c r="I819" s="143" t="s">
        <v>2700</v>
      </c>
      <c r="J819" s="143" t="s">
        <v>2701</v>
      </c>
      <c r="K819" s="143">
        <v>175</v>
      </c>
      <c r="L819" s="143">
        <v>170</v>
      </c>
      <c r="M819" s="143"/>
      <c r="N819" s="143"/>
      <c r="O819" s="143"/>
      <c r="P819" s="143"/>
      <c r="Q819" s="143" t="s">
        <v>2705</v>
      </c>
      <c r="R819" s="143"/>
      <c r="S819" s="146"/>
      <c r="T819" s="146"/>
      <c r="U819" s="146"/>
      <c r="V819" s="147"/>
      <c r="W819" s="143" t="s">
        <v>2657</v>
      </c>
      <c r="X819" s="143" t="s">
        <v>2706</v>
      </c>
      <c r="Y819" s="143" t="s">
        <v>2657</v>
      </c>
      <c r="Z819" s="143" t="s">
        <v>2706</v>
      </c>
      <c r="AA819" s="143" t="s">
        <v>2707</v>
      </c>
      <c r="AB819" s="170"/>
      <c r="AC819" s="143"/>
      <c r="AD819" s="143"/>
      <c r="AE819" s="143"/>
      <c r="AF819" s="143"/>
      <c r="AG819" s="143"/>
      <c r="AH819" s="143"/>
      <c r="AI819" s="143"/>
      <c r="AJ819" s="143"/>
      <c r="AK819" s="143"/>
      <c r="AL819" s="143"/>
      <c r="AM819" s="143"/>
    </row>
    <row r="820" s="140" customFormat="1" ht="15" spans="1:39">
      <c r="A820" s="143">
        <v>818</v>
      </c>
      <c r="B820" s="144">
        <v>45848</v>
      </c>
      <c r="C820" s="143" t="s">
        <v>40</v>
      </c>
      <c r="D820" s="143" t="s">
        <v>2338</v>
      </c>
      <c r="E820" s="145"/>
      <c r="F820" s="143" t="s">
        <v>2653</v>
      </c>
      <c r="G820" s="143"/>
      <c r="H820" s="152" t="s">
        <v>2708</v>
      </c>
      <c r="I820" s="143" t="s">
        <v>2709</v>
      </c>
      <c r="J820" s="143" t="s">
        <v>2710</v>
      </c>
      <c r="K820" s="143">
        <v>185</v>
      </c>
      <c r="L820" s="143">
        <v>180</v>
      </c>
      <c r="M820" s="143"/>
      <c r="N820" s="143"/>
      <c r="O820" s="143"/>
      <c r="P820" s="143"/>
      <c r="Q820" s="143" t="s">
        <v>2711</v>
      </c>
      <c r="R820" s="143"/>
      <c r="S820" s="146"/>
      <c r="T820" s="146"/>
      <c r="U820" s="146"/>
      <c r="V820" s="147"/>
      <c r="W820" s="143" t="s">
        <v>2657</v>
      </c>
      <c r="X820" s="143" t="s">
        <v>2712</v>
      </c>
      <c r="Y820" s="143" t="s">
        <v>2657</v>
      </c>
      <c r="Z820" s="143" t="s">
        <v>2712</v>
      </c>
      <c r="AA820" s="143" t="s">
        <v>2713</v>
      </c>
      <c r="AB820" s="170"/>
      <c r="AC820" s="143"/>
      <c r="AD820" s="143"/>
      <c r="AE820" s="143"/>
      <c r="AF820" s="143"/>
      <c r="AG820" s="143"/>
      <c r="AH820" s="143"/>
      <c r="AI820" s="143"/>
      <c r="AJ820" s="143"/>
      <c r="AK820" s="143"/>
      <c r="AL820" s="143"/>
      <c r="AM820" s="143"/>
    </row>
    <row r="821" s="140" customFormat="1" ht="15" spans="1:39">
      <c r="A821" s="143">
        <v>819</v>
      </c>
      <c r="B821" s="144">
        <v>45848</v>
      </c>
      <c r="C821" s="143" t="s">
        <v>40</v>
      </c>
      <c r="D821" s="143" t="s">
        <v>2338</v>
      </c>
      <c r="E821" s="145"/>
      <c r="F821" s="143" t="s">
        <v>2653</v>
      </c>
      <c r="G821" s="143"/>
      <c r="H821" s="152" t="s">
        <v>2714</v>
      </c>
      <c r="I821" s="143" t="s">
        <v>2715</v>
      </c>
      <c r="J821" s="143" t="s">
        <v>2716</v>
      </c>
      <c r="K821" s="143">
        <v>175</v>
      </c>
      <c r="L821" s="143">
        <v>180</v>
      </c>
      <c r="M821" s="143"/>
      <c r="N821" s="143"/>
      <c r="O821" s="143"/>
      <c r="P821" s="143"/>
      <c r="Q821" s="143" t="s">
        <v>2717</v>
      </c>
      <c r="R821" s="143"/>
      <c r="S821" s="146"/>
      <c r="T821" s="146"/>
      <c r="U821" s="146"/>
      <c r="V821" s="147"/>
      <c r="W821" s="143" t="s">
        <v>2657</v>
      </c>
      <c r="X821" s="143" t="s">
        <v>2718</v>
      </c>
      <c r="Y821" s="143" t="s">
        <v>2657</v>
      </c>
      <c r="Z821" s="143" t="s">
        <v>2718</v>
      </c>
      <c r="AA821" s="143" t="s">
        <v>2659</v>
      </c>
      <c r="AB821" s="170"/>
      <c r="AC821" s="143"/>
      <c r="AD821" s="143"/>
      <c r="AE821" s="143"/>
      <c r="AF821" s="143"/>
      <c r="AG821" s="143"/>
      <c r="AH821" s="143"/>
      <c r="AI821" s="143"/>
      <c r="AJ821" s="143"/>
      <c r="AK821" s="143"/>
      <c r="AL821" s="143"/>
      <c r="AM821" s="143"/>
    </row>
    <row r="822" s="140" customFormat="1" ht="15" spans="1:39">
      <c r="A822" s="143">
        <v>820</v>
      </c>
      <c r="B822" s="144">
        <v>45848</v>
      </c>
      <c r="C822" s="143" t="s">
        <v>40</v>
      </c>
      <c r="D822" s="143" t="s">
        <v>2338</v>
      </c>
      <c r="E822" s="145"/>
      <c r="F822" s="143" t="s">
        <v>2653</v>
      </c>
      <c r="G822" s="143"/>
      <c r="H822" s="152" t="s">
        <v>2719</v>
      </c>
      <c r="I822" s="143" t="s">
        <v>2720</v>
      </c>
      <c r="J822" s="143" t="s">
        <v>2721</v>
      </c>
      <c r="K822" s="143">
        <v>175</v>
      </c>
      <c r="L822" s="143">
        <v>180</v>
      </c>
      <c r="M822" s="143"/>
      <c r="N822" s="143"/>
      <c r="O822" s="143"/>
      <c r="P822" s="143"/>
      <c r="Q822" s="143" t="s">
        <v>2702</v>
      </c>
      <c r="R822" s="143"/>
      <c r="S822" s="146"/>
      <c r="T822" s="146"/>
      <c r="U822" s="146"/>
      <c r="V822" s="147"/>
      <c r="W822" s="143" t="s">
        <v>2657</v>
      </c>
      <c r="X822" s="143" t="s">
        <v>2722</v>
      </c>
      <c r="Y822" s="143" t="s">
        <v>2657</v>
      </c>
      <c r="Z822" s="143" t="s">
        <v>2722</v>
      </c>
      <c r="AA822" s="143" t="s">
        <v>2684</v>
      </c>
      <c r="AB822" s="170"/>
      <c r="AC822" s="143"/>
      <c r="AD822" s="143"/>
      <c r="AE822" s="143"/>
      <c r="AF822" s="143"/>
      <c r="AG822" s="143"/>
      <c r="AH822" s="143"/>
      <c r="AI822" s="143"/>
      <c r="AJ822" s="143"/>
      <c r="AK822" s="143"/>
      <c r="AL822" s="143"/>
      <c r="AM822" s="143"/>
    </row>
    <row r="823" s="140" customFormat="1" ht="15" spans="1:39">
      <c r="A823" s="143">
        <v>821</v>
      </c>
      <c r="B823" s="144">
        <v>45848</v>
      </c>
      <c r="C823" s="143" t="s">
        <v>40</v>
      </c>
      <c r="D823" s="143" t="s">
        <v>2338</v>
      </c>
      <c r="E823" s="145"/>
      <c r="F823" s="143" t="s">
        <v>2653</v>
      </c>
      <c r="G823" s="143"/>
      <c r="H823" s="152" t="s">
        <v>2723</v>
      </c>
      <c r="I823" s="143" t="s">
        <v>2724</v>
      </c>
      <c r="J823" s="143" t="s">
        <v>2725</v>
      </c>
      <c r="K823" s="143">
        <v>185</v>
      </c>
      <c r="L823" s="143">
        <v>170</v>
      </c>
      <c r="M823" s="143"/>
      <c r="N823" s="143"/>
      <c r="O823" s="143"/>
      <c r="P823" s="143"/>
      <c r="Q823" s="143" t="s">
        <v>2726</v>
      </c>
      <c r="R823" s="143"/>
      <c r="S823" s="146"/>
      <c r="T823" s="146"/>
      <c r="U823" s="146"/>
      <c r="V823" s="147"/>
      <c r="W823" s="143" t="s">
        <v>2657</v>
      </c>
      <c r="X823" s="143">
        <v>2335</v>
      </c>
      <c r="Y823" s="143" t="s">
        <v>2657</v>
      </c>
      <c r="Z823" s="143">
        <v>2335</v>
      </c>
      <c r="AA823" s="143" t="s">
        <v>2727</v>
      </c>
      <c r="AB823" s="170"/>
      <c r="AC823" s="143"/>
      <c r="AD823" s="143"/>
      <c r="AE823" s="143"/>
      <c r="AF823" s="143"/>
      <c r="AG823" s="143"/>
      <c r="AH823" s="143"/>
      <c r="AI823" s="143"/>
      <c r="AJ823" s="143"/>
      <c r="AK823" s="143"/>
      <c r="AL823" s="143"/>
      <c r="AM823" s="143"/>
    </row>
    <row r="824" s="140" customFormat="1" ht="15" spans="1:39">
      <c r="A824" s="143">
        <v>822</v>
      </c>
      <c r="B824" s="144">
        <v>45848</v>
      </c>
      <c r="C824" s="143" t="s">
        <v>40</v>
      </c>
      <c r="D824" s="143" t="s">
        <v>2338</v>
      </c>
      <c r="E824" s="145"/>
      <c r="F824" s="143" t="s">
        <v>2653</v>
      </c>
      <c r="G824" s="143"/>
      <c r="H824" s="152" t="s">
        <v>2728</v>
      </c>
      <c r="I824" s="143" t="s">
        <v>2729</v>
      </c>
      <c r="J824" s="143" t="s">
        <v>2730</v>
      </c>
      <c r="K824" s="143">
        <v>175</v>
      </c>
      <c r="L824" s="143">
        <v>180</v>
      </c>
      <c r="M824" s="143"/>
      <c r="N824" s="143"/>
      <c r="O824" s="143"/>
      <c r="P824" s="143"/>
      <c r="Q824" s="143" t="s">
        <v>2697</v>
      </c>
      <c r="R824" s="143"/>
      <c r="S824" s="146"/>
      <c r="T824" s="146"/>
      <c r="U824" s="146"/>
      <c r="V824" s="147"/>
      <c r="W824" s="143" t="s">
        <v>2657</v>
      </c>
      <c r="X824" s="143" t="s">
        <v>2731</v>
      </c>
      <c r="Y824" s="143" t="s">
        <v>2657</v>
      </c>
      <c r="Z824" s="143" t="s">
        <v>2731</v>
      </c>
      <c r="AA824" s="143" t="s">
        <v>2666</v>
      </c>
      <c r="AB824" s="170"/>
      <c r="AC824" s="143"/>
      <c r="AD824" s="143"/>
      <c r="AE824" s="143"/>
      <c r="AF824" s="143"/>
      <c r="AG824" s="143"/>
      <c r="AH824" s="143"/>
      <c r="AI824" s="143"/>
      <c r="AJ824" s="143"/>
      <c r="AK824" s="143"/>
      <c r="AL824" s="143"/>
      <c r="AM824" s="143"/>
    </row>
    <row r="825" s="140" customFormat="1" ht="15" spans="1:39">
      <c r="A825" s="143">
        <v>823</v>
      </c>
      <c r="B825" s="144">
        <v>45848</v>
      </c>
      <c r="C825" s="143" t="s">
        <v>40</v>
      </c>
      <c r="D825" s="143" t="s">
        <v>2338</v>
      </c>
      <c r="E825" s="145"/>
      <c r="F825" s="143" t="s">
        <v>2653</v>
      </c>
      <c r="G825" s="143"/>
      <c r="H825" s="152" t="s">
        <v>2732</v>
      </c>
      <c r="I825" s="143" t="s">
        <v>2733</v>
      </c>
      <c r="J825" s="143" t="s">
        <v>2734</v>
      </c>
      <c r="K825" s="143">
        <v>175</v>
      </c>
      <c r="L825" s="143">
        <v>160</v>
      </c>
      <c r="M825" s="143"/>
      <c r="N825" s="143"/>
      <c r="O825" s="143"/>
      <c r="P825" s="143"/>
      <c r="Q825" s="143" t="s">
        <v>2717</v>
      </c>
      <c r="R825" s="143"/>
      <c r="S825" s="146"/>
      <c r="T825" s="146"/>
      <c r="U825" s="146"/>
      <c r="V825" s="147"/>
      <c r="W825" s="143" t="s">
        <v>2657</v>
      </c>
      <c r="X825" s="143">
        <v>2309</v>
      </c>
      <c r="Y825" s="143" t="s">
        <v>2657</v>
      </c>
      <c r="Z825" s="143">
        <v>2309</v>
      </c>
      <c r="AA825" s="143" t="s">
        <v>2735</v>
      </c>
      <c r="AB825" s="170"/>
      <c r="AC825" s="143"/>
      <c r="AD825" s="143"/>
      <c r="AE825" s="143"/>
      <c r="AF825" s="143"/>
      <c r="AG825" s="143"/>
      <c r="AH825" s="143"/>
      <c r="AI825" s="143"/>
      <c r="AJ825" s="143"/>
      <c r="AK825" s="143"/>
      <c r="AL825" s="143"/>
      <c r="AM825" s="143"/>
    </row>
    <row r="826" s="140" customFormat="1" ht="15" spans="1:39">
      <c r="A826" s="143">
        <v>824</v>
      </c>
      <c r="B826" s="144">
        <v>45848</v>
      </c>
      <c r="C826" s="143" t="s">
        <v>40</v>
      </c>
      <c r="D826" s="143" t="s">
        <v>2338</v>
      </c>
      <c r="E826" s="145"/>
      <c r="F826" s="143" t="s">
        <v>2653</v>
      </c>
      <c r="G826" s="143"/>
      <c r="H826" s="152" t="s">
        <v>2736</v>
      </c>
      <c r="I826" s="143" t="s">
        <v>45</v>
      </c>
      <c r="J826" s="143" t="s">
        <v>46</v>
      </c>
      <c r="K826" s="143">
        <v>175</v>
      </c>
      <c r="L826" s="143">
        <v>180</v>
      </c>
      <c r="M826" s="143"/>
      <c r="N826" s="143"/>
      <c r="O826" s="143"/>
      <c r="P826" s="143"/>
      <c r="Q826" s="143" t="s">
        <v>2675</v>
      </c>
      <c r="R826" s="143"/>
      <c r="S826" s="146"/>
      <c r="T826" s="146"/>
      <c r="U826" s="146"/>
      <c r="V826" s="147"/>
      <c r="W826" s="143" t="s">
        <v>2657</v>
      </c>
      <c r="X826" s="143">
        <v>2466</v>
      </c>
      <c r="Y826" s="143" t="s">
        <v>2657</v>
      </c>
      <c r="Z826" s="143">
        <v>2466</v>
      </c>
      <c r="AA826" s="143" t="s">
        <v>2677</v>
      </c>
      <c r="AB826" s="170"/>
      <c r="AC826" s="143"/>
      <c r="AD826" s="143"/>
      <c r="AE826" s="143"/>
      <c r="AF826" s="143"/>
      <c r="AG826" s="143"/>
      <c r="AH826" s="143"/>
      <c r="AI826" s="143"/>
      <c r="AJ826" s="143"/>
      <c r="AK826" s="143"/>
      <c r="AL826" s="143"/>
      <c r="AM826" s="143"/>
    </row>
    <row r="827" s="140" customFormat="1" ht="15" spans="1:39">
      <c r="A827" s="143">
        <v>825</v>
      </c>
      <c r="B827" s="144">
        <v>45848</v>
      </c>
      <c r="C827" s="143" t="s">
        <v>40</v>
      </c>
      <c r="D827" s="143" t="s">
        <v>2338</v>
      </c>
      <c r="E827" s="145"/>
      <c r="F827" s="143" t="s">
        <v>2653</v>
      </c>
      <c r="G827" s="143"/>
      <c r="H827" s="152" t="s">
        <v>2737</v>
      </c>
      <c r="I827" s="143" t="s">
        <v>2700</v>
      </c>
      <c r="J827" s="143" t="s">
        <v>2701</v>
      </c>
      <c r="K827" s="143">
        <v>175</v>
      </c>
      <c r="L827" s="143">
        <v>180</v>
      </c>
      <c r="M827" s="143"/>
      <c r="N827" s="143"/>
      <c r="O827" s="143"/>
      <c r="P827" s="143"/>
      <c r="Q827" s="143" t="s">
        <v>2661</v>
      </c>
      <c r="R827" s="143"/>
      <c r="S827" s="146"/>
      <c r="T827" s="146"/>
      <c r="U827" s="146"/>
      <c r="V827" s="147"/>
      <c r="W827" s="143" t="s">
        <v>2657</v>
      </c>
      <c r="X827" s="143" t="s">
        <v>2738</v>
      </c>
      <c r="Y827" s="143" t="s">
        <v>2657</v>
      </c>
      <c r="Z827" s="143" t="s">
        <v>2738</v>
      </c>
      <c r="AA827" s="143" t="s">
        <v>2739</v>
      </c>
      <c r="AB827" s="170"/>
      <c r="AC827" s="143"/>
      <c r="AD827" s="143"/>
      <c r="AE827" s="143"/>
      <c r="AF827" s="143"/>
      <c r="AG827" s="143"/>
      <c r="AH827" s="143"/>
      <c r="AI827" s="143"/>
      <c r="AJ827" s="143"/>
      <c r="AK827" s="143"/>
      <c r="AL827" s="143"/>
      <c r="AM827" s="143"/>
    </row>
    <row r="828" s="140" customFormat="1" ht="15" spans="1:39">
      <c r="A828" s="143">
        <v>826</v>
      </c>
      <c r="B828" s="144">
        <v>45848</v>
      </c>
      <c r="C828" s="143" t="s">
        <v>40</v>
      </c>
      <c r="D828" s="143" t="s">
        <v>2338</v>
      </c>
      <c r="E828" s="145"/>
      <c r="F828" s="143" t="s">
        <v>2653</v>
      </c>
      <c r="G828" s="143"/>
      <c r="H828" s="152" t="s">
        <v>2740</v>
      </c>
      <c r="I828" s="143" t="s">
        <v>2741</v>
      </c>
      <c r="J828" s="143" t="s">
        <v>2742</v>
      </c>
      <c r="K828" s="143">
        <v>150</v>
      </c>
      <c r="L828" s="143">
        <v>190</v>
      </c>
      <c r="M828" s="143"/>
      <c r="N828" s="143"/>
      <c r="O828" s="143"/>
      <c r="P828" s="143"/>
      <c r="Q828" s="143" t="s">
        <v>2702</v>
      </c>
      <c r="R828" s="143"/>
      <c r="S828" s="146"/>
      <c r="T828" s="146"/>
      <c r="U828" s="146"/>
      <c r="V828" s="147"/>
      <c r="W828" s="143" t="s">
        <v>2657</v>
      </c>
      <c r="X828" s="143">
        <v>2349</v>
      </c>
      <c r="Y828" s="143" t="s">
        <v>2657</v>
      </c>
      <c r="Z828" s="143">
        <v>2349</v>
      </c>
      <c r="AA828" s="143" t="s">
        <v>2684</v>
      </c>
      <c r="AB828" s="170"/>
      <c r="AC828" s="143"/>
      <c r="AD828" s="143"/>
      <c r="AE828" s="143"/>
      <c r="AF828" s="143"/>
      <c r="AG828" s="143"/>
      <c r="AH828" s="143"/>
      <c r="AI828" s="143"/>
      <c r="AJ828" s="143"/>
      <c r="AK828" s="143"/>
      <c r="AL828" s="143"/>
      <c r="AM828" s="143"/>
    </row>
    <row r="829" s="140" customFormat="1" ht="15" spans="1:39">
      <c r="A829" s="143">
        <v>827</v>
      </c>
      <c r="B829" s="144">
        <v>45848</v>
      </c>
      <c r="C829" s="143" t="s">
        <v>40</v>
      </c>
      <c r="D829" s="143" t="s">
        <v>2338</v>
      </c>
      <c r="E829" s="145"/>
      <c r="F829" s="143" t="s">
        <v>2653</v>
      </c>
      <c r="G829" s="143"/>
      <c r="H829" s="152" t="s">
        <v>2743</v>
      </c>
      <c r="I829" s="143" t="s">
        <v>2744</v>
      </c>
      <c r="J829" s="143" t="s">
        <v>2691</v>
      </c>
      <c r="K829" s="143">
        <v>145</v>
      </c>
      <c r="L829" s="143">
        <v>180</v>
      </c>
      <c r="M829" s="143"/>
      <c r="N829" s="143"/>
      <c r="O829" s="143"/>
      <c r="P829" s="143"/>
      <c r="Q829" s="143" t="s">
        <v>2745</v>
      </c>
      <c r="R829" s="143"/>
      <c r="S829" s="146"/>
      <c r="T829" s="146"/>
      <c r="U829" s="146"/>
      <c r="V829" s="147"/>
      <c r="W829" s="143" t="s">
        <v>2657</v>
      </c>
      <c r="X829" s="143" t="s">
        <v>2746</v>
      </c>
      <c r="Y829" s="143" t="s">
        <v>2657</v>
      </c>
      <c r="Z829" s="143" t="s">
        <v>2746</v>
      </c>
      <c r="AA829" s="143" t="s">
        <v>2684</v>
      </c>
      <c r="AB829" s="170"/>
      <c r="AC829" s="143"/>
      <c r="AD829" s="143"/>
      <c r="AE829" s="143"/>
      <c r="AF829" s="143"/>
      <c r="AG829" s="143"/>
      <c r="AH829" s="143"/>
      <c r="AI829" s="143"/>
      <c r="AJ829" s="143"/>
      <c r="AK829" s="143"/>
      <c r="AL829" s="143"/>
      <c r="AM829" s="143"/>
    </row>
    <row r="830" s="140" customFormat="1" ht="15" spans="1:39">
      <c r="A830" s="143">
        <v>828</v>
      </c>
      <c r="B830" s="144">
        <v>45848</v>
      </c>
      <c r="C830" s="143" t="s">
        <v>40</v>
      </c>
      <c r="D830" s="143" t="s">
        <v>2338</v>
      </c>
      <c r="E830" s="145"/>
      <c r="F830" s="143" t="s">
        <v>2653</v>
      </c>
      <c r="G830" s="143"/>
      <c r="H830" s="152" t="s">
        <v>2747</v>
      </c>
      <c r="I830" s="143" t="s">
        <v>2748</v>
      </c>
      <c r="J830" s="143" t="s">
        <v>2749</v>
      </c>
      <c r="K830" s="143">
        <v>185</v>
      </c>
      <c r="L830" s="143">
        <v>170</v>
      </c>
      <c r="M830" s="143"/>
      <c r="N830" s="143"/>
      <c r="O830" s="143"/>
      <c r="P830" s="143"/>
      <c r="Q830" s="143" t="s">
        <v>2679</v>
      </c>
      <c r="R830" s="143"/>
      <c r="S830" s="146"/>
      <c r="T830" s="146"/>
      <c r="U830" s="146"/>
      <c r="V830" s="147"/>
      <c r="W830" s="143" t="s">
        <v>2657</v>
      </c>
      <c r="X830" s="143">
        <v>2464</v>
      </c>
      <c r="Y830" s="143" t="s">
        <v>2657</v>
      </c>
      <c r="Z830" s="143">
        <v>2464</v>
      </c>
      <c r="AA830" s="143" t="s">
        <v>2666</v>
      </c>
      <c r="AB830" s="170"/>
      <c r="AC830" s="143"/>
      <c r="AD830" s="143"/>
      <c r="AE830" s="143"/>
      <c r="AF830" s="143"/>
      <c r="AG830" s="143"/>
      <c r="AH830" s="143"/>
      <c r="AI830" s="143"/>
      <c r="AJ830" s="143"/>
      <c r="AK830" s="143"/>
      <c r="AL830" s="143"/>
      <c r="AM830" s="143"/>
    </row>
    <row r="831" s="140" customFormat="1" ht="15" spans="1:39">
      <c r="A831" s="143">
        <v>829</v>
      </c>
      <c r="B831" s="144">
        <v>45848</v>
      </c>
      <c r="C831" s="143" t="s">
        <v>40</v>
      </c>
      <c r="D831" s="143" t="s">
        <v>2338</v>
      </c>
      <c r="E831" s="145"/>
      <c r="F831" s="143" t="s">
        <v>2653</v>
      </c>
      <c r="G831" s="143"/>
      <c r="H831" s="152" t="s">
        <v>2750</v>
      </c>
      <c r="I831" s="143" t="s">
        <v>2751</v>
      </c>
      <c r="J831" s="143" t="s">
        <v>2752</v>
      </c>
      <c r="K831" s="143">
        <v>190</v>
      </c>
      <c r="L831" s="143">
        <v>170</v>
      </c>
      <c r="M831" s="143"/>
      <c r="N831" s="143"/>
      <c r="O831" s="143"/>
      <c r="P831" s="143"/>
      <c r="Q831" s="143" t="s">
        <v>2753</v>
      </c>
      <c r="R831" s="143"/>
      <c r="S831" s="146"/>
      <c r="T831" s="146"/>
      <c r="U831" s="146"/>
      <c r="V831" s="147"/>
      <c r="W831" s="143" t="s">
        <v>2657</v>
      </c>
      <c r="X831" s="143" t="s">
        <v>2754</v>
      </c>
      <c r="Y831" s="143" t="s">
        <v>2657</v>
      </c>
      <c r="Z831" s="143" t="s">
        <v>2754</v>
      </c>
      <c r="AA831" s="143" t="s">
        <v>2755</v>
      </c>
      <c r="AB831" s="170"/>
      <c r="AC831" s="143"/>
      <c r="AD831" s="143"/>
      <c r="AE831" s="143"/>
      <c r="AF831" s="143"/>
      <c r="AG831" s="143"/>
      <c r="AH831" s="143"/>
      <c r="AI831" s="143"/>
      <c r="AJ831" s="143"/>
      <c r="AK831" s="143"/>
      <c r="AL831" s="143"/>
      <c r="AM831" s="143"/>
    </row>
    <row r="832" s="140" customFormat="1" ht="15" spans="1:39">
      <c r="A832" s="143">
        <v>830</v>
      </c>
      <c r="B832" s="144">
        <v>45848</v>
      </c>
      <c r="C832" s="143" t="s">
        <v>40</v>
      </c>
      <c r="D832" s="143" t="s">
        <v>2338</v>
      </c>
      <c r="E832" s="145"/>
      <c r="F832" s="143" t="s">
        <v>2653</v>
      </c>
      <c r="G832" s="143"/>
      <c r="H832" s="152" t="s">
        <v>2756</v>
      </c>
      <c r="I832" s="143" t="s">
        <v>2751</v>
      </c>
      <c r="J832" s="143" t="s">
        <v>2752</v>
      </c>
      <c r="K832" s="143">
        <v>185</v>
      </c>
      <c r="L832" s="143">
        <v>170</v>
      </c>
      <c r="M832" s="143"/>
      <c r="N832" s="143"/>
      <c r="O832" s="143"/>
      <c r="P832" s="143"/>
      <c r="Q832" s="143" t="s">
        <v>2757</v>
      </c>
      <c r="R832" s="143"/>
      <c r="S832" s="146"/>
      <c r="T832" s="146"/>
      <c r="U832" s="146"/>
      <c r="V832" s="147"/>
      <c r="W832" s="143" t="s">
        <v>2657</v>
      </c>
      <c r="X832" s="143" t="s">
        <v>2758</v>
      </c>
      <c r="Y832" s="143" t="s">
        <v>2657</v>
      </c>
      <c r="Z832" s="143" t="s">
        <v>2758</v>
      </c>
      <c r="AA832" s="143" t="s">
        <v>2755</v>
      </c>
      <c r="AB832" s="170"/>
      <c r="AC832" s="143"/>
      <c r="AD832" s="143"/>
      <c r="AE832" s="143"/>
      <c r="AF832" s="143"/>
      <c r="AG832" s="143"/>
      <c r="AH832" s="143"/>
      <c r="AI832" s="143"/>
      <c r="AJ832" s="143"/>
      <c r="AK832" s="143"/>
      <c r="AL832" s="143"/>
      <c r="AM832" s="143"/>
    </row>
    <row r="833" s="140" customFormat="1" ht="15" spans="1:39">
      <c r="A833" s="143">
        <v>831</v>
      </c>
      <c r="B833" s="144">
        <v>45850</v>
      </c>
      <c r="C833" s="143" t="s">
        <v>40</v>
      </c>
      <c r="D833" s="143" t="s">
        <v>2338</v>
      </c>
      <c r="E833" s="145"/>
      <c r="F833" s="143" t="s">
        <v>2759</v>
      </c>
      <c r="G833" s="143"/>
      <c r="H833" s="152" t="s">
        <v>2760</v>
      </c>
      <c r="I833" s="143" t="s">
        <v>330</v>
      </c>
      <c r="J833" s="143" t="s">
        <v>325</v>
      </c>
      <c r="K833" s="143">
        <v>150</v>
      </c>
      <c r="L833" s="143">
        <v>105</v>
      </c>
      <c r="M833" s="143"/>
      <c r="N833" s="143"/>
      <c r="O833" s="143"/>
      <c r="P833" s="143"/>
      <c r="Q833" s="143"/>
      <c r="R833" s="143"/>
      <c r="S833" s="146"/>
      <c r="T833" s="146"/>
      <c r="U833" s="146"/>
      <c r="V833" s="147"/>
      <c r="W833" s="143" t="s">
        <v>2761</v>
      </c>
      <c r="X833" s="143" t="s">
        <v>2762</v>
      </c>
      <c r="Y833" s="143" t="s">
        <v>2761</v>
      </c>
      <c r="Z833" s="143" t="s">
        <v>2762</v>
      </c>
      <c r="AA833" s="143">
        <v>6.6</v>
      </c>
      <c r="AB833" s="170"/>
      <c r="AC833" s="143"/>
      <c r="AD833" s="143"/>
      <c r="AE833" s="143"/>
      <c r="AF833" s="143"/>
      <c r="AG833" s="143"/>
      <c r="AH833" s="143"/>
      <c r="AI833" s="143"/>
      <c r="AJ833" s="143"/>
      <c r="AK833" s="143"/>
      <c r="AL833" s="143"/>
      <c r="AM833" s="143"/>
    </row>
    <row r="834" s="140" customFormat="1" ht="15" spans="1:39">
      <c r="A834" s="143">
        <v>832</v>
      </c>
      <c r="B834" s="144">
        <v>45850</v>
      </c>
      <c r="C834" s="143" t="s">
        <v>40</v>
      </c>
      <c r="D834" s="143" t="s">
        <v>2338</v>
      </c>
      <c r="E834" s="145"/>
      <c r="F834" s="143" t="s">
        <v>2763</v>
      </c>
      <c r="G834" s="143"/>
      <c r="H834" s="152" t="s">
        <v>2764</v>
      </c>
      <c r="I834" s="143" t="s">
        <v>330</v>
      </c>
      <c r="J834" s="143" t="s">
        <v>325</v>
      </c>
      <c r="K834" s="143">
        <v>150</v>
      </c>
      <c r="L834" s="143">
        <v>85</v>
      </c>
      <c r="M834" s="143"/>
      <c r="N834" s="143"/>
      <c r="O834" s="143"/>
      <c r="P834" s="143"/>
      <c r="Q834" s="143"/>
      <c r="R834" s="143"/>
      <c r="S834" s="146"/>
      <c r="T834" s="146"/>
      <c r="U834" s="146"/>
      <c r="V834" s="147"/>
      <c r="W834" s="143" t="s">
        <v>2761</v>
      </c>
      <c r="X834" s="143" t="s">
        <v>2763</v>
      </c>
      <c r="Y834" s="143" t="s">
        <v>2761</v>
      </c>
      <c r="Z834" s="143" t="s">
        <v>2763</v>
      </c>
      <c r="AA834" s="143">
        <v>5</v>
      </c>
      <c r="AB834" s="170"/>
      <c r="AC834" s="143"/>
      <c r="AD834" s="143"/>
      <c r="AE834" s="143"/>
      <c r="AF834" s="143"/>
      <c r="AG834" s="143"/>
      <c r="AH834" s="143"/>
      <c r="AI834" s="143"/>
      <c r="AJ834" s="143"/>
      <c r="AK834" s="143"/>
      <c r="AL834" s="143"/>
      <c r="AM834" s="143"/>
    </row>
    <row r="835" s="140" customFormat="1" ht="15" spans="1:39">
      <c r="A835" s="143">
        <v>833</v>
      </c>
      <c r="B835" s="144">
        <v>45850</v>
      </c>
      <c r="C835" s="143" t="s">
        <v>40</v>
      </c>
      <c r="D835" s="143" t="s">
        <v>2338</v>
      </c>
      <c r="E835" s="145"/>
      <c r="F835" s="143" t="s">
        <v>2765</v>
      </c>
      <c r="G835" s="143"/>
      <c r="H835" s="152" t="s">
        <v>2766</v>
      </c>
      <c r="I835" s="143" t="s">
        <v>330</v>
      </c>
      <c r="J835" s="143" t="s">
        <v>325</v>
      </c>
      <c r="K835" s="143">
        <v>150</v>
      </c>
      <c r="L835" s="143">
        <v>95</v>
      </c>
      <c r="M835" s="143"/>
      <c r="N835" s="143"/>
      <c r="O835" s="143"/>
      <c r="P835" s="143"/>
      <c r="Q835" s="143"/>
      <c r="R835" s="143"/>
      <c r="S835" s="146"/>
      <c r="T835" s="146"/>
      <c r="U835" s="146"/>
      <c r="V835" s="147"/>
      <c r="W835" s="143" t="s">
        <v>49</v>
      </c>
      <c r="X835" s="143">
        <v>6002</v>
      </c>
      <c r="Y835" s="143" t="s">
        <v>418</v>
      </c>
      <c r="Z835" s="143">
        <v>6002</v>
      </c>
      <c r="AA835" s="143">
        <v>6.2</v>
      </c>
      <c r="AB835" s="170"/>
      <c r="AC835" s="143"/>
      <c r="AD835" s="143"/>
      <c r="AE835" s="143"/>
      <c r="AF835" s="143"/>
      <c r="AG835" s="143"/>
      <c r="AH835" s="169" t="s">
        <v>2767</v>
      </c>
      <c r="AI835" s="143"/>
      <c r="AJ835" s="143"/>
      <c r="AK835" s="143"/>
      <c r="AL835" s="143"/>
      <c r="AM835" s="143"/>
    </row>
    <row r="836" s="140" customFormat="1" ht="15" spans="1:39">
      <c r="A836" s="143">
        <v>834</v>
      </c>
      <c r="B836" s="144">
        <v>45850</v>
      </c>
      <c r="C836" s="143" t="s">
        <v>40</v>
      </c>
      <c r="D836" s="143" t="s">
        <v>2338</v>
      </c>
      <c r="E836" s="145"/>
      <c r="F836" s="143" t="s">
        <v>2768</v>
      </c>
      <c r="G836" s="143"/>
      <c r="H836" s="152" t="s">
        <v>2769</v>
      </c>
      <c r="I836" s="143" t="s">
        <v>330</v>
      </c>
      <c r="J836" s="143" t="s">
        <v>325</v>
      </c>
      <c r="K836" s="143">
        <v>150</v>
      </c>
      <c r="L836" s="143">
        <v>75</v>
      </c>
      <c r="M836" s="143"/>
      <c r="N836" s="143"/>
      <c r="O836" s="143"/>
      <c r="P836" s="143"/>
      <c r="Q836" s="143"/>
      <c r="R836" s="143"/>
      <c r="S836" s="146"/>
      <c r="T836" s="146"/>
      <c r="U836" s="146"/>
      <c r="V836" s="147"/>
      <c r="W836" s="143" t="s">
        <v>49</v>
      </c>
      <c r="X836" s="143">
        <v>6001</v>
      </c>
      <c r="Y836" s="143" t="s">
        <v>418</v>
      </c>
      <c r="Z836" s="143">
        <v>6001</v>
      </c>
      <c r="AA836" s="143">
        <v>5.5</v>
      </c>
      <c r="AB836" s="170"/>
      <c r="AC836" s="143"/>
      <c r="AD836" s="143"/>
      <c r="AE836" s="143"/>
      <c r="AF836" s="143"/>
      <c r="AG836" s="143"/>
      <c r="AH836" s="143"/>
      <c r="AI836" s="143"/>
      <c r="AJ836" s="143"/>
      <c r="AK836" s="143"/>
      <c r="AL836" s="143"/>
      <c r="AM836" s="143"/>
    </row>
    <row r="837" s="140" customFormat="1" ht="15" spans="1:39">
      <c r="A837" s="143">
        <v>835</v>
      </c>
      <c r="B837" s="144">
        <v>45850</v>
      </c>
      <c r="C837" s="143" t="s">
        <v>40</v>
      </c>
      <c r="D837" s="143" t="s">
        <v>2338</v>
      </c>
      <c r="E837" s="145"/>
      <c r="F837" s="143" t="s">
        <v>1545</v>
      </c>
      <c r="G837" s="143"/>
      <c r="H837" s="152" t="s">
        <v>2770</v>
      </c>
      <c r="I837" s="143" t="s">
        <v>330</v>
      </c>
      <c r="J837" s="143" t="s">
        <v>325</v>
      </c>
      <c r="K837" s="143">
        <v>150</v>
      </c>
      <c r="L837" s="143">
        <v>110</v>
      </c>
      <c r="M837" s="143"/>
      <c r="N837" s="143"/>
      <c r="O837" s="143"/>
      <c r="P837" s="143"/>
      <c r="Q837" s="143"/>
      <c r="R837" s="143"/>
      <c r="S837" s="146"/>
      <c r="T837" s="146"/>
      <c r="U837" s="146"/>
      <c r="V837" s="147"/>
      <c r="W837" s="143" t="s">
        <v>49</v>
      </c>
      <c r="X837" s="143">
        <v>6003</v>
      </c>
      <c r="Y837" s="143" t="s">
        <v>418</v>
      </c>
      <c r="Z837" s="143">
        <v>6003</v>
      </c>
      <c r="AA837" s="143">
        <v>6.9</v>
      </c>
      <c r="AB837" s="170"/>
      <c r="AC837" s="143"/>
      <c r="AD837" s="143"/>
      <c r="AE837" s="143"/>
      <c r="AF837" s="143"/>
      <c r="AG837" s="143"/>
      <c r="AH837" s="143"/>
      <c r="AI837" s="143"/>
      <c r="AJ837" s="143"/>
      <c r="AK837" s="143"/>
      <c r="AL837" s="143"/>
      <c r="AM837" s="143"/>
    </row>
    <row r="838" s="140" customFormat="1" ht="15" spans="1:39">
      <c r="A838" s="143">
        <v>836</v>
      </c>
      <c r="B838" s="144">
        <v>45850</v>
      </c>
      <c r="C838" s="143" t="s">
        <v>40</v>
      </c>
      <c r="D838" s="143" t="s">
        <v>2338</v>
      </c>
      <c r="E838" s="145"/>
      <c r="F838" s="143" t="s">
        <v>322</v>
      </c>
      <c r="G838" s="143"/>
      <c r="H838" s="152" t="s">
        <v>2771</v>
      </c>
      <c r="I838" s="143" t="s">
        <v>330</v>
      </c>
      <c r="J838" s="143" t="s">
        <v>325</v>
      </c>
      <c r="K838" s="143">
        <v>150</v>
      </c>
      <c r="L838" s="143">
        <v>70</v>
      </c>
      <c r="M838" s="143"/>
      <c r="N838" s="143"/>
      <c r="O838" s="143"/>
      <c r="P838" s="143"/>
      <c r="Q838" s="143"/>
      <c r="R838" s="143"/>
      <c r="S838" s="146"/>
      <c r="T838" s="146"/>
      <c r="U838" s="146"/>
      <c r="V838" s="147"/>
      <c r="W838" s="143" t="s">
        <v>49</v>
      </c>
      <c r="X838" s="143">
        <v>8112</v>
      </c>
      <c r="Y838" s="169" t="s">
        <v>2772</v>
      </c>
      <c r="Z838" s="143">
        <v>8112</v>
      </c>
      <c r="AA838" s="143">
        <v>9.6</v>
      </c>
      <c r="AB838" s="170"/>
      <c r="AC838" s="143"/>
      <c r="AD838" s="143"/>
      <c r="AE838" s="143"/>
      <c r="AF838" s="143"/>
      <c r="AG838" s="143"/>
      <c r="AH838" s="143"/>
      <c r="AI838" s="143"/>
      <c r="AJ838" s="143"/>
      <c r="AK838" s="143"/>
      <c r="AL838" s="143"/>
      <c r="AM838" s="143"/>
    </row>
    <row r="839" s="140" customFormat="1" ht="15" spans="1:39">
      <c r="A839" s="143">
        <v>837</v>
      </c>
      <c r="B839" s="144">
        <v>45850</v>
      </c>
      <c r="C839" s="143" t="s">
        <v>40</v>
      </c>
      <c r="D839" s="143" t="s">
        <v>2338</v>
      </c>
      <c r="E839" s="145"/>
      <c r="F839" s="143" t="s">
        <v>2768</v>
      </c>
      <c r="G839" s="143"/>
      <c r="H839" s="152" t="s">
        <v>2773</v>
      </c>
      <c r="I839" s="143" t="s">
        <v>330</v>
      </c>
      <c r="J839" s="143" t="s">
        <v>325</v>
      </c>
      <c r="K839" s="143">
        <v>150</v>
      </c>
      <c r="L839" s="143">
        <v>75</v>
      </c>
      <c r="M839" s="143"/>
      <c r="N839" s="143"/>
      <c r="O839" s="143"/>
      <c r="P839" s="143"/>
      <c r="Q839" s="143"/>
      <c r="R839" s="143"/>
      <c r="S839" s="146"/>
      <c r="T839" s="146"/>
      <c r="U839" s="146"/>
      <c r="V839" s="147"/>
      <c r="W839" s="143" t="s">
        <v>49</v>
      </c>
      <c r="X839" s="143">
        <v>6011</v>
      </c>
      <c r="Y839" s="143" t="s">
        <v>418</v>
      </c>
      <c r="Z839" s="143">
        <v>6011</v>
      </c>
      <c r="AA839" s="143">
        <v>5.5</v>
      </c>
      <c r="AB839" s="170"/>
      <c r="AC839" s="143"/>
      <c r="AD839" s="143"/>
      <c r="AE839" s="143"/>
      <c r="AF839" s="143"/>
      <c r="AG839" s="143"/>
      <c r="AH839" s="143"/>
      <c r="AI839" s="143"/>
      <c r="AJ839" s="143"/>
      <c r="AK839" s="143"/>
      <c r="AL839" s="143"/>
      <c r="AM839" s="143"/>
    </row>
    <row r="840" s="140" customFormat="1" ht="15" spans="1:39">
      <c r="A840" s="143">
        <v>838</v>
      </c>
      <c r="B840" s="144">
        <v>45850</v>
      </c>
      <c r="C840" s="143" t="s">
        <v>40</v>
      </c>
      <c r="D840" s="143" t="s">
        <v>2338</v>
      </c>
      <c r="E840" s="145"/>
      <c r="F840" s="143" t="s">
        <v>2774</v>
      </c>
      <c r="G840" s="143"/>
      <c r="H840" s="152" t="s">
        <v>2775</v>
      </c>
      <c r="I840" s="143" t="s">
        <v>377</v>
      </c>
      <c r="J840" s="143" t="s">
        <v>2776</v>
      </c>
      <c r="K840" s="143">
        <v>150</v>
      </c>
      <c r="L840" s="143">
        <v>80</v>
      </c>
      <c r="M840" s="143"/>
      <c r="N840" s="143"/>
      <c r="O840" s="143"/>
      <c r="P840" s="143"/>
      <c r="Q840" s="143"/>
      <c r="R840" s="143"/>
      <c r="S840" s="146"/>
      <c r="T840" s="146"/>
      <c r="U840" s="146"/>
      <c r="V840" s="147"/>
      <c r="W840" s="143" t="s">
        <v>49</v>
      </c>
      <c r="X840" s="143" t="s">
        <v>2777</v>
      </c>
      <c r="Y840" s="143" t="s">
        <v>2778</v>
      </c>
      <c r="Z840" s="143" t="s">
        <v>2777</v>
      </c>
      <c r="AA840" s="143">
        <v>5.8</v>
      </c>
      <c r="AB840" s="170"/>
      <c r="AC840" s="143"/>
      <c r="AD840" s="143"/>
      <c r="AE840" s="143"/>
      <c r="AF840" s="143"/>
      <c r="AG840" s="143"/>
      <c r="AH840" s="143"/>
      <c r="AI840" s="143"/>
      <c r="AJ840" s="143"/>
      <c r="AK840" s="143"/>
      <c r="AL840" s="143"/>
      <c r="AM840" s="143"/>
    </row>
    <row r="841" s="140" customFormat="1" ht="15" spans="1:39">
      <c r="A841" s="143">
        <v>839</v>
      </c>
      <c r="B841" s="144">
        <v>45850</v>
      </c>
      <c r="C841" s="143" t="s">
        <v>40</v>
      </c>
      <c r="D841" s="143" t="s">
        <v>2338</v>
      </c>
      <c r="E841" s="145"/>
      <c r="F841" s="143" t="s">
        <v>2768</v>
      </c>
      <c r="G841" s="143"/>
      <c r="H841" s="152" t="s">
        <v>2779</v>
      </c>
      <c r="I841" s="143" t="s">
        <v>330</v>
      </c>
      <c r="J841" s="143" t="s">
        <v>325</v>
      </c>
      <c r="K841" s="143">
        <v>150</v>
      </c>
      <c r="L841" s="143">
        <v>60</v>
      </c>
      <c r="M841" s="143"/>
      <c r="N841" s="143"/>
      <c r="O841" s="143"/>
      <c r="P841" s="143"/>
      <c r="Q841" s="143"/>
      <c r="R841" s="143"/>
      <c r="S841" s="146"/>
      <c r="T841" s="146"/>
      <c r="U841" s="146"/>
      <c r="V841" s="147"/>
      <c r="W841" s="143" t="s">
        <v>49</v>
      </c>
      <c r="X841" s="143">
        <v>161</v>
      </c>
      <c r="Y841" s="143" t="s">
        <v>2778</v>
      </c>
      <c r="Z841" s="143">
        <v>161</v>
      </c>
      <c r="AA841" s="143">
        <v>5.2</v>
      </c>
      <c r="AB841" s="170"/>
      <c r="AC841" s="143"/>
      <c r="AD841" s="143"/>
      <c r="AE841" s="143"/>
      <c r="AF841" s="143"/>
      <c r="AG841" s="143"/>
      <c r="AH841" s="143"/>
      <c r="AI841" s="143"/>
      <c r="AJ841" s="143"/>
      <c r="AK841" s="143"/>
      <c r="AL841" s="143"/>
      <c r="AM841" s="143"/>
    </row>
    <row r="842" s="140" customFormat="1" ht="15" spans="1:39">
      <c r="A842" s="143">
        <v>840</v>
      </c>
      <c r="B842" s="144">
        <v>45850</v>
      </c>
      <c r="C842" s="143" t="s">
        <v>40</v>
      </c>
      <c r="D842" s="143" t="s">
        <v>2338</v>
      </c>
      <c r="E842" s="145"/>
      <c r="F842" s="143" t="s">
        <v>2780</v>
      </c>
      <c r="G842" s="143"/>
      <c r="H842" s="152" t="s">
        <v>2781</v>
      </c>
      <c r="I842" s="143" t="s">
        <v>330</v>
      </c>
      <c r="J842" s="143" t="s">
        <v>325</v>
      </c>
      <c r="K842" s="143">
        <v>150</v>
      </c>
      <c r="L842" s="143">
        <v>61</v>
      </c>
      <c r="M842" s="143"/>
      <c r="N842" s="143"/>
      <c r="O842" s="143"/>
      <c r="P842" s="143"/>
      <c r="Q842" s="143"/>
      <c r="R842" s="143"/>
      <c r="S842" s="146"/>
      <c r="T842" s="146"/>
      <c r="U842" s="146"/>
      <c r="V842" s="147"/>
      <c r="W842" s="143" t="s">
        <v>49</v>
      </c>
      <c r="X842" s="143" t="s">
        <v>2780</v>
      </c>
      <c r="Y842" s="143" t="s">
        <v>2778</v>
      </c>
      <c r="Z842" s="143" t="s">
        <v>2780</v>
      </c>
      <c r="AA842" s="143">
        <v>6.6</v>
      </c>
      <c r="AB842" s="170"/>
      <c r="AC842" s="143"/>
      <c r="AD842" s="143"/>
      <c r="AE842" s="143"/>
      <c r="AF842" s="143"/>
      <c r="AG842" s="143"/>
      <c r="AH842" s="143"/>
      <c r="AI842" s="143"/>
      <c r="AJ842" s="143"/>
      <c r="AK842" s="143"/>
      <c r="AL842" s="143"/>
      <c r="AM842" s="143"/>
    </row>
    <row r="843" s="140" customFormat="1" ht="15" spans="1:39">
      <c r="A843" s="143">
        <v>841</v>
      </c>
      <c r="B843" s="144">
        <v>45850</v>
      </c>
      <c r="C843" s="143" t="s">
        <v>40</v>
      </c>
      <c r="D843" s="143" t="s">
        <v>2338</v>
      </c>
      <c r="E843" s="145"/>
      <c r="F843" s="143" t="s">
        <v>2782</v>
      </c>
      <c r="G843" s="143"/>
      <c r="H843" s="152" t="s">
        <v>2783</v>
      </c>
      <c r="I843" s="143" t="s">
        <v>330</v>
      </c>
      <c r="J843" s="143" t="s">
        <v>325</v>
      </c>
      <c r="K843" s="143">
        <v>150</v>
      </c>
      <c r="L843" s="143">
        <v>55</v>
      </c>
      <c r="M843" s="143"/>
      <c r="N843" s="143"/>
      <c r="O843" s="143"/>
      <c r="P843" s="143"/>
      <c r="Q843" s="143"/>
      <c r="R843" s="143"/>
      <c r="S843" s="146"/>
      <c r="T843" s="146"/>
      <c r="U843" s="146"/>
      <c r="V843" s="147"/>
      <c r="W843" s="143" t="s">
        <v>49</v>
      </c>
      <c r="X843" s="143" t="s">
        <v>2782</v>
      </c>
      <c r="Y843" s="143" t="s">
        <v>2778</v>
      </c>
      <c r="Z843" s="143" t="s">
        <v>2782</v>
      </c>
      <c r="AA843" s="143">
        <v>4.9</v>
      </c>
      <c r="AB843" s="170"/>
      <c r="AC843" s="143"/>
      <c r="AD843" s="143"/>
      <c r="AE843" s="143"/>
      <c r="AF843" s="143"/>
      <c r="AG843" s="143"/>
      <c r="AH843" s="143"/>
      <c r="AI843" s="143"/>
      <c r="AJ843" s="143"/>
      <c r="AK843" s="143"/>
      <c r="AL843" s="143"/>
      <c r="AM843" s="143"/>
    </row>
    <row r="844" s="140" customFormat="1" ht="15" spans="1:39">
      <c r="A844" s="143">
        <v>842</v>
      </c>
      <c r="B844" s="144">
        <v>45850</v>
      </c>
      <c r="C844" s="143" t="s">
        <v>40</v>
      </c>
      <c r="D844" s="143" t="s">
        <v>2338</v>
      </c>
      <c r="E844" s="145"/>
      <c r="F844" s="143" t="s">
        <v>2784</v>
      </c>
      <c r="G844" s="143"/>
      <c r="H844" s="152" t="s">
        <v>2785</v>
      </c>
      <c r="I844" s="143" t="s">
        <v>330</v>
      </c>
      <c r="J844" s="143" t="s">
        <v>325</v>
      </c>
      <c r="K844" s="143">
        <v>150</v>
      </c>
      <c r="L844" s="143">
        <v>63</v>
      </c>
      <c r="M844" s="143"/>
      <c r="N844" s="143"/>
      <c r="O844" s="143"/>
      <c r="P844" s="143"/>
      <c r="Q844" s="143"/>
      <c r="R844" s="143"/>
      <c r="S844" s="146"/>
      <c r="T844" s="146"/>
      <c r="U844" s="146"/>
      <c r="V844" s="147"/>
      <c r="W844" s="143" t="s">
        <v>49</v>
      </c>
      <c r="X844" s="143" t="s">
        <v>2784</v>
      </c>
      <c r="Y844" s="143" t="s">
        <v>2778</v>
      </c>
      <c r="Z844" s="143" t="s">
        <v>2784</v>
      </c>
      <c r="AA844" s="143">
        <v>4.8</v>
      </c>
      <c r="AB844" s="170"/>
      <c r="AC844" s="143"/>
      <c r="AD844" s="143"/>
      <c r="AE844" s="143"/>
      <c r="AF844" s="143"/>
      <c r="AG844" s="143"/>
      <c r="AH844" s="143"/>
      <c r="AI844" s="143"/>
      <c r="AJ844" s="143"/>
      <c r="AK844" s="143"/>
      <c r="AL844" s="143"/>
      <c r="AM844" s="143"/>
    </row>
    <row r="845" s="140" customFormat="1" ht="15" spans="1:39">
      <c r="A845" s="143">
        <v>843</v>
      </c>
      <c r="B845" s="144">
        <v>45850</v>
      </c>
      <c r="C845" s="143" t="s">
        <v>40</v>
      </c>
      <c r="D845" s="143" t="s">
        <v>2338</v>
      </c>
      <c r="E845" s="145"/>
      <c r="F845" s="143" t="s">
        <v>326</v>
      </c>
      <c r="G845" s="143"/>
      <c r="H845" s="152" t="s">
        <v>2786</v>
      </c>
      <c r="I845" s="143" t="s">
        <v>330</v>
      </c>
      <c r="J845" s="143" t="s">
        <v>325</v>
      </c>
      <c r="K845" s="143">
        <v>150</v>
      </c>
      <c r="L845" s="143">
        <v>58</v>
      </c>
      <c r="M845" s="143"/>
      <c r="N845" s="143"/>
      <c r="O845" s="143"/>
      <c r="P845" s="143"/>
      <c r="Q845" s="143"/>
      <c r="R845" s="143"/>
      <c r="S845" s="146"/>
      <c r="T845" s="146"/>
      <c r="U845" s="146"/>
      <c r="V845" s="147"/>
      <c r="W845" s="143" t="s">
        <v>49</v>
      </c>
      <c r="X845" s="143" t="s">
        <v>326</v>
      </c>
      <c r="Y845" s="143" t="s">
        <v>2778</v>
      </c>
      <c r="Z845" s="143" t="s">
        <v>326</v>
      </c>
      <c r="AA845" s="143">
        <v>9</v>
      </c>
      <c r="AB845" s="170"/>
      <c r="AC845" s="143"/>
      <c r="AD845" s="143"/>
      <c r="AE845" s="143"/>
      <c r="AF845" s="143"/>
      <c r="AG845" s="143"/>
      <c r="AH845" s="143"/>
      <c r="AI845" s="143"/>
      <c r="AJ845" s="143"/>
      <c r="AK845" s="143"/>
      <c r="AL845" s="143"/>
      <c r="AM845" s="143"/>
    </row>
    <row r="846" s="140" customFormat="1" ht="15" spans="1:39">
      <c r="A846" s="143">
        <v>844</v>
      </c>
      <c r="B846" s="144">
        <v>45850</v>
      </c>
      <c r="C846" s="143" t="s">
        <v>40</v>
      </c>
      <c r="D846" s="143" t="s">
        <v>2338</v>
      </c>
      <c r="E846" s="145"/>
      <c r="F846" s="143" t="s">
        <v>2787</v>
      </c>
      <c r="G846" s="143"/>
      <c r="H846" s="152" t="s">
        <v>2788</v>
      </c>
      <c r="I846" s="143" t="s">
        <v>330</v>
      </c>
      <c r="J846" s="143" t="s">
        <v>325</v>
      </c>
      <c r="K846" s="143">
        <v>150</v>
      </c>
      <c r="L846" s="143">
        <v>62</v>
      </c>
      <c r="M846" s="143"/>
      <c r="N846" s="143"/>
      <c r="O846" s="143"/>
      <c r="P846" s="143"/>
      <c r="Q846" s="143"/>
      <c r="R846" s="143"/>
      <c r="S846" s="146"/>
      <c r="T846" s="146"/>
      <c r="U846" s="146"/>
      <c r="V846" s="147"/>
      <c r="W846" s="143" t="s">
        <v>49</v>
      </c>
      <c r="X846" s="143">
        <v>203</v>
      </c>
      <c r="Y846" s="143" t="s">
        <v>2778</v>
      </c>
      <c r="Z846" s="143">
        <v>203</v>
      </c>
      <c r="AA846" s="143">
        <v>5.2</v>
      </c>
      <c r="AB846" s="170"/>
      <c r="AC846" s="143"/>
      <c r="AD846" s="143"/>
      <c r="AE846" s="143"/>
      <c r="AF846" s="143"/>
      <c r="AG846" s="143"/>
      <c r="AH846" s="143"/>
      <c r="AI846" s="143"/>
      <c r="AJ846" s="143"/>
      <c r="AK846" s="143"/>
      <c r="AL846" s="143"/>
      <c r="AM846" s="143"/>
    </row>
    <row r="847" s="140" customFormat="1" ht="15" spans="1:39">
      <c r="A847" s="143">
        <v>845</v>
      </c>
      <c r="B847" s="144">
        <v>45850</v>
      </c>
      <c r="C847" s="143" t="s">
        <v>40</v>
      </c>
      <c r="D847" s="143" t="s">
        <v>2338</v>
      </c>
      <c r="E847" s="145"/>
      <c r="F847" s="143" t="s">
        <v>2789</v>
      </c>
      <c r="G847" s="143"/>
      <c r="H847" s="152" t="s">
        <v>2790</v>
      </c>
      <c r="I847" s="143" t="s">
        <v>330</v>
      </c>
      <c r="J847" s="143" t="s">
        <v>325</v>
      </c>
      <c r="K847" s="143">
        <v>150</v>
      </c>
      <c r="L847" s="143">
        <v>40</v>
      </c>
      <c r="M847" s="143"/>
      <c r="N847" s="143"/>
      <c r="O847" s="143"/>
      <c r="P847" s="143"/>
      <c r="Q847" s="143"/>
      <c r="R847" s="143"/>
      <c r="S847" s="146"/>
      <c r="T847" s="146"/>
      <c r="U847" s="146"/>
      <c r="V847" s="147"/>
      <c r="W847" s="143" t="s">
        <v>49</v>
      </c>
      <c r="X847" s="143" t="s">
        <v>2791</v>
      </c>
      <c r="Y847" s="143" t="s">
        <v>2792</v>
      </c>
      <c r="Z847" s="143" t="s">
        <v>2791</v>
      </c>
      <c r="AA847" s="143">
        <v>8</v>
      </c>
      <c r="AB847" s="170"/>
      <c r="AC847" s="143"/>
      <c r="AD847" s="143"/>
      <c r="AE847" s="143"/>
      <c r="AF847" s="143"/>
      <c r="AG847" s="143"/>
      <c r="AH847" s="143"/>
      <c r="AI847" s="143"/>
      <c r="AJ847" s="143"/>
      <c r="AK847" s="143"/>
      <c r="AL847" s="143"/>
      <c r="AM847" s="143"/>
    </row>
    <row r="848" s="140" customFormat="1" ht="15" spans="1:39">
      <c r="A848" s="143">
        <v>846</v>
      </c>
      <c r="B848" s="144">
        <v>45850</v>
      </c>
      <c r="C848" s="143" t="s">
        <v>40</v>
      </c>
      <c r="D848" s="143" t="s">
        <v>2338</v>
      </c>
      <c r="E848" s="145"/>
      <c r="F848" s="143" t="s">
        <v>2793</v>
      </c>
      <c r="G848" s="143"/>
      <c r="H848" s="152" t="s">
        <v>2794</v>
      </c>
      <c r="I848" s="143" t="s">
        <v>330</v>
      </c>
      <c r="J848" s="143" t="s">
        <v>325</v>
      </c>
      <c r="K848" s="143">
        <v>150</v>
      </c>
      <c r="L848" s="143">
        <v>125</v>
      </c>
      <c r="M848" s="143"/>
      <c r="N848" s="143"/>
      <c r="O848" s="143"/>
      <c r="P848" s="143"/>
      <c r="Q848" s="143"/>
      <c r="R848" s="143"/>
      <c r="S848" s="146"/>
      <c r="T848" s="146"/>
      <c r="U848" s="146"/>
      <c r="V848" s="147"/>
      <c r="W848" s="143" t="s">
        <v>49</v>
      </c>
      <c r="X848" s="143" t="s">
        <v>2793</v>
      </c>
      <c r="Y848" s="143" t="s">
        <v>2792</v>
      </c>
      <c r="Z848" s="143" t="s">
        <v>2793</v>
      </c>
      <c r="AA848" s="143">
        <v>9.5</v>
      </c>
      <c r="AB848" s="170"/>
      <c r="AC848" s="143"/>
      <c r="AD848" s="143"/>
      <c r="AE848" s="143"/>
      <c r="AF848" s="143"/>
      <c r="AG848" s="143"/>
      <c r="AH848" s="143"/>
      <c r="AI848" s="143"/>
      <c r="AJ848" s="143"/>
      <c r="AK848" s="143"/>
      <c r="AL848" s="143"/>
      <c r="AM848" s="143"/>
    </row>
    <row r="849" s="140" customFormat="1" ht="15" spans="1:39">
      <c r="A849" s="143">
        <v>847</v>
      </c>
      <c r="B849" s="144">
        <v>45850</v>
      </c>
      <c r="C849" s="143" t="s">
        <v>40</v>
      </c>
      <c r="D849" s="143" t="s">
        <v>2338</v>
      </c>
      <c r="E849" s="145"/>
      <c r="F849" s="143" t="s">
        <v>2795</v>
      </c>
      <c r="G849" s="143"/>
      <c r="H849" s="152" t="s">
        <v>2796</v>
      </c>
      <c r="I849" s="143" t="s">
        <v>330</v>
      </c>
      <c r="J849" s="143" t="s">
        <v>325</v>
      </c>
      <c r="K849" s="143">
        <v>150</v>
      </c>
      <c r="L849" s="143">
        <v>85</v>
      </c>
      <c r="M849" s="143"/>
      <c r="N849" s="143"/>
      <c r="O849" s="143"/>
      <c r="P849" s="143"/>
      <c r="Q849" s="143"/>
      <c r="R849" s="143"/>
      <c r="S849" s="146"/>
      <c r="T849" s="146"/>
      <c r="U849" s="146"/>
      <c r="V849" s="147"/>
      <c r="W849" s="143" t="s">
        <v>49</v>
      </c>
      <c r="X849" s="143" t="s">
        <v>2797</v>
      </c>
      <c r="Y849" s="143" t="s">
        <v>2147</v>
      </c>
      <c r="Z849" s="143" t="s">
        <v>2797</v>
      </c>
      <c r="AA849" s="143">
        <v>4.8</v>
      </c>
      <c r="AB849" s="170"/>
      <c r="AC849" s="143"/>
      <c r="AD849" s="143"/>
      <c r="AE849" s="143"/>
      <c r="AF849" s="143"/>
      <c r="AG849" s="143"/>
      <c r="AH849" s="143"/>
      <c r="AI849" s="143"/>
      <c r="AJ849" s="143"/>
      <c r="AK849" s="143"/>
      <c r="AL849" s="143"/>
      <c r="AM849" s="143"/>
    </row>
    <row r="850" s="140" customFormat="1" ht="15" spans="1:39">
      <c r="A850" s="143">
        <v>848</v>
      </c>
      <c r="B850" s="144">
        <v>45850</v>
      </c>
      <c r="C850" s="143" t="s">
        <v>40</v>
      </c>
      <c r="D850" s="143" t="s">
        <v>2338</v>
      </c>
      <c r="E850" s="145"/>
      <c r="F850" s="143" t="s">
        <v>2798</v>
      </c>
      <c r="G850" s="143"/>
      <c r="H850" s="152" t="s">
        <v>2799</v>
      </c>
      <c r="I850" s="143" t="s">
        <v>2800</v>
      </c>
      <c r="J850" s="143" t="s">
        <v>2801</v>
      </c>
      <c r="K850" s="143">
        <v>150</v>
      </c>
      <c r="L850" s="143">
        <v>130</v>
      </c>
      <c r="M850" s="143"/>
      <c r="N850" s="143"/>
      <c r="O850" s="143"/>
      <c r="P850" s="143"/>
      <c r="Q850" s="143"/>
      <c r="R850" s="143"/>
      <c r="S850" s="146"/>
      <c r="T850" s="146"/>
      <c r="U850" s="146"/>
      <c r="V850" s="147"/>
      <c r="W850" s="143" t="s">
        <v>49</v>
      </c>
      <c r="X850" s="143">
        <v>8015</v>
      </c>
      <c r="Y850" s="143" t="s">
        <v>2147</v>
      </c>
      <c r="Z850" s="143">
        <v>8015</v>
      </c>
      <c r="AA850" s="143">
        <v>8</v>
      </c>
      <c r="AB850" s="170"/>
      <c r="AC850" s="143"/>
      <c r="AD850" s="143"/>
      <c r="AE850" s="143"/>
      <c r="AF850" s="143"/>
      <c r="AG850" s="143"/>
      <c r="AH850" s="143"/>
      <c r="AI850" s="143"/>
      <c r="AJ850" s="143"/>
      <c r="AK850" s="143"/>
      <c r="AL850" s="143"/>
      <c r="AM850" s="143"/>
    </row>
    <row r="851" s="140" customFormat="1" ht="15" spans="1:39">
      <c r="A851" s="143">
        <v>849</v>
      </c>
      <c r="B851" s="144">
        <v>45850</v>
      </c>
      <c r="C851" s="143" t="s">
        <v>40</v>
      </c>
      <c r="D851" s="143" t="s">
        <v>2338</v>
      </c>
      <c r="E851" s="145"/>
      <c r="F851" s="143" t="s">
        <v>2802</v>
      </c>
      <c r="G851" s="143"/>
      <c r="H851" s="152" t="s">
        <v>2803</v>
      </c>
      <c r="I851" s="143" t="s">
        <v>330</v>
      </c>
      <c r="J851" s="143" t="s">
        <v>325</v>
      </c>
      <c r="K851" s="143">
        <v>150</v>
      </c>
      <c r="L851" s="143">
        <v>110</v>
      </c>
      <c r="M851" s="143"/>
      <c r="N851" s="143"/>
      <c r="O851" s="143"/>
      <c r="P851" s="143"/>
      <c r="Q851" s="143"/>
      <c r="R851" s="143"/>
      <c r="S851" s="146"/>
      <c r="T851" s="146"/>
      <c r="U851" s="146"/>
      <c r="V851" s="147"/>
      <c r="W851" s="143" t="s">
        <v>49</v>
      </c>
      <c r="X851" s="143">
        <v>8018</v>
      </c>
      <c r="Y851" s="143" t="s">
        <v>2147</v>
      </c>
      <c r="Z851" s="143">
        <v>8018</v>
      </c>
      <c r="AA851" s="143">
        <v>6.8</v>
      </c>
      <c r="AB851" s="170"/>
      <c r="AC851" s="143"/>
      <c r="AD851" s="143"/>
      <c r="AE851" s="143"/>
      <c r="AF851" s="143"/>
      <c r="AG851" s="143"/>
      <c r="AH851" s="143"/>
      <c r="AI851" s="143"/>
      <c r="AJ851" s="143"/>
      <c r="AK851" s="143"/>
      <c r="AL851" s="143"/>
      <c r="AM851" s="143"/>
    </row>
    <row r="852" s="140" customFormat="1" ht="15" spans="1:39">
      <c r="A852" s="143">
        <v>850</v>
      </c>
      <c r="B852" s="144">
        <v>45850</v>
      </c>
      <c r="C852" s="143" t="s">
        <v>40</v>
      </c>
      <c r="D852" s="143" t="s">
        <v>2338</v>
      </c>
      <c r="E852" s="145"/>
      <c r="F852" s="143" t="s">
        <v>2804</v>
      </c>
      <c r="G852" s="143"/>
      <c r="H852" s="152" t="s">
        <v>2805</v>
      </c>
      <c r="I852" s="143" t="s">
        <v>330</v>
      </c>
      <c r="J852" s="143" t="s">
        <v>325</v>
      </c>
      <c r="K852" s="143">
        <v>150</v>
      </c>
      <c r="L852" s="143">
        <v>100</v>
      </c>
      <c r="M852" s="143"/>
      <c r="N852" s="143"/>
      <c r="O852" s="143"/>
      <c r="P852" s="143"/>
      <c r="Q852" s="143"/>
      <c r="R852" s="143"/>
      <c r="S852" s="146"/>
      <c r="T852" s="146"/>
      <c r="U852" s="146"/>
      <c r="V852" s="147"/>
      <c r="W852" s="143" t="s">
        <v>49</v>
      </c>
      <c r="X852" s="143">
        <v>8002</v>
      </c>
      <c r="Y852" s="143" t="s">
        <v>2147</v>
      </c>
      <c r="Z852" s="143">
        <v>8002</v>
      </c>
      <c r="AA852" s="143">
        <v>6.2</v>
      </c>
      <c r="AB852" s="170"/>
      <c r="AC852" s="143"/>
      <c r="AD852" s="143"/>
      <c r="AE852" s="143"/>
      <c r="AF852" s="143"/>
      <c r="AG852" s="143"/>
      <c r="AH852" s="143"/>
      <c r="AI852" s="143"/>
      <c r="AJ852" s="143"/>
      <c r="AK852" s="143"/>
      <c r="AL852" s="143"/>
      <c r="AM852" s="143"/>
    </row>
    <row r="853" s="140" customFormat="1" ht="15" spans="1:39">
      <c r="A853" s="143">
        <v>851</v>
      </c>
      <c r="B853" s="144">
        <v>45850</v>
      </c>
      <c r="C853" s="143" t="s">
        <v>40</v>
      </c>
      <c r="D853" s="143" t="s">
        <v>2338</v>
      </c>
      <c r="E853" s="145"/>
      <c r="F853" s="143" t="s">
        <v>2806</v>
      </c>
      <c r="G853" s="143"/>
      <c r="H853" s="152" t="s">
        <v>2807</v>
      </c>
      <c r="I853" s="143" t="s">
        <v>330</v>
      </c>
      <c r="J853" s="143" t="s">
        <v>325</v>
      </c>
      <c r="K853" s="143">
        <v>150</v>
      </c>
      <c r="L853" s="143">
        <v>90</v>
      </c>
      <c r="M853" s="143"/>
      <c r="N853" s="143"/>
      <c r="O853" s="143"/>
      <c r="P853" s="143"/>
      <c r="Q853" s="143"/>
      <c r="R853" s="143"/>
      <c r="S853" s="146"/>
      <c r="T853" s="146"/>
      <c r="U853" s="146"/>
      <c r="V853" s="147"/>
      <c r="W853" s="143" t="s">
        <v>49</v>
      </c>
      <c r="X853" s="143">
        <v>8028</v>
      </c>
      <c r="Y853" s="143" t="s">
        <v>2147</v>
      </c>
      <c r="Z853" s="143">
        <v>8028</v>
      </c>
      <c r="AA853" s="143">
        <v>5.8</v>
      </c>
      <c r="AB853" s="170"/>
      <c r="AC853" s="143"/>
      <c r="AD853" s="143"/>
      <c r="AE853" s="143"/>
      <c r="AF853" s="143"/>
      <c r="AG853" s="143"/>
      <c r="AH853" s="143"/>
      <c r="AI853" s="143"/>
      <c r="AJ853" s="143"/>
      <c r="AK853" s="143"/>
      <c r="AL853" s="143"/>
      <c r="AM853" s="143"/>
    </row>
    <row r="854" s="140" customFormat="1" ht="15" spans="1:39">
      <c r="A854" s="143">
        <v>852</v>
      </c>
      <c r="B854" s="144">
        <v>45850</v>
      </c>
      <c r="C854" s="143" t="s">
        <v>40</v>
      </c>
      <c r="D854" s="143" t="s">
        <v>2338</v>
      </c>
      <c r="E854" s="145"/>
      <c r="F854" s="143" t="s">
        <v>2808</v>
      </c>
      <c r="G854" s="143"/>
      <c r="H854" s="152" t="s">
        <v>2809</v>
      </c>
      <c r="I854" s="143" t="s">
        <v>330</v>
      </c>
      <c r="J854" s="143" t="s">
        <v>325</v>
      </c>
      <c r="K854" s="143">
        <v>150</v>
      </c>
      <c r="L854" s="143">
        <v>45</v>
      </c>
      <c r="M854" s="143"/>
      <c r="N854" s="143"/>
      <c r="O854" s="143"/>
      <c r="P854" s="143"/>
      <c r="Q854" s="143"/>
      <c r="R854" s="143"/>
      <c r="S854" s="146"/>
      <c r="T854" s="146"/>
      <c r="U854" s="146"/>
      <c r="V854" s="147"/>
      <c r="W854" s="143" t="s">
        <v>49</v>
      </c>
      <c r="X854" s="143">
        <v>8019</v>
      </c>
      <c r="Y854" s="143" t="s">
        <v>2147</v>
      </c>
      <c r="Z854" s="143">
        <v>8019</v>
      </c>
      <c r="AA854" s="143">
        <v>5.8</v>
      </c>
      <c r="AB854" s="170"/>
      <c r="AC854" s="143"/>
      <c r="AD854" s="143"/>
      <c r="AE854" s="143"/>
      <c r="AF854" s="143"/>
      <c r="AG854" s="143"/>
      <c r="AH854" s="143"/>
      <c r="AI854" s="143"/>
      <c r="AJ854" s="143"/>
      <c r="AK854" s="143"/>
      <c r="AL854" s="143"/>
      <c r="AM854" s="143"/>
    </row>
    <row r="855" s="140" customFormat="1" ht="15" spans="1:39">
      <c r="A855" s="143">
        <v>853</v>
      </c>
      <c r="B855" s="144">
        <v>45850</v>
      </c>
      <c r="C855" s="143" t="s">
        <v>40</v>
      </c>
      <c r="D855" s="143" t="s">
        <v>2338</v>
      </c>
      <c r="E855" s="145"/>
      <c r="F855" s="143" t="s">
        <v>2784</v>
      </c>
      <c r="G855" s="143"/>
      <c r="H855" s="152" t="s">
        <v>2810</v>
      </c>
      <c r="I855" s="143" t="s">
        <v>330</v>
      </c>
      <c r="J855" s="143" t="s">
        <v>325</v>
      </c>
      <c r="K855" s="143">
        <v>150</v>
      </c>
      <c r="L855" s="143">
        <v>60</v>
      </c>
      <c r="M855" s="143"/>
      <c r="N855" s="143"/>
      <c r="O855" s="143"/>
      <c r="P855" s="143"/>
      <c r="Q855" s="143"/>
      <c r="R855" s="143"/>
      <c r="S855" s="146"/>
      <c r="T855" s="146"/>
      <c r="U855" s="146"/>
      <c r="V855" s="147"/>
      <c r="W855" s="143" t="s">
        <v>49</v>
      </c>
      <c r="X855" s="143">
        <v>8034</v>
      </c>
      <c r="Y855" s="143" t="s">
        <v>2147</v>
      </c>
      <c r="Z855" s="143">
        <v>8034</v>
      </c>
      <c r="AA855" s="143">
        <v>5.3</v>
      </c>
      <c r="AB855" s="170"/>
      <c r="AC855" s="143"/>
      <c r="AD855" s="143"/>
      <c r="AE855" s="143"/>
      <c r="AF855" s="143"/>
      <c r="AG855" s="143"/>
      <c r="AH855" s="143"/>
      <c r="AI855" s="143"/>
      <c r="AJ855" s="143"/>
      <c r="AK855" s="143"/>
      <c r="AL855" s="143"/>
      <c r="AM855" s="143"/>
    </row>
    <row r="856" s="140" customFormat="1" ht="15" spans="1:39">
      <c r="A856" s="143">
        <v>854</v>
      </c>
      <c r="B856" s="144">
        <v>45850</v>
      </c>
      <c r="C856" s="143" t="s">
        <v>40</v>
      </c>
      <c r="D856" s="143" t="s">
        <v>2338</v>
      </c>
      <c r="E856" s="145"/>
      <c r="F856" s="143" t="s">
        <v>2811</v>
      </c>
      <c r="G856" s="143"/>
      <c r="H856" s="152" t="s">
        <v>2812</v>
      </c>
      <c r="I856" s="143" t="s">
        <v>330</v>
      </c>
      <c r="J856" s="143" t="s">
        <v>325</v>
      </c>
      <c r="K856" s="143">
        <v>150</v>
      </c>
      <c r="L856" s="143">
        <v>100</v>
      </c>
      <c r="M856" s="143"/>
      <c r="N856" s="143"/>
      <c r="O856" s="143"/>
      <c r="P856" s="143"/>
      <c r="Q856" s="143"/>
      <c r="R856" s="143"/>
      <c r="S856" s="146"/>
      <c r="T856" s="146"/>
      <c r="U856" s="146"/>
      <c r="V856" s="147"/>
      <c r="W856" s="143" t="s">
        <v>49</v>
      </c>
      <c r="X856" s="143">
        <v>8006</v>
      </c>
      <c r="Y856" s="143" t="s">
        <v>2147</v>
      </c>
      <c r="Z856" s="143">
        <v>8006</v>
      </c>
      <c r="AA856" s="143">
        <v>6.6</v>
      </c>
      <c r="AB856" s="170"/>
      <c r="AC856" s="143"/>
      <c r="AD856" s="143"/>
      <c r="AE856" s="143"/>
      <c r="AF856" s="143"/>
      <c r="AG856" s="143"/>
      <c r="AH856" s="143"/>
      <c r="AI856" s="143"/>
      <c r="AJ856" s="143"/>
      <c r="AK856" s="143"/>
      <c r="AL856" s="143"/>
      <c r="AM856" s="143"/>
    </row>
    <row r="857" s="140" customFormat="1" ht="15" spans="1:39">
      <c r="A857" s="143">
        <v>855</v>
      </c>
      <c r="B857" s="144">
        <v>45850</v>
      </c>
      <c r="C857" s="143" t="s">
        <v>40</v>
      </c>
      <c r="D857" s="143" t="s">
        <v>2338</v>
      </c>
      <c r="E857" s="145"/>
      <c r="F857" s="143" t="s">
        <v>2813</v>
      </c>
      <c r="G857" s="143"/>
      <c r="H857" s="152" t="s">
        <v>2814</v>
      </c>
      <c r="I857" s="143" t="s">
        <v>478</v>
      </c>
      <c r="J857" s="143" t="s">
        <v>2815</v>
      </c>
      <c r="K857" s="143">
        <v>150</v>
      </c>
      <c r="L857" s="143">
        <v>106</v>
      </c>
      <c r="M857" s="143"/>
      <c r="N857" s="143"/>
      <c r="O857" s="143"/>
      <c r="P857" s="143"/>
      <c r="Q857" s="143"/>
      <c r="R857" s="143"/>
      <c r="S857" s="146"/>
      <c r="T857" s="146"/>
      <c r="U857" s="146"/>
      <c r="V857" s="147"/>
      <c r="W857" s="143" t="s">
        <v>49</v>
      </c>
      <c r="X857" s="143">
        <v>6104</v>
      </c>
      <c r="Y857" s="143" t="s">
        <v>2147</v>
      </c>
      <c r="Z857" s="143">
        <v>6104</v>
      </c>
      <c r="AA857" s="143">
        <v>6.8</v>
      </c>
      <c r="AB857" s="170"/>
      <c r="AC857" s="143"/>
      <c r="AD857" s="143"/>
      <c r="AE857" s="143"/>
      <c r="AF857" s="143"/>
      <c r="AG857" s="143"/>
      <c r="AH857" s="143"/>
      <c r="AI857" s="143"/>
      <c r="AJ857" s="143"/>
      <c r="AK857" s="143"/>
      <c r="AL857" s="143"/>
      <c r="AM857" s="143"/>
    </row>
    <row r="858" s="140" customFormat="1" ht="15" spans="1:39">
      <c r="A858" s="143">
        <v>856</v>
      </c>
      <c r="B858" s="144">
        <v>45850</v>
      </c>
      <c r="C858" s="143" t="s">
        <v>40</v>
      </c>
      <c r="D858" s="143" t="s">
        <v>2338</v>
      </c>
      <c r="E858" s="145"/>
      <c r="F858" s="143" t="s">
        <v>2816</v>
      </c>
      <c r="G858" s="143"/>
      <c r="H858" s="152" t="s">
        <v>2817</v>
      </c>
      <c r="I858" s="143" t="s">
        <v>330</v>
      </c>
      <c r="J858" s="143" t="s">
        <v>325</v>
      </c>
      <c r="K858" s="143">
        <v>150</v>
      </c>
      <c r="L858" s="143">
        <v>85</v>
      </c>
      <c r="M858" s="143"/>
      <c r="N858" s="143"/>
      <c r="O858" s="143"/>
      <c r="P858" s="143"/>
      <c r="Q858" s="143"/>
      <c r="R858" s="143"/>
      <c r="S858" s="146"/>
      <c r="T858" s="146"/>
      <c r="U858" s="146"/>
      <c r="V858" s="147"/>
      <c r="W858" s="143" t="s">
        <v>49</v>
      </c>
      <c r="X858" s="143">
        <v>8032</v>
      </c>
      <c r="Y858" s="143" t="s">
        <v>2147</v>
      </c>
      <c r="Z858" s="143">
        <v>8032</v>
      </c>
      <c r="AA858" s="143">
        <v>8.5</v>
      </c>
      <c r="AB858" s="170"/>
      <c r="AC858" s="143"/>
      <c r="AD858" s="143"/>
      <c r="AE858" s="143"/>
      <c r="AF858" s="143"/>
      <c r="AG858" s="143"/>
      <c r="AH858" s="143"/>
      <c r="AI858" s="143"/>
      <c r="AJ858" s="143"/>
      <c r="AK858" s="143"/>
      <c r="AL858" s="143"/>
      <c r="AM858" s="143"/>
    </row>
    <row r="859" s="140" customFormat="1" ht="15" spans="1:39">
      <c r="A859" s="143">
        <v>857</v>
      </c>
      <c r="B859" s="144">
        <v>45850</v>
      </c>
      <c r="C859" s="143" t="s">
        <v>40</v>
      </c>
      <c r="D859" s="143" t="s">
        <v>2338</v>
      </c>
      <c r="E859" s="145"/>
      <c r="F859" s="143" t="s">
        <v>2818</v>
      </c>
      <c r="G859" s="143"/>
      <c r="H859" s="152" t="s">
        <v>2819</v>
      </c>
      <c r="I859" s="143" t="s">
        <v>330</v>
      </c>
      <c r="J859" s="143" t="s">
        <v>325</v>
      </c>
      <c r="K859" s="143">
        <v>150</v>
      </c>
      <c r="L859" s="143">
        <v>90</v>
      </c>
      <c r="M859" s="143"/>
      <c r="N859" s="143"/>
      <c r="O859" s="143"/>
      <c r="P859" s="143"/>
      <c r="Q859" s="143"/>
      <c r="R859" s="143"/>
      <c r="S859" s="146"/>
      <c r="T859" s="146"/>
      <c r="U859" s="146"/>
      <c r="V859" s="147"/>
      <c r="W859" s="143" t="s">
        <v>49</v>
      </c>
      <c r="X859" s="143">
        <v>804</v>
      </c>
      <c r="Y859" s="143" t="s">
        <v>2820</v>
      </c>
      <c r="Z859" s="143">
        <v>804</v>
      </c>
      <c r="AA859" s="143">
        <v>6.8</v>
      </c>
      <c r="AB859" s="170"/>
      <c r="AC859" s="143"/>
      <c r="AD859" s="143"/>
      <c r="AE859" s="143"/>
      <c r="AF859" s="143"/>
      <c r="AG859" s="143"/>
      <c r="AH859" s="143"/>
      <c r="AI859" s="143"/>
      <c r="AJ859" s="143"/>
      <c r="AK859" s="143"/>
      <c r="AL859" s="143"/>
      <c r="AM859" s="143"/>
    </row>
    <row r="860" s="140" customFormat="1" ht="15" spans="1:39">
      <c r="A860" s="143">
        <v>858</v>
      </c>
      <c r="B860" s="144">
        <v>45850</v>
      </c>
      <c r="C860" s="143" t="s">
        <v>40</v>
      </c>
      <c r="D860" s="143" t="s">
        <v>2338</v>
      </c>
      <c r="E860" s="145"/>
      <c r="F860" s="143" t="s">
        <v>2821</v>
      </c>
      <c r="G860" s="143"/>
      <c r="H860" s="152" t="s">
        <v>2822</v>
      </c>
      <c r="I860" s="143" t="s">
        <v>330</v>
      </c>
      <c r="J860" s="143" t="s">
        <v>325</v>
      </c>
      <c r="K860" s="143">
        <v>150</v>
      </c>
      <c r="L860" s="143">
        <v>87</v>
      </c>
      <c r="M860" s="143"/>
      <c r="N860" s="143"/>
      <c r="O860" s="143"/>
      <c r="P860" s="143"/>
      <c r="Q860" s="143"/>
      <c r="R860" s="143"/>
      <c r="S860" s="146"/>
      <c r="T860" s="146"/>
      <c r="U860" s="146"/>
      <c r="V860" s="147"/>
      <c r="W860" s="143" t="s">
        <v>49</v>
      </c>
      <c r="X860" s="143">
        <v>850</v>
      </c>
      <c r="Y860" s="143" t="s">
        <v>2820</v>
      </c>
      <c r="Z860" s="143">
        <v>850</v>
      </c>
      <c r="AA860" s="143">
        <v>5.3</v>
      </c>
      <c r="AB860" s="170"/>
      <c r="AC860" s="143"/>
      <c r="AD860" s="143"/>
      <c r="AE860" s="143"/>
      <c r="AF860" s="143"/>
      <c r="AG860" s="143"/>
      <c r="AH860" s="143"/>
      <c r="AI860" s="143"/>
      <c r="AJ860" s="143"/>
      <c r="AK860" s="143"/>
      <c r="AL860" s="143"/>
      <c r="AM860" s="143"/>
    </row>
    <row r="861" s="140" customFormat="1" ht="15" spans="1:39">
      <c r="A861" s="143">
        <v>859</v>
      </c>
      <c r="B861" s="144">
        <v>45850</v>
      </c>
      <c r="C861" s="143" t="s">
        <v>40</v>
      </c>
      <c r="D861" s="143" t="s">
        <v>2338</v>
      </c>
      <c r="E861" s="145"/>
      <c r="F861" s="143" t="s">
        <v>2823</v>
      </c>
      <c r="G861" s="143"/>
      <c r="H861" s="152" t="s">
        <v>2824</v>
      </c>
      <c r="I861" s="143" t="s">
        <v>330</v>
      </c>
      <c r="J861" s="143" t="s">
        <v>325</v>
      </c>
      <c r="K861" s="143">
        <v>150</v>
      </c>
      <c r="L861" s="143">
        <v>68</v>
      </c>
      <c r="M861" s="143"/>
      <c r="N861" s="143"/>
      <c r="O861" s="143"/>
      <c r="P861" s="143"/>
      <c r="Q861" s="143"/>
      <c r="R861" s="143"/>
      <c r="S861" s="146"/>
      <c r="T861" s="146"/>
      <c r="U861" s="146"/>
      <c r="V861" s="147"/>
      <c r="W861" s="143" t="s">
        <v>49</v>
      </c>
      <c r="X861" s="143">
        <v>853</v>
      </c>
      <c r="Y861" s="143" t="s">
        <v>2820</v>
      </c>
      <c r="Z861" s="143">
        <v>853</v>
      </c>
      <c r="AA861" s="143">
        <v>7</v>
      </c>
      <c r="AB861" s="170"/>
      <c r="AC861" s="143"/>
      <c r="AD861" s="143"/>
      <c r="AE861" s="143"/>
      <c r="AF861" s="143"/>
      <c r="AG861" s="143"/>
      <c r="AH861" s="143"/>
      <c r="AI861" s="143"/>
      <c r="AJ861" s="143"/>
      <c r="AK861" s="143"/>
      <c r="AL861" s="143"/>
      <c r="AM861" s="143"/>
    </row>
    <row r="862" s="140" customFormat="1" ht="15" spans="1:39">
      <c r="A862" s="143">
        <v>860</v>
      </c>
      <c r="B862" s="144">
        <v>45850</v>
      </c>
      <c r="C862" s="143" t="s">
        <v>40</v>
      </c>
      <c r="D862" s="143" t="s">
        <v>2338</v>
      </c>
      <c r="E862" s="145"/>
      <c r="F862" s="143" t="s">
        <v>2825</v>
      </c>
      <c r="G862" s="143"/>
      <c r="H862" s="152" t="s">
        <v>2826</v>
      </c>
      <c r="I862" s="143" t="s">
        <v>330</v>
      </c>
      <c r="J862" s="143" t="s">
        <v>325</v>
      </c>
      <c r="K862" s="143">
        <v>150</v>
      </c>
      <c r="L862" s="143">
        <v>58</v>
      </c>
      <c r="M862" s="143"/>
      <c r="N862" s="143"/>
      <c r="O862" s="143"/>
      <c r="P862" s="143"/>
      <c r="Q862" s="143"/>
      <c r="R862" s="143"/>
      <c r="S862" s="146"/>
      <c r="T862" s="146"/>
      <c r="U862" s="146"/>
      <c r="V862" s="147"/>
      <c r="W862" s="143" t="s">
        <v>49</v>
      </c>
      <c r="X862" s="143">
        <v>899</v>
      </c>
      <c r="Y862" s="143" t="s">
        <v>2820</v>
      </c>
      <c r="Z862" s="143">
        <v>899</v>
      </c>
      <c r="AA862" s="143">
        <v>5.6</v>
      </c>
      <c r="AB862" s="170"/>
      <c r="AC862" s="143"/>
      <c r="AD862" s="143"/>
      <c r="AE862" s="143"/>
      <c r="AF862" s="143"/>
      <c r="AG862" s="143"/>
      <c r="AH862" s="143"/>
      <c r="AI862" s="143"/>
      <c r="AJ862" s="143"/>
      <c r="AK862" s="143"/>
      <c r="AL862" s="143"/>
      <c r="AM862" s="143"/>
    </row>
    <row r="863" s="140" customFormat="1" ht="15" spans="1:39">
      <c r="A863" s="143">
        <v>861</v>
      </c>
      <c r="B863" s="144">
        <v>45850</v>
      </c>
      <c r="C863" s="143" t="s">
        <v>40</v>
      </c>
      <c r="D863" s="143" t="s">
        <v>2338</v>
      </c>
      <c r="E863" s="145"/>
      <c r="F863" s="143" t="s">
        <v>2827</v>
      </c>
      <c r="G863" s="143"/>
      <c r="H863" s="152" t="s">
        <v>2828</v>
      </c>
      <c r="I863" s="143" t="s">
        <v>330</v>
      </c>
      <c r="J863" s="143" t="s">
        <v>325</v>
      </c>
      <c r="K863" s="143">
        <v>150</v>
      </c>
      <c r="L863" s="143">
        <v>65</v>
      </c>
      <c r="M863" s="143"/>
      <c r="N863" s="143"/>
      <c r="O863" s="143"/>
      <c r="P863" s="143"/>
      <c r="Q863" s="143"/>
      <c r="R863" s="143"/>
      <c r="S863" s="146"/>
      <c r="T863" s="146"/>
      <c r="U863" s="146"/>
      <c r="V863" s="147"/>
      <c r="W863" s="143" t="s">
        <v>49</v>
      </c>
      <c r="X863" s="143">
        <v>808</v>
      </c>
      <c r="Y863" s="143" t="s">
        <v>2820</v>
      </c>
      <c r="Z863" s="143">
        <v>808</v>
      </c>
      <c r="AA863" s="143">
        <v>5.8</v>
      </c>
      <c r="AB863" s="170"/>
      <c r="AC863" s="143"/>
      <c r="AD863" s="143"/>
      <c r="AE863" s="143"/>
      <c r="AF863" s="143"/>
      <c r="AG863" s="143"/>
      <c r="AH863" s="143"/>
      <c r="AI863" s="143"/>
      <c r="AJ863" s="143"/>
      <c r="AK863" s="143"/>
      <c r="AL863" s="143"/>
      <c r="AM863" s="143"/>
    </row>
    <row r="864" s="140" customFormat="1" ht="15" spans="1:39">
      <c r="A864" s="143">
        <v>862</v>
      </c>
      <c r="B864" s="144">
        <v>45850</v>
      </c>
      <c r="C864" s="143" t="s">
        <v>40</v>
      </c>
      <c r="D864" s="143" t="s">
        <v>2338</v>
      </c>
      <c r="E864" s="145"/>
      <c r="F864" s="143" t="s">
        <v>2829</v>
      </c>
      <c r="G864" s="143"/>
      <c r="H864" s="152" t="s">
        <v>2830</v>
      </c>
      <c r="I864" s="143" t="s">
        <v>330</v>
      </c>
      <c r="J864" s="143" t="s">
        <v>325</v>
      </c>
      <c r="K864" s="143">
        <v>150</v>
      </c>
      <c r="L864" s="143">
        <v>50</v>
      </c>
      <c r="M864" s="143"/>
      <c r="N864" s="143"/>
      <c r="O864" s="143"/>
      <c r="P864" s="143"/>
      <c r="Q864" s="143"/>
      <c r="R864" s="143"/>
      <c r="S864" s="146"/>
      <c r="T864" s="146"/>
      <c r="U864" s="146"/>
      <c r="V864" s="147"/>
      <c r="W864" s="143" t="s">
        <v>49</v>
      </c>
      <c r="X864" s="143">
        <v>852</v>
      </c>
      <c r="Y864" s="143" t="s">
        <v>2820</v>
      </c>
      <c r="Z864" s="143">
        <v>852</v>
      </c>
      <c r="AA864" s="143">
        <v>5.6</v>
      </c>
      <c r="AB864" s="170"/>
      <c r="AC864" s="143"/>
      <c r="AD864" s="143"/>
      <c r="AE864" s="143"/>
      <c r="AF864" s="143"/>
      <c r="AG864" s="143"/>
      <c r="AH864" s="143"/>
      <c r="AI864" s="143"/>
      <c r="AJ864" s="143"/>
      <c r="AK864" s="143"/>
      <c r="AL864" s="143"/>
      <c r="AM864" s="143"/>
    </row>
    <row r="865" s="140" customFormat="1" ht="15" spans="1:39">
      <c r="A865" s="143">
        <v>863</v>
      </c>
      <c r="B865" s="144">
        <v>45861</v>
      </c>
      <c r="C865" s="143" t="s">
        <v>193</v>
      </c>
      <c r="D865" s="143" t="s">
        <v>2831</v>
      </c>
      <c r="E865" s="145"/>
      <c r="F865" s="143" t="s">
        <v>2832</v>
      </c>
      <c r="G865" s="143"/>
      <c r="H865" s="152" t="s">
        <v>2833</v>
      </c>
      <c r="I865" s="143" t="s">
        <v>324</v>
      </c>
      <c r="J865" s="143" t="s">
        <v>1577</v>
      </c>
      <c r="K865" s="143">
        <v>150</v>
      </c>
      <c r="L865" s="143">
        <v>102</v>
      </c>
      <c r="M865" s="143"/>
      <c r="N865" s="143"/>
      <c r="O865" s="143"/>
      <c r="P865" s="143"/>
      <c r="Q865" s="143"/>
      <c r="R865" s="143"/>
      <c r="S865" s="146"/>
      <c r="T865" s="146"/>
      <c r="U865" s="146"/>
      <c r="V865" s="147"/>
      <c r="W865" s="143" t="s">
        <v>49</v>
      </c>
      <c r="X865" s="143">
        <v>903</v>
      </c>
      <c r="Y865" s="143" t="s">
        <v>2834</v>
      </c>
      <c r="Z865" s="143">
        <v>903</v>
      </c>
      <c r="AA865" s="143">
        <v>8.2</v>
      </c>
      <c r="AB865" s="170">
        <v>45862</v>
      </c>
      <c r="AC865" s="143"/>
      <c r="AD865" s="143"/>
      <c r="AE865" s="143"/>
      <c r="AF865" s="143"/>
      <c r="AG865" s="143"/>
      <c r="AH865" s="143"/>
      <c r="AI865" s="143"/>
      <c r="AJ865" s="143"/>
      <c r="AK865" s="143"/>
      <c r="AL865" s="143"/>
      <c r="AM865" s="143"/>
    </row>
    <row r="866" s="140" customFormat="1" ht="15" spans="1:39">
      <c r="A866" s="143">
        <v>864</v>
      </c>
      <c r="B866" s="144">
        <v>45861</v>
      </c>
      <c r="C866" s="143" t="s">
        <v>193</v>
      </c>
      <c r="D866" s="143" t="s">
        <v>2831</v>
      </c>
      <c r="E866" s="145"/>
      <c r="F866" s="143" t="s">
        <v>2835</v>
      </c>
      <c r="G866" s="143"/>
      <c r="H866" s="152" t="s">
        <v>2836</v>
      </c>
      <c r="I866" s="143" t="s">
        <v>436</v>
      </c>
      <c r="J866" s="143" t="s">
        <v>320</v>
      </c>
      <c r="K866" s="143">
        <v>150</v>
      </c>
      <c r="L866" s="143">
        <v>115</v>
      </c>
      <c r="M866" s="143"/>
      <c r="N866" s="143"/>
      <c r="O866" s="143"/>
      <c r="P866" s="143"/>
      <c r="Q866" s="143"/>
      <c r="R866" s="143"/>
      <c r="S866" s="146"/>
      <c r="T866" s="146"/>
      <c r="U866" s="146"/>
      <c r="V866" s="147"/>
      <c r="W866" s="143" t="s">
        <v>49</v>
      </c>
      <c r="X866" s="143">
        <v>909</v>
      </c>
      <c r="Y866" s="143" t="s">
        <v>2834</v>
      </c>
      <c r="Z866" s="143">
        <v>909</v>
      </c>
      <c r="AA866" s="143">
        <v>9.2</v>
      </c>
      <c r="AB866" s="170">
        <v>45862</v>
      </c>
      <c r="AC866" s="143"/>
      <c r="AD866" s="143"/>
      <c r="AE866" s="143"/>
      <c r="AF866" s="143"/>
      <c r="AG866" s="143"/>
      <c r="AH866" s="143"/>
      <c r="AI866" s="143"/>
      <c r="AJ866" s="143"/>
      <c r="AK866" s="143"/>
      <c r="AL866" s="143"/>
      <c r="AM866" s="143"/>
    </row>
    <row r="867" s="140" customFormat="1" ht="15" spans="1:39">
      <c r="A867" s="143">
        <v>865</v>
      </c>
      <c r="B867" s="144">
        <v>45854</v>
      </c>
      <c r="C867" s="143" t="s">
        <v>40</v>
      </c>
      <c r="D867" s="143" t="s">
        <v>2338</v>
      </c>
      <c r="E867" s="145"/>
      <c r="F867" s="143" t="s">
        <v>2837</v>
      </c>
      <c r="G867" s="143"/>
      <c r="H867" s="152" t="s">
        <v>2838</v>
      </c>
      <c r="I867" s="143" t="s">
        <v>2839</v>
      </c>
      <c r="J867" s="143" t="s">
        <v>2840</v>
      </c>
      <c r="K867" s="143">
        <v>134</v>
      </c>
      <c r="L867" s="143">
        <v>277</v>
      </c>
      <c r="M867" s="143"/>
      <c r="N867" s="143"/>
      <c r="O867" s="143"/>
      <c r="P867" s="143"/>
      <c r="Q867" s="143" t="s">
        <v>2841</v>
      </c>
      <c r="R867" s="143"/>
      <c r="S867" s="146"/>
      <c r="T867" s="146"/>
      <c r="U867" s="146"/>
      <c r="V867" s="147"/>
      <c r="W867" s="143" t="s">
        <v>2842</v>
      </c>
      <c r="X867" s="143" t="s">
        <v>2843</v>
      </c>
      <c r="Y867" s="143" t="s">
        <v>2842</v>
      </c>
      <c r="Z867" s="143" t="s">
        <v>2843</v>
      </c>
      <c r="AA867" s="143">
        <v>24.38</v>
      </c>
      <c r="AB867" s="170" t="s">
        <v>2841</v>
      </c>
      <c r="AC867" s="143"/>
      <c r="AD867" s="143"/>
      <c r="AE867" s="143"/>
      <c r="AF867" s="143"/>
      <c r="AG867" s="143"/>
      <c r="AH867" s="143"/>
      <c r="AI867" s="143"/>
      <c r="AJ867" s="143"/>
      <c r="AK867" s="143"/>
      <c r="AL867" s="143"/>
      <c r="AM867" s="143"/>
    </row>
    <row r="868" s="140" customFormat="1" ht="15" spans="1:39">
      <c r="A868" s="143">
        <v>866</v>
      </c>
      <c r="B868" s="144">
        <v>45854</v>
      </c>
      <c r="C868" s="143" t="s">
        <v>40</v>
      </c>
      <c r="D868" s="143" t="s">
        <v>2338</v>
      </c>
      <c r="E868" s="145"/>
      <c r="F868" s="143" t="s">
        <v>2837</v>
      </c>
      <c r="G868" s="143"/>
      <c r="H868" s="152" t="s">
        <v>2844</v>
      </c>
      <c r="I868" s="143" t="s">
        <v>2839</v>
      </c>
      <c r="J868" s="143" t="s">
        <v>2840</v>
      </c>
      <c r="K868" s="143">
        <v>134</v>
      </c>
      <c r="L868" s="143">
        <v>271</v>
      </c>
      <c r="M868" s="143"/>
      <c r="N868" s="143"/>
      <c r="O868" s="143"/>
      <c r="P868" s="143"/>
      <c r="Q868" s="143"/>
      <c r="R868" s="143"/>
      <c r="S868" s="146"/>
      <c r="T868" s="146"/>
      <c r="U868" s="146"/>
      <c r="V868" s="147"/>
      <c r="W868" s="143" t="s">
        <v>2842</v>
      </c>
      <c r="X868" s="143" t="s">
        <v>2845</v>
      </c>
      <c r="Y868" s="143" t="s">
        <v>2842</v>
      </c>
      <c r="Z868" s="143" t="s">
        <v>2845</v>
      </c>
      <c r="AA868" s="143">
        <v>37.1</v>
      </c>
      <c r="AB868" s="170"/>
      <c r="AC868" s="143"/>
      <c r="AD868" s="143"/>
      <c r="AE868" s="143"/>
      <c r="AF868" s="143"/>
      <c r="AG868" s="143"/>
      <c r="AH868" s="143"/>
      <c r="AI868" s="143"/>
      <c r="AJ868" s="143"/>
      <c r="AK868" s="143"/>
      <c r="AL868" s="143"/>
      <c r="AM868" s="143"/>
    </row>
    <row r="869" s="140" customFormat="1" ht="15" spans="1:39">
      <c r="A869" s="143">
        <v>867</v>
      </c>
      <c r="B869" s="144">
        <v>45854</v>
      </c>
      <c r="C869" s="143" t="s">
        <v>40</v>
      </c>
      <c r="D869" s="143" t="s">
        <v>2338</v>
      </c>
      <c r="E869" s="145"/>
      <c r="F869" s="143" t="s">
        <v>2837</v>
      </c>
      <c r="G869" s="143"/>
      <c r="H869" s="152" t="s">
        <v>2846</v>
      </c>
      <c r="I869" s="143" t="s">
        <v>535</v>
      </c>
      <c r="J869" s="143" t="s">
        <v>330</v>
      </c>
      <c r="K869" s="143">
        <v>134</v>
      </c>
      <c r="L869" s="143">
        <v>334</v>
      </c>
      <c r="M869" s="143"/>
      <c r="N869" s="143"/>
      <c r="O869" s="143"/>
      <c r="P869" s="143"/>
      <c r="Q869" s="143"/>
      <c r="R869" s="143"/>
      <c r="S869" s="146"/>
      <c r="T869" s="146"/>
      <c r="U869" s="146"/>
      <c r="V869" s="147"/>
      <c r="W869" s="143" t="s">
        <v>2842</v>
      </c>
      <c r="X869" s="143" t="s">
        <v>2847</v>
      </c>
      <c r="Y869" s="143" t="s">
        <v>2842</v>
      </c>
      <c r="Z869" s="143" t="s">
        <v>2847</v>
      </c>
      <c r="AA869" s="143">
        <v>19.08</v>
      </c>
      <c r="AB869" s="170"/>
      <c r="AC869" s="143"/>
      <c r="AD869" s="143"/>
      <c r="AE869" s="143"/>
      <c r="AF869" s="143"/>
      <c r="AG869" s="143"/>
      <c r="AH869" s="143"/>
      <c r="AI869" s="143"/>
      <c r="AJ869" s="143"/>
      <c r="AK869" s="143"/>
      <c r="AL869" s="143"/>
      <c r="AM869" s="143"/>
    </row>
    <row r="870" s="140" customFormat="1" ht="15" spans="1:39">
      <c r="A870" s="143">
        <v>868</v>
      </c>
      <c r="B870" s="144">
        <v>45854</v>
      </c>
      <c r="C870" s="143" t="s">
        <v>40</v>
      </c>
      <c r="D870" s="143" t="s">
        <v>2338</v>
      </c>
      <c r="E870" s="145"/>
      <c r="F870" s="143" t="s">
        <v>2837</v>
      </c>
      <c r="G870" s="143"/>
      <c r="H870" s="152" t="s">
        <v>2848</v>
      </c>
      <c r="I870" s="143" t="s">
        <v>2849</v>
      </c>
      <c r="J870" s="143" t="s">
        <v>2850</v>
      </c>
      <c r="K870" s="143">
        <v>134</v>
      </c>
      <c r="L870" s="143">
        <v>100</v>
      </c>
      <c r="M870" s="143"/>
      <c r="N870" s="143"/>
      <c r="O870" s="143"/>
      <c r="P870" s="143"/>
      <c r="Q870" s="143"/>
      <c r="R870" s="143"/>
      <c r="S870" s="146"/>
      <c r="T870" s="146"/>
      <c r="U870" s="146"/>
      <c r="V870" s="147"/>
      <c r="W870" s="143" t="s">
        <v>2842</v>
      </c>
      <c r="X870" s="143" t="s">
        <v>2851</v>
      </c>
      <c r="Y870" s="143" t="s">
        <v>2842</v>
      </c>
      <c r="Z870" s="143" t="s">
        <v>2851</v>
      </c>
      <c r="AA870" s="143">
        <v>11.66</v>
      </c>
      <c r="AB870" s="170"/>
      <c r="AC870" s="143"/>
      <c r="AD870" s="143"/>
      <c r="AE870" s="143"/>
      <c r="AF870" s="143"/>
      <c r="AG870" s="143"/>
      <c r="AH870" s="143"/>
      <c r="AI870" s="143"/>
      <c r="AJ870" s="143"/>
      <c r="AK870" s="143"/>
      <c r="AL870" s="143"/>
      <c r="AM870" s="143"/>
    </row>
    <row r="871" s="140" customFormat="1" ht="15" spans="1:39">
      <c r="A871" s="143">
        <v>869</v>
      </c>
      <c r="B871" s="144">
        <v>45854</v>
      </c>
      <c r="C871" s="143" t="s">
        <v>40</v>
      </c>
      <c r="D871" s="143" t="s">
        <v>2338</v>
      </c>
      <c r="E871" s="145"/>
      <c r="F871" s="143" t="s">
        <v>2837</v>
      </c>
      <c r="G871" s="143"/>
      <c r="H871" s="152" t="s">
        <v>2852</v>
      </c>
      <c r="I871" s="143" t="s">
        <v>2839</v>
      </c>
      <c r="J871" s="143" t="s">
        <v>2840</v>
      </c>
      <c r="K871" s="143">
        <v>134</v>
      </c>
      <c r="L871" s="143">
        <v>392</v>
      </c>
      <c r="M871" s="143"/>
      <c r="N871" s="143"/>
      <c r="O871" s="143"/>
      <c r="P871" s="143"/>
      <c r="Q871" s="143"/>
      <c r="R871" s="143"/>
      <c r="S871" s="146"/>
      <c r="T871" s="146"/>
      <c r="U871" s="146"/>
      <c r="V871" s="147"/>
      <c r="W871" s="143" t="s">
        <v>2842</v>
      </c>
      <c r="X871" s="143" t="s">
        <v>2853</v>
      </c>
      <c r="Y871" s="143" t="s">
        <v>2842</v>
      </c>
      <c r="Z871" s="143" t="s">
        <v>2853</v>
      </c>
      <c r="AA871" s="143">
        <v>25.44</v>
      </c>
      <c r="AB871" s="170"/>
      <c r="AC871" s="143"/>
      <c r="AD871" s="143"/>
      <c r="AE871" s="143"/>
      <c r="AF871" s="143"/>
      <c r="AG871" s="143"/>
      <c r="AH871" s="143"/>
      <c r="AI871" s="143"/>
      <c r="AJ871" s="143"/>
      <c r="AK871" s="143"/>
      <c r="AL871" s="143"/>
      <c r="AM871" s="143"/>
    </row>
    <row r="872" s="140" customFormat="1" ht="15" spans="1:39">
      <c r="A872" s="143">
        <v>870</v>
      </c>
      <c r="B872" s="144">
        <v>45854</v>
      </c>
      <c r="C872" s="143" t="s">
        <v>40</v>
      </c>
      <c r="D872" s="143" t="s">
        <v>2338</v>
      </c>
      <c r="E872" s="145"/>
      <c r="F872" s="143" t="s">
        <v>2837</v>
      </c>
      <c r="G872" s="143"/>
      <c r="H872" s="152" t="s">
        <v>2854</v>
      </c>
      <c r="I872" s="143" t="s">
        <v>2839</v>
      </c>
      <c r="J872" s="143" t="s">
        <v>2840</v>
      </c>
      <c r="K872" s="143">
        <v>134</v>
      </c>
      <c r="L872" s="143">
        <v>441</v>
      </c>
      <c r="M872" s="143"/>
      <c r="N872" s="143"/>
      <c r="O872" s="143"/>
      <c r="P872" s="143"/>
      <c r="Q872" s="143"/>
      <c r="R872" s="143"/>
      <c r="S872" s="146"/>
      <c r="T872" s="146"/>
      <c r="U872" s="146"/>
      <c r="V872" s="147"/>
      <c r="W872" s="143" t="s">
        <v>2842</v>
      </c>
      <c r="X872" s="143" t="s">
        <v>2855</v>
      </c>
      <c r="Y872" s="143" t="s">
        <v>2842</v>
      </c>
      <c r="Z872" s="143" t="s">
        <v>2855</v>
      </c>
      <c r="AA872" s="143">
        <v>21.2</v>
      </c>
      <c r="AB872" s="170"/>
      <c r="AC872" s="143"/>
      <c r="AD872" s="143"/>
      <c r="AE872" s="143"/>
      <c r="AF872" s="143"/>
      <c r="AG872" s="143"/>
      <c r="AH872" s="143"/>
      <c r="AI872" s="143"/>
      <c r="AJ872" s="143"/>
      <c r="AK872" s="143"/>
      <c r="AL872" s="143"/>
      <c r="AM872" s="143"/>
    </row>
    <row r="873" s="140" customFormat="1" ht="15" spans="1:39">
      <c r="A873" s="143">
        <v>871</v>
      </c>
      <c r="B873" s="144">
        <v>45854</v>
      </c>
      <c r="C873" s="143" t="s">
        <v>40</v>
      </c>
      <c r="D873" s="143" t="s">
        <v>2338</v>
      </c>
      <c r="E873" s="145"/>
      <c r="F873" s="143" t="s">
        <v>2837</v>
      </c>
      <c r="G873" s="143"/>
      <c r="H873" s="152" t="s">
        <v>2856</v>
      </c>
      <c r="I873" s="143" t="s">
        <v>2839</v>
      </c>
      <c r="J873" s="143" t="s">
        <v>2840</v>
      </c>
      <c r="K873" s="143">
        <v>134</v>
      </c>
      <c r="L873" s="143">
        <v>330</v>
      </c>
      <c r="M873" s="143"/>
      <c r="N873" s="143"/>
      <c r="O873" s="143"/>
      <c r="P873" s="143"/>
      <c r="Q873" s="143"/>
      <c r="R873" s="143"/>
      <c r="S873" s="146"/>
      <c r="T873" s="146"/>
      <c r="U873" s="146"/>
      <c r="V873" s="147"/>
      <c r="W873" s="143" t="s">
        <v>2842</v>
      </c>
      <c r="X873" s="143" t="s">
        <v>2857</v>
      </c>
      <c r="Y873" s="143" t="s">
        <v>2842</v>
      </c>
      <c r="Z873" s="143" t="s">
        <v>2857</v>
      </c>
      <c r="AA873" s="143">
        <v>24.38</v>
      </c>
      <c r="AB873" s="170"/>
      <c r="AC873" s="143"/>
      <c r="AD873" s="143"/>
      <c r="AE873" s="143"/>
      <c r="AF873" s="143"/>
      <c r="AG873" s="143"/>
      <c r="AH873" s="143"/>
      <c r="AI873" s="143"/>
      <c r="AJ873" s="143"/>
      <c r="AK873" s="143"/>
      <c r="AL873" s="143"/>
      <c r="AM873" s="143"/>
    </row>
    <row r="874" s="140" customFormat="1" ht="15" spans="1:39">
      <c r="A874" s="143">
        <v>872</v>
      </c>
      <c r="B874" s="144">
        <v>45854</v>
      </c>
      <c r="C874" s="143" t="s">
        <v>40</v>
      </c>
      <c r="D874" s="143" t="s">
        <v>2338</v>
      </c>
      <c r="E874" s="145"/>
      <c r="F874" s="143" t="s">
        <v>2837</v>
      </c>
      <c r="G874" s="143"/>
      <c r="H874" s="152" t="s">
        <v>2858</v>
      </c>
      <c r="I874" s="143" t="s">
        <v>2859</v>
      </c>
      <c r="J874" s="143" t="s">
        <v>2860</v>
      </c>
      <c r="K874" s="143">
        <v>134</v>
      </c>
      <c r="L874" s="143">
        <v>315</v>
      </c>
      <c r="M874" s="143"/>
      <c r="N874" s="143"/>
      <c r="O874" s="143"/>
      <c r="P874" s="143"/>
      <c r="Q874" s="143"/>
      <c r="R874" s="143"/>
      <c r="S874" s="146"/>
      <c r="T874" s="146"/>
      <c r="U874" s="146"/>
      <c r="V874" s="147"/>
      <c r="W874" s="143" t="s">
        <v>2842</v>
      </c>
      <c r="X874" s="143" t="s">
        <v>2861</v>
      </c>
      <c r="Y874" s="143" t="s">
        <v>2842</v>
      </c>
      <c r="Z874" s="143" t="s">
        <v>2861</v>
      </c>
      <c r="AA874" s="143">
        <v>23.32</v>
      </c>
      <c r="AB874" s="170"/>
      <c r="AC874" s="143"/>
      <c r="AD874" s="143"/>
      <c r="AE874" s="143"/>
      <c r="AF874" s="143"/>
      <c r="AG874" s="143"/>
      <c r="AH874" s="143"/>
      <c r="AI874" s="143"/>
      <c r="AJ874" s="143"/>
      <c r="AK874" s="143"/>
      <c r="AL874" s="143"/>
      <c r="AM874" s="143"/>
    </row>
    <row r="875" s="140" customFormat="1" ht="15" spans="1:39">
      <c r="A875" s="143">
        <v>873</v>
      </c>
      <c r="B875" s="144">
        <v>45854</v>
      </c>
      <c r="C875" s="143" t="s">
        <v>40</v>
      </c>
      <c r="D875" s="143" t="s">
        <v>2338</v>
      </c>
      <c r="E875" s="145"/>
      <c r="F875" s="143" t="s">
        <v>2837</v>
      </c>
      <c r="G875" s="143"/>
      <c r="H875" s="152" t="s">
        <v>2862</v>
      </c>
      <c r="I875" s="143" t="s">
        <v>2839</v>
      </c>
      <c r="J875" s="143" t="s">
        <v>2840</v>
      </c>
      <c r="K875" s="143">
        <v>134</v>
      </c>
      <c r="L875" s="143">
        <v>213</v>
      </c>
      <c r="M875" s="143"/>
      <c r="N875" s="143"/>
      <c r="O875" s="143"/>
      <c r="P875" s="143"/>
      <c r="Q875" s="143"/>
      <c r="R875" s="143"/>
      <c r="S875" s="146"/>
      <c r="T875" s="146"/>
      <c r="U875" s="146"/>
      <c r="V875" s="147"/>
      <c r="W875" s="143" t="s">
        <v>2842</v>
      </c>
      <c r="X875" s="143" t="s">
        <v>2863</v>
      </c>
      <c r="Y875" s="143" t="s">
        <v>2842</v>
      </c>
      <c r="Z875" s="143" t="s">
        <v>2863</v>
      </c>
      <c r="AA875" s="143">
        <v>23.32</v>
      </c>
      <c r="AB875" s="170"/>
      <c r="AC875" s="143"/>
      <c r="AD875" s="143"/>
      <c r="AE875" s="143"/>
      <c r="AF875" s="143"/>
      <c r="AG875" s="143"/>
      <c r="AH875" s="143"/>
      <c r="AI875" s="143"/>
      <c r="AJ875" s="143"/>
      <c r="AK875" s="143"/>
      <c r="AL875" s="143"/>
      <c r="AM875" s="143"/>
    </row>
    <row r="876" s="140" customFormat="1" ht="15" spans="1:39">
      <c r="A876" s="143">
        <v>874</v>
      </c>
      <c r="B876" s="144">
        <v>45854</v>
      </c>
      <c r="C876" s="143" t="s">
        <v>40</v>
      </c>
      <c r="D876" s="143" t="s">
        <v>2338</v>
      </c>
      <c r="E876" s="145"/>
      <c r="F876" s="143" t="s">
        <v>2837</v>
      </c>
      <c r="G876" s="143"/>
      <c r="H876" s="152" t="s">
        <v>2864</v>
      </c>
      <c r="I876" s="143" t="s">
        <v>2859</v>
      </c>
      <c r="J876" s="143" t="s">
        <v>2860</v>
      </c>
      <c r="K876" s="143">
        <v>134</v>
      </c>
      <c r="L876" s="143">
        <v>362</v>
      </c>
      <c r="M876" s="143"/>
      <c r="N876" s="143"/>
      <c r="O876" s="143"/>
      <c r="P876" s="143"/>
      <c r="Q876" s="143"/>
      <c r="R876" s="143"/>
      <c r="S876" s="146"/>
      <c r="T876" s="146"/>
      <c r="U876" s="146"/>
      <c r="V876" s="147"/>
      <c r="W876" s="143" t="s">
        <v>2842</v>
      </c>
      <c r="X876" s="143" t="s">
        <v>2865</v>
      </c>
      <c r="Y876" s="143" t="s">
        <v>2842</v>
      </c>
      <c r="Z876" s="143" t="s">
        <v>2865</v>
      </c>
      <c r="AA876" s="143">
        <v>20.14</v>
      </c>
      <c r="AB876" s="170"/>
      <c r="AC876" s="143"/>
      <c r="AD876" s="143"/>
      <c r="AE876" s="143"/>
      <c r="AF876" s="143"/>
      <c r="AG876" s="143"/>
      <c r="AH876" s="143"/>
      <c r="AI876" s="143"/>
      <c r="AJ876" s="143"/>
      <c r="AK876" s="143"/>
      <c r="AL876" s="143"/>
      <c r="AM876" s="143"/>
    </row>
    <row r="877" s="140" customFormat="1" ht="15" spans="1:39">
      <c r="A877" s="143">
        <v>875</v>
      </c>
      <c r="B877" s="144">
        <v>45854</v>
      </c>
      <c r="C877" s="143" t="s">
        <v>40</v>
      </c>
      <c r="D877" s="143" t="s">
        <v>2338</v>
      </c>
      <c r="E877" s="145"/>
      <c r="F877" s="143" t="s">
        <v>2837</v>
      </c>
      <c r="G877" s="143"/>
      <c r="H877" s="152" t="s">
        <v>2866</v>
      </c>
      <c r="I877" s="143" t="s">
        <v>2839</v>
      </c>
      <c r="J877" s="143" t="s">
        <v>2840</v>
      </c>
      <c r="K877" s="143">
        <v>138</v>
      </c>
      <c r="L877" s="143">
        <v>339</v>
      </c>
      <c r="M877" s="143"/>
      <c r="N877" s="143"/>
      <c r="O877" s="143"/>
      <c r="P877" s="143"/>
      <c r="Q877" s="143"/>
      <c r="R877" s="143"/>
      <c r="S877" s="146"/>
      <c r="T877" s="146"/>
      <c r="U877" s="146"/>
      <c r="V877" s="147"/>
      <c r="W877" s="143" t="s">
        <v>2842</v>
      </c>
      <c r="X877" s="143" t="s">
        <v>2867</v>
      </c>
      <c r="Y877" s="143" t="s">
        <v>2842</v>
      </c>
      <c r="Z877" s="143" t="s">
        <v>2867</v>
      </c>
      <c r="AA877" s="143">
        <v>20.14</v>
      </c>
      <c r="AB877" s="170"/>
      <c r="AC877" s="143"/>
      <c r="AD877" s="143"/>
      <c r="AE877" s="143"/>
      <c r="AF877" s="143"/>
      <c r="AG877" s="143"/>
      <c r="AH877" s="143"/>
      <c r="AI877" s="143"/>
      <c r="AJ877" s="143"/>
      <c r="AK877" s="143"/>
      <c r="AL877" s="143"/>
      <c r="AM877" s="143"/>
    </row>
    <row r="878" s="140" customFormat="1" ht="15" spans="1:39">
      <c r="A878" s="143">
        <v>876</v>
      </c>
      <c r="B878" s="144">
        <v>45854</v>
      </c>
      <c r="C878" s="143" t="s">
        <v>40</v>
      </c>
      <c r="D878" s="143" t="s">
        <v>2338</v>
      </c>
      <c r="E878" s="145"/>
      <c r="F878" s="143" t="s">
        <v>2837</v>
      </c>
      <c r="G878" s="143"/>
      <c r="H878" s="152" t="s">
        <v>2868</v>
      </c>
      <c r="I878" s="143" t="s">
        <v>2859</v>
      </c>
      <c r="J878" s="143" t="s">
        <v>2860</v>
      </c>
      <c r="K878" s="143">
        <v>140</v>
      </c>
      <c r="L878" s="143">
        <v>215</v>
      </c>
      <c r="M878" s="143"/>
      <c r="N878" s="143"/>
      <c r="O878" s="143"/>
      <c r="P878" s="143"/>
      <c r="Q878" s="143"/>
      <c r="R878" s="143"/>
      <c r="S878" s="146"/>
      <c r="T878" s="146"/>
      <c r="U878" s="146"/>
      <c r="V878" s="147"/>
      <c r="W878" s="143" t="s">
        <v>2842</v>
      </c>
      <c r="X878" s="143" t="s">
        <v>2869</v>
      </c>
      <c r="Y878" s="143" t="s">
        <v>2842</v>
      </c>
      <c r="Z878" s="143" t="s">
        <v>2869</v>
      </c>
      <c r="AA878" s="143">
        <v>19.08</v>
      </c>
      <c r="AB878" s="170"/>
      <c r="AC878" s="143"/>
      <c r="AD878" s="143"/>
      <c r="AE878" s="143"/>
      <c r="AF878" s="143"/>
      <c r="AG878" s="143"/>
      <c r="AH878" s="143"/>
      <c r="AI878" s="143"/>
      <c r="AJ878" s="143"/>
      <c r="AK878" s="143"/>
      <c r="AL878" s="143"/>
      <c r="AM878" s="143"/>
    </row>
    <row r="879" s="140" customFormat="1" ht="15" spans="1:39">
      <c r="A879" s="143">
        <v>877</v>
      </c>
      <c r="B879" s="144">
        <v>45854</v>
      </c>
      <c r="C879" s="143" t="s">
        <v>40</v>
      </c>
      <c r="D879" s="143" t="s">
        <v>2338</v>
      </c>
      <c r="E879" s="145"/>
      <c r="F879" s="143" t="s">
        <v>2837</v>
      </c>
      <c r="G879" s="143"/>
      <c r="H879" s="152" t="s">
        <v>2870</v>
      </c>
      <c r="I879" s="143" t="s">
        <v>2839</v>
      </c>
      <c r="J879" s="143" t="s">
        <v>2840</v>
      </c>
      <c r="K879" s="143">
        <v>134</v>
      </c>
      <c r="L879" s="143">
        <v>370</v>
      </c>
      <c r="M879" s="143"/>
      <c r="N879" s="143"/>
      <c r="O879" s="143"/>
      <c r="P879" s="143"/>
      <c r="Q879" s="143"/>
      <c r="R879" s="143"/>
      <c r="S879" s="146"/>
      <c r="T879" s="146"/>
      <c r="U879" s="146"/>
      <c r="V879" s="147"/>
      <c r="W879" s="143" t="s">
        <v>2842</v>
      </c>
      <c r="X879" s="143" t="s">
        <v>2871</v>
      </c>
      <c r="Y879" s="143" t="s">
        <v>2842</v>
      </c>
      <c r="Z879" s="143" t="s">
        <v>2871</v>
      </c>
      <c r="AA879" s="143">
        <v>15.9</v>
      </c>
      <c r="AB879" s="170"/>
      <c r="AC879" s="143"/>
      <c r="AD879" s="143"/>
      <c r="AE879" s="143"/>
      <c r="AF879" s="143"/>
      <c r="AG879" s="143"/>
      <c r="AH879" s="143"/>
      <c r="AI879" s="143"/>
      <c r="AJ879" s="143"/>
      <c r="AK879" s="143"/>
      <c r="AL879" s="143"/>
      <c r="AM879" s="143"/>
    </row>
    <row r="880" s="140" customFormat="1" ht="15" spans="1:39">
      <c r="A880" s="143">
        <v>878</v>
      </c>
      <c r="B880" s="144">
        <v>45859</v>
      </c>
      <c r="C880" s="143" t="s">
        <v>193</v>
      </c>
      <c r="D880" s="143" t="s">
        <v>41</v>
      </c>
      <c r="E880" s="145"/>
      <c r="F880" s="143" t="s">
        <v>2872</v>
      </c>
      <c r="G880" s="143"/>
      <c r="H880" s="152" t="s">
        <v>2873</v>
      </c>
      <c r="I880" s="143" t="s">
        <v>2874</v>
      </c>
      <c r="J880" s="143" t="s">
        <v>2875</v>
      </c>
      <c r="K880" s="143">
        <v>142</v>
      </c>
      <c r="L880" s="143">
        <v>210</v>
      </c>
      <c r="M880" s="143"/>
      <c r="N880" s="143"/>
      <c r="O880" s="143"/>
      <c r="P880" s="143"/>
      <c r="Q880" s="143"/>
      <c r="R880" s="143"/>
      <c r="S880" s="146"/>
      <c r="T880" s="146"/>
      <c r="U880" s="146"/>
      <c r="V880" s="147"/>
      <c r="W880" s="143" t="s">
        <v>49</v>
      </c>
      <c r="X880" s="143" t="s">
        <v>2876</v>
      </c>
      <c r="Y880" s="143" t="s">
        <v>2877</v>
      </c>
      <c r="Z880" s="143" t="s">
        <v>2872</v>
      </c>
      <c r="AA880" s="143">
        <v>26</v>
      </c>
      <c r="AB880" s="170">
        <v>45859</v>
      </c>
      <c r="AC880" s="143"/>
      <c r="AD880" s="143"/>
      <c r="AE880" s="143"/>
      <c r="AF880" s="143"/>
      <c r="AG880" s="143"/>
      <c r="AH880" s="143"/>
      <c r="AI880" s="143"/>
      <c r="AJ880" s="143"/>
      <c r="AK880" s="143"/>
      <c r="AL880" s="143"/>
      <c r="AM880" s="143"/>
    </row>
    <row r="881" s="140" customFormat="1" ht="15" spans="1:39">
      <c r="A881" s="143">
        <v>879</v>
      </c>
      <c r="B881" s="144">
        <v>45859</v>
      </c>
      <c r="C881" s="143" t="s">
        <v>193</v>
      </c>
      <c r="D881" s="143" t="s">
        <v>41</v>
      </c>
      <c r="E881" s="145"/>
      <c r="F881" s="143" t="s">
        <v>2878</v>
      </c>
      <c r="G881" s="143"/>
      <c r="H881" s="152" t="s">
        <v>2879</v>
      </c>
      <c r="I881" s="143" t="s">
        <v>2880</v>
      </c>
      <c r="J881" s="143" t="s">
        <v>2881</v>
      </c>
      <c r="K881" s="143">
        <v>150</v>
      </c>
      <c r="L881" s="143">
        <v>120</v>
      </c>
      <c r="M881" s="143"/>
      <c r="N881" s="143"/>
      <c r="O881" s="143"/>
      <c r="P881" s="143"/>
      <c r="Q881" s="143"/>
      <c r="R881" s="143"/>
      <c r="S881" s="146"/>
      <c r="T881" s="146"/>
      <c r="U881" s="146"/>
      <c r="V881" s="147"/>
      <c r="W881" s="143" t="s">
        <v>49</v>
      </c>
      <c r="X881" s="143" t="s">
        <v>2878</v>
      </c>
      <c r="Y881" s="143" t="s">
        <v>2882</v>
      </c>
      <c r="Z881" s="143" t="s">
        <v>2878</v>
      </c>
      <c r="AA881" s="143">
        <v>13.5</v>
      </c>
      <c r="AB881" s="170">
        <v>45859</v>
      </c>
      <c r="AC881" s="143"/>
      <c r="AD881" s="143"/>
      <c r="AE881" s="143"/>
      <c r="AF881" s="143"/>
      <c r="AG881" s="143"/>
      <c r="AH881" s="143"/>
      <c r="AI881" s="143"/>
      <c r="AJ881" s="143"/>
      <c r="AK881" s="143"/>
      <c r="AL881" s="143"/>
      <c r="AM881" s="143"/>
    </row>
    <row r="882" s="140" customFormat="1" ht="15" spans="1:39">
      <c r="A882" s="143">
        <v>880</v>
      </c>
      <c r="B882" s="144">
        <v>45859</v>
      </c>
      <c r="C882" s="143" t="s">
        <v>193</v>
      </c>
      <c r="D882" s="143" t="s">
        <v>41</v>
      </c>
      <c r="E882" s="145"/>
      <c r="F882" s="143" t="s">
        <v>2883</v>
      </c>
      <c r="G882" s="143"/>
      <c r="H882" s="152" t="s">
        <v>2884</v>
      </c>
      <c r="I882" s="143" t="s">
        <v>2885</v>
      </c>
      <c r="J882" s="143" t="s">
        <v>2886</v>
      </c>
      <c r="K882" s="143">
        <v>150</v>
      </c>
      <c r="L882" s="143">
        <v>160</v>
      </c>
      <c r="M882" s="143"/>
      <c r="N882" s="143"/>
      <c r="O882" s="143"/>
      <c r="P882" s="143"/>
      <c r="Q882" s="143"/>
      <c r="R882" s="143"/>
      <c r="S882" s="146"/>
      <c r="T882" s="146"/>
      <c r="U882" s="146"/>
      <c r="V882" s="147"/>
      <c r="W882" s="143" t="s">
        <v>49</v>
      </c>
      <c r="X882" s="143" t="s">
        <v>2883</v>
      </c>
      <c r="Y882" s="143" t="s">
        <v>2189</v>
      </c>
      <c r="Z882" s="143" t="s">
        <v>2883</v>
      </c>
      <c r="AA882" s="143">
        <v>13.3</v>
      </c>
      <c r="AB882" s="170">
        <v>45859</v>
      </c>
      <c r="AC882" s="143"/>
      <c r="AD882" s="143"/>
      <c r="AE882" s="143"/>
      <c r="AF882" s="143"/>
      <c r="AG882" s="143"/>
      <c r="AH882" s="143"/>
      <c r="AI882" s="143"/>
      <c r="AJ882" s="143"/>
      <c r="AK882" s="143"/>
      <c r="AL882" s="143"/>
      <c r="AM882" s="143"/>
    </row>
    <row r="883" s="140" customFormat="1" ht="15" spans="1:39">
      <c r="A883" s="143">
        <v>881</v>
      </c>
      <c r="B883" s="144">
        <v>45859</v>
      </c>
      <c r="C883" s="143" t="s">
        <v>193</v>
      </c>
      <c r="D883" s="143" t="s">
        <v>41</v>
      </c>
      <c r="E883" s="145"/>
      <c r="F883" s="143" t="s">
        <v>2887</v>
      </c>
      <c r="G883" s="143"/>
      <c r="H883" s="152" t="s">
        <v>2888</v>
      </c>
      <c r="I883" s="143" t="s">
        <v>1641</v>
      </c>
      <c r="J883" s="143" t="s">
        <v>2889</v>
      </c>
      <c r="K883" s="143" t="s">
        <v>2890</v>
      </c>
      <c r="L883" s="143">
        <v>205</v>
      </c>
      <c r="M883" s="143"/>
      <c r="N883" s="143"/>
      <c r="O883" s="143"/>
      <c r="P883" s="143"/>
      <c r="Q883" s="143"/>
      <c r="R883" s="143"/>
      <c r="S883" s="146"/>
      <c r="T883" s="146"/>
      <c r="U883" s="146"/>
      <c r="V883" s="147"/>
      <c r="W883" s="143" t="s">
        <v>49</v>
      </c>
      <c r="X883" s="143" t="s">
        <v>2887</v>
      </c>
      <c r="Y883" s="143" t="s">
        <v>2891</v>
      </c>
      <c r="Z883" s="143" t="s">
        <v>2887</v>
      </c>
      <c r="AA883" s="143">
        <v>12.7</v>
      </c>
      <c r="AB883" s="170">
        <v>45859</v>
      </c>
      <c r="AC883" s="143"/>
      <c r="AD883" s="143"/>
      <c r="AE883" s="143"/>
      <c r="AF883" s="143"/>
      <c r="AG883" s="143"/>
      <c r="AH883" s="143"/>
      <c r="AI883" s="143"/>
      <c r="AJ883" s="143"/>
      <c r="AK883" s="143"/>
      <c r="AL883" s="143"/>
      <c r="AM883" s="143"/>
    </row>
    <row r="884" s="140" customFormat="1" ht="15" spans="1:39">
      <c r="A884" s="143">
        <v>882</v>
      </c>
      <c r="B884" s="144">
        <v>45859</v>
      </c>
      <c r="C884" s="143" t="s">
        <v>193</v>
      </c>
      <c r="D884" s="143" t="s">
        <v>41</v>
      </c>
      <c r="E884" s="145"/>
      <c r="F884" s="143" t="s">
        <v>2892</v>
      </c>
      <c r="G884" s="143"/>
      <c r="H884" s="152" t="s">
        <v>2893</v>
      </c>
      <c r="I884" s="143" t="s">
        <v>2894</v>
      </c>
      <c r="J884" s="143" t="s">
        <v>2895</v>
      </c>
      <c r="K884" s="143">
        <v>140</v>
      </c>
      <c r="L884" s="143">
        <v>130</v>
      </c>
      <c r="M884" s="143"/>
      <c r="N884" s="143"/>
      <c r="O884" s="143"/>
      <c r="P884" s="143"/>
      <c r="Q884" s="143"/>
      <c r="R884" s="143"/>
      <c r="S884" s="146"/>
      <c r="T884" s="146"/>
      <c r="U884" s="146"/>
      <c r="V884" s="147"/>
      <c r="W884" s="143" t="s">
        <v>49</v>
      </c>
      <c r="X884" s="143" t="s">
        <v>2892</v>
      </c>
      <c r="Y884" s="143" t="s">
        <v>2896</v>
      </c>
      <c r="Z884" s="143" t="s">
        <v>2892</v>
      </c>
      <c r="AA884" s="143">
        <v>17.3</v>
      </c>
      <c r="AB884" s="170">
        <v>45859</v>
      </c>
      <c r="AC884" s="143"/>
      <c r="AD884" s="143"/>
      <c r="AE884" s="143"/>
      <c r="AF884" s="143"/>
      <c r="AG884" s="143"/>
      <c r="AH884" s="143"/>
      <c r="AI884" s="143"/>
      <c r="AJ884" s="143"/>
      <c r="AK884" s="143"/>
      <c r="AL884" s="143"/>
      <c r="AM884" s="143"/>
    </row>
    <row r="885" s="140" customFormat="1" ht="15" spans="1:39">
      <c r="A885" s="143">
        <v>883</v>
      </c>
      <c r="B885" s="144">
        <v>45859</v>
      </c>
      <c r="C885" s="143" t="s">
        <v>193</v>
      </c>
      <c r="D885" s="143" t="s">
        <v>41</v>
      </c>
      <c r="E885" s="145"/>
      <c r="F885" s="143" t="s">
        <v>2897</v>
      </c>
      <c r="G885" s="143"/>
      <c r="H885" s="152" t="s">
        <v>2898</v>
      </c>
      <c r="I885" s="143" t="s">
        <v>2899</v>
      </c>
      <c r="J885" s="143" t="s">
        <v>2900</v>
      </c>
      <c r="K885" s="143" t="s">
        <v>2901</v>
      </c>
      <c r="L885" s="143">
        <v>180</v>
      </c>
      <c r="M885" s="143"/>
      <c r="N885" s="143"/>
      <c r="O885" s="143"/>
      <c r="P885" s="143"/>
      <c r="Q885" s="143"/>
      <c r="R885" s="143"/>
      <c r="S885" s="146"/>
      <c r="T885" s="146"/>
      <c r="U885" s="146"/>
      <c r="V885" s="147"/>
      <c r="W885" s="143" t="s">
        <v>49</v>
      </c>
      <c r="X885" s="143" t="s">
        <v>2902</v>
      </c>
      <c r="Y885" s="143" t="s">
        <v>2903</v>
      </c>
      <c r="Z885" s="143" t="s">
        <v>2902</v>
      </c>
      <c r="AA885" s="143">
        <v>13.2</v>
      </c>
      <c r="AB885" s="170">
        <v>45859</v>
      </c>
      <c r="AC885" s="143"/>
      <c r="AD885" s="143"/>
      <c r="AE885" s="143"/>
      <c r="AF885" s="143"/>
      <c r="AG885" s="143"/>
      <c r="AH885" s="143"/>
      <c r="AI885" s="143"/>
      <c r="AJ885" s="143"/>
      <c r="AK885" s="143"/>
      <c r="AL885" s="143"/>
      <c r="AM885" s="143"/>
    </row>
    <row r="886" s="140" customFormat="1" ht="15" spans="1:39">
      <c r="A886" s="143">
        <v>884</v>
      </c>
      <c r="B886" s="144">
        <v>45861</v>
      </c>
      <c r="C886" s="143" t="s">
        <v>193</v>
      </c>
      <c r="D886" s="143" t="s">
        <v>41</v>
      </c>
      <c r="E886" s="145"/>
      <c r="F886" s="143" t="s">
        <v>2904</v>
      </c>
      <c r="G886" s="143"/>
      <c r="H886" s="152" t="s">
        <v>2905</v>
      </c>
      <c r="I886" s="143" t="s">
        <v>324</v>
      </c>
      <c r="J886" s="143" t="s">
        <v>1577</v>
      </c>
      <c r="K886" s="143">
        <v>150</v>
      </c>
      <c r="L886" s="143">
        <v>160</v>
      </c>
      <c r="M886" s="143"/>
      <c r="N886" s="143"/>
      <c r="O886" s="143"/>
      <c r="P886" s="143"/>
      <c r="Q886" s="143"/>
      <c r="R886" s="143"/>
      <c r="S886" s="146"/>
      <c r="T886" s="146"/>
      <c r="U886" s="146"/>
      <c r="V886" s="147"/>
      <c r="W886" s="143" t="s">
        <v>2303</v>
      </c>
      <c r="X886" s="143" t="s">
        <v>2904</v>
      </c>
      <c r="Y886" s="143" t="s">
        <v>2906</v>
      </c>
      <c r="Z886" s="143" t="s">
        <v>2904</v>
      </c>
      <c r="AA886" s="143">
        <v>10.8</v>
      </c>
      <c r="AB886" s="170">
        <v>45861</v>
      </c>
      <c r="AC886" s="143"/>
      <c r="AD886" s="143"/>
      <c r="AE886" s="143"/>
      <c r="AF886" s="143"/>
      <c r="AG886" s="143"/>
      <c r="AH886" s="143"/>
      <c r="AI886" s="143"/>
      <c r="AJ886" s="143"/>
      <c r="AK886" s="143"/>
      <c r="AL886" s="143"/>
      <c r="AM886" s="143"/>
    </row>
    <row r="887" s="140" customFormat="1" ht="15" spans="1:39">
      <c r="A887" s="143">
        <v>885</v>
      </c>
      <c r="B887" s="144">
        <v>45861</v>
      </c>
      <c r="C887" s="143" t="s">
        <v>193</v>
      </c>
      <c r="D887" s="143" t="s">
        <v>41</v>
      </c>
      <c r="E887" s="145" t="s">
        <v>2907</v>
      </c>
      <c r="F887" s="143" t="s">
        <v>2908</v>
      </c>
      <c r="G887" s="143"/>
      <c r="H887" s="152" t="s">
        <v>2909</v>
      </c>
      <c r="I887" s="143" t="s">
        <v>436</v>
      </c>
      <c r="J887" s="143" t="s">
        <v>320</v>
      </c>
      <c r="K887" s="143">
        <v>172</v>
      </c>
      <c r="L887" s="143">
        <v>180</v>
      </c>
      <c r="M887" s="143"/>
      <c r="N887" s="143"/>
      <c r="O887" s="143"/>
      <c r="P887" s="143"/>
      <c r="Q887" s="143" t="s">
        <v>2910</v>
      </c>
      <c r="R887" s="143"/>
      <c r="S887" s="146"/>
      <c r="T887" s="146"/>
      <c r="U887" s="146"/>
      <c r="V887" s="147"/>
      <c r="W887" s="143" t="s">
        <v>49</v>
      </c>
      <c r="X887" s="143" t="s">
        <v>2908</v>
      </c>
      <c r="Y887" s="143" t="s">
        <v>2911</v>
      </c>
      <c r="Z887" s="143" t="s">
        <v>2908</v>
      </c>
      <c r="AA887" s="143">
        <v>39.5</v>
      </c>
      <c r="AB887" s="170">
        <v>45862</v>
      </c>
      <c r="AC887" s="143"/>
      <c r="AD887" s="143"/>
      <c r="AE887" s="143"/>
      <c r="AF887" s="143"/>
      <c r="AG887" s="143"/>
      <c r="AH887" s="143"/>
      <c r="AI887" s="143"/>
      <c r="AJ887" s="143"/>
      <c r="AK887" s="143"/>
      <c r="AL887" s="143"/>
      <c r="AM887" s="143"/>
    </row>
    <row r="888" s="140" customFormat="1" ht="15" spans="1:39">
      <c r="A888" s="143">
        <v>886</v>
      </c>
      <c r="B888" s="144">
        <v>45861</v>
      </c>
      <c r="C888" s="143" t="s">
        <v>193</v>
      </c>
      <c r="D888" s="143" t="s">
        <v>41</v>
      </c>
      <c r="E888" s="145"/>
      <c r="F888" s="143">
        <v>1028</v>
      </c>
      <c r="G888" s="143"/>
      <c r="H888" s="152" t="s">
        <v>2912</v>
      </c>
      <c r="I888" s="143" t="s">
        <v>658</v>
      </c>
      <c r="J888" s="143" t="s">
        <v>2913</v>
      </c>
      <c r="K888" s="143">
        <v>150</v>
      </c>
      <c r="L888" s="143">
        <v>190</v>
      </c>
      <c r="M888" s="143"/>
      <c r="N888" s="143"/>
      <c r="O888" s="143"/>
      <c r="P888" s="143"/>
      <c r="Q888" s="143"/>
      <c r="R888" s="143"/>
      <c r="S888" s="146"/>
      <c r="T888" s="146"/>
      <c r="U888" s="146"/>
      <c r="V888" s="147"/>
      <c r="W888" s="143" t="s">
        <v>49</v>
      </c>
      <c r="X888" s="143">
        <v>1028</v>
      </c>
      <c r="Y888" s="143" t="s">
        <v>2914</v>
      </c>
      <c r="Z888" s="143">
        <v>1028</v>
      </c>
      <c r="AA888" s="143">
        <v>17.2</v>
      </c>
      <c r="AB888" s="170">
        <v>45862</v>
      </c>
      <c r="AC888" s="143"/>
      <c r="AD888" s="143"/>
      <c r="AE888" s="143"/>
      <c r="AF888" s="143"/>
      <c r="AG888" s="143"/>
      <c r="AH888" s="143"/>
      <c r="AI888" s="143"/>
      <c r="AJ888" s="143"/>
      <c r="AK888" s="143"/>
      <c r="AL888" s="143"/>
      <c r="AM888" s="143"/>
    </row>
    <row r="889" s="140" customFormat="1" ht="15" spans="1:39">
      <c r="A889" s="143">
        <v>887</v>
      </c>
      <c r="B889" s="144">
        <v>45861</v>
      </c>
      <c r="C889" s="143" t="s">
        <v>193</v>
      </c>
      <c r="D889" s="143" t="s">
        <v>41</v>
      </c>
      <c r="E889" s="145"/>
      <c r="F889" s="143" t="s">
        <v>2915</v>
      </c>
      <c r="G889" s="143"/>
      <c r="H889" s="152" t="s">
        <v>2916</v>
      </c>
      <c r="I889" s="143" t="s">
        <v>1552</v>
      </c>
      <c r="J889" s="143" t="s">
        <v>2917</v>
      </c>
      <c r="K889" s="143">
        <v>150</v>
      </c>
      <c r="L889" s="143">
        <v>200</v>
      </c>
      <c r="M889" s="143"/>
      <c r="N889" s="143"/>
      <c r="O889" s="143"/>
      <c r="P889" s="143"/>
      <c r="Q889" s="143"/>
      <c r="R889" s="143"/>
      <c r="S889" s="146"/>
      <c r="T889" s="146"/>
      <c r="U889" s="146"/>
      <c r="V889" s="147"/>
      <c r="W889" s="143" t="s">
        <v>49</v>
      </c>
      <c r="X889" s="143" t="s">
        <v>2915</v>
      </c>
      <c r="Y889" s="143" t="s">
        <v>480</v>
      </c>
      <c r="Z889" s="143" t="s">
        <v>2915</v>
      </c>
      <c r="AA889" s="143">
        <v>10.5</v>
      </c>
      <c r="AB889" s="170">
        <v>45862</v>
      </c>
      <c r="AC889" s="143"/>
      <c r="AD889" s="143"/>
      <c r="AE889" s="143"/>
      <c r="AF889" s="143"/>
      <c r="AG889" s="143"/>
      <c r="AH889" s="143"/>
      <c r="AI889" s="143"/>
      <c r="AJ889" s="143"/>
      <c r="AK889" s="143"/>
      <c r="AL889" s="143"/>
      <c r="AM889" s="143"/>
    </row>
    <row r="890" s="140" customFormat="1" ht="15" spans="1:39">
      <c r="A890" s="143">
        <v>888</v>
      </c>
      <c r="B890" s="144">
        <v>45861</v>
      </c>
      <c r="C890" s="143" t="s">
        <v>193</v>
      </c>
      <c r="D890" s="143" t="s">
        <v>41</v>
      </c>
      <c r="E890" s="145"/>
      <c r="F890" s="143" t="s">
        <v>2918</v>
      </c>
      <c r="G890" s="143"/>
      <c r="H890" s="152" t="s">
        <v>2919</v>
      </c>
      <c r="I890" s="143" t="s">
        <v>1552</v>
      </c>
      <c r="J890" s="143" t="s">
        <v>2917</v>
      </c>
      <c r="K890" s="143">
        <v>150</v>
      </c>
      <c r="L890" s="143">
        <v>260</v>
      </c>
      <c r="M890" s="143"/>
      <c r="N890" s="143"/>
      <c r="O890" s="143"/>
      <c r="P890" s="143"/>
      <c r="Q890" s="143"/>
      <c r="R890" s="143"/>
      <c r="S890" s="146"/>
      <c r="T890" s="146"/>
      <c r="U890" s="146"/>
      <c r="V890" s="147"/>
      <c r="W890" s="143" t="s">
        <v>49</v>
      </c>
      <c r="X890" s="143" t="s">
        <v>2918</v>
      </c>
      <c r="Y890" s="143" t="s">
        <v>487</v>
      </c>
      <c r="Z890" s="143" t="s">
        <v>2918</v>
      </c>
      <c r="AA890" s="143">
        <v>10.2</v>
      </c>
      <c r="AB890" s="170">
        <v>45862</v>
      </c>
      <c r="AC890" s="143"/>
      <c r="AD890" s="143"/>
      <c r="AE890" s="143"/>
      <c r="AF890" s="143"/>
      <c r="AG890" s="143"/>
      <c r="AH890" s="143"/>
      <c r="AI890" s="143"/>
      <c r="AJ890" s="143"/>
      <c r="AK890" s="143"/>
      <c r="AL890" s="143"/>
      <c r="AM890" s="143"/>
    </row>
    <row r="891" s="140" customFormat="1" ht="15" spans="1:39">
      <c r="A891" s="143">
        <v>889</v>
      </c>
      <c r="B891" s="144">
        <v>45866</v>
      </c>
      <c r="C891" s="143" t="s">
        <v>193</v>
      </c>
      <c r="D891" s="143" t="s">
        <v>2920</v>
      </c>
      <c r="E891" s="145"/>
      <c r="F891" s="143" t="s">
        <v>2921</v>
      </c>
      <c r="G891" s="143"/>
      <c r="H891" s="152" t="s">
        <v>2922</v>
      </c>
      <c r="I891" s="143" t="s">
        <v>45</v>
      </c>
      <c r="J891" s="143" t="s">
        <v>105</v>
      </c>
      <c r="K891" s="143">
        <v>135</v>
      </c>
      <c r="L891" s="143">
        <v>125</v>
      </c>
      <c r="M891" s="143"/>
      <c r="N891" s="143"/>
      <c r="O891" s="143"/>
      <c r="P891" s="143"/>
      <c r="Q891" s="143"/>
      <c r="R891" s="143"/>
      <c r="S891" s="146"/>
      <c r="T891" s="146"/>
      <c r="U891" s="146"/>
      <c r="V891" s="147"/>
      <c r="W891" s="143" t="s">
        <v>49</v>
      </c>
      <c r="X891" s="143" t="s">
        <v>2921</v>
      </c>
      <c r="Y891" s="143" t="s">
        <v>433</v>
      </c>
      <c r="Z891" s="143" t="s">
        <v>2921</v>
      </c>
      <c r="AA891" s="143"/>
      <c r="AB891" s="170"/>
      <c r="AC891" s="143"/>
      <c r="AD891" s="143"/>
      <c r="AE891" s="143"/>
      <c r="AF891" s="143"/>
      <c r="AG891" s="143"/>
      <c r="AH891" s="143" t="s">
        <v>2923</v>
      </c>
      <c r="AI891" s="143"/>
      <c r="AJ891" s="143"/>
      <c r="AK891" s="143"/>
      <c r="AL891" s="143"/>
      <c r="AM891" s="143"/>
    </row>
    <row r="892" s="140" customFormat="1" ht="15" spans="1:39">
      <c r="A892" s="143">
        <v>890</v>
      </c>
      <c r="B892" s="144">
        <v>45866</v>
      </c>
      <c r="C892" s="143" t="s">
        <v>193</v>
      </c>
      <c r="D892" s="143" t="s">
        <v>2920</v>
      </c>
      <c r="E892" s="145"/>
      <c r="F892" s="143" t="s">
        <v>2924</v>
      </c>
      <c r="G892" s="143"/>
      <c r="H892" s="152" t="s">
        <v>2925</v>
      </c>
      <c r="I892" s="143" t="s">
        <v>45</v>
      </c>
      <c r="J892" s="143" t="s">
        <v>105</v>
      </c>
      <c r="K892" s="143">
        <v>128</v>
      </c>
      <c r="L892" s="143">
        <v>75</v>
      </c>
      <c r="M892" s="143"/>
      <c r="N892" s="143"/>
      <c r="O892" s="143"/>
      <c r="P892" s="143"/>
      <c r="Q892" s="143"/>
      <c r="R892" s="143"/>
      <c r="S892" s="146"/>
      <c r="T892" s="146"/>
      <c r="U892" s="146"/>
      <c r="V892" s="147"/>
      <c r="W892" s="143" t="s">
        <v>49</v>
      </c>
      <c r="X892" s="143" t="s">
        <v>2924</v>
      </c>
      <c r="Y892" s="143" t="s">
        <v>913</v>
      </c>
      <c r="Z892" s="143" t="s">
        <v>2924</v>
      </c>
      <c r="AA892" s="143"/>
      <c r="AB892" s="170"/>
      <c r="AC892" s="143"/>
      <c r="AD892" s="143"/>
      <c r="AE892" s="143"/>
      <c r="AF892" s="143"/>
      <c r="AG892" s="143"/>
      <c r="AH892" s="143" t="s">
        <v>2923</v>
      </c>
      <c r="AI892" s="143"/>
      <c r="AJ892" s="143"/>
      <c r="AK892" s="143"/>
      <c r="AL892" s="143"/>
      <c r="AM892" s="143"/>
    </row>
    <row r="893" s="140" customFormat="1" ht="15" spans="1:39">
      <c r="A893" s="143">
        <v>891</v>
      </c>
      <c r="B893" s="144">
        <v>45868</v>
      </c>
      <c r="C893" s="143" t="s">
        <v>193</v>
      </c>
      <c r="D893" s="143" t="s">
        <v>2920</v>
      </c>
      <c r="E893" s="145"/>
      <c r="F893" s="143" t="s">
        <v>2926</v>
      </c>
      <c r="G893" s="143"/>
      <c r="H893" s="152" t="s">
        <v>2927</v>
      </c>
      <c r="I893" s="143" t="s">
        <v>324</v>
      </c>
      <c r="J893" s="143" t="s">
        <v>330</v>
      </c>
      <c r="K893" s="143">
        <v>150</v>
      </c>
      <c r="L893" s="143">
        <v>230</v>
      </c>
      <c r="M893" s="143"/>
      <c r="N893" s="143"/>
      <c r="O893" s="143"/>
      <c r="P893" s="143"/>
      <c r="Q893" s="143"/>
      <c r="R893" s="143"/>
      <c r="S893" s="146"/>
      <c r="T893" s="146"/>
      <c r="U893" s="146"/>
      <c r="V893" s="147"/>
      <c r="W893" s="143" t="s">
        <v>49</v>
      </c>
      <c r="X893" s="143" t="s">
        <v>2926</v>
      </c>
      <c r="Y893" s="143" t="s">
        <v>2928</v>
      </c>
      <c r="Z893" s="143" t="s">
        <v>2926</v>
      </c>
      <c r="AA893" s="143">
        <v>10.2</v>
      </c>
      <c r="AB893" s="170">
        <v>45868</v>
      </c>
      <c r="AC893" s="143"/>
      <c r="AD893" s="143"/>
      <c r="AE893" s="143"/>
      <c r="AF893" s="143"/>
      <c r="AG893" s="143"/>
      <c r="AH893" s="143"/>
      <c r="AI893" s="143"/>
      <c r="AJ893" s="143"/>
      <c r="AK893" s="143"/>
      <c r="AL893" s="143"/>
      <c r="AM893" s="143"/>
    </row>
    <row r="894" s="140" customFormat="1" ht="15" spans="1:39">
      <c r="A894" s="143">
        <v>892</v>
      </c>
      <c r="B894" s="144">
        <v>45868</v>
      </c>
      <c r="C894" s="143" t="s">
        <v>193</v>
      </c>
      <c r="D894" s="143" t="s">
        <v>2920</v>
      </c>
      <c r="E894" s="145"/>
      <c r="F894" s="143" t="s">
        <v>2929</v>
      </c>
      <c r="G894" s="143"/>
      <c r="H894" s="152" t="s">
        <v>2930</v>
      </c>
      <c r="I894" s="143" t="s">
        <v>2931</v>
      </c>
      <c r="J894" s="143" t="s">
        <v>2932</v>
      </c>
      <c r="K894" s="143">
        <v>150</v>
      </c>
      <c r="L894" s="143">
        <v>140</v>
      </c>
      <c r="M894" s="143"/>
      <c r="N894" s="143"/>
      <c r="O894" s="143"/>
      <c r="P894" s="143"/>
      <c r="Q894" s="143"/>
      <c r="R894" s="143"/>
      <c r="S894" s="146"/>
      <c r="T894" s="146"/>
      <c r="U894" s="146"/>
      <c r="V894" s="147"/>
      <c r="W894" s="143" t="s">
        <v>49</v>
      </c>
      <c r="X894" s="143" t="s">
        <v>2929</v>
      </c>
      <c r="Y894" s="143" t="s">
        <v>2928</v>
      </c>
      <c r="Z894" s="143" t="s">
        <v>2929</v>
      </c>
      <c r="AA894" s="143">
        <v>15.2</v>
      </c>
      <c r="AB894" s="170">
        <v>45868</v>
      </c>
      <c r="AC894" s="143"/>
      <c r="AD894" s="143"/>
      <c r="AE894" s="143"/>
      <c r="AF894" s="143"/>
      <c r="AG894" s="143"/>
      <c r="AH894" s="143"/>
      <c r="AI894" s="143"/>
      <c r="AJ894" s="143"/>
      <c r="AK894" s="143"/>
      <c r="AL894" s="143"/>
      <c r="AM894" s="143"/>
    </row>
    <row r="895" s="140" customFormat="1" ht="15" spans="1:39">
      <c r="A895" s="143">
        <v>893</v>
      </c>
      <c r="B895" s="144">
        <v>45868</v>
      </c>
      <c r="C895" s="143" t="s">
        <v>193</v>
      </c>
      <c r="D895" s="143" t="s">
        <v>2920</v>
      </c>
      <c r="E895" s="145"/>
      <c r="F895" s="143" t="s">
        <v>2933</v>
      </c>
      <c r="G895" s="143"/>
      <c r="H895" s="152" t="s">
        <v>2934</v>
      </c>
      <c r="I895" s="143" t="s">
        <v>2935</v>
      </c>
      <c r="J895" s="143" t="s">
        <v>1518</v>
      </c>
      <c r="K895" s="143">
        <v>150</v>
      </c>
      <c r="L895" s="143">
        <v>140</v>
      </c>
      <c r="M895" s="143"/>
      <c r="N895" s="143"/>
      <c r="O895" s="143"/>
      <c r="P895" s="143"/>
      <c r="Q895" s="143"/>
      <c r="R895" s="143"/>
      <c r="S895" s="146"/>
      <c r="T895" s="146"/>
      <c r="U895" s="146"/>
      <c r="V895" s="147"/>
      <c r="W895" s="143" t="s">
        <v>49</v>
      </c>
      <c r="X895" s="143" t="s">
        <v>2933</v>
      </c>
      <c r="Y895" s="143" t="s">
        <v>2928</v>
      </c>
      <c r="Z895" s="143" t="s">
        <v>2933</v>
      </c>
      <c r="AA895" s="143">
        <v>16.4</v>
      </c>
      <c r="AB895" s="170">
        <v>45868</v>
      </c>
      <c r="AC895" s="143"/>
      <c r="AD895" s="143"/>
      <c r="AE895" s="143"/>
      <c r="AF895" s="143"/>
      <c r="AG895" s="143"/>
      <c r="AH895" s="143"/>
      <c r="AI895" s="143"/>
      <c r="AJ895" s="143"/>
      <c r="AK895" s="143"/>
      <c r="AL895" s="143"/>
      <c r="AM895" s="143"/>
    </row>
    <row r="896" s="140" customFormat="1" ht="15" spans="1:39">
      <c r="A896" s="143">
        <v>894</v>
      </c>
      <c r="B896" s="144">
        <v>45868</v>
      </c>
      <c r="C896" s="143" t="s">
        <v>193</v>
      </c>
      <c r="D896" s="143" t="s">
        <v>2920</v>
      </c>
      <c r="E896" s="145"/>
      <c r="F896" s="143">
        <v>717</v>
      </c>
      <c r="G896" s="143"/>
      <c r="H896" s="152" t="s">
        <v>2936</v>
      </c>
      <c r="I896" s="143" t="s">
        <v>2937</v>
      </c>
      <c r="J896" s="143" t="s">
        <v>2938</v>
      </c>
      <c r="K896" s="143">
        <v>148</v>
      </c>
      <c r="L896" s="143">
        <v>140</v>
      </c>
      <c r="M896" s="143"/>
      <c r="N896" s="143"/>
      <c r="O896" s="143"/>
      <c r="P896" s="143"/>
      <c r="Q896" s="143"/>
      <c r="R896" s="143"/>
      <c r="S896" s="146"/>
      <c r="T896" s="146"/>
      <c r="U896" s="146"/>
      <c r="V896" s="147"/>
      <c r="W896" s="143" t="s">
        <v>2303</v>
      </c>
      <c r="X896" s="143">
        <v>717</v>
      </c>
      <c r="Y896" s="143" t="s">
        <v>2939</v>
      </c>
      <c r="Z896" s="143">
        <v>717</v>
      </c>
      <c r="AA896" s="143">
        <v>17</v>
      </c>
      <c r="AB896" s="170">
        <v>45868</v>
      </c>
      <c r="AC896" s="143"/>
      <c r="AD896" s="143"/>
      <c r="AE896" s="143"/>
      <c r="AF896" s="143"/>
      <c r="AG896" s="143"/>
      <c r="AH896" s="143"/>
      <c r="AI896" s="143"/>
      <c r="AJ896" s="143"/>
      <c r="AK896" s="143"/>
      <c r="AL896" s="143"/>
      <c r="AM896" s="143"/>
    </row>
    <row r="897" s="140" customFormat="1" ht="15" spans="1:39">
      <c r="A897" s="143">
        <v>895</v>
      </c>
      <c r="B897" s="144">
        <v>45868</v>
      </c>
      <c r="C897" s="143" t="s">
        <v>193</v>
      </c>
      <c r="D897" s="143" t="s">
        <v>2920</v>
      </c>
      <c r="E897" s="145"/>
      <c r="F897" s="143">
        <v>529</v>
      </c>
      <c r="G897" s="143"/>
      <c r="H897" s="152" t="s">
        <v>2940</v>
      </c>
      <c r="I897" s="143" t="s">
        <v>324</v>
      </c>
      <c r="J897" s="143" t="s">
        <v>330</v>
      </c>
      <c r="K897" s="143">
        <v>150</v>
      </c>
      <c r="L897" s="143">
        <v>130</v>
      </c>
      <c r="M897" s="143"/>
      <c r="N897" s="143"/>
      <c r="O897" s="143"/>
      <c r="P897" s="143"/>
      <c r="Q897" s="143"/>
      <c r="R897" s="143"/>
      <c r="S897" s="146"/>
      <c r="T897" s="146"/>
      <c r="U897" s="146"/>
      <c r="V897" s="147"/>
      <c r="W897" s="143" t="s">
        <v>2303</v>
      </c>
      <c r="X897" s="143">
        <v>529</v>
      </c>
      <c r="Y897" s="143" t="s">
        <v>2939</v>
      </c>
      <c r="Z897" s="143">
        <v>529</v>
      </c>
      <c r="AA897" s="143">
        <v>12</v>
      </c>
      <c r="AB897" s="170">
        <v>45868</v>
      </c>
      <c r="AC897" s="143"/>
      <c r="AD897" s="143"/>
      <c r="AE897" s="143"/>
      <c r="AF897" s="143"/>
      <c r="AG897" s="143"/>
      <c r="AH897" s="143"/>
      <c r="AI897" s="143"/>
      <c r="AJ897" s="143"/>
      <c r="AK897" s="143"/>
      <c r="AL897" s="143"/>
      <c r="AM897" s="143"/>
    </row>
    <row r="898" s="140" customFormat="1" ht="15" spans="1:39">
      <c r="A898" s="143">
        <v>896</v>
      </c>
      <c r="B898" s="144">
        <v>45868</v>
      </c>
      <c r="C898" s="143" t="s">
        <v>193</v>
      </c>
      <c r="D898" s="143" t="s">
        <v>41</v>
      </c>
      <c r="E898" s="145"/>
      <c r="F898" s="143" t="s">
        <v>2941</v>
      </c>
      <c r="G898" s="143"/>
      <c r="H898" s="152" t="s">
        <v>2942</v>
      </c>
      <c r="I898" s="143" t="s">
        <v>1029</v>
      </c>
      <c r="J898" s="143" t="s">
        <v>1030</v>
      </c>
      <c r="K898" s="143">
        <v>150</v>
      </c>
      <c r="L898" s="143">
        <v>145</v>
      </c>
      <c r="M898" s="143"/>
      <c r="N898" s="143"/>
      <c r="O898" s="143"/>
      <c r="P898" s="143"/>
      <c r="Q898" s="143"/>
      <c r="R898" s="143"/>
      <c r="S898" s="146"/>
      <c r="T898" s="146"/>
      <c r="U898" s="146"/>
      <c r="V898" s="147"/>
      <c r="W898" s="143" t="s">
        <v>49</v>
      </c>
      <c r="X898" s="143" t="s">
        <v>2941</v>
      </c>
      <c r="Y898" s="143" t="s">
        <v>2943</v>
      </c>
      <c r="Z898" s="143" t="s">
        <v>2941</v>
      </c>
      <c r="AA898" s="143">
        <v>11.2</v>
      </c>
      <c r="AB898" s="170">
        <v>45868</v>
      </c>
      <c r="AC898" s="143"/>
      <c r="AD898" s="143"/>
      <c r="AE898" s="143"/>
      <c r="AF898" s="143"/>
      <c r="AG898" s="143"/>
      <c r="AH898" s="143"/>
      <c r="AI898" s="143"/>
      <c r="AJ898" s="143"/>
      <c r="AK898" s="143"/>
      <c r="AL898" s="143"/>
      <c r="AM898" s="143"/>
    </row>
    <row r="899" s="140" customFormat="1" ht="15" spans="1:39">
      <c r="A899" s="143">
        <v>897</v>
      </c>
      <c r="B899" s="144">
        <v>45868</v>
      </c>
      <c r="C899" s="143" t="s">
        <v>193</v>
      </c>
      <c r="D899" s="143" t="s">
        <v>41</v>
      </c>
      <c r="E899" s="145"/>
      <c r="F899" s="143" t="s">
        <v>2944</v>
      </c>
      <c r="G899" s="143"/>
      <c r="H899" s="152" t="s">
        <v>2945</v>
      </c>
      <c r="I899" s="143" t="s">
        <v>2946</v>
      </c>
      <c r="J899" s="143" t="s">
        <v>880</v>
      </c>
      <c r="K899" s="143">
        <v>150</v>
      </c>
      <c r="L899" s="143">
        <v>100</v>
      </c>
      <c r="M899" s="143"/>
      <c r="N899" s="143"/>
      <c r="O899" s="143"/>
      <c r="P899" s="143"/>
      <c r="Q899" s="143"/>
      <c r="R899" s="143"/>
      <c r="S899" s="146"/>
      <c r="T899" s="146"/>
      <c r="U899" s="146"/>
      <c r="V899" s="147"/>
      <c r="W899" s="143" t="s">
        <v>49</v>
      </c>
      <c r="X899" s="143" t="s">
        <v>2947</v>
      </c>
      <c r="Y899" s="143" t="s">
        <v>1479</v>
      </c>
      <c r="Z899" s="143" t="s">
        <v>2947</v>
      </c>
      <c r="AA899" s="143">
        <v>8.2</v>
      </c>
      <c r="AB899" s="170">
        <v>45868</v>
      </c>
      <c r="AC899" s="143"/>
      <c r="AD899" s="143"/>
      <c r="AE899" s="143"/>
      <c r="AF899" s="143"/>
      <c r="AG899" s="143"/>
      <c r="AH899" s="143"/>
      <c r="AI899" s="143"/>
      <c r="AJ899" s="143"/>
      <c r="AK899" s="143"/>
      <c r="AL899" s="143"/>
      <c r="AM899" s="143"/>
    </row>
    <row r="900" s="140" customFormat="1" ht="15" spans="1:39">
      <c r="A900" s="143">
        <v>898</v>
      </c>
      <c r="B900" s="144">
        <v>45869</v>
      </c>
      <c r="C900" s="143" t="s">
        <v>193</v>
      </c>
      <c r="D900" s="143" t="s">
        <v>41</v>
      </c>
      <c r="E900" s="145"/>
      <c r="F900" s="143"/>
      <c r="G900" s="143"/>
      <c r="H900" s="152" t="s">
        <v>2948</v>
      </c>
      <c r="I900" s="143" t="s">
        <v>436</v>
      </c>
      <c r="J900" s="143" t="s">
        <v>320</v>
      </c>
      <c r="K900" s="143">
        <v>150</v>
      </c>
      <c r="L900" s="143">
        <v>185</v>
      </c>
      <c r="M900" s="143"/>
      <c r="N900" s="143"/>
      <c r="O900" s="143"/>
      <c r="P900" s="143"/>
      <c r="Q900" s="143"/>
      <c r="R900" s="143"/>
      <c r="S900" s="146"/>
      <c r="T900" s="146"/>
      <c r="U900" s="146"/>
      <c r="V900" s="147"/>
      <c r="W900" s="143" t="s">
        <v>49</v>
      </c>
      <c r="X900" s="143" t="s">
        <v>2949</v>
      </c>
      <c r="Y900" s="143" t="s">
        <v>428</v>
      </c>
      <c r="Z900" s="143" t="s">
        <v>2949</v>
      </c>
      <c r="AA900" s="143">
        <v>9.5</v>
      </c>
      <c r="AB900" s="170">
        <v>45869</v>
      </c>
      <c r="AC900" s="143"/>
      <c r="AD900" s="143"/>
      <c r="AE900" s="143"/>
      <c r="AF900" s="143"/>
      <c r="AG900" s="143"/>
      <c r="AH900" s="143"/>
      <c r="AI900" s="143"/>
      <c r="AJ900" s="143"/>
      <c r="AK900" s="143"/>
      <c r="AL900" s="143"/>
      <c r="AM900" s="143"/>
    </row>
    <row r="901" s="140" customFormat="1" ht="15" spans="1:39">
      <c r="A901" s="143">
        <v>899</v>
      </c>
      <c r="B901" s="144">
        <v>45869</v>
      </c>
      <c r="C901" s="143" t="s">
        <v>193</v>
      </c>
      <c r="D901" s="143" t="s">
        <v>41</v>
      </c>
      <c r="E901" s="145"/>
      <c r="F901" s="143"/>
      <c r="G901" s="143"/>
      <c r="H901" s="152" t="s">
        <v>2950</v>
      </c>
      <c r="I901" s="143" t="s">
        <v>436</v>
      </c>
      <c r="J901" s="143" t="s">
        <v>320</v>
      </c>
      <c r="K901" s="143">
        <v>150</v>
      </c>
      <c r="L901" s="143">
        <v>240</v>
      </c>
      <c r="M901" s="143"/>
      <c r="N901" s="143"/>
      <c r="O901" s="143"/>
      <c r="P901" s="143"/>
      <c r="Q901" s="143"/>
      <c r="R901" s="143"/>
      <c r="S901" s="146"/>
      <c r="T901" s="146"/>
      <c r="U901" s="146"/>
      <c r="V901" s="147"/>
      <c r="W901" s="143" t="s">
        <v>49</v>
      </c>
      <c r="X901" s="143" t="s">
        <v>489</v>
      </c>
      <c r="Y901" s="143" t="s">
        <v>428</v>
      </c>
      <c r="Z901" s="143" t="s">
        <v>489</v>
      </c>
      <c r="AA901" s="143">
        <v>13.9</v>
      </c>
      <c r="AB901" s="170">
        <v>45869</v>
      </c>
      <c r="AC901" s="143"/>
      <c r="AD901" s="143"/>
      <c r="AE901" s="143"/>
      <c r="AF901" s="143"/>
      <c r="AG901" s="143"/>
      <c r="AH901" s="143"/>
      <c r="AI901" s="143"/>
      <c r="AJ901" s="143"/>
      <c r="AK901" s="143"/>
      <c r="AL901" s="143"/>
      <c r="AM901" s="143"/>
    </row>
    <row r="902" s="140" customFormat="1" ht="15" spans="1:39">
      <c r="A902" s="143">
        <v>900</v>
      </c>
      <c r="B902" s="144">
        <v>45869</v>
      </c>
      <c r="C902" s="143" t="s">
        <v>193</v>
      </c>
      <c r="D902" s="143" t="s">
        <v>41</v>
      </c>
      <c r="E902" s="145"/>
      <c r="F902" s="143"/>
      <c r="G902" s="143"/>
      <c r="H902" s="152" t="s">
        <v>2951</v>
      </c>
      <c r="I902" s="143" t="s">
        <v>1750</v>
      </c>
      <c r="J902" s="143" t="s">
        <v>1751</v>
      </c>
      <c r="K902" s="143">
        <v>150</v>
      </c>
      <c r="L902" s="143">
        <v>270</v>
      </c>
      <c r="M902" s="143"/>
      <c r="N902" s="143"/>
      <c r="O902" s="143"/>
      <c r="P902" s="143"/>
      <c r="Q902" s="143"/>
      <c r="R902" s="143"/>
      <c r="S902" s="146"/>
      <c r="T902" s="146"/>
      <c r="U902" s="146"/>
      <c r="V902" s="147"/>
      <c r="W902" s="143" t="s">
        <v>49</v>
      </c>
      <c r="X902" s="143" t="s">
        <v>2952</v>
      </c>
      <c r="Y902" s="143" t="s">
        <v>2953</v>
      </c>
      <c r="Z902" s="143" t="s">
        <v>2952</v>
      </c>
      <c r="AA902" s="143">
        <v>24.7</v>
      </c>
      <c r="AB902" s="170">
        <v>45869</v>
      </c>
      <c r="AC902" s="143"/>
      <c r="AD902" s="143"/>
      <c r="AE902" s="143"/>
      <c r="AF902" s="143"/>
      <c r="AG902" s="143"/>
      <c r="AH902" s="143"/>
      <c r="AI902" s="143"/>
      <c r="AJ902" s="143"/>
      <c r="AK902" s="143"/>
      <c r="AL902" s="143"/>
      <c r="AM902" s="143"/>
    </row>
    <row r="903" s="140" customFormat="1" ht="15" spans="1:39">
      <c r="A903" s="143">
        <v>901</v>
      </c>
      <c r="B903" s="144">
        <v>45869</v>
      </c>
      <c r="C903" s="143" t="s">
        <v>193</v>
      </c>
      <c r="D903" s="143" t="s">
        <v>41</v>
      </c>
      <c r="E903" s="145"/>
      <c r="F903" s="143"/>
      <c r="G903" s="143"/>
      <c r="H903" s="152" t="s">
        <v>2954</v>
      </c>
      <c r="I903" s="143" t="s">
        <v>1750</v>
      </c>
      <c r="J903" s="143" t="s">
        <v>1751</v>
      </c>
      <c r="K903" s="143">
        <v>150</v>
      </c>
      <c r="L903" s="143">
        <v>270</v>
      </c>
      <c r="M903" s="143"/>
      <c r="N903" s="143"/>
      <c r="O903" s="143"/>
      <c r="P903" s="143"/>
      <c r="Q903" s="143"/>
      <c r="R903" s="143"/>
      <c r="S903" s="146"/>
      <c r="T903" s="146"/>
      <c r="U903" s="146"/>
      <c r="V903" s="147"/>
      <c r="W903" s="143" t="s">
        <v>49</v>
      </c>
      <c r="X903" s="143" t="s">
        <v>2955</v>
      </c>
      <c r="Y903" s="143" t="s">
        <v>2953</v>
      </c>
      <c r="Z903" s="143" t="s">
        <v>2955</v>
      </c>
      <c r="AA903" s="143">
        <v>24.7</v>
      </c>
      <c r="AB903" s="170">
        <v>45869</v>
      </c>
      <c r="AC903" s="143"/>
      <c r="AD903" s="143"/>
      <c r="AE903" s="143"/>
      <c r="AF903" s="143"/>
      <c r="AG903" s="143"/>
      <c r="AH903" s="143"/>
      <c r="AI903" s="143"/>
      <c r="AJ903" s="143"/>
      <c r="AK903" s="143"/>
      <c r="AL903" s="143"/>
      <c r="AM903" s="143"/>
    </row>
    <row r="904" s="140" customFormat="1" ht="15" spans="1:39">
      <c r="A904" s="143">
        <v>902</v>
      </c>
      <c r="B904" s="144">
        <v>45869</v>
      </c>
      <c r="C904" s="143" t="s">
        <v>193</v>
      </c>
      <c r="D904" s="143" t="s">
        <v>41</v>
      </c>
      <c r="E904" s="145"/>
      <c r="F904" s="143"/>
      <c r="G904" s="143"/>
      <c r="H904" s="152" t="s">
        <v>2956</v>
      </c>
      <c r="I904" s="143" t="s">
        <v>324</v>
      </c>
      <c r="J904" s="143" t="s">
        <v>1577</v>
      </c>
      <c r="K904" s="143">
        <v>150</v>
      </c>
      <c r="L904" s="143">
        <v>145</v>
      </c>
      <c r="M904" s="143"/>
      <c r="N904" s="143"/>
      <c r="O904" s="143"/>
      <c r="P904" s="143"/>
      <c r="Q904" s="143"/>
      <c r="R904" s="143"/>
      <c r="S904" s="146"/>
      <c r="T904" s="146"/>
      <c r="U904" s="146"/>
      <c r="V904" s="147"/>
      <c r="W904" s="143" t="s">
        <v>49</v>
      </c>
      <c r="X904" s="143" t="s">
        <v>2957</v>
      </c>
      <c r="Y904" s="143" t="s">
        <v>2958</v>
      </c>
      <c r="Z904" s="143" t="s">
        <v>2957</v>
      </c>
      <c r="AA904" s="143">
        <v>18.6</v>
      </c>
      <c r="AB904" s="170">
        <v>45869</v>
      </c>
      <c r="AC904" s="143"/>
      <c r="AD904" s="143"/>
      <c r="AE904" s="143"/>
      <c r="AF904" s="143"/>
      <c r="AG904" s="143"/>
      <c r="AH904" s="143"/>
      <c r="AI904" s="143"/>
      <c r="AJ904" s="143"/>
      <c r="AK904" s="143"/>
      <c r="AL904" s="143"/>
      <c r="AM904" s="143"/>
    </row>
    <row r="905" s="140" customFormat="1" ht="15" spans="1:39">
      <c r="A905" s="143">
        <v>903</v>
      </c>
      <c r="B905" s="144">
        <v>45869</v>
      </c>
      <c r="C905" s="143" t="s">
        <v>193</v>
      </c>
      <c r="D905" s="143" t="s">
        <v>41</v>
      </c>
      <c r="E905" s="145"/>
      <c r="F905" s="143"/>
      <c r="G905" s="143"/>
      <c r="H905" s="152" t="s">
        <v>2959</v>
      </c>
      <c r="I905" s="143" t="s">
        <v>324</v>
      </c>
      <c r="J905" s="143" t="s">
        <v>1577</v>
      </c>
      <c r="K905" s="143">
        <v>145</v>
      </c>
      <c r="L905" s="143">
        <v>115</v>
      </c>
      <c r="M905" s="143"/>
      <c r="N905" s="143"/>
      <c r="O905" s="143"/>
      <c r="P905" s="143"/>
      <c r="Q905" s="143"/>
      <c r="R905" s="143"/>
      <c r="S905" s="146"/>
      <c r="T905" s="146"/>
      <c r="U905" s="146"/>
      <c r="V905" s="147"/>
      <c r="W905" s="143" t="s">
        <v>49</v>
      </c>
      <c r="X905" s="143" t="s">
        <v>2960</v>
      </c>
      <c r="Y905" s="143" t="s">
        <v>2958</v>
      </c>
      <c r="Z905" s="143" t="s">
        <v>2960</v>
      </c>
      <c r="AA905" s="143">
        <v>12.7</v>
      </c>
      <c r="AB905" s="170">
        <v>45869</v>
      </c>
      <c r="AC905" s="143"/>
      <c r="AD905" s="143"/>
      <c r="AE905" s="143"/>
      <c r="AF905" s="143"/>
      <c r="AG905" s="143"/>
      <c r="AH905" s="143"/>
      <c r="AI905" s="143"/>
      <c r="AJ905" s="143"/>
      <c r="AK905" s="143"/>
      <c r="AL905" s="143"/>
      <c r="AM905" s="143"/>
    </row>
    <row r="906" s="140" customFormat="1" ht="15" spans="1:39">
      <c r="A906" s="143">
        <v>904</v>
      </c>
      <c r="B906" s="144">
        <v>45869</v>
      </c>
      <c r="C906" s="143" t="s">
        <v>193</v>
      </c>
      <c r="D906" s="143" t="s">
        <v>41</v>
      </c>
      <c r="E906" s="145"/>
      <c r="F906" s="143"/>
      <c r="G906" s="143"/>
      <c r="H906" s="152" t="s">
        <v>2961</v>
      </c>
      <c r="I906" s="143" t="s">
        <v>324</v>
      </c>
      <c r="J906" s="143" t="s">
        <v>1577</v>
      </c>
      <c r="K906" s="143">
        <v>145</v>
      </c>
      <c r="L906" s="143">
        <v>93</v>
      </c>
      <c r="M906" s="143"/>
      <c r="N906" s="143"/>
      <c r="O906" s="143"/>
      <c r="P906" s="143"/>
      <c r="Q906" s="143"/>
      <c r="R906" s="143"/>
      <c r="S906" s="146"/>
      <c r="T906" s="146"/>
      <c r="U906" s="146"/>
      <c r="V906" s="147"/>
      <c r="W906" s="143" t="s">
        <v>49</v>
      </c>
      <c r="X906" s="143" t="s">
        <v>2962</v>
      </c>
      <c r="Y906" s="143" t="s">
        <v>2958</v>
      </c>
      <c r="Z906" s="143" t="s">
        <v>2962</v>
      </c>
      <c r="AA906" s="143">
        <v>12.5</v>
      </c>
      <c r="AB906" s="170">
        <v>45869</v>
      </c>
      <c r="AC906" s="143"/>
      <c r="AD906" s="143"/>
      <c r="AE906" s="143"/>
      <c r="AF906" s="143"/>
      <c r="AG906" s="143"/>
      <c r="AH906" s="143"/>
      <c r="AI906" s="143"/>
      <c r="AJ906" s="143"/>
      <c r="AK906" s="143"/>
      <c r="AL906" s="143"/>
      <c r="AM906" s="143"/>
    </row>
    <row r="907" s="140" customFormat="1" ht="15" spans="1:39">
      <c r="A907" s="143">
        <v>905</v>
      </c>
      <c r="B907" s="144">
        <v>45869</v>
      </c>
      <c r="C907" s="143" t="s">
        <v>193</v>
      </c>
      <c r="D907" s="143" t="s">
        <v>41</v>
      </c>
      <c r="E907" s="145"/>
      <c r="F907" s="143"/>
      <c r="G907" s="143"/>
      <c r="H907" s="152" t="s">
        <v>2963</v>
      </c>
      <c r="I907" s="143" t="s">
        <v>324</v>
      </c>
      <c r="J907" s="143" t="s">
        <v>1577</v>
      </c>
      <c r="K907" s="143">
        <v>150</v>
      </c>
      <c r="L907" s="143">
        <v>165</v>
      </c>
      <c r="M907" s="143"/>
      <c r="N907" s="143"/>
      <c r="O907" s="143"/>
      <c r="P907" s="143"/>
      <c r="Q907" s="143"/>
      <c r="R907" s="143"/>
      <c r="S907" s="146"/>
      <c r="T907" s="146"/>
      <c r="U907" s="146"/>
      <c r="V907" s="147"/>
      <c r="W907" s="143" t="s">
        <v>49</v>
      </c>
      <c r="X907" s="143" t="s">
        <v>2964</v>
      </c>
      <c r="Y907" s="143" t="s">
        <v>2958</v>
      </c>
      <c r="Z907" s="143" t="s">
        <v>2964</v>
      </c>
      <c r="AA907" s="143">
        <v>17.3</v>
      </c>
      <c r="AB907" s="170">
        <v>45869</v>
      </c>
      <c r="AC907" s="143"/>
      <c r="AD907" s="143"/>
      <c r="AE907" s="143"/>
      <c r="AF907" s="143"/>
      <c r="AG907" s="143"/>
      <c r="AH907" s="143"/>
      <c r="AI907" s="143"/>
      <c r="AJ907" s="143"/>
      <c r="AK907" s="143"/>
      <c r="AL907" s="143"/>
      <c r="AM907" s="143"/>
    </row>
    <row r="908" s="140" customFormat="1" ht="15" spans="1:39">
      <c r="A908" s="143">
        <v>906</v>
      </c>
      <c r="B908" s="144">
        <v>45869</v>
      </c>
      <c r="C908" s="143" t="s">
        <v>193</v>
      </c>
      <c r="D908" s="143" t="s">
        <v>41</v>
      </c>
      <c r="E908" s="145"/>
      <c r="F908" s="143"/>
      <c r="G908" s="143"/>
      <c r="H908" s="152" t="s">
        <v>2965</v>
      </c>
      <c r="I908" s="143" t="s">
        <v>2966</v>
      </c>
      <c r="J908" s="143" t="s">
        <v>2967</v>
      </c>
      <c r="K908" s="143">
        <v>150</v>
      </c>
      <c r="L908" s="143">
        <v>94</v>
      </c>
      <c r="M908" s="143"/>
      <c r="N908" s="143"/>
      <c r="O908" s="143"/>
      <c r="P908" s="143"/>
      <c r="Q908" s="143"/>
      <c r="R908" s="143"/>
      <c r="S908" s="146"/>
      <c r="T908" s="146"/>
      <c r="U908" s="146"/>
      <c r="V908" s="147"/>
      <c r="W908" s="143" t="s">
        <v>49</v>
      </c>
      <c r="X908" s="143">
        <v>12151</v>
      </c>
      <c r="Y908" s="143" t="s">
        <v>414</v>
      </c>
      <c r="Z908" s="143">
        <v>12151</v>
      </c>
      <c r="AA908" s="143">
        <v>10</v>
      </c>
      <c r="AB908" s="170">
        <v>45869</v>
      </c>
      <c r="AC908" s="143"/>
      <c r="AD908" s="143"/>
      <c r="AE908" s="143"/>
      <c r="AF908" s="143"/>
      <c r="AG908" s="143"/>
      <c r="AH908" s="143"/>
      <c r="AI908" s="143"/>
      <c r="AJ908" s="143"/>
      <c r="AK908" s="143"/>
      <c r="AL908" s="143"/>
      <c r="AM908" s="143"/>
    </row>
    <row r="909" s="140" customFormat="1" ht="15" spans="1:39">
      <c r="A909" s="143">
        <v>907</v>
      </c>
      <c r="B909" s="144">
        <v>45869</v>
      </c>
      <c r="C909" s="143" t="s">
        <v>193</v>
      </c>
      <c r="D909" s="143" t="s">
        <v>41</v>
      </c>
      <c r="E909" s="145"/>
      <c r="F909" s="143"/>
      <c r="G909" s="143"/>
      <c r="H909" s="152" t="s">
        <v>2968</v>
      </c>
      <c r="I909" s="143" t="s">
        <v>2969</v>
      </c>
      <c r="J909" s="182" t="s">
        <v>2970</v>
      </c>
      <c r="K909" s="143">
        <v>150</v>
      </c>
      <c r="L909" s="143">
        <v>72</v>
      </c>
      <c r="M909" s="143"/>
      <c r="N909" s="143"/>
      <c r="O909" s="143"/>
      <c r="P909" s="143"/>
      <c r="Q909" s="143"/>
      <c r="R909" s="143"/>
      <c r="S909" s="146"/>
      <c r="T909" s="146"/>
      <c r="U909" s="146"/>
      <c r="V909" s="147"/>
      <c r="W909" s="143" t="s">
        <v>49</v>
      </c>
      <c r="X909" s="143" t="s">
        <v>2971</v>
      </c>
      <c r="Y909" s="143" t="s">
        <v>414</v>
      </c>
      <c r="Z909" s="143" t="s">
        <v>2971</v>
      </c>
      <c r="AA909" s="143">
        <v>13.2</v>
      </c>
      <c r="AB909" s="170">
        <v>45869</v>
      </c>
      <c r="AC909" s="143"/>
      <c r="AD909" s="143"/>
      <c r="AE909" s="143"/>
      <c r="AF909" s="143"/>
      <c r="AG909" s="143"/>
      <c r="AH909" s="143"/>
      <c r="AI909" s="143"/>
      <c r="AJ909" s="143"/>
      <c r="AK909" s="143"/>
      <c r="AL909" s="143"/>
      <c r="AM909" s="143"/>
    </row>
    <row r="910" s="140" customFormat="1" ht="15" spans="1:39">
      <c r="A910" s="143">
        <v>908</v>
      </c>
      <c r="B910" s="144">
        <v>45869</v>
      </c>
      <c r="C910" s="143" t="s">
        <v>193</v>
      </c>
      <c r="D910" s="143" t="s">
        <v>41</v>
      </c>
      <c r="E910" s="145"/>
      <c r="F910" s="143"/>
      <c r="G910" s="143"/>
      <c r="H910" s="152" t="s">
        <v>2972</v>
      </c>
      <c r="I910" s="143" t="s">
        <v>2973</v>
      </c>
      <c r="J910" s="143" t="s">
        <v>2974</v>
      </c>
      <c r="K910" s="143">
        <v>150</v>
      </c>
      <c r="L910" s="143">
        <v>66</v>
      </c>
      <c r="M910" s="143"/>
      <c r="N910" s="143"/>
      <c r="O910" s="143"/>
      <c r="P910" s="143"/>
      <c r="Q910" s="143"/>
      <c r="R910" s="143"/>
      <c r="S910" s="146"/>
      <c r="T910" s="146"/>
      <c r="U910" s="146"/>
      <c r="V910" s="147"/>
      <c r="W910" s="143" t="s">
        <v>49</v>
      </c>
      <c r="X910" s="183" t="s">
        <v>2975</v>
      </c>
      <c r="Y910" s="143" t="s">
        <v>414</v>
      </c>
      <c r="Z910" s="183" t="s">
        <v>2975</v>
      </c>
      <c r="AA910" s="143">
        <v>16.2</v>
      </c>
      <c r="AB910" s="170">
        <v>45869</v>
      </c>
      <c r="AC910" s="143"/>
      <c r="AD910" s="143"/>
      <c r="AE910" s="143"/>
      <c r="AF910" s="143"/>
      <c r="AG910" s="143"/>
      <c r="AH910" s="143"/>
      <c r="AI910" s="143"/>
      <c r="AJ910" s="143"/>
      <c r="AK910" s="143"/>
      <c r="AL910" s="143"/>
      <c r="AM910" s="143"/>
    </row>
    <row r="911" s="140" customFormat="1" ht="15" spans="1:39">
      <c r="A911" s="143">
        <v>909</v>
      </c>
      <c r="B911" s="144">
        <v>45869</v>
      </c>
      <c r="C911" s="143" t="s">
        <v>193</v>
      </c>
      <c r="D911" s="143" t="s">
        <v>41</v>
      </c>
      <c r="E911" s="145"/>
      <c r="F911" s="143"/>
      <c r="G911" s="143"/>
      <c r="H911" s="152" t="s">
        <v>2976</v>
      </c>
      <c r="I911" s="143" t="s">
        <v>2977</v>
      </c>
      <c r="J911" s="143" t="s">
        <v>2978</v>
      </c>
      <c r="K911" s="143">
        <v>150</v>
      </c>
      <c r="L911" s="143">
        <v>160</v>
      </c>
      <c r="M911" s="143"/>
      <c r="N911" s="143"/>
      <c r="O911" s="143"/>
      <c r="P911" s="143"/>
      <c r="Q911" s="143"/>
      <c r="R911" s="143"/>
      <c r="S911" s="146"/>
      <c r="T911" s="146"/>
      <c r="U911" s="146"/>
      <c r="V911" s="147"/>
      <c r="W911" s="143" t="s">
        <v>49</v>
      </c>
      <c r="X911" s="143" t="s">
        <v>2979</v>
      </c>
      <c r="Y911" s="143" t="s">
        <v>1743</v>
      </c>
      <c r="Z911" s="143" t="s">
        <v>2979</v>
      </c>
      <c r="AA911" s="143">
        <v>17.5</v>
      </c>
      <c r="AB911" s="170">
        <v>45869</v>
      </c>
      <c r="AC911" s="143"/>
      <c r="AD911" s="143"/>
      <c r="AE911" s="143"/>
      <c r="AF911" s="143"/>
      <c r="AG911" s="143"/>
      <c r="AH911" s="143"/>
      <c r="AI911" s="143"/>
      <c r="AJ911" s="143"/>
      <c r="AK911" s="143"/>
      <c r="AL911" s="143"/>
      <c r="AM911" s="143"/>
    </row>
    <row r="912" s="140" customFormat="1" ht="15" spans="1:39">
      <c r="A912" s="143">
        <v>910</v>
      </c>
      <c r="B912" s="144">
        <v>45869</v>
      </c>
      <c r="C912" s="143" t="s">
        <v>193</v>
      </c>
      <c r="D912" s="143" t="s">
        <v>41</v>
      </c>
      <c r="E912" s="145"/>
      <c r="F912" s="143"/>
      <c r="G912" s="143"/>
      <c r="H912" s="152" t="s">
        <v>2980</v>
      </c>
      <c r="I912" s="143" t="s">
        <v>324</v>
      </c>
      <c r="J912" s="143" t="s">
        <v>325</v>
      </c>
      <c r="K912" s="143">
        <v>150</v>
      </c>
      <c r="L912" s="143">
        <v>145</v>
      </c>
      <c r="M912" s="143"/>
      <c r="N912" s="143"/>
      <c r="O912" s="143"/>
      <c r="P912" s="143"/>
      <c r="Q912" s="143"/>
      <c r="R912" s="143"/>
      <c r="S912" s="146"/>
      <c r="T912" s="146"/>
      <c r="U912" s="146"/>
      <c r="V912" s="147"/>
      <c r="W912" s="143" t="s">
        <v>49</v>
      </c>
      <c r="X912" s="143" t="s">
        <v>2981</v>
      </c>
      <c r="Y912" s="143" t="s">
        <v>1743</v>
      </c>
      <c r="Z912" s="143" t="s">
        <v>2981</v>
      </c>
      <c r="AA912" s="143">
        <v>15.2</v>
      </c>
      <c r="AB912" s="170">
        <v>45869</v>
      </c>
      <c r="AC912" s="143"/>
      <c r="AD912" s="143"/>
      <c r="AE912" s="143"/>
      <c r="AF912" s="143"/>
      <c r="AG912" s="143"/>
      <c r="AH912" s="143"/>
      <c r="AI912" s="143"/>
      <c r="AJ912" s="143"/>
      <c r="AK912" s="143"/>
      <c r="AL912" s="143"/>
      <c r="AM912" s="143"/>
    </row>
    <row r="913" s="140" customFormat="1" ht="15" spans="1:39">
      <c r="A913" s="143">
        <v>911</v>
      </c>
      <c r="B913" s="144">
        <v>45869</v>
      </c>
      <c r="C913" s="143" t="s">
        <v>193</v>
      </c>
      <c r="D913" s="143" t="s">
        <v>41</v>
      </c>
      <c r="E913" s="145"/>
      <c r="F913" s="143"/>
      <c r="G913" s="143"/>
      <c r="H913" s="152" t="s">
        <v>2982</v>
      </c>
      <c r="I913" s="143" t="s">
        <v>2983</v>
      </c>
      <c r="J913" s="143" t="s">
        <v>2984</v>
      </c>
      <c r="K913" s="143">
        <v>150</v>
      </c>
      <c r="L913" s="143">
        <v>190</v>
      </c>
      <c r="M913" s="143"/>
      <c r="N913" s="143"/>
      <c r="O913" s="143"/>
      <c r="P913" s="143"/>
      <c r="Q913" s="143"/>
      <c r="R913" s="143"/>
      <c r="S913" s="146"/>
      <c r="T913" s="146"/>
      <c r="U913" s="146"/>
      <c r="V913" s="147"/>
      <c r="W913" s="143" t="s">
        <v>49</v>
      </c>
      <c r="X913" s="143" t="s">
        <v>2985</v>
      </c>
      <c r="Y913" s="143" t="s">
        <v>1743</v>
      </c>
      <c r="Z913" s="143" t="s">
        <v>2985</v>
      </c>
      <c r="AA913" s="143">
        <v>18.4</v>
      </c>
      <c r="AB913" s="170">
        <v>45869</v>
      </c>
      <c r="AC913" s="143"/>
      <c r="AD913" s="143"/>
      <c r="AE913" s="143"/>
      <c r="AF913" s="143"/>
      <c r="AG913" s="143"/>
      <c r="AH913" s="143"/>
      <c r="AI913" s="143"/>
      <c r="AJ913" s="143"/>
      <c r="AK913" s="143"/>
      <c r="AL913" s="143"/>
      <c r="AM913" s="143"/>
    </row>
    <row r="914" s="140" customFormat="1" ht="15" spans="1:39">
      <c r="A914" s="143">
        <v>912</v>
      </c>
      <c r="B914" s="144">
        <v>45869</v>
      </c>
      <c r="C914" s="143" t="s">
        <v>193</v>
      </c>
      <c r="D914" s="143" t="s">
        <v>41</v>
      </c>
      <c r="E914" s="145"/>
      <c r="F914" s="143"/>
      <c r="G914" s="143"/>
      <c r="H914" s="152" t="s">
        <v>2986</v>
      </c>
      <c r="I914" s="143" t="s">
        <v>1732</v>
      </c>
      <c r="J914" s="143" t="s">
        <v>2987</v>
      </c>
      <c r="K914" s="143">
        <v>150</v>
      </c>
      <c r="L914" s="143">
        <v>200</v>
      </c>
      <c r="M914" s="143"/>
      <c r="N914" s="143"/>
      <c r="O914" s="143"/>
      <c r="P914" s="143"/>
      <c r="Q914" s="143"/>
      <c r="R914" s="143"/>
      <c r="S914" s="146"/>
      <c r="T914" s="146"/>
      <c r="U914" s="146"/>
      <c r="V914" s="147"/>
      <c r="W914" s="143" t="s">
        <v>49</v>
      </c>
      <c r="X914" s="143" t="s">
        <v>1734</v>
      </c>
      <c r="Y914" s="143" t="s">
        <v>1735</v>
      </c>
      <c r="Z914" s="143" t="s">
        <v>1734</v>
      </c>
      <c r="AA914" s="143">
        <v>17.6</v>
      </c>
      <c r="AB914" s="170">
        <v>45869</v>
      </c>
      <c r="AC914" s="143"/>
      <c r="AD914" s="143"/>
      <c r="AE914" s="143"/>
      <c r="AF914" s="143"/>
      <c r="AG914" s="143"/>
      <c r="AH914" s="143"/>
      <c r="AI914" s="143"/>
      <c r="AJ914" s="143"/>
      <c r="AK914" s="143"/>
      <c r="AL914" s="143"/>
      <c r="AM914" s="143"/>
    </row>
    <row r="915" s="140" customFormat="1" ht="15" spans="1:39">
      <c r="A915" s="143">
        <v>913</v>
      </c>
      <c r="B915" s="144">
        <v>45869</v>
      </c>
      <c r="C915" s="143" t="s">
        <v>193</v>
      </c>
      <c r="D915" s="143" t="s">
        <v>41</v>
      </c>
      <c r="E915" s="145"/>
      <c r="F915" s="143"/>
      <c r="G915" s="143"/>
      <c r="H915" s="152" t="s">
        <v>2988</v>
      </c>
      <c r="I915" s="143" t="s">
        <v>1203</v>
      </c>
      <c r="J915" s="143" t="s">
        <v>2989</v>
      </c>
      <c r="K915" s="143">
        <v>150</v>
      </c>
      <c r="L915" s="143">
        <v>200</v>
      </c>
      <c r="M915" s="143"/>
      <c r="N915" s="143"/>
      <c r="O915" s="143"/>
      <c r="P915" s="143"/>
      <c r="Q915" s="143"/>
      <c r="R915" s="143"/>
      <c r="S915" s="146"/>
      <c r="T915" s="146"/>
      <c r="U915" s="146"/>
      <c r="V915" s="147"/>
      <c r="W915" s="143" t="s">
        <v>49</v>
      </c>
      <c r="X915" s="143" t="s">
        <v>2990</v>
      </c>
      <c r="Y915" s="143" t="s">
        <v>1735</v>
      </c>
      <c r="Z915" s="143" t="s">
        <v>2990</v>
      </c>
      <c r="AA915" s="143">
        <v>15.2</v>
      </c>
      <c r="AB915" s="170">
        <v>45869</v>
      </c>
      <c r="AC915" s="143"/>
      <c r="AD915" s="143"/>
      <c r="AE915" s="143"/>
      <c r="AF915" s="143"/>
      <c r="AG915" s="143"/>
      <c r="AH915" s="143"/>
      <c r="AI915" s="143"/>
      <c r="AJ915" s="143"/>
      <c r="AK915" s="143"/>
      <c r="AL915" s="143"/>
      <c r="AM915" s="143"/>
    </row>
    <row r="916" s="140" customFormat="1" ht="15" spans="1:39">
      <c r="A916" s="143">
        <v>914</v>
      </c>
      <c r="B916" s="144">
        <v>45869</v>
      </c>
      <c r="C916" s="143" t="s">
        <v>193</v>
      </c>
      <c r="D916" s="143" t="s">
        <v>41</v>
      </c>
      <c r="E916" s="145"/>
      <c r="F916" s="143"/>
      <c r="G916" s="143"/>
      <c r="H916" s="152" t="s">
        <v>2991</v>
      </c>
      <c r="I916" s="143" t="s">
        <v>2992</v>
      </c>
      <c r="J916" s="143" t="s">
        <v>2993</v>
      </c>
      <c r="K916" s="143">
        <v>150</v>
      </c>
      <c r="L916" s="143">
        <v>150</v>
      </c>
      <c r="M916" s="143"/>
      <c r="N916" s="143"/>
      <c r="O916" s="143"/>
      <c r="P916" s="143"/>
      <c r="Q916" s="143"/>
      <c r="R916" s="143"/>
      <c r="S916" s="146"/>
      <c r="T916" s="146"/>
      <c r="U916" s="146"/>
      <c r="V916" s="147"/>
      <c r="W916" s="143" t="s">
        <v>49</v>
      </c>
      <c r="X916" s="143" t="s">
        <v>2994</v>
      </c>
      <c r="Y916" s="143" t="s">
        <v>1735</v>
      </c>
      <c r="Z916" s="143" t="s">
        <v>2994</v>
      </c>
      <c r="AA916" s="143">
        <v>17.4</v>
      </c>
      <c r="AB916" s="170">
        <v>45869</v>
      </c>
      <c r="AC916" s="143"/>
      <c r="AD916" s="143"/>
      <c r="AE916" s="143"/>
      <c r="AF916" s="143"/>
      <c r="AG916" s="143"/>
      <c r="AH916" s="143"/>
      <c r="AI916" s="143"/>
      <c r="AJ916" s="143"/>
      <c r="AK916" s="143"/>
      <c r="AL916" s="143"/>
      <c r="AM916" s="143"/>
    </row>
    <row r="917" s="140" customFormat="1" ht="15" spans="1:39">
      <c r="A917" s="143">
        <v>915</v>
      </c>
      <c r="B917" s="144">
        <v>45870</v>
      </c>
      <c r="C917" s="143" t="s">
        <v>40</v>
      </c>
      <c r="D917" s="143" t="s">
        <v>2338</v>
      </c>
      <c r="E917" s="145"/>
      <c r="F917" s="143" t="s">
        <v>2995</v>
      </c>
      <c r="G917" s="143"/>
      <c r="H917" s="152" t="s">
        <v>2996</v>
      </c>
      <c r="I917" s="143" t="s">
        <v>45</v>
      </c>
      <c r="J917" s="143" t="s">
        <v>105</v>
      </c>
      <c r="K917" s="143">
        <v>150</v>
      </c>
      <c r="L917" s="143">
        <v>122</v>
      </c>
      <c r="M917" s="143"/>
      <c r="N917" s="143"/>
      <c r="O917" s="143"/>
      <c r="P917" s="143"/>
      <c r="Q917" s="143"/>
      <c r="R917" s="143"/>
      <c r="S917" s="146"/>
      <c r="T917" s="146"/>
      <c r="U917" s="146"/>
      <c r="V917" s="147"/>
      <c r="W917" s="143" t="s">
        <v>2997</v>
      </c>
      <c r="X917" s="143" t="s">
        <v>2998</v>
      </c>
      <c r="Y917" s="143" t="s">
        <v>2997</v>
      </c>
      <c r="Z917" s="143" t="s">
        <v>2998</v>
      </c>
      <c r="AA917" s="143"/>
      <c r="AB917" s="170"/>
      <c r="AC917" s="143"/>
      <c r="AD917" s="143"/>
      <c r="AE917" s="143"/>
      <c r="AF917" s="143"/>
      <c r="AG917" s="143"/>
      <c r="AH917" s="143"/>
      <c r="AI917" s="143"/>
      <c r="AJ917" s="143"/>
      <c r="AK917" s="143"/>
      <c r="AL917" s="143"/>
      <c r="AM917" s="143"/>
    </row>
    <row r="918" s="140" customFormat="1" ht="15" spans="1:39">
      <c r="A918" s="143">
        <v>916</v>
      </c>
      <c r="B918" s="144">
        <v>45870</v>
      </c>
      <c r="C918" s="143" t="s">
        <v>40</v>
      </c>
      <c r="D918" s="143" t="s">
        <v>2338</v>
      </c>
      <c r="E918" s="145"/>
      <c r="F918" s="143" t="s">
        <v>2995</v>
      </c>
      <c r="G918" s="143"/>
      <c r="H918" s="152" t="s">
        <v>2999</v>
      </c>
      <c r="I918" s="143" t="s">
        <v>45</v>
      </c>
      <c r="J918" s="143" t="s">
        <v>105</v>
      </c>
      <c r="K918" s="143">
        <v>155</v>
      </c>
      <c r="L918" s="143">
        <v>131</v>
      </c>
      <c r="M918" s="143"/>
      <c r="N918" s="143"/>
      <c r="O918" s="143"/>
      <c r="P918" s="143"/>
      <c r="Q918" s="143"/>
      <c r="R918" s="143"/>
      <c r="S918" s="146"/>
      <c r="T918" s="146"/>
      <c r="U918" s="146"/>
      <c r="V918" s="147"/>
      <c r="W918" s="143" t="s">
        <v>2997</v>
      </c>
      <c r="X918" s="143" t="s">
        <v>3000</v>
      </c>
      <c r="Y918" s="143" t="s">
        <v>2997</v>
      </c>
      <c r="Z918" s="143" t="s">
        <v>3000</v>
      </c>
      <c r="AA918" s="143"/>
      <c r="AB918" s="170"/>
      <c r="AC918" s="143"/>
      <c r="AD918" s="143"/>
      <c r="AE918" s="143"/>
      <c r="AF918" s="143"/>
      <c r="AG918" s="143"/>
      <c r="AH918" s="143"/>
      <c r="AI918" s="143"/>
      <c r="AJ918" s="143"/>
      <c r="AK918" s="143"/>
      <c r="AL918" s="143"/>
      <c r="AM918" s="143"/>
    </row>
    <row r="919" s="140" customFormat="1" ht="15" spans="1:39">
      <c r="A919" s="143">
        <v>917</v>
      </c>
      <c r="B919" s="144">
        <v>45870</v>
      </c>
      <c r="C919" s="143" t="s">
        <v>40</v>
      </c>
      <c r="D919" s="143" t="s">
        <v>2338</v>
      </c>
      <c r="E919" s="145"/>
      <c r="F919" s="143" t="s">
        <v>2995</v>
      </c>
      <c r="G919" s="143"/>
      <c r="H919" s="152" t="s">
        <v>3001</v>
      </c>
      <c r="I919" s="143" t="s">
        <v>45</v>
      </c>
      <c r="J919" s="143" t="s">
        <v>105</v>
      </c>
      <c r="K919" s="143">
        <v>147</v>
      </c>
      <c r="L919" s="143">
        <v>142</v>
      </c>
      <c r="M919" s="143"/>
      <c r="N919" s="143"/>
      <c r="O919" s="143"/>
      <c r="P919" s="143"/>
      <c r="Q919" s="143"/>
      <c r="R919" s="143"/>
      <c r="S919" s="146"/>
      <c r="T919" s="146"/>
      <c r="U919" s="146"/>
      <c r="V919" s="147"/>
      <c r="W919" s="143" t="s">
        <v>2997</v>
      </c>
      <c r="X919" s="143" t="s">
        <v>3002</v>
      </c>
      <c r="Y919" s="143" t="s">
        <v>2997</v>
      </c>
      <c r="Z919" s="143" t="s">
        <v>3002</v>
      </c>
      <c r="AA919" s="143"/>
      <c r="AB919" s="170"/>
      <c r="AC919" s="143"/>
      <c r="AD919" s="143"/>
      <c r="AE919" s="143"/>
      <c r="AF919" s="143"/>
      <c r="AG919" s="143"/>
      <c r="AH919" s="143"/>
      <c r="AI919" s="143"/>
      <c r="AJ919" s="143"/>
      <c r="AK919" s="143"/>
      <c r="AL919" s="143"/>
      <c r="AM919" s="143"/>
    </row>
    <row r="920" s="140" customFormat="1" ht="15" spans="1:39">
      <c r="A920" s="143">
        <v>918</v>
      </c>
      <c r="B920" s="144">
        <v>45870</v>
      </c>
      <c r="C920" s="143" t="s">
        <v>40</v>
      </c>
      <c r="D920" s="143" t="s">
        <v>2338</v>
      </c>
      <c r="E920" s="145"/>
      <c r="F920" s="143" t="s">
        <v>2995</v>
      </c>
      <c r="G920" s="143"/>
      <c r="H920" s="152" t="s">
        <v>3003</v>
      </c>
      <c r="I920" s="143" t="s">
        <v>45</v>
      </c>
      <c r="J920" s="143" t="s">
        <v>105</v>
      </c>
      <c r="K920" s="143">
        <v>153</v>
      </c>
      <c r="L920" s="143">
        <v>165</v>
      </c>
      <c r="M920" s="143"/>
      <c r="N920" s="143"/>
      <c r="O920" s="143"/>
      <c r="P920" s="143"/>
      <c r="Q920" s="143"/>
      <c r="R920" s="143"/>
      <c r="S920" s="146"/>
      <c r="T920" s="146"/>
      <c r="U920" s="146"/>
      <c r="V920" s="147"/>
      <c r="W920" s="143" t="s">
        <v>2997</v>
      </c>
      <c r="X920" s="143" t="s">
        <v>3004</v>
      </c>
      <c r="Y920" s="143" t="s">
        <v>2997</v>
      </c>
      <c r="Z920" s="143" t="s">
        <v>3004</v>
      </c>
      <c r="AA920" s="143"/>
      <c r="AB920" s="170"/>
      <c r="AC920" s="143"/>
      <c r="AD920" s="143"/>
      <c r="AE920" s="143"/>
      <c r="AF920" s="143"/>
      <c r="AG920" s="143"/>
      <c r="AH920" s="143"/>
      <c r="AI920" s="143"/>
      <c r="AJ920" s="143"/>
      <c r="AK920" s="143"/>
      <c r="AL920" s="143"/>
      <c r="AM920" s="143"/>
    </row>
    <row r="921" s="140" customFormat="1" ht="15" spans="1:39">
      <c r="A921" s="143">
        <v>919</v>
      </c>
      <c r="B921" s="144">
        <v>45870</v>
      </c>
      <c r="C921" s="143" t="s">
        <v>40</v>
      </c>
      <c r="D921" s="143" t="s">
        <v>2338</v>
      </c>
      <c r="E921" s="145"/>
      <c r="F921" s="143" t="s">
        <v>2995</v>
      </c>
      <c r="G921" s="143"/>
      <c r="H921" s="152" t="s">
        <v>3005</v>
      </c>
      <c r="I921" s="143" t="s">
        <v>45</v>
      </c>
      <c r="J921" s="143" t="s">
        <v>105</v>
      </c>
      <c r="K921" s="143">
        <v>150</v>
      </c>
      <c r="L921" s="143">
        <v>210</v>
      </c>
      <c r="M921" s="143"/>
      <c r="N921" s="143"/>
      <c r="O921" s="143"/>
      <c r="P921" s="143"/>
      <c r="Q921" s="143"/>
      <c r="R921" s="143"/>
      <c r="S921" s="146"/>
      <c r="T921" s="146"/>
      <c r="U921" s="146"/>
      <c r="V921" s="147"/>
      <c r="W921" s="143" t="s">
        <v>2997</v>
      </c>
      <c r="X921" s="143" t="s">
        <v>3006</v>
      </c>
      <c r="Y921" s="143" t="s">
        <v>2997</v>
      </c>
      <c r="Z921" s="143" t="s">
        <v>3006</v>
      </c>
      <c r="AA921" s="143"/>
      <c r="AB921" s="170"/>
      <c r="AC921" s="143"/>
      <c r="AD921" s="143"/>
      <c r="AE921" s="143"/>
      <c r="AF921" s="143"/>
      <c r="AG921" s="143"/>
      <c r="AH921" s="143"/>
      <c r="AI921" s="143"/>
      <c r="AJ921" s="143"/>
      <c r="AK921" s="143"/>
      <c r="AL921" s="143"/>
      <c r="AM921" s="143"/>
    </row>
    <row r="922" s="140" customFormat="1" ht="15" spans="1:39">
      <c r="A922" s="143">
        <v>920</v>
      </c>
      <c r="B922" s="144">
        <v>45870</v>
      </c>
      <c r="C922" s="143" t="s">
        <v>40</v>
      </c>
      <c r="D922" s="143" t="s">
        <v>2338</v>
      </c>
      <c r="E922" s="145"/>
      <c r="F922" s="143" t="s">
        <v>2995</v>
      </c>
      <c r="G922" s="143"/>
      <c r="H922" s="152" t="s">
        <v>3007</v>
      </c>
      <c r="I922" s="143" t="s">
        <v>45</v>
      </c>
      <c r="J922" s="143" t="s">
        <v>105</v>
      </c>
      <c r="K922" s="143">
        <v>150</v>
      </c>
      <c r="L922" s="143">
        <v>220</v>
      </c>
      <c r="M922" s="143"/>
      <c r="N922" s="143"/>
      <c r="O922" s="143"/>
      <c r="P922" s="143"/>
      <c r="Q922" s="143"/>
      <c r="R922" s="143"/>
      <c r="S922" s="146"/>
      <c r="T922" s="146"/>
      <c r="U922" s="146"/>
      <c r="V922" s="147"/>
      <c r="W922" s="143" t="s">
        <v>2997</v>
      </c>
      <c r="X922" s="143" t="s">
        <v>3008</v>
      </c>
      <c r="Y922" s="143" t="s">
        <v>2997</v>
      </c>
      <c r="Z922" s="143" t="s">
        <v>3008</v>
      </c>
      <c r="AA922" s="143">
        <v>16.1</v>
      </c>
      <c r="AB922" s="170">
        <v>45962</v>
      </c>
      <c r="AC922" s="143"/>
      <c r="AD922" s="143"/>
      <c r="AE922" s="143"/>
      <c r="AF922" s="143"/>
      <c r="AG922" s="143"/>
      <c r="AH922" s="143"/>
      <c r="AI922" s="143"/>
      <c r="AJ922" s="143"/>
      <c r="AK922" s="143"/>
      <c r="AL922" s="143"/>
      <c r="AM922" s="143"/>
    </row>
    <row r="923" s="140" customFormat="1" ht="15" spans="1:39">
      <c r="A923" s="143">
        <v>921</v>
      </c>
      <c r="B923" s="144">
        <v>45870</v>
      </c>
      <c r="C923" s="143" t="s">
        <v>40</v>
      </c>
      <c r="D923" s="143" t="s">
        <v>2338</v>
      </c>
      <c r="E923" s="145"/>
      <c r="F923" s="143" t="s">
        <v>2995</v>
      </c>
      <c r="G923" s="143"/>
      <c r="H923" s="152" t="s">
        <v>3009</v>
      </c>
      <c r="I923" s="143" t="s">
        <v>45</v>
      </c>
      <c r="J923" s="143" t="s">
        <v>105</v>
      </c>
      <c r="K923" s="143">
        <v>150</v>
      </c>
      <c r="L923" s="143">
        <v>260</v>
      </c>
      <c r="M923" s="143"/>
      <c r="N923" s="143"/>
      <c r="O923" s="143"/>
      <c r="P923" s="143"/>
      <c r="Q923" s="143"/>
      <c r="R923" s="143"/>
      <c r="S923" s="146"/>
      <c r="T923" s="146"/>
      <c r="U923" s="146"/>
      <c r="V923" s="147"/>
      <c r="W923" s="143" t="s">
        <v>2997</v>
      </c>
      <c r="X923" s="143" t="s">
        <v>3010</v>
      </c>
      <c r="Y923" s="143" t="s">
        <v>2997</v>
      </c>
      <c r="Z923" s="143" t="s">
        <v>3010</v>
      </c>
      <c r="AA923" s="143"/>
      <c r="AB923" s="170"/>
      <c r="AC923" s="143"/>
      <c r="AD923" s="143"/>
      <c r="AE923" s="143"/>
      <c r="AF923" s="143"/>
      <c r="AG923" s="143"/>
      <c r="AH923" s="143"/>
      <c r="AI923" s="143"/>
      <c r="AJ923" s="143"/>
      <c r="AK923" s="143"/>
      <c r="AL923" s="143"/>
      <c r="AM923" s="143"/>
    </row>
    <row r="924" s="140" customFormat="1" ht="15" spans="1:39">
      <c r="A924" s="143">
        <v>922</v>
      </c>
      <c r="B924" s="144">
        <v>45870</v>
      </c>
      <c r="C924" s="143" t="s">
        <v>40</v>
      </c>
      <c r="D924" s="143" t="s">
        <v>2338</v>
      </c>
      <c r="E924" s="145"/>
      <c r="F924" s="143" t="s">
        <v>2995</v>
      </c>
      <c r="G924" s="143"/>
      <c r="H924" s="152" t="s">
        <v>3011</v>
      </c>
      <c r="I924" s="143" t="s">
        <v>45</v>
      </c>
      <c r="J924" s="143" t="s">
        <v>105</v>
      </c>
      <c r="K924" s="143">
        <v>150</v>
      </c>
      <c r="L924" s="143">
        <v>275</v>
      </c>
      <c r="M924" s="143"/>
      <c r="N924" s="143"/>
      <c r="O924" s="143"/>
      <c r="P924" s="143"/>
      <c r="Q924" s="143"/>
      <c r="R924" s="143"/>
      <c r="S924" s="146"/>
      <c r="T924" s="146"/>
      <c r="U924" s="146"/>
      <c r="V924" s="147"/>
      <c r="W924" s="143" t="s">
        <v>2997</v>
      </c>
      <c r="X924" s="143" t="s">
        <v>3012</v>
      </c>
      <c r="Y924" s="143" t="s">
        <v>2997</v>
      </c>
      <c r="Z924" s="143" t="s">
        <v>3012</v>
      </c>
      <c r="AA924" s="143"/>
      <c r="AB924" s="170"/>
      <c r="AC924" s="143"/>
      <c r="AD924" s="143"/>
      <c r="AE924" s="143"/>
      <c r="AF924" s="143"/>
      <c r="AG924" s="143"/>
      <c r="AH924" s="143"/>
      <c r="AI924" s="143"/>
      <c r="AJ924" s="143"/>
      <c r="AK924" s="143"/>
      <c r="AL924" s="143"/>
      <c r="AM924" s="143"/>
    </row>
    <row r="925" s="140" customFormat="1" ht="15" spans="1:39">
      <c r="A925" s="143">
        <v>923</v>
      </c>
      <c r="B925" s="144">
        <v>45870</v>
      </c>
      <c r="C925" s="143" t="s">
        <v>40</v>
      </c>
      <c r="D925" s="143" t="s">
        <v>2338</v>
      </c>
      <c r="E925" s="145"/>
      <c r="F925" s="143" t="s">
        <v>2995</v>
      </c>
      <c r="G925" s="143"/>
      <c r="H925" s="152" t="s">
        <v>3013</v>
      </c>
      <c r="I925" s="143" t="s">
        <v>45</v>
      </c>
      <c r="J925" s="143" t="s">
        <v>105</v>
      </c>
      <c r="K925" s="143">
        <v>149</v>
      </c>
      <c r="L925" s="143">
        <v>280</v>
      </c>
      <c r="M925" s="143"/>
      <c r="N925" s="143"/>
      <c r="O925" s="143"/>
      <c r="P925" s="143"/>
      <c r="Q925" s="143"/>
      <c r="R925" s="143"/>
      <c r="S925" s="146"/>
      <c r="T925" s="146"/>
      <c r="U925" s="146"/>
      <c r="V925" s="147"/>
      <c r="W925" s="143" t="s">
        <v>2997</v>
      </c>
      <c r="X925" s="143" t="s">
        <v>3014</v>
      </c>
      <c r="Y925" s="143" t="s">
        <v>2997</v>
      </c>
      <c r="Z925" s="143" t="s">
        <v>3014</v>
      </c>
      <c r="AA925" s="143"/>
      <c r="AB925" s="170"/>
      <c r="AC925" s="143"/>
      <c r="AD925" s="143"/>
      <c r="AE925" s="143"/>
      <c r="AF925" s="143"/>
      <c r="AG925" s="143"/>
      <c r="AH925" s="143"/>
      <c r="AI925" s="143"/>
      <c r="AJ925" s="143"/>
      <c r="AK925" s="143"/>
      <c r="AL925" s="143"/>
      <c r="AM925" s="143"/>
    </row>
    <row r="926" s="140" customFormat="1" ht="15" spans="1:39">
      <c r="A926" s="143">
        <v>924</v>
      </c>
      <c r="B926" s="144">
        <v>45870</v>
      </c>
      <c r="C926" s="143" t="s">
        <v>40</v>
      </c>
      <c r="D926" s="143" t="s">
        <v>2338</v>
      </c>
      <c r="E926" s="145"/>
      <c r="F926" s="143" t="s">
        <v>2995</v>
      </c>
      <c r="G926" s="143"/>
      <c r="H926" s="152" t="s">
        <v>3015</v>
      </c>
      <c r="I926" s="143" t="s">
        <v>45</v>
      </c>
      <c r="J926" s="143" t="s">
        <v>105</v>
      </c>
      <c r="K926" s="143">
        <v>149</v>
      </c>
      <c r="L926" s="143">
        <v>295</v>
      </c>
      <c r="M926" s="143"/>
      <c r="N926" s="143"/>
      <c r="O926" s="143"/>
      <c r="P926" s="143"/>
      <c r="Q926" s="143"/>
      <c r="R926" s="143"/>
      <c r="S926" s="146"/>
      <c r="T926" s="146"/>
      <c r="U926" s="146"/>
      <c r="V926" s="147"/>
      <c r="W926" s="143" t="s">
        <v>2997</v>
      </c>
      <c r="X926" s="143" t="s">
        <v>3016</v>
      </c>
      <c r="Y926" s="143" t="s">
        <v>2997</v>
      </c>
      <c r="Z926" s="143" t="s">
        <v>3016</v>
      </c>
      <c r="AA926" s="143">
        <v>16.3</v>
      </c>
      <c r="AB926" s="170">
        <v>45962</v>
      </c>
      <c r="AC926" s="143"/>
      <c r="AD926" s="143"/>
      <c r="AE926" s="143"/>
      <c r="AF926" s="143"/>
      <c r="AG926" s="143"/>
      <c r="AH926" s="143"/>
      <c r="AI926" s="143"/>
      <c r="AJ926" s="143"/>
      <c r="AK926" s="143"/>
      <c r="AL926" s="143"/>
      <c r="AM926" s="143"/>
    </row>
    <row r="927" s="140" customFormat="1" ht="15" spans="1:39">
      <c r="A927" s="143">
        <v>925</v>
      </c>
      <c r="B927" s="144">
        <v>45870</v>
      </c>
      <c r="C927" s="143" t="s">
        <v>40</v>
      </c>
      <c r="D927" s="143" t="s">
        <v>2338</v>
      </c>
      <c r="E927" s="145"/>
      <c r="F927" s="143" t="s">
        <v>2995</v>
      </c>
      <c r="G927" s="143"/>
      <c r="H927" s="152" t="s">
        <v>3017</v>
      </c>
      <c r="I927" s="143" t="s">
        <v>45</v>
      </c>
      <c r="J927" s="143" t="s">
        <v>105</v>
      </c>
      <c r="K927" s="143">
        <v>150</v>
      </c>
      <c r="L927" s="143">
        <v>300</v>
      </c>
      <c r="M927" s="143"/>
      <c r="N927" s="143"/>
      <c r="O927" s="143"/>
      <c r="P927" s="143"/>
      <c r="Q927" s="143"/>
      <c r="R927" s="143"/>
      <c r="S927" s="146"/>
      <c r="T927" s="146"/>
      <c r="U927" s="146"/>
      <c r="V927" s="147"/>
      <c r="W927" s="143" t="s">
        <v>2997</v>
      </c>
      <c r="X927" s="143" t="s">
        <v>3018</v>
      </c>
      <c r="Y927" s="143" t="s">
        <v>2997</v>
      </c>
      <c r="Z927" s="143" t="s">
        <v>3018</v>
      </c>
      <c r="AA927" s="143"/>
      <c r="AB927" s="170"/>
      <c r="AC927" s="143"/>
      <c r="AD927" s="143"/>
      <c r="AE927" s="143"/>
      <c r="AF927" s="143"/>
      <c r="AG927" s="143"/>
      <c r="AH927" s="143"/>
      <c r="AI927" s="143"/>
      <c r="AJ927" s="143"/>
      <c r="AK927" s="143"/>
      <c r="AL927" s="143"/>
      <c r="AM927" s="143"/>
    </row>
    <row r="928" s="140" customFormat="1" ht="15" spans="1:39">
      <c r="A928" s="143">
        <v>926</v>
      </c>
      <c r="B928" s="144">
        <v>45870</v>
      </c>
      <c r="C928" s="143" t="s">
        <v>40</v>
      </c>
      <c r="D928" s="143" t="s">
        <v>2338</v>
      </c>
      <c r="E928" s="145"/>
      <c r="F928" s="143" t="s">
        <v>2995</v>
      </c>
      <c r="G928" s="143"/>
      <c r="H928" s="152" t="s">
        <v>3019</v>
      </c>
      <c r="I928" s="143" t="s">
        <v>223</v>
      </c>
      <c r="J928" s="143" t="s">
        <v>2391</v>
      </c>
      <c r="K928" s="143">
        <v>140</v>
      </c>
      <c r="L928" s="143">
        <v>200</v>
      </c>
      <c r="M928" s="143"/>
      <c r="N928" s="143"/>
      <c r="O928" s="143"/>
      <c r="P928" s="143"/>
      <c r="Q928" s="143"/>
      <c r="R928" s="143"/>
      <c r="S928" s="146"/>
      <c r="T928" s="146"/>
      <c r="U928" s="146"/>
      <c r="V928" s="147"/>
      <c r="W928" s="143" t="s">
        <v>2997</v>
      </c>
      <c r="X928" s="143" t="s">
        <v>3020</v>
      </c>
      <c r="Y928" s="143" t="s">
        <v>2997</v>
      </c>
      <c r="Z928" s="143" t="s">
        <v>3020</v>
      </c>
      <c r="AA928" s="143"/>
      <c r="AB928" s="170"/>
      <c r="AC928" s="143"/>
      <c r="AD928" s="143"/>
      <c r="AE928" s="143"/>
      <c r="AF928" s="143"/>
      <c r="AG928" s="143"/>
      <c r="AH928" s="143"/>
      <c r="AI928" s="143"/>
      <c r="AJ928" s="143"/>
      <c r="AK928" s="143"/>
      <c r="AL928" s="143"/>
      <c r="AM928" s="143"/>
    </row>
    <row r="929" s="140" customFormat="1" ht="15" spans="1:39">
      <c r="A929" s="143">
        <v>927</v>
      </c>
      <c r="B929" s="144">
        <v>45870</v>
      </c>
      <c r="C929" s="143" t="s">
        <v>40</v>
      </c>
      <c r="D929" s="143" t="s">
        <v>2338</v>
      </c>
      <c r="E929" s="145"/>
      <c r="F929" s="143" t="s">
        <v>3021</v>
      </c>
      <c r="G929" s="143"/>
      <c r="H929" s="152" t="s">
        <v>3022</v>
      </c>
      <c r="I929" s="143" t="s">
        <v>3023</v>
      </c>
      <c r="J929" s="143" t="s">
        <v>282</v>
      </c>
      <c r="K929" s="143">
        <v>149</v>
      </c>
      <c r="L929" s="143">
        <v>180</v>
      </c>
      <c r="M929" s="143"/>
      <c r="N929" s="143"/>
      <c r="O929" s="143"/>
      <c r="P929" s="143"/>
      <c r="Q929" s="143"/>
      <c r="R929" s="143"/>
      <c r="S929" s="146"/>
      <c r="T929" s="146"/>
      <c r="U929" s="146"/>
      <c r="V929" s="147"/>
      <c r="W929" s="143" t="s">
        <v>3024</v>
      </c>
      <c r="X929" s="143" t="s">
        <v>3025</v>
      </c>
      <c r="Y929" s="143" t="s">
        <v>3024</v>
      </c>
      <c r="Z929" s="143" t="s">
        <v>3025</v>
      </c>
      <c r="AA929" s="143"/>
      <c r="AB929" s="170"/>
      <c r="AC929" s="143"/>
      <c r="AD929" s="143"/>
      <c r="AE929" s="143"/>
      <c r="AF929" s="143"/>
      <c r="AG929" s="143"/>
      <c r="AH929" s="143" t="s">
        <v>3026</v>
      </c>
      <c r="AI929" s="143"/>
      <c r="AJ929" s="143"/>
      <c r="AK929" s="143"/>
      <c r="AL929" s="143"/>
      <c r="AM929" s="143"/>
    </row>
    <row r="930" s="140" customFormat="1" ht="15" spans="1:39">
      <c r="A930" s="143">
        <v>928</v>
      </c>
      <c r="B930" s="144">
        <v>45870</v>
      </c>
      <c r="C930" s="143" t="s">
        <v>40</v>
      </c>
      <c r="D930" s="143" t="s">
        <v>2338</v>
      </c>
      <c r="E930" s="145"/>
      <c r="F930" s="143" t="s">
        <v>3021</v>
      </c>
      <c r="G930" s="143"/>
      <c r="H930" s="152" t="s">
        <v>3027</v>
      </c>
      <c r="I930" s="143" t="s">
        <v>3028</v>
      </c>
      <c r="J930" s="143" t="s">
        <v>282</v>
      </c>
      <c r="K930" s="143">
        <v>147</v>
      </c>
      <c r="L930" s="143">
        <v>137</v>
      </c>
      <c r="M930" s="143"/>
      <c r="N930" s="143"/>
      <c r="O930" s="143"/>
      <c r="P930" s="143"/>
      <c r="Q930" s="143"/>
      <c r="R930" s="143"/>
      <c r="S930" s="146"/>
      <c r="T930" s="146"/>
      <c r="U930" s="146"/>
      <c r="V930" s="147"/>
      <c r="W930" s="143" t="s">
        <v>3024</v>
      </c>
      <c r="X930" s="143">
        <v>381</v>
      </c>
      <c r="Y930" s="143" t="s">
        <v>3024</v>
      </c>
      <c r="Z930" s="143">
        <v>381</v>
      </c>
      <c r="AA930" s="143"/>
      <c r="AB930" s="170"/>
      <c r="AC930" s="143"/>
      <c r="AD930" s="143"/>
      <c r="AE930" s="143"/>
      <c r="AF930" s="143"/>
      <c r="AG930" s="143"/>
      <c r="AH930" s="143"/>
      <c r="AI930" s="143"/>
      <c r="AJ930" s="143"/>
      <c r="AK930" s="143"/>
      <c r="AL930" s="143"/>
      <c r="AM930" s="143"/>
    </row>
    <row r="931" s="140" customFormat="1" ht="15" spans="1:39">
      <c r="A931" s="143">
        <v>929</v>
      </c>
      <c r="B931" s="144">
        <v>45870</v>
      </c>
      <c r="C931" s="143" t="s">
        <v>40</v>
      </c>
      <c r="D931" s="143" t="s">
        <v>2338</v>
      </c>
      <c r="E931" s="145"/>
      <c r="F931" s="143" t="s">
        <v>3021</v>
      </c>
      <c r="G931" s="143"/>
      <c r="H931" s="152" t="s">
        <v>3029</v>
      </c>
      <c r="I931" s="143" t="s">
        <v>3030</v>
      </c>
      <c r="J931" s="143" t="s">
        <v>282</v>
      </c>
      <c r="K931" s="143">
        <v>147</v>
      </c>
      <c r="L931" s="143">
        <v>315</v>
      </c>
      <c r="M931" s="143"/>
      <c r="N931" s="143"/>
      <c r="O931" s="143"/>
      <c r="P931" s="143"/>
      <c r="Q931" s="143"/>
      <c r="R931" s="143"/>
      <c r="S931" s="146"/>
      <c r="T931" s="146"/>
      <c r="U931" s="146"/>
      <c r="V931" s="147"/>
      <c r="W931" s="143" t="s">
        <v>3024</v>
      </c>
      <c r="X931" s="143" t="s">
        <v>3031</v>
      </c>
      <c r="Y931" s="143" t="s">
        <v>3024</v>
      </c>
      <c r="Z931" s="143" t="s">
        <v>3031</v>
      </c>
      <c r="AA931" s="143"/>
      <c r="AB931" s="170"/>
      <c r="AC931" s="143"/>
      <c r="AD931" s="143"/>
      <c r="AE931" s="143"/>
      <c r="AF931" s="143"/>
      <c r="AG931" s="143"/>
      <c r="AH931" s="143"/>
      <c r="AI931" s="143"/>
      <c r="AJ931" s="143"/>
      <c r="AK931" s="143"/>
      <c r="AL931" s="143"/>
      <c r="AM931" s="143"/>
    </row>
    <row r="932" s="140" customFormat="1" ht="15" spans="1:39">
      <c r="A932" s="143">
        <v>930</v>
      </c>
      <c r="B932" s="144">
        <v>45870</v>
      </c>
      <c r="C932" s="143" t="s">
        <v>40</v>
      </c>
      <c r="D932" s="143" t="s">
        <v>2338</v>
      </c>
      <c r="E932" s="145"/>
      <c r="F932" s="143" t="s">
        <v>3021</v>
      </c>
      <c r="G932" s="143"/>
      <c r="H932" s="152" t="s">
        <v>3032</v>
      </c>
      <c r="I932" s="143" t="s">
        <v>3033</v>
      </c>
      <c r="J932" s="143" t="s">
        <v>282</v>
      </c>
      <c r="K932" s="143">
        <v>137</v>
      </c>
      <c r="L932" s="143">
        <v>323</v>
      </c>
      <c r="M932" s="143"/>
      <c r="N932" s="143"/>
      <c r="O932" s="143"/>
      <c r="P932" s="143"/>
      <c r="Q932" s="143"/>
      <c r="R932" s="143"/>
      <c r="S932" s="146"/>
      <c r="T932" s="146"/>
      <c r="U932" s="146"/>
      <c r="V932" s="147"/>
      <c r="W932" s="143" t="s">
        <v>3034</v>
      </c>
      <c r="X932" s="143" t="s">
        <v>3035</v>
      </c>
      <c r="Y932" s="143" t="s">
        <v>3034</v>
      </c>
      <c r="Z932" s="143" t="s">
        <v>3035</v>
      </c>
      <c r="AA932" s="143"/>
      <c r="AB932" s="170"/>
      <c r="AC932" s="143"/>
      <c r="AD932" s="143"/>
      <c r="AE932" s="143"/>
      <c r="AF932" s="143"/>
      <c r="AG932" s="143"/>
      <c r="AH932" s="143"/>
      <c r="AI932" s="143"/>
      <c r="AJ932" s="143"/>
      <c r="AK932" s="143"/>
      <c r="AL932" s="143"/>
      <c r="AM932" s="143"/>
    </row>
    <row r="933" s="140" customFormat="1" ht="15" spans="1:39">
      <c r="A933" s="143">
        <v>931</v>
      </c>
      <c r="B933" s="144">
        <v>45870</v>
      </c>
      <c r="C933" s="143" t="s">
        <v>40</v>
      </c>
      <c r="D933" s="143" t="s">
        <v>2338</v>
      </c>
      <c r="E933" s="145"/>
      <c r="F933" s="143" t="s">
        <v>3021</v>
      </c>
      <c r="G933" s="143"/>
      <c r="H933" s="152" t="s">
        <v>3036</v>
      </c>
      <c r="I933" s="143" t="s">
        <v>3037</v>
      </c>
      <c r="J933" s="143" t="s">
        <v>282</v>
      </c>
      <c r="K933" s="143">
        <v>137</v>
      </c>
      <c r="L933" s="143">
        <v>120</v>
      </c>
      <c r="M933" s="143"/>
      <c r="N933" s="143"/>
      <c r="O933" s="143"/>
      <c r="P933" s="143"/>
      <c r="Q933" s="143"/>
      <c r="R933" s="143"/>
      <c r="S933" s="146"/>
      <c r="T933" s="146"/>
      <c r="U933" s="146"/>
      <c r="V933" s="147"/>
      <c r="W933" s="143" t="s">
        <v>3034</v>
      </c>
      <c r="X933" s="143" t="s">
        <v>3038</v>
      </c>
      <c r="Y933" s="143" t="s">
        <v>3034</v>
      </c>
      <c r="Z933" s="143" t="s">
        <v>3038</v>
      </c>
      <c r="AA933" s="143"/>
      <c r="AB933" s="170"/>
      <c r="AC933" s="143"/>
      <c r="AD933" s="143"/>
      <c r="AE933" s="143"/>
      <c r="AF933" s="143"/>
      <c r="AG933" s="143"/>
      <c r="AH933" s="143"/>
      <c r="AI933" s="143"/>
      <c r="AJ933" s="143"/>
      <c r="AK933" s="143"/>
      <c r="AL933" s="143"/>
      <c r="AM933" s="143"/>
    </row>
    <row r="934" s="140" customFormat="1" ht="15" spans="1:39">
      <c r="A934" s="143">
        <v>932</v>
      </c>
      <c r="B934" s="144">
        <v>45870</v>
      </c>
      <c r="C934" s="143" t="s">
        <v>40</v>
      </c>
      <c r="D934" s="143" t="s">
        <v>2338</v>
      </c>
      <c r="E934" s="145"/>
      <c r="F934" s="143" t="s">
        <v>3021</v>
      </c>
      <c r="G934" s="143"/>
      <c r="H934" s="152" t="s">
        <v>3039</v>
      </c>
      <c r="I934" s="143" t="s">
        <v>3040</v>
      </c>
      <c r="J934" s="143" t="s">
        <v>282</v>
      </c>
      <c r="K934" s="143">
        <v>135</v>
      </c>
      <c r="L934" s="143">
        <v>210</v>
      </c>
      <c r="M934" s="143"/>
      <c r="N934" s="143"/>
      <c r="O934" s="143"/>
      <c r="P934" s="143"/>
      <c r="Q934" s="143"/>
      <c r="R934" s="143"/>
      <c r="S934" s="146"/>
      <c r="T934" s="146"/>
      <c r="U934" s="146"/>
      <c r="V934" s="147"/>
      <c r="W934" s="143" t="s">
        <v>3034</v>
      </c>
      <c r="X934" s="143" t="s">
        <v>3041</v>
      </c>
      <c r="Y934" s="143" t="s">
        <v>3034</v>
      </c>
      <c r="Z934" s="143" t="s">
        <v>3041</v>
      </c>
      <c r="AA934" s="143"/>
      <c r="AB934" s="170"/>
      <c r="AC934" s="143"/>
      <c r="AD934" s="143"/>
      <c r="AE934" s="143"/>
      <c r="AF934" s="143"/>
      <c r="AG934" s="143"/>
      <c r="AH934" s="143"/>
      <c r="AI934" s="143"/>
      <c r="AJ934" s="143"/>
      <c r="AK934" s="143"/>
      <c r="AL934" s="143"/>
      <c r="AM934" s="143"/>
    </row>
    <row r="935" s="140" customFormat="1" ht="15" spans="1:39">
      <c r="A935" s="143">
        <v>933</v>
      </c>
      <c r="B935" s="144">
        <v>45870</v>
      </c>
      <c r="C935" s="143" t="s">
        <v>40</v>
      </c>
      <c r="D935" s="143" t="s">
        <v>2338</v>
      </c>
      <c r="E935" s="145"/>
      <c r="F935" s="143" t="s">
        <v>3021</v>
      </c>
      <c r="G935" s="143"/>
      <c r="H935" s="152" t="s">
        <v>3042</v>
      </c>
      <c r="I935" s="143" t="s">
        <v>281</v>
      </c>
      <c r="J935" s="143" t="s">
        <v>282</v>
      </c>
      <c r="K935" s="143">
        <v>147</v>
      </c>
      <c r="L935" s="143">
        <v>125</v>
      </c>
      <c r="M935" s="143"/>
      <c r="N935" s="143"/>
      <c r="O935" s="143"/>
      <c r="P935" s="143"/>
      <c r="Q935" s="143"/>
      <c r="R935" s="143"/>
      <c r="S935" s="146"/>
      <c r="T935" s="146"/>
      <c r="U935" s="146"/>
      <c r="V935" s="147"/>
      <c r="W935" s="143" t="s">
        <v>3043</v>
      </c>
      <c r="X935" s="143" t="s">
        <v>3044</v>
      </c>
      <c r="Y935" s="143" t="s">
        <v>3043</v>
      </c>
      <c r="Z935" s="143" t="s">
        <v>3044</v>
      </c>
      <c r="AA935" s="143"/>
      <c r="AB935" s="170"/>
      <c r="AC935" s="143"/>
      <c r="AD935" s="143"/>
      <c r="AE935" s="143"/>
      <c r="AF935" s="143"/>
      <c r="AG935" s="143"/>
      <c r="AH935" s="143"/>
      <c r="AI935" s="143"/>
      <c r="AJ935" s="143"/>
      <c r="AK935" s="143"/>
      <c r="AL935" s="143"/>
      <c r="AM935" s="143"/>
    </row>
    <row r="936" s="140" customFormat="1" ht="15" spans="1:39">
      <c r="A936" s="143">
        <v>934</v>
      </c>
      <c r="B936" s="144">
        <v>45870</v>
      </c>
      <c r="C936" s="143" t="s">
        <v>40</v>
      </c>
      <c r="D936" s="143" t="s">
        <v>2338</v>
      </c>
      <c r="E936" s="145"/>
      <c r="F936" s="143" t="s">
        <v>3021</v>
      </c>
      <c r="G936" s="143"/>
      <c r="H936" s="152" t="s">
        <v>3045</v>
      </c>
      <c r="I936" s="143" t="s">
        <v>324</v>
      </c>
      <c r="J936" s="143" t="s">
        <v>3046</v>
      </c>
      <c r="K936" s="143">
        <v>147</v>
      </c>
      <c r="L936" s="143">
        <v>100</v>
      </c>
      <c r="M936" s="143"/>
      <c r="N936" s="143"/>
      <c r="O936" s="143"/>
      <c r="P936" s="143"/>
      <c r="Q936" s="143"/>
      <c r="R936" s="143"/>
      <c r="S936" s="146"/>
      <c r="T936" s="146"/>
      <c r="U936" s="146"/>
      <c r="V936" s="147"/>
      <c r="W936" s="143" t="s">
        <v>3043</v>
      </c>
      <c r="X936" s="143" t="s">
        <v>3047</v>
      </c>
      <c r="Y936" s="143" t="s">
        <v>3043</v>
      </c>
      <c r="Z936" s="143" t="s">
        <v>3047</v>
      </c>
      <c r="AA936" s="143"/>
      <c r="AB936" s="170"/>
      <c r="AC936" s="143"/>
      <c r="AD936" s="143"/>
      <c r="AE936" s="143"/>
      <c r="AF936" s="143"/>
      <c r="AG936" s="143"/>
      <c r="AH936" s="143"/>
      <c r="AI936" s="143"/>
      <c r="AJ936" s="143"/>
      <c r="AK936" s="143"/>
      <c r="AL936" s="143"/>
      <c r="AM936" s="143"/>
    </row>
    <row r="937" s="140" customFormat="1" ht="15" spans="1:39">
      <c r="A937" s="143">
        <v>935</v>
      </c>
      <c r="B937" s="144">
        <v>45870</v>
      </c>
      <c r="C937" s="143" t="s">
        <v>40</v>
      </c>
      <c r="D937" s="143" t="s">
        <v>2338</v>
      </c>
      <c r="E937" s="145"/>
      <c r="F937" s="143" t="s">
        <v>3021</v>
      </c>
      <c r="G937" s="143"/>
      <c r="H937" s="152" t="s">
        <v>3048</v>
      </c>
      <c r="I937" s="143" t="s">
        <v>324</v>
      </c>
      <c r="J937" s="143" t="s">
        <v>3046</v>
      </c>
      <c r="K937" s="143">
        <v>147</v>
      </c>
      <c r="L937" s="143">
        <v>310</v>
      </c>
      <c r="M937" s="143"/>
      <c r="N937" s="143"/>
      <c r="O937" s="143"/>
      <c r="P937" s="143"/>
      <c r="Q937" s="143"/>
      <c r="R937" s="143"/>
      <c r="S937" s="146"/>
      <c r="T937" s="146"/>
      <c r="U937" s="146"/>
      <c r="V937" s="147"/>
      <c r="W937" s="143" t="s">
        <v>3043</v>
      </c>
      <c r="X937" s="143" t="s">
        <v>3049</v>
      </c>
      <c r="Y937" s="143" t="s">
        <v>3043</v>
      </c>
      <c r="Z937" s="143" t="s">
        <v>3049</v>
      </c>
      <c r="AA937" s="143"/>
      <c r="AB937" s="170"/>
      <c r="AC937" s="143"/>
      <c r="AD937" s="143"/>
      <c r="AE937" s="143"/>
      <c r="AF937" s="143"/>
      <c r="AG937" s="143"/>
      <c r="AH937" s="143"/>
      <c r="AI937" s="143"/>
      <c r="AJ937" s="143"/>
      <c r="AK937" s="143"/>
      <c r="AL937" s="143"/>
      <c r="AM937" s="143"/>
    </row>
    <row r="938" s="140" customFormat="1" ht="15" spans="1:39">
      <c r="A938" s="143">
        <v>936</v>
      </c>
      <c r="B938" s="144">
        <v>45870</v>
      </c>
      <c r="C938" s="143" t="s">
        <v>40</v>
      </c>
      <c r="D938" s="143" t="s">
        <v>2338</v>
      </c>
      <c r="E938" s="145"/>
      <c r="F938" s="143" t="s">
        <v>3021</v>
      </c>
      <c r="G938" s="143"/>
      <c r="H938" s="152" t="s">
        <v>3050</v>
      </c>
      <c r="I938" s="143" t="s">
        <v>324</v>
      </c>
      <c r="J938" s="143" t="s">
        <v>3046</v>
      </c>
      <c r="K938" s="143">
        <v>147</v>
      </c>
      <c r="L938" s="143">
        <v>146</v>
      </c>
      <c r="M938" s="143"/>
      <c r="N938" s="143"/>
      <c r="O938" s="143"/>
      <c r="P938" s="143"/>
      <c r="Q938" s="143"/>
      <c r="R938" s="143"/>
      <c r="S938" s="146"/>
      <c r="T938" s="146"/>
      <c r="U938" s="146"/>
      <c r="V938" s="147"/>
      <c r="W938" s="143" t="s">
        <v>3043</v>
      </c>
      <c r="X938" s="143" t="s">
        <v>3051</v>
      </c>
      <c r="Y938" s="143" t="s">
        <v>3043</v>
      </c>
      <c r="Z938" s="143" t="s">
        <v>3051</v>
      </c>
      <c r="AA938" s="143"/>
      <c r="AB938" s="170"/>
      <c r="AC938" s="143"/>
      <c r="AD938" s="143"/>
      <c r="AE938" s="143"/>
      <c r="AF938" s="143"/>
      <c r="AG938" s="143"/>
      <c r="AH938" s="143"/>
      <c r="AI938" s="143"/>
      <c r="AJ938" s="143"/>
      <c r="AK938" s="143"/>
      <c r="AL938" s="143"/>
      <c r="AM938" s="143"/>
    </row>
    <row r="939" s="140" customFormat="1" ht="15" spans="1:39">
      <c r="A939" s="143">
        <v>937</v>
      </c>
      <c r="B939" s="144">
        <v>45870</v>
      </c>
      <c r="C939" s="143" t="s">
        <v>40</v>
      </c>
      <c r="D939" s="143" t="s">
        <v>2338</v>
      </c>
      <c r="E939" s="145"/>
      <c r="F939" s="143" t="s">
        <v>3021</v>
      </c>
      <c r="G939" s="143"/>
      <c r="H939" s="152" t="s">
        <v>3052</v>
      </c>
      <c r="I939" s="143" t="s">
        <v>324</v>
      </c>
      <c r="J939" s="143" t="s">
        <v>3046</v>
      </c>
      <c r="K939" s="143">
        <v>147</v>
      </c>
      <c r="L939" s="143">
        <v>97</v>
      </c>
      <c r="M939" s="143"/>
      <c r="N939" s="143"/>
      <c r="O939" s="143"/>
      <c r="P939" s="143"/>
      <c r="Q939" s="143"/>
      <c r="R939" s="143"/>
      <c r="S939" s="146"/>
      <c r="T939" s="146"/>
      <c r="U939" s="146"/>
      <c r="V939" s="147"/>
      <c r="W939" s="143" t="s">
        <v>3043</v>
      </c>
      <c r="X939" s="143" t="s">
        <v>3053</v>
      </c>
      <c r="Y939" s="143" t="s">
        <v>3043</v>
      </c>
      <c r="Z939" s="143" t="s">
        <v>3053</v>
      </c>
      <c r="AA939" s="143"/>
      <c r="AB939" s="170"/>
      <c r="AC939" s="143"/>
      <c r="AD939" s="143"/>
      <c r="AE939" s="143"/>
      <c r="AF939" s="143"/>
      <c r="AG939" s="143"/>
      <c r="AH939" s="143"/>
      <c r="AI939" s="143"/>
      <c r="AJ939" s="143"/>
      <c r="AK939" s="143"/>
      <c r="AL939" s="143"/>
      <c r="AM939" s="143"/>
    </row>
    <row r="940" s="140" customFormat="1" ht="15" spans="1:39">
      <c r="A940" s="143">
        <v>938</v>
      </c>
      <c r="B940" s="144">
        <v>45870</v>
      </c>
      <c r="C940" s="143" t="s">
        <v>40</v>
      </c>
      <c r="D940" s="143" t="s">
        <v>2338</v>
      </c>
      <c r="E940" s="145"/>
      <c r="F940" s="143" t="s">
        <v>3021</v>
      </c>
      <c r="G940" s="143"/>
      <c r="H940" s="152" t="s">
        <v>3054</v>
      </c>
      <c r="I940" s="143" t="s">
        <v>281</v>
      </c>
      <c r="J940" s="143" t="s">
        <v>282</v>
      </c>
      <c r="K940" s="143">
        <v>147</v>
      </c>
      <c r="L940" s="143">
        <v>485</v>
      </c>
      <c r="M940" s="143"/>
      <c r="N940" s="143"/>
      <c r="O940" s="143"/>
      <c r="P940" s="143"/>
      <c r="Q940" s="143"/>
      <c r="R940" s="143"/>
      <c r="S940" s="146"/>
      <c r="T940" s="146"/>
      <c r="U940" s="146"/>
      <c r="V940" s="147"/>
      <c r="W940" s="143" t="s">
        <v>3055</v>
      </c>
      <c r="X940" s="143" t="s">
        <v>3056</v>
      </c>
      <c r="Y940" s="143" t="s">
        <v>3055</v>
      </c>
      <c r="Z940" s="143" t="s">
        <v>3056</v>
      </c>
      <c r="AA940" s="143">
        <v>35</v>
      </c>
      <c r="AB940" s="184" t="s">
        <v>3057</v>
      </c>
      <c r="AC940" s="143"/>
      <c r="AD940" s="143"/>
      <c r="AE940" s="143"/>
      <c r="AF940" s="143"/>
      <c r="AG940" s="143"/>
      <c r="AH940" s="143"/>
      <c r="AI940" s="143"/>
      <c r="AJ940" s="143"/>
      <c r="AK940" s="143"/>
      <c r="AL940" s="143"/>
      <c r="AM940" s="143"/>
    </row>
    <row r="941" s="140" customFormat="1" ht="15" spans="1:39">
      <c r="A941" s="143">
        <v>939</v>
      </c>
      <c r="B941" s="144">
        <v>45870</v>
      </c>
      <c r="C941" s="143" t="s">
        <v>40</v>
      </c>
      <c r="D941" s="143" t="s">
        <v>2338</v>
      </c>
      <c r="E941" s="145"/>
      <c r="F941" s="143" t="s">
        <v>3021</v>
      </c>
      <c r="G941" s="143"/>
      <c r="H941" s="152" t="s">
        <v>3058</v>
      </c>
      <c r="I941" s="143" t="s">
        <v>281</v>
      </c>
      <c r="J941" s="143" t="s">
        <v>282</v>
      </c>
      <c r="K941" s="143">
        <v>147</v>
      </c>
      <c r="L941" s="143">
        <v>400</v>
      </c>
      <c r="M941" s="143"/>
      <c r="N941" s="143"/>
      <c r="O941" s="143"/>
      <c r="P941" s="143"/>
      <c r="Q941" s="143"/>
      <c r="R941" s="143"/>
      <c r="S941" s="146"/>
      <c r="T941" s="146"/>
      <c r="U941" s="146"/>
      <c r="V941" s="147"/>
      <c r="W941" s="143" t="s">
        <v>3055</v>
      </c>
      <c r="X941" s="143" t="s">
        <v>3059</v>
      </c>
      <c r="Y941" s="143" t="s">
        <v>3055</v>
      </c>
      <c r="Z941" s="143" t="s">
        <v>3059</v>
      </c>
      <c r="AA941" s="143"/>
      <c r="AB941" s="170"/>
      <c r="AC941" s="143"/>
      <c r="AD941" s="143"/>
      <c r="AE941" s="143"/>
      <c r="AF941" s="143"/>
      <c r="AG941" s="143"/>
      <c r="AH941" s="143"/>
      <c r="AI941" s="143"/>
      <c r="AJ941" s="143"/>
      <c r="AK941" s="143"/>
      <c r="AL941" s="143"/>
      <c r="AM941" s="143"/>
    </row>
    <row r="942" s="140" customFormat="1" ht="15" spans="1:39">
      <c r="A942" s="143">
        <v>940</v>
      </c>
      <c r="B942" s="144">
        <v>45870</v>
      </c>
      <c r="C942" s="143" t="s">
        <v>40</v>
      </c>
      <c r="D942" s="143" t="s">
        <v>2338</v>
      </c>
      <c r="E942" s="145"/>
      <c r="F942" s="143" t="s">
        <v>3021</v>
      </c>
      <c r="G942" s="143"/>
      <c r="H942" s="152" t="s">
        <v>3060</v>
      </c>
      <c r="I942" s="143" t="s">
        <v>3040</v>
      </c>
      <c r="J942" s="143" t="s">
        <v>282</v>
      </c>
      <c r="K942" s="143">
        <v>137</v>
      </c>
      <c r="L942" s="143">
        <v>207</v>
      </c>
      <c r="M942" s="143"/>
      <c r="N942" s="143"/>
      <c r="O942" s="143"/>
      <c r="P942" s="143"/>
      <c r="Q942" s="143" t="s">
        <v>3061</v>
      </c>
      <c r="R942" s="143"/>
      <c r="S942" s="146"/>
      <c r="T942" s="146"/>
      <c r="U942" s="146"/>
      <c r="V942" s="147"/>
      <c r="W942" s="143" t="s">
        <v>3055</v>
      </c>
      <c r="X942" s="143" t="s">
        <v>3062</v>
      </c>
      <c r="Y942" s="143" t="s">
        <v>3055</v>
      </c>
      <c r="Z942" s="143" t="s">
        <v>3062</v>
      </c>
      <c r="AA942" s="143"/>
      <c r="AB942" s="170"/>
      <c r="AC942" s="143"/>
      <c r="AD942" s="143"/>
      <c r="AE942" s="143"/>
      <c r="AF942" s="143"/>
      <c r="AG942" s="143"/>
      <c r="AH942" s="143"/>
      <c r="AI942" s="143"/>
      <c r="AJ942" s="143"/>
      <c r="AK942" s="143"/>
      <c r="AL942" s="143"/>
      <c r="AM942" s="143"/>
    </row>
    <row r="943" s="140" customFormat="1" ht="15" spans="1:39">
      <c r="A943" s="143">
        <v>941</v>
      </c>
      <c r="B943" s="144">
        <v>45870</v>
      </c>
      <c r="C943" s="143" t="s">
        <v>40</v>
      </c>
      <c r="D943" s="143" t="s">
        <v>2338</v>
      </c>
      <c r="E943" s="145"/>
      <c r="F943" s="143" t="s">
        <v>3021</v>
      </c>
      <c r="G943" s="143"/>
      <c r="H943" s="152" t="s">
        <v>3063</v>
      </c>
      <c r="I943" s="143" t="s">
        <v>281</v>
      </c>
      <c r="J943" s="143" t="s">
        <v>282</v>
      </c>
      <c r="K943" s="143">
        <v>137</v>
      </c>
      <c r="L943" s="143">
        <v>240</v>
      </c>
      <c r="M943" s="143"/>
      <c r="N943" s="143"/>
      <c r="O943" s="143"/>
      <c r="P943" s="143"/>
      <c r="Q943" s="143"/>
      <c r="R943" s="143"/>
      <c r="S943" s="146"/>
      <c r="T943" s="146"/>
      <c r="U943" s="146"/>
      <c r="V943" s="147"/>
      <c r="W943" s="143" t="s">
        <v>3055</v>
      </c>
      <c r="X943" s="143" t="s">
        <v>3064</v>
      </c>
      <c r="Y943" s="143" t="s">
        <v>3055</v>
      </c>
      <c r="Z943" s="143" t="s">
        <v>3064</v>
      </c>
      <c r="AA943" s="143"/>
      <c r="AB943" s="170"/>
      <c r="AC943" s="143"/>
      <c r="AD943" s="143"/>
      <c r="AE943" s="143"/>
      <c r="AF943" s="143"/>
      <c r="AG943" s="143"/>
      <c r="AH943" s="143"/>
      <c r="AI943" s="143"/>
      <c r="AJ943" s="143"/>
      <c r="AK943" s="143"/>
      <c r="AL943" s="143"/>
      <c r="AM943" s="143"/>
    </row>
    <row r="944" s="140" customFormat="1" ht="15" spans="1:39">
      <c r="A944" s="143">
        <v>942</v>
      </c>
      <c r="B944" s="144">
        <v>45870</v>
      </c>
      <c r="C944" s="143" t="s">
        <v>40</v>
      </c>
      <c r="D944" s="143" t="s">
        <v>2338</v>
      </c>
      <c r="E944" s="145"/>
      <c r="F944" s="143" t="s">
        <v>3021</v>
      </c>
      <c r="G944" s="143"/>
      <c r="H944" s="152" t="s">
        <v>3065</v>
      </c>
      <c r="I944" s="143" t="s">
        <v>3066</v>
      </c>
      <c r="J944" s="143" t="s">
        <v>282</v>
      </c>
      <c r="K944" s="143">
        <v>147</v>
      </c>
      <c r="L944" s="143">
        <v>260</v>
      </c>
      <c r="M944" s="143"/>
      <c r="N944" s="143"/>
      <c r="O944" s="143"/>
      <c r="P944" s="143"/>
      <c r="Q944" s="143"/>
      <c r="R944" s="143"/>
      <c r="S944" s="146"/>
      <c r="T944" s="146"/>
      <c r="U944" s="146"/>
      <c r="V944" s="147"/>
      <c r="W944" s="143" t="s">
        <v>3055</v>
      </c>
      <c r="X944" s="143" t="s">
        <v>3067</v>
      </c>
      <c r="Y944" s="143" t="s">
        <v>3055</v>
      </c>
      <c r="Z944" s="143" t="s">
        <v>3067</v>
      </c>
      <c r="AA944" s="143">
        <v>19</v>
      </c>
      <c r="AB944" s="184" t="s">
        <v>3057</v>
      </c>
      <c r="AC944" s="143"/>
      <c r="AD944" s="143"/>
      <c r="AE944" s="143"/>
      <c r="AF944" s="143"/>
      <c r="AG944" s="143"/>
      <c r="AH944" s="143"/>
      <c r="AI944" s="143"/>
      <c r="AJ944" s="143"/>
      <c r="AK944" s="143"/>
      <c r="AL944" s="143"/>
      <c r="AM944" s="143"/>
    </row>
    <row r="945" s="140" customFormat="1" ht="15" spans="1:39">
      <c r="A945" s="143">
        <v>943</v>
      </c>
      <c r="B945" s="144">
        <v>45870</v>
      </c>
      <c r="C945" s="143" t="s">
        <v>40</v>
      </c>
      <c r="D945" s="143" t="s">
        <v>2338</v>
      </c>
      <c r="E945" s="145"/>
      <c r="F945" s="143" t="s">
        <v>3021</v>
      </c>
      <c r="G945" s="143"/>
      <c r="H945" s="152" t="s">
        <v>3068</v>
      </c>
      <c r="I945" s="143" t="s">
        <v>281</v>
      </c>
      <c r="J945" s="143" t="s">
        <v>282</v>
      </c>
      <c r="K945" s="143">
        <v>147</v>
      </c>
      <c r="L945" s="143">
        <v>83</v>
      </c>
      <c r="M945" s="143"/>
      <c r="N945" s="143"/>
      <c r="O945" s="143"/>
      <c r="P945" s="143"/>
      <c r="Q945" s="143"/>
      <c r="R945" s="143"/>
      <c r="S945" s="146"/>
      <c r="T945" s="146"/>
      <c r="U945" s="146"/>
      <c r="V945" s="147"/>
      <c r="W945" s="143" t="s">
        <v>3055</v>
      </c>
      <c r="X945" s="143" t="s">
        <v>3069</v>
      </c>
      <c r="Y945" s="143" t="s">
        <v>3055</v>
      </c>
      <c r="Z945" s="143" t="s">
        <v>3069</v>
      </c>
      <c r="AA945" s="143"/>
      <c r="AB945" s="170"/>
      <c r="AC945" s="143"/>
      <c r="AD945" s="143"/>
      <c r="AE945" s="143"/>
      <c r="AF945" s="143"/>
      <c r="AG945" s="143"/>
      <c r="AH945" s="143"/>
      <c r="AI945" s="143"/>
      <c r="AJ945" s="143"/>
      <c r="AK945" s="143"/>
      <c r="AL945" s="143"/>
      <c r="AM945" s="143"/>
    </row>
    <row r="946" s="140" customFormat="1" ht="63" spans="1:39">
      <c r="A946" s="143">
        <v>944</v>
      </c>
      <c r="B946" s="144">
        <v>45870</v>
      </c>
      <c r="C946" s="143" t="s">
        <v>40</v>
      </c>
      <c r="D946" s="143" t="s">
        <v>2338</v>
      </c>
      <c r="E946" s="145"/>
      <c r="F946" s="143" t="s">
        <v>3021</v>
      </c>
      <c r="G946" s="143"/>
      <c r="H946" s="152" t="s">
        <v>3070</v>
      </c>
      <c r="I946" s="143" t="s">
        <v>3071</v>
      </c>
      <c r="J946" s="143"/>
      <c r="K946" s="143"/>
      <c r="L946" s="143"/>
      <c r="M946" s="143"/>
      <c r="N946" s="143"/>
      <c r="O946" s="143"/>
      <c r="P946" s="143"/>
      <c r="Q946" s="152"/>
      <c r="R946" s="143"/>
      <c r="S946" s="146"/>
      <c r="T946" s="146"/>
      <c r="U946" s="146"/>
      <c r="V946" s="147"/>
      <c r="W946" s="143" t="s">
        <v>3055</v>
      </c>
      <c r="X946" s="143" t="s">
        <v>3071</v>
      </c>
      <c r="Y946" s="143" t="s">
        <v>3055</v>
      </c>
      <c r="Z946" s="143" t="s">
        <v>3071</v>
      </c>
      <c r="AA946" s="143"/>
      <c r="AB946" s="152" t="s">
        <v>3072</v>
      </c>
      <c r="AC946" s="143"/>
      <c r="AD946" s="143"/>
      <c r="AE946" s="143"/>
      <c r="AF946" s="143"/>
      <c r="AG946" s="143"/>
      <c r="AH946" s="143"/>
      <c r="AI946" s="143"/>
      <c r="AJ946" s="143"/>
      <c r="AK946" s="143"/>
      <c r="AL946" s="143"/>
      <c r="AM946" s="143"/>
    </row>
    <row r="947" s="140" customFormat="1" ht="15" spans="1:39">
      <c r="A947" s="143">
        <v>945</v>
      </c>
      <c r="B947" s="144">
        <v>45870</v>
      </c>
      <c r="C947" s="143" t="s">
        <v>40</v>
      </c>
      <c r="D947" s="143" t="s">
        <v>2338</v>
      </c>
      <c r="E947" s="145"/>
      <c r="F947" s="143" t="s">
        <v>3021</v>
      </c>
      <c r="G947" s="143"/>
      <c r="H947" s="152" t="s">
        <v>3073</v>
      </c>
      <c r="I947" s="143" t="s">
        <v>3074</v>
      </c>
      <c r="J947" s="143" t="s">
        <v>779</v>
      </c>
      <c r="K947" s="143">
        <v>145</v>
      </c>
      <c r="L947" s="143">
        <v>410</v>
      </c>
      <c r="M947" s="143"/>
      <c r="N947" s="143"/>
      <c r="O947" s="143"/>
      <c r="P947" s="143"/>
      <c r="Q947" s="143" t="s">
        <v>3075</v>
      </c>
      <c r="R947" s="143"/>
      <c r="S947" s="146"/>
      <c r="T947" s="146"/>
      <c r="U947" s="146"/>
      <c r="V947" s="147"/>
      <c r="W947" s="143" t="s">
        <v>3055</v>
      </c>
      <c r="X947" s="143" t="s">
        <v>3076</v>
      </c>
      <c r="Y947" s="143" t="s">
        <v>3055</v>
      </c>
      <c r="Z947" s="143" t="s">
        <v>3076</v>
      </c>
      <c r="AA947" s="143"/>
      <c r="AB947" s="170"/>
      <c r="AC947" s="143"/>
      <c r="AD947" s="143"/>
      <c r="AE947" s="143"/>
      <c r="AF947" s="143"/>
      <c r="AG947" s="143"/>
      <c r="AH947" s="143"/>
      <c r="AI947" s="143"/>
      <c r="AJ947" s="143"/>
      <c r="AK947" s="143"/>
      <c r="AL947" s="143"/>
      <c r="AM947" s="143"/>
    </row>
    <row r="948" s="140" customFormat="1" ht="15" spans="1:39">
      <c r="A948" s="143">
        <v>946</v>
      </c>
      <c r="B948" s="144">
        <v>45870</v>
      </c>
      <c r="C948" s="143" t="s">
        <v>40</v>
      </c>
      <c r="D948" s="143" t="s">
        <v>2338</v>
      </c>
      <c r="E948" s="145"/>
      <c r="F948" s="143" t="s">
        <v>3021</v>
      </c>
      <c r="G948" s="143"/>
      <c r="H948" s="152" t="s">
        <v>3077</v>
      </c>
      <c r="I948" s="143" t="s">
        <v>324</v>
      </c>
      <c r="J948" s="143" t="s">
        <v>779</v>
      </c>
      <c r="K948" s="143">
        <v>147</v>
      </c>
      <c r="L948" s="143">
        <v>235</v>
      </c>
      <c r="M948" s="143"/>
      <c r="N948" s="143"/>
      <c r="O948" s="143"/>
      <c r="P948" s="143"/>
      <c r="Q948" s="143"/>
      <c r="R948" s="143"/>
      <c r="S948" s="146"/>
      <c r="T948" s="146"/>
      <c r="U948" s="146"/>
      <c r="V948" s="147"/>
      <c r="W948" s="143" t="s">
        <v>3055</v>
      </c>
      <c r="X948" s="143" t="s">
        <v>3078</v>
      </c>
      <c r="Y948" s="143" t="s">
        <v>3055</v>
      </c>
      <c r="Z948" s="143" t="s">
        <v>3078</v>
      </c>
      <c r="AA948" s="143">
        <v>9.5</v>
      </c>
      <c r="AB948" s="184" t="s">
        <v>3057</v>
      </c>
      <c r="AC948" s="143"/>
      <c r="AD948" s="143"/>
      <c r="AE948" s="143"/>
      <c r="AF948" s="143"/>
      <c r="AG948" s="143"/>
      <c r="AH948" s="143"/>
      <c r="AI948" s="143"/>
      <c r="AJ948" s="143"/>
      <c r="AK948" s="143"/>
      <c r="AL948" s="143"/>
      <c r="AM948" s="143"/>
    </row>
    <row r="949" s="140" customFormat="1" ht="15" spans="1:39">
      <c r="A949" s="143">
        <v>947</v>
      </c>
      <c r="B949" s="144">
        <v>45870</v>
      </c>
      <c r="C949" s="143" t="s">
        <v>40</v>
      </c>
      <c r="D949" s="143" t="s">
        <v>2338</v>
      </c>
      <c r="E949" s="145"/>
      <c r="F949" s="143" t="s">
        <v>3021</v>
      </c>
      <c r="G949" s="143"/>
      <c r="H949" s="152" t="s">
        <v>3079</v>
      </c>
      <c r="I949" s="143" t="s">
        <v>281</v>
      </c>
      <c r="J949" s="143" t="s">
        <v>282</v>
      </c>
      <c r="K949" s="143">
        <v>147</v>
      </c>
      <c r="L949" s="143">
        <v>360</v>
      </c>
      <c r="M949" s="143"/>
      <c r="N949" s="143"/>
      <c r="O949" s="143"/>
      <c r="P949" s="143"/>
      <c r="Q949" s="143"/>
      <c r="R949" s="143"/>
      <c r="S949" s="146"/>
      <c r="T949" s="146"/>
      <c r="U949" s="146"/>
      <c r="V949" s="147"/>
      <c r="W949" s="143" t="s">
        <v>3055</v>
      </c>
      <c r="X949" s="143" t="s">
        <v>3080</v>
      </c>
      <c r="Y949" s="143" t="s">
        <v>3055</v>
      </c>
      <c r="Z949" s="143" t="s">
        <v>3080</v>
      </c>
      <c r="AA949" s="143">
        <v>24</v>
      </c>
      <c r="AB949" s="184" t="s">
        <v>3057</v>
      </c>
      <c r="AC949" s="143"/>
      <c r="AD949" s="143"/>
      <c r="AE949" s="143"/>
      <c r="AF949" s="143"/>
      <c r="AG949" s="143"/>
      <c r="AH949" s="143"/>
      <c r="AI949" s="143"/>
      <c r="AJ949" s="143"/>
      <c r="AK949" s="143"/>
      <c r="AL949" s="143"/>
      <c r="AM949" s="143"/>
    </row>
    <row r="950" s="140" customFormat="1" ht="15" spans="1:39">
      <c r="A950" s="143">
        <v>948</v>
      </c>
      <c r="B950" s="144">
        <v>45870</v>
      </c>
      <c r="C950" s="143" t="s">
        <v>40</v>
      </c>
      <c r="D950" s="143" t="s">
        <v>2338</v>
      </c>
      <c r="E950" s="145"/>
      <c r="F950" s="143" t="s">
        <v>3021</v>
      </c>
      <c r="G950" s="143"/>
      <c r="H950" s="152" t="s">
        <v>3081</v>
      </c>
      <c r="I950" s="143" t="s">
        <v>324</v>
      </c>
      <c r="J950" s="143" t="s">
        <v>779</v>
      </c>
      <c r="K950" s="143">
        <v>147</v>
      </c>
      <c r="L950" s="143">
        <v>270</v>
      </c>
      <c r="M950" s="143"/>
      <c r="N950" s="143"/>
      <c r="O950" s="143"/>
      <c r="P950" s="143"/>
      <c r="Q950" s="143"/>
      <c r="R950" s="143"/>
      <c r="S950" s="146"/>
      <c r="T950" s="146"/>
      <c r="U950" s="146"/>
      <c r="V950" s="147"/>
      <c r="W950" s="143" t="s">
        <v>3055</v>
      </c>
      <c r="X950" s="143" t="s">
        <v>3082</v>
      </c>
      <c r="Y950" s="143" t="s">
        <v>3055</v>
      </c>
      <c r="Z950" s="143" t="s">
        <v>3082</v>
      </c>
      <c r="AA950" s="143"/>
      <c r="AB950" s="170"/>
      <c r="AC950" s="143"/>
      <c r="AD950" s="143"/>
      <c r="AE950" s="143"/>
      <c r="AF950" s="143"/>
      <c r="AG950" s="143"/>
      <c r="AH950" s="143"/>
      <c r="AI950" s="143"/>
      <c r="AJ950" s="143"/>
      <c r="AK950" s="143"/>
      <c r="AL950" s="143"/>
      <c r="AM950" s="143"/>
    </row>
    <row r="951" s="140" customFormat="1" ht="15" spans="1:39">
      <c r="A951" s="143">
        <v>949</v>
      </c>
      <c r="B951" s="144">
        <v>45870</v>
      </c>
      <c r="C951" s="143" t="s">
        <v>40</v>
      </c>
      <c r="D951" s="143" t="s">
        <v>2338</v>
      </c>
      <c r="E951" s="145"/>
      <c r="F951" s="143" t="s">
        <v>3021</v>
      </c>
      <c r="G951" s="143"/>
      <c r="H951" s="152" t="s">
        <v>3083</v>
      </c>
      <c r="I951" s="143" t="s">
        <v>281</v>
      </c>
      <c r="J951" s="143" t="s">
        <v>282</v>
      </c>
      <c r="K951" s="143">
        <v>147</v>
      </c>
      <c r="L951" s="143">
        <v>275</v>
      </c>
      <c r="M951" s="143"/>
      <c r="N951" s="143"/>
      <c r="O951" s="143"/>
      <c r="P951" s="143"/>
      <c r="Q951" s="143"/>
      <c r="R951" s="143"/>
      <c r="S951" s="146"/>
      <c r="T951" s="146"/>
      <c r="U951" s="146"/>
      <c r="V951" s="147"/>
      <c r="W951" s="143" t="s">
        <v>3055</v>
      </c>
      <c r="X951" s="143" t="s">
        <v>3084</v>
      </c>
      <c r="Y951" s="143" t="s">
        <v>3055</v>
      </c>
      <c r="Z951" s="143" t="s">
        <v>3084</v>
      </c>
      <c r="AA951" s="143">
        <v>12</v>
      </c>
      <c r="AB951" s="184" t="s">
        <v>3057</v>
      </c>
      <c r="AC951" s="143"/>
      <c r="AD951" s="143"/>
      <c r="AE951" s="143"/>
      <c r="AF951" s="143"/>
      <c r="AG951" s="143"/>
      <c r="AH951" s="143"/>
      <c r="AI951" s="143"/>
      <c r="AJ951" s="143"/>
      <c r="AK951" s="143"/>
      <c r="AL951" s="143"/>
      <c r="AM951" s="143"/>
    </row>
    <row r="952" s="140" customFormat="1" ht="15" spans="1:39">
      <c r="A952" s="143">
        <v>950</v>
      </c>
      <c r="B952" s="144">
        <v>45870</v>
      </c>
      <c r="C952" s="143" t="s">
        <v>40</v>
      </c>
      <c r="D952" s="143" t="s">
        <v>2338</v>
      </c>
      <c r="E952" s="145"/>
      <c r="F952" s="143" t="s">
        <v>3021</v>
      </c>
      <c r="G952" s="143"/>
      <c r="H952" s="152" t="s">
        <v>3085</v>
      </c>
      <c r="I952" s="143" t="s">
        <v>324</v>
      </c>
      <c r="J952" s="143" t="s">
        <v>779</v>
      </c>
      <c r="K952" s="143">
        <v>147</v>
      </c>
      <c r="L952" s="143">
        <v>260</v>
      </c>
      <c r="M952" s="143"/>
      <c r="N952" s="143"/>
      <c r="O952" s="143"/>
      <c r="P952" s="143"/>
      <c r="Q952" s="143"/>
      <c r="R952" s="143"/>
      <c r="S952" s="146"/>
      <c r="T952" s="146"/>
      <c r="U952" s="146"/>
      <c r="V952" s="147"/>
      <c r="W952" s="143" t="s">
        <v>3055</v>
      </c>
      <c r="X952" s="143" t="s">
        <v>3086</v>
      </c>
      <c r="Y952" s="143" t="s">
        <v>3055</v>
      </c>
      <c r="Z952" s="143" t="s">
        <v>3086</v>
      </c>
      <c r="AA952" s="143">
        <v>18</v>
      </c>
      <c r="AB952" s="184" t="s">
        <v>3057</v>
      </c>
      <c r="AC952" s="143"/>
      <c r="AD952" s="143"/>
      <c r="AE952" s="143"/>
      <c r="AF952" s="143"/>
      <c r="AG952" s="143"/>
      <c r="AH952" s="143"/>
      <c r="AI952" s="143"/>
      <c r="AJ952" s="143"/>
      <c r="AK952" s="143"/>
      <c r="AL952" s="143"/>
      <c r="AM952" s="143"/>
    </row>
    <row r="953" s="140" customFormat="1" ht="15" spans="1:39">
      <c r="A953" s="143">
        <v>951</v>
      </c>
      <c r="B953" s="144">
        <v>45870</v>
      </c>
      <c r="C953" s="143" t="s">
        <v>40</v>
      </c>
      <c r="D953" s="143" t="s">
        <v>2338</v>
      </c>
      <c r="E953" s="145"/>
      <c r="F953" s="143" t="s">
        <v>3021</v>
      </c>
      <c r="G953" s="143"/>
      <c r="H953" s="152" t="s">
        <v>3087</v>
      </c>
      <c r="I953" s="143" t="s">
        <v>324</v>
      </c>
      <c r="J953" s="143" t="s">
        <v>779</v>
      </c>
      <c r="K953" s="143">
        <v>147</v>
      </c>
      <c r="L953" s="143">
        <v>170</v>
      </c>
      <c r="M953" s="143"/>
      <c r="N953" s="143"/>
      <c r="O953" s="143"/>
      <c r="P953" s="143"/>
      <c r="Q953" s="143"/>
      <c r="R953" s="143"/>
      <c r="S953" s="146"/>
      <c r="T953" s="146"/>
      <c r="U953" s="146"/>
      <c r="V953" s="147"/>
      <c r="W953" s="143" t="s">
        <v>3055</v>
      </c>
      <c r="X953" s="143" t="s">
        <v>3088</v>
      </c>
      <c r="Y953" s="143" t="s">
        <v>3055</v>
      </c>
      <c r="Z953" s="143" t="s">
        <v>3088</v>
      </c>
      <c r="AA953" s="143"/>
      <c r="AB953" s="170"/>
      <c r="AC953" s="143"/>
      <c r="AD953" s="143"/>
      <c r="AE953" s="143"/>
      <c r="AF953" s="143"/>
      <c r="AG953" s="143"/>
      <c r="AH953" s="143"/>
      <c r="AI953" s="143"/>
      <c r="AJ953" s="143"/>
      <c r="AK953" s="143"/>
      <c r="AL953" s="143"/>
      <c r="AM953" s="143"/>
    </row>
    <row r="954" s="140" customFormat="1" ht="15" spans="1:39">
      <c r="A954" s="143">
        <v>952</v>
      </c>
      <c r="B954" s="144">
        <v>45870</v>
      </c>
      <c r="C954" s="143" t="s">
        <v>40</v>
      </c>
      <c r="D954" s="143" t="s">
        <v>2338</v>
      </c>
      <c r="E954" s="145"/>
      <c r="F954" s="143" t="s">
        <v>3021</v>
      </c>
      <c r="G954" s="143"/>
      <c r="H954" s="152" t="s">
        <v>3089</v>
      </c>
      <c r="I954" s="143" t="s">
        <v>324</v>
      </c>
      <c r="J954" s="143" t="s">
        <v>779</v>
      </c>
      <c r="K954" s="143">
        <v>147</v>
      </c>
      <c r="L954" s="143">
        <v>325</v>
      </c>
      <c r="M954" s="143"/>
      <c r="N954" s="143"/>
      <c r="O954" s="143"/>
      <c r="P954" s="143"/>
      <c r="Q954" s="143"/>
      <c r="R954" s="143"/>
      <c r="S954" s="146"/>
      <c r="T954" s="146"/>
      <c r="U954" s="146"/>
      <c r="V954" s="147"/>
      <c r="W954" s="143" t="s">
        <v>3055</v>
      </c>
      <c r="X954" s="143" t="s">
        <v>3090</v>
      </c>
      <c r="Y954" s="143" t="s">
        <v>3055</v>
      </c>
      <c r="Z954" s="143" t="s">
        <v>3090</v>
      </c>
      <c r="AA954" s="143"/>
      <c r="AB954" s="170"/>
      <c r="AC954" s="143"/>
      <c r="AD954" s="143"/>
      <c r="AE954" s="143"/>
      <c r="AF954" s="143"/>
      <c r="AG954" s="143"/>
      <c r="AH954" s="143"/>
      <c r="AI954" s="143"/>
      <c r="AJ954" s="143"/>
      <c r="AK954" s="143"/>
      <c r="AL954" s="143"/>
      <c r="AM954" s="143"/>
    </row>
    <row r="955" s="140" customFormat="1" ht="15" spans="1:39">
      <c r="A955" s="143">
        <v>953</v>
      </c>
      <c r="B955" s="144">
        <v>45870</v>
      </c>
      <c r="C955" s="143" t="s">
        <v>40</v>
      </c>
      <c r="D955" s="143" t="s">
        <v>2338</v>
      </c>
      <c r="E955" s="145"/>
      <c r="F955" s="143" t="s">
        <v>3021</v>
      </c>
      <c r="G955" s="143"/>
      <c r="H955" s="152" t="s">
        <v>3091</v>
      </c>
      <c r="I955" s="143" t="s">
        <v>324</v>
      </c>
      <c r="J955" s="143" t="s">
        <v>779</v>
      </c>
      <c r="K955" s="143">
        <v>147</v>
      </c>
      <c r="L955" s="143">
        <v>240</v>
      </c>
      <c r="M955" s="143"/>
      <c r="N955" s="143"/>
      <c r="O955" s="143"/>
      <c r="P955" s="143"/>
      <c r="Q955" s="143"/>
      <c r="R955" s="143"/>
      <c r="S955" s="146"/>
      <c r="T955" s="146"/>
      <c r="U955" s="146"/>
      <c r="V955" s="147"/>
      <c r="W955" s="143" t="s">
        <v>3055</v>
      </c>
      <c r="X955" s="143" t="s">
        <v>3092</v>
      </c>
      <c r="Y955" s="143" t="s">
        <v>3055</v>
      </c>
      <c r="Z955" s="143" t="s">
        <v>3092</v>
      </c>
      <c r="AA955" s="143">
        <v>10.5</v>
      </c>
      <c r="AB955" s="184" t="s">
        <v>3057</v>
      </c>
      <c r="AC955" s="143"/>
      <c r="AD955" s="143"/>
      <c r="AE955" s="143"/>
      <c r="AF955" s="143"/>
      <c r="AG955" s="143"/>
      <c r="AH955" s="143"/>
      <c r="AI955" s="143"/>
      <c r="AJ955" s="143"/>
      <c r="AK955" s="143"/>
      <c r="AL955" s="143"/>
      <c r="AM955" s="143"/>
    </row>
    <row r="956" s="140" customFormat="1" ht="15" spans="1:39">
      <c r="A956" s="143">
        <v>954</v>
      </c>
      <c r="B956" s="144">
        <v>45870</v>
      </c>
      <c r="C956" s="143" t="s">
        <v>40</v>
      </c>
      <c r="D956" s="143" t="s">
        <v>2338</v>
      </c>
      <c r="E956" s="145"/>
      <c r="F956" s="143" t="s">
        <v>3021</v>
      </c>
      <c r="G956" s="143"/>
      <c r="H956" s="152" t="s">
        <v>3093</v>
      </c>
      <c r="I956" s="143" t="s">
        <v>281</v>
      </c>
      <c r="J956" s="143" t="s">
        <v>282</v>
      </c>
      <c r="K956" s="143">
        <v>137</v>
      </c>
      <c r="L956" s="143">
        <v>315</v>
      </c>
      <c r="M956" s="143"/>
      <c r="N956" s="143"/>
      <c r="O956" s="143"/>
      <c r="P956" s="143"/>
      <c r="Q956" s="143" t="s">
        <v>3094</v>
      </c>
      <c r="R956" s="143"/>
      <c r="S956" s="146"/>
      <c r="T956" s="146"/>
      <c r="U956" s="146"/>
      <c r="V956" s="147"/>
      <c r="W956" s="143" t="s">
        <v>3055</v>
      </c>
      <c r="X956" s="143" t="s">
        <v>3095</v>
      </c>
      <c r="Y956" s="143" t="s">
        <v>3055</v>
      </c>
      <c r="Z956" s="143" t="s">
        <v>3095</v>
      </c>
      <c r="AA956" s="143"/>
      <c r="AB956" s="170"/>
      <c r="AC956" s="143"/>
      <c r="AD956" s="143"/>
      <c r="AE956" s="143"/>
      <c r="AF956" s="143"/>
      <c r="AG956" s="143"/>
      <c r="AH956" s="143"/>
      <c r="AI956" s="143"/>
      <c r="AJ956" s="143"/>
      <c r="AK956" s="143"/>
      <c r="AL956" s="143"/>
      <c r="AM956" s="143"/>
    </row>
    <row r="957" s="140" customFormat="1" ht="15" spans="1:39">
      <c r="A957" s="143">
        <v>955</v>
      </c>
      <c r="B957" s="144">
        <v>45870</v>
      </c>
      <c r="C957" s="143" t="s">
        <v>40</v>
      </c>
      <c r="D957" s="143" t="s">
        <v>2338</v>
      </c>
      <c r="E957" s="145"/>
      <c r="F957" s="143" t="s">
        <v>3021</v>
      </c>
      <c r="G957" s="143"/>
      <c r="H957" s="152" t="s">
        <v>3096</v>
      </c>
      <c r="I957" s="143" t="s">
        <v>281</v>
      </c>
      <c r="J957" s="143" t="s">
        <v>282</v>
      </c>
      <c r="K957" s="143">
        <v>147</v>
      </c>
      <c r="L957" s="143">
        <v>115</v>
      </c>
      <c r="M957" s="143"/>
      <c r="N957" s="143"/>
      <c r="O957" s="143"/>
      <c r="P957" s="143"/>
      <c r="Q957" s="143"/>
      <c r="R957" s="143"/>
      <c r="S957" s="146"/>
      <c r="T957" s="146"/>
      <c r="U957" s="146"/>
      <c r="V957" s="147"/>
      <c r="W957" s="143" t="s">
        <v>3055</v>
      </c>
      <c r="X957" s="143" t="s">
        <v>3097</v>
      </c>
      <c r="Y957" s="143" t="s">
        <v>3055</v>
      </c>
      <c r="Z957" s="143" t="s">
        <v>3097</v>
      </c>
      <c r="AA957" s="143"/>
      <c r="AB957" s="170"/>
      <c r="AC957" s="143"/>
      <c r="AD957" s="143"/>
      <c r="AE957" s="143"/>
      <c r="AF957" s="143"/>
      <c r="AG957" s="143"/>
      <c r="AH957" s="143"/>
      <c r="AI957" s="143"/>
      <c r="AJ957" s="143"/>
      <c r="AK957" s="143"/>
      <c r="AL957" s="143"/>
      <c r="AM957" s="143"/>
    </row>
    <row r="958" s="140" customFormat="1" ht="15" spans="1:39">
      <c r="A958" s="143">
        <v>956</v>
      </c>
      <c r="B958" s="144">
        <v>45870</v>
      </c>
      <c r="C958" s="143" t="s">
        <v>40</v>
      </c>
      <c r="D958" s="143" t="s">
        <v>2338</v>
      </c>
      <c r="E958" s="145"/>
      <c r="F958" s="143" t="s">
        <v>3021</v>
      </c>
      <c r="G958" s="143"/>
      <c r="H958" s="152" t="s">
        <v>3098</v>
      </c>
      <c r="I958" s="143" t="s">
        <v>281</v>
      </c>
      <c r="J958" s="143" t="s">
        <v>282</v>
      </c>
      <c r="K958" s="143">
        <v>147</v>
      </c>
      <c r="L958" s="143">
        <v>115</v>
      </c>
      <c r="M958" s="143"/>
      <c r="N958" s="143"/>
      <c r="O958" s="143"/>
      <c r="P958" s="143"/>
      <c r="Q958" s="143"/>
      <c r="R958" s="143"/>
      <c r="S958" s="146"/>
      <c r="T958" s="146"/>
      <c r="U958" s="146"/>
      <c r="V958" s="147"/>
      <c r="W958" s="143" t="s">
        <v>3055</v>
      </c>
      <c r="X958" s="143" t="s">
        <v>3099</v>
      </c>
      <c r="Y958" s="143" t="s">
        <v>3055</v>
      </c>
      <c r="Z958" s="143" t="s">
        <v>3099</v>
      </c>
      <c r="AA958" s="143"/>
      <c r="AB958" s="170"/>
      <c r="AC958" s="143"/>
      <c r="AD958" s="143"/>
      <c r="AE958" s="143"/>
      <c r="AF958" s="143"/>
      <c r="AG958" s="143"/>
      <c r="AH958" s="143"/>
      <c r="AI958" s="143"/>
      <c r="AJ958" s="143"/>
      <c r="AK958" s="143"/>
      <c r="AL958" s="143"/>
      <c r="AM958" s="143"/>
    </row>
    <row r="959" s="140" customFormat="1" ht="15" spans="1:39">
      <c r="A959" s="143">
        <v>957</v>
      </c>
      <c r="B959" s="144">
        <v>45871</v>
      </c>
      <c r="C959" s="143" t="s">
        <v>40</v>
      </c>
      <c r="D959" s="143" t="s">
        <v>41</v>
      </c>
      <c r="E959" s="145"/>
      <c r="F959" s="143"/>
      <c r="G959" s="143"/>
      <c r="H959" s="152" t="s">
        <v>3100</v>
      </c>
      <c r="I959" s="143" t="s">
        <v>45</v>
      </c>
      <c r="J959" s="143" t="s">
        <v>46</v>
      </c>
      <c r="K959" s="143">
        <v>145</v>
      </c>
      <c r="L959" s="143">
        <v>165</v>
      </c>
      <c r="M959" s="143"/>
      <c r="N959" s="143"/>
      <c r="O959" s="143"/>
      <c r="P959" s="143"/>
      <c r="Q959" s="143"/>
      <c r="R959" s="143"/>
      <c r="S959" s="146"/>
      <c r="T959" s="146"/>
      <c r="U959" s="146"/>
      <c r="V959" s="147"/>
      <c r="W959" s="143" t="s">
        <v>2303</v>
      </c>
      <c r="X959" s="143">
        <v>5030</v>
      </c>
      <c r="Y959" s="143" t="s">
        <v>3101</v>
      </c>
      <c r="Z959" s="143">
        <v>5030</v>
      </c>
      <c r="AA959" s="143">
        <v>14.3</v>
      </c>
      <c r="AB959" s="170">
        <v>45873</v>
      </c>
      <c r="AC959" s="143"/>
      <c r="AD959" s="143"/>
      <c r="AE959" s="143"/>
      <c r="AF959" s="143"/>
      <c r="AG959" s="143"/>
      <c r="AH959" s="143"/>
      <c r="AI959" s="143"/>
      <c r="AJ959" s="143"/>
      <c r="AK959" s="143"/>
      <c r="AL959" s="143"/>
      <c r="AM959" s="143"/>
    </row>
    <row r="960" s="140" customFormat="1" ht="15" spans="1:39">
      <c r="A960" s="143">
        <v>958</v>
      </c>
      <c r="B960" s="144">
        <v>45871</v>
      </c>
      <c r="C960" s="143" t="s">
        <v>40</v>
      </c>
      <c r="D960" s="143" t="s">
        <v>41</v>
      </c>
      <c r="E960" s="145"/>
      <c r="F960" s="143"/>
      <c r="G960" s="143"/>
      <c r="H960" s="152" t="s">
        <v>3102</v>
      </c>
      <c r="I960" s="143" t="s">
        <v>3103</v>
      </c>
      <c r="J960" s="143" t="s">
        <v>3104</v>
      </c>
      <c r="K960" s="143">
        <v>145</v>
      </c>
      <c r="L960" s="143">
        <v>148</v>
      </c>
      <c r="M960" s="143"/>
      <c r="N960" s="143"/>
      <c r="O960" s="143"/>
      <c r="P960" s="143"/>
      <c r="Q960" s="143"/>
      <c r="R960" s="143"/>
      <c r="S960" s="146"/>
      <c r="T960" s="146"/>
      <c r="U960" s="146"/>
      <c r="V960" s="147"/>
      <c r="W960" s="143" t="s">
        <v>2303</v>
      </c>
      <c r="X960" s="143">
        <v>4254</v>
      </c>
      <c r="Y960" s="143" t="s">
        <v>3101</v>
      </c>
      <c r="Z960" s="143">
        <v>4254</v>
      </c>
      <c r="AA960" s="143">
        <v>18.6</v>
      </c>
      <c r="AB960" s="170">
        <v>45873</v>
      </c>
      <c r="AC960" s="143"/>
      <c r="AD960" s="143"/>
      <c r="AE960" s="143"/>
      <c r="AF960" s="143"/>
      <c r="AG960" s="143"/>
      <c r="AH960" s="143"/>
      <c r="AI960" s="143"/>
      <c r="AJ960" s="143"/>
      <c r="AK960" s="143"/>
      <c r="AL960" s="143"/>
      <c r="AM960" s="143"/>
    </row>
    <row r="961" s="140" customFormat="1" ht="15" spans="1:39">
      <c r="A961" s="143">
        <v>959</v>
      </c>
      <c r="B961" s="144">
        <v>45871</v>
      </c>
      <c r="C961" s="143" t="s">
        <v>40</v>
      </c>
      <c r="D961" s="143" t="s">
        <v>41</v>
      </c>
      <c r="E961" s="145"/>
      <c r="F961" s="143"/>
      <c r="G961" s="143"/>
      <c r="H961" s="152" t="s">
        <v>3105</v>
      </c>
      <c r="I961" s="143" t="s">
        <v>815</v>
      </c>
      <c r="J961" s="143" t="s">
        <v>3106</v>
      </c>
      <c r="K961" s="143">
        <v>148</v>
      </c>
      <c r="L961" s="143">
        <v>130</v>
      </c>
      <c r="M961" s="143"/>
      <c r="N961" s="143"/>
      <c r="O961" s="143"/>
      <c r="P961" s="143"/>
      <c r="Q961" s="143"/>
      <c r="R961" s="143"/>
      <c r="S961" s="146"/>
      <c r="T961" s="146"/>
      <c r="U961" s="146"/>
      <c r="V961" s="147"/>
      <c r="W961" s="143" t="s">
        <v>2303</v>
      </c>
      <c r="X961" s="143" t="s">
        <v>3107</v>
      </c>
      <c r="Y961" s="143" t="s">
        <v>3108</v>
      </c>
      <c r="Z961" s="143" t="s">
        <v>3107</v>
      </c>
      <c r="AA961" s="143">
        <v>9.3</v>
      </c>
      <c r="AB961" s="170">
        <v>45873</v>
      </c>
      <c r="AC961" s="143"/>
      <c r="AD961" s="143"/>
      <c r="AE961" s="143"/>
      <c r="AF961" s="143"/>
      <c r="AG961" s="143"/>
      <c r="AH961" s="143"/>
      <c r="AI961" s="143"/>
      <c r="AJ961" s="143"/>
      <c r="AK961" s="143"/>
      <c r="AL961" s="143"/>
      <c r="AM961" s="143"/>
    </row>
    <row r="962" s="140" customFormat="1" ht="15" spans="1:39">
      <c r="A962" s="143">
        <v>960</v>
      </c>
      <c r="B962" s="144">
        <v>45871</v>
      </c>
      <c r="C962" s="143" t="s">
        <v>40</v>
      </c>
      <c r="D962" s="143" t="s">
        <v>41</v>
      </c>
      <c r="E962" s="145"/>
      <c r="F962" s="143"/>
      <c r="G962" s="143"/>
      <c r="H962" s="152" t="s">
        <v>3109</v>
      </c>
      <c r="I962" s="143" t="s">
        <v>3110</v>
      </c>
      <c r="J962" s="143" t="s">
        <v>3111</v>
      </c>
      <c r="K962" s="143">
        <v>148</v>
      </c>
      <c r="L962" s="143">
        <v>135</v>
      </c>
      <c r="M962" s="143"/>
      <c r="N962" s="143"/>
      <c r="O962" s="143"/>
      <c r="P962" s="143"/>
      <c r="Q962" s="143"/>
      <c r="R962" s="143"/>
      <c r="S962" s="146"/>
      <c r="T962" s="146"/>
      <c r="U962" s="146"/>
      <c r="V962" s="147"/>
      <c r="W962" s="143" t="s">
        <v>2303</v>
      </c>
      <c r="X962" s="143" t="s">
        <v>3112</v>
      </c>
      <c r="Y962" s="143" t="s">
        <v>3108</v>
      </c>
      <c r="Z962" s="143" t="s">
        <v>3112</v>
      </c>
      <c r="AA962" s="143">
        <v>12.3</v>
      </c>
      <c r="AB962" s="170">
        <v>45873</v>
      </c>
      <c r="AC962" s="143"/>
      <c r="AD962" s="143"/>
      <c r="AE962" s="143"/>
      <c r="AF962" s="143"/>
      <c r="AG962" s="143"/>
      <c r="AH962" s="143"/>
      <c r="AI962" s="143"/>
      <c r="AJ962" s="143"/>
      <c r="AK962" s="143"/>
      <c r="AL962" s="143"/>
      <c r="AM962" s="143"/>
    </row>
    <row r="963" s="140" customFormat="1" ht="15" spans="1:39">
      <c r="A963" s="143">
        <v>961</v>
      </c>
      <c r="B963" s="144">
        <v>45871</v>
      </c>
      <c r="C963" s="143" t="s">
        <v>40</v>
      </c>
      <c r="D963" s="143" t="s">
        <v>41</v>
      </c>
      <c r="E963" s="145"/>
      <c r="F963" s="143"/>
      <c r="G963" s="143"/>
      <c r="H963" s="152" t="s">
        <v>3113</v>
      </c>
      <c r="I963" s="143" t="s">
        <v>3110</v>
      </c>
      <c r="J963" s="143" t="s">
        <v>3111</v>
      </c>
      <c r="K963" s="143">
        <v>148</v>
      </c>
      <c r="L963" s="143">
        <v>160</v>
      </c>
      <c r="M963" s="143"/>
      <c r="N963" s="143"/>
      <c r="O963" s="143"/>
      <c r="P963" s="143"/>
      <c r="Q963" s="143"/>
      <c r="R963" s="143"/>
      <c r="S963" s="146"/>
      <c r="T963" s="146"/>
      <c r="U963" s="146"/>
      <c r="V963" s="147"/>
      <c r="W963" s="143" t="s">
        <v>2303</v>
      </c>
      <c r="X963" s="143" t="s">
        <v>3114</v>
      </c>
      <c r="Y963" s="143" t="s">
        <v>3108</v>
      </c>
      <c r="Z963" s="143" t="s">
        <v>3114</v>
      </c>
      <c r="AA963" s="143">
        <v>13.3</v>
      </c>
      <c r="AB963" s="170">
        <v>45873</v>
      </c>
      <c r="AC963" s="143"/>
      <c r="AD963" s="143"/>
      <c r="AE963" s="143"/>
      <c r="AF963" s="143"/>
      <c r="AG963" s="143"/>
      <c r="AH963" s="143"/>
      <c r="AI963" s="143"/>
      <c r="AJ963" s="143"/>
      <c r="AK963" s="143"/>
      <c r="AL963" s="143"/>
      <c r="AM963" s="143"/>
    </row>
    <row r="964" s="140" customFormat="1" ht="37.5" spans="1:39">
      <c r="A964" s="143">
        <v>962</v>
      </c>
      <c r="B964" s="144">
        <v>45866</v>
      </c>
      <c r="C964" s="143" t="s">
        <v>193</v>
      </c>
      <c r="D964" s="143" t="s">
        <v>2920</v>
      </c>
      <c r="E964" s="185" t="s">
        <v>3115</v>
      </c>
      <c r="F964" s="143" t="s">
        <v>3116</v>
      </c>
      <c r="G964" s="143"/>
      <c r="H964" s="152" t="s">
        <v>3117</v>
      </c>
      <c r="I964" s="143" t="s">
        <v>324</v>
      </c>
      <c r="J964" s="143" t="s">
        <v>330</v>
      </c>
      <c r="K964" s="143">
        <v>150</v>
      </c>
      <c r="L964" s="143">
        <v>130</v>
      </c>
      <c r="M964" s="143"/>
      <c r="N964" s="143"/>
      <c r="O964" s="143"/>
      <c r="P964" s="143"/>
      <c r="Q964" s="143"/>
      <c r="R964" s="143"/>
      <c r="S964" s="146"/>
      <c r="T964" s="146"/>
      <c r="U964" s="146"/>
      <c r="V964" s="147"/>
      <c r="W964" s="143" t="s">
        <v>49</v>
      </c>
      <c r="X964" s="143" t="s">
        <v>3116</v>
      </c>
      <c r="Y964" s="143" t="s">
        <v>433</v>
      </c>
      <c r="Z964" s="143" t="s">
        <v>3116</v>
      </c>
      <c r="AA964" s="143"/>
      <c r="AB964" s="170"/>
      <c r="AC964" s="143"/>
      <c r="AD964" s="143"/>
      <c r="AE964" s="143"/>
      <c r="AF964" s="143"/>
      <c r="AG964" s="143"/>
      <c r="AH964" s="143" t="s">
        <v>2923</v>
      </c>
      <c r="AI964" s="143"/>
      <c r="AJ964" s="143"/>
      <c r="AK964" s="143"/>
      <c r="AL964" s="143"/>
      <c r="AM964" s="143"/>
    </row>
    <row r="965" s="140" customFormat="1" ht="15" spans="1:39">
      <c r="A965" s="143">
        <v>963</v>
      </c>
      <c r="B965" s="144">
        <v>45874</v>
      </c>
      <c r="C965" s="143" t="s">
        <v>40</v>
      </c>
      <c r="D965" s="143" t="s">
        <v>2338</v>
      </c>
      <c r="E965" s="145"/>
      <c r="F965" s="143" t="s">
        <v>3021</v>
      </c>
      <c r="G965" s="143"/>
      <c r="H965" s="152" t="s">
        <v>3118</v>
      </c>
      <c r="I965" s="143" t="s">
        <v>324</v>
      </c>
      <c r="J965" s="143" t="s">
        <v>3046</v>
      </c>
      <c r="K965" s="143">
        <v>147</v>
      </c>
      <c r="L965" s="143">
        <v>230</v>
      </c>
      <c r="M965" s="143"/>
      <c r="N965" s="143"/>
      <c r="O965" s="143"/>
      <c r="P965" s="143"/>
      <c r="Q965" s="143"/>
      <c r="R965" s="143"/>
      <c r="S965" s="146"/>
      <c r="T965" s="146"/>
      <c r="U965" s="146"/>
      <c r="V965" s="147"/>
      <c r="W965" s="143" t="s">
        <v>3043</v>
      </c>
      <c r="X965" s="143" t="s">
        <v>3119</v>
      </c>
      <c r="Y965" s="143" t="s">
        <v>3043</v>
      </c>
      <c r="Z965" s="143" t="s">
        <v>3119</v>
      </c>
      <c r="AA965" s="143"/>
      <c r="AB965" s="170"/>
      <c r="AC965" s="143"/>
      <c r="AD965" s="143"/>
      <c r="AE965" s="143"/>
      <c r="AF965" s="143"/>
      <c r="AG965" s="143"/>
      <c r="AH965" s="143"/>
      <c r="AI965" s="143"/>
      <c r="AJ965" s="143"/>
      <c r="AK965" s="143"/>
      <c r="AL965" s="143"/>
      <c r="AM965" s="143"/>
    </row>
    <row r="966" s="140" customFormat="1" ht="15" spans="1:39">
      <c r="A966" s="143">
        <v>964</v>
      </c>
      <c r="B966" s="144">
        <v>45874</v>
      </c>
      <c r="C966" s="143" t="s">
        <v>40</v>
      </c>
      <c r="D966" s="143" t="s">
        <v>2338</v>
      </c>
      <c r="E966" s="145"/>
      <c r="F966" s="143" t="s">
        <v>3021</v>
      </c>
      <c r="G966" s="143"/>
      <c r="H966" s="152" t="s">
        <v>3120</v>
      </c>
      <c r="I966" s="143" t="s">
        <v>281</v>
      </c>
      <c r="J966" s="143" t="s">
        <v>282</v>
      </c>
      <c r="K966" s="143">
        <v>147</v>
      </c>
      <c r="L966" s="143">
        <v>336</v>
      </c>
      <c r="M966" s="143"/>
      <c r="N966" s="143"/>
      <c r="O966" s="143"/>
      <c r="P966" s="143"/>
      <c r="Q966" s="143"/>
      <c r="R966" s="143"/>
      <c r="S966" s="146"/>
      <c r="T966" s="146"/>
      <c r="U966" s="146"/>
      <c r="V966" s="147"/>
      <c r="W966" s="143" t="s">
        <v>3043</v>
      </c>
      <c r="X966" s="143" t="s">
        <v>3121</v>
      </c>
      <c r="Y966" s="143" t="s">
        <v>3043</v>
      </c>
      <c r="Z966" s="143" t="s">
        <v>3121</v>
      </c>
      <c r="AA966" s="143"/>
      <c r="AB966" s="170"/>
      <c r="AC966" s="143"/>
      <c r="AD966" s="143"/>
      <c r="AE966" s="143"/>
      <c r="AF966" s="143"/>
      <c r="AG966" s="143"/>
      <c r="AH966" s="143"/>
      <c r="AI966" s="143"/>
      <c r="AJ966" s="143"/>
      <c r="AK966" s="143"/>
      <c r="AL966" s="143"/>
      <c r="AM966" s="143"/>
    </row>
    <row r="967" s="140" customFormat="1" ht="15" spans="1:39">
      <c r="A967" s="143">
        <v>965</v>
      </c>
      <c r="B967" s="144">
        <v>45874</v>
      </c>
      <c r="C967" s="143" t="s">
        <v>40</v>
      </c>
      <c r="D967" s="143" t="s">
        <v>2338</v>
      </c>
      <c r="E967" s="145"/>
      <c r="F967" s="143" t="s">
        <v>3021</v>
      </c>
      <c r="G967" s="143"/>
      <c r="H967" s="152" t="s">
        <v>3122</v>
      </c>
      <c r="I967" s="143" t="s">
        <v>324</v>
      </c>
      <c r="J967" s="143" t="s">
        <v>3046</v>
      </c>
      <c r="K967" s="143">
        <v>147</v>
      </c>
      <c r="L967" s="143">
        <v>268</v>
      </c>
      <c r="M967" s="143"/>
      <c r="N967" s="143"/>
      <c r="O967" s="143"/>
      <c r="P967" s="143"/>
      <c r="Q967" s="143"/>
      <c r="R967" s="143"/>
      <c r="S967" s="146"/>
      <c r="T967" s="146"/>
      <c r="U967" s="146"/>
      <c r="V967" s="147"/>
      <c r="W967" s="143" t="s">
        <v>3043</v>
      </c>
      <c r="X967" s="143" t="s">
        <v>3123</v>
      </c>
      <c r="Y967" s="143" t="s">
        <v>3043</v>
      </c>
      <c r="Z967" s="143" t="s">
        <v>3123</v>
      </c>
      <c r="AA967" s="143"/>
      <c r="AB967" s="170"/>
      <c r="AC967" s="143"/>
      <c r="AD967" s="143"/>
      <c r="AE967" s="143"/>
      <c r="AF967" s="143"/>
      <c r="AG967" s="143"/>
      <c r="AH967" s="143"/>
      <c r="AI967" s="143"/>
      <c r="AJ967" s="143"/>
      <c r="AK967" s="143"/>
      <c r="AL967" s="143"/>
      <c r="AM967" s="143"/>
    </row>
    <row r="968" s="140" customFormat="1" ht="15" spans="1:39">
      <c r="A968" s="143">
        <v>966</v>
      </c>
      <c r="B968" s="144">
        <v>45874</v>
      </c>
      <c r="C968" s="143" t="s">
        <v>40</v>
      </c>
      <c r="D968" s="143" t="s">
        <v>2338</v>
      </c>
      <c r="E968" s="145"/>
      <c r="F968" s="143" t="s">
        <v>3021</v>
      </c>
      <c r="G968" s="143"/>
      <c r="H968" s="152" t="s">
        <v>3124</v>
      </c>
      <c r="I968" s="143" t="s">
        <v>281</v>
      </c>
      <c r="J968" s="143" t="s">
        <v>3125</v>
      </c>
      <c r="K968" s="143">
        <v>147</v>
      </c>
      <c r="L968" s="143">
        <v>235</v>
      </c>
      <c r="M968" s="143"/>
      <c r="N968" s="143"/>
      <c r="O968" s="143"/>
      <c r="P968" s="143"/>
      <c r="Q968" s="143"/>
      <c r="R968" s="143"/>
      <c r="S968" s="146"/>
      <c r="T968" s="146"/>
      <c r="U968" s="146"/>
      <c r="V968" s="147"/>
      <c r="W968" s="143" t="s">
        <v>3043</v>
      </c>
      <c r="X968" s="143" t="s">
        <v>3126</v>
      </c>
      <c r="Y968" s="143" t="s">
        <v>3043</v>
      </c>
      <c r="Z968" s="143" t="s">
        <v>3126</v>
      </c>
      <c r="AA968" s="143"/>
      <c r="AB968" s="170"/>
      <c r="AC968" s="143"/>
      <c r="AD968" s="143"/>
      <c r="AE968" s="143"/>
      <c r="AF968" s="143"/>
      <c r="AG968" s="143"/>
      <c r="AH968" s="143"/>
      <c r="AI968" s="143"/>
      <c r="AJ968" s="143"/>
      <c r="AK968" s="143"/>
      <c r="AL968" s="143"/>
      <c r="AM968" s="143"/>
    </row>
    <row r="969" s="140" customFormat="1" ht="15" spans="1:39">
      <c r="A969" s="143">
        <v>967</v>
      </c>
      <c r="B969" s="144">
        <v>45874</v>
      </c>
      <c r="C969" s="143" t="s">
        <v>40</v>
      </c>
      <c r="D969" s="143" t="s">
        <v>2338</v>
      </c>
      <c r="E969" s="145"/>
      <c r="F969" s="143" t="s">
        <v>3021</v>
      </c>
      <c r="G969" s="143"/>
      <c r="H969" s="152" t="s">
        <v>3127</v>
      </c>
      <c r="I969" s="143" t="s">
        <v>324</v>
      </c>
      <c r="J969" s="143" t="s">
        <v>3046</v>
      </c>
      <c r="K969" s="143">
        <v>147</v>
      </c>
      <c r="L969" s="143">
        <v>176</v>
      </c>
      <c r="M969" s="143"/>
      <c r="N969" s="143"/>
      <c r="O969" s="143"/>
      <c r="P969" s="143"/>
      <c r="Q969" s="143"/>
      <c r="R969" s="143"/>
      <c r="S969" s="146"/>
      <c r="T969" s="146"/>
      <c r="U969" s="146"/>
      <c r="V969" s="147"/>
      <c r="W969" s="143" t="s">
        <v>3043</v>
      </c>
      <c r="X969" s="143" t="s">
        <v>3128</v>
      </c>
      <c r="Y969" s="143" t="s">
        <v>3043</v>
      </c>
      <c r="Z969" s="143" t="s">
        <v>3128</v>
      </c>
      <c r="AA969" s="143"/>
      <c r="AB969" s="170"/>
      <c r="AC969" s="143"/>
      <c r="AD969" s="143"/>
      <c r="AE969" s="143"/>
      <c r="AF969" s="143"/>
      <c r="AG969" s="143"/>
      <c r="AH969" s="143"/>
      <c r="AI969" s="143"/>
      <c r="AJ969" s="143"/>
      <c r="AK969" s="143"/>
      <c r="AL969" s="143"/>
      <c r="AM969" s="143"/>
    </row>
    <row r="970" s="140" customFormat="1" ht="15" spans="1:39">
      <c r="A970" s="143">
        <v>968</v>
      </c>
      <c r="B970" s="144">
        <v>45874</v>
      </c>
      <c r="C970" s="143" t="s">
        <v>40</v>
      </c>
      <c r="D970" s="143" t="s">
        <v>2338</v>
      </c>
      <c r="E970" s="145"/>
      <c r="F970" s="143" t="s">
        <v>3021</v>
      </c>
      <c r="G970" s="143"/>
      <c r="H970" s="152" t="s">
        <v>3129</v>
      </c>
      <c r="I970" s="143" t="s">
        <v>281</v>
      </c>
      <c r="J970" s="143" t="s">
        <v>282</v>
      </c>
      <c r="K970" s="143">
        <v>147</v>
      </c>
      <c r="L970" s="143">
        <v>340</v>
      </c>
      <c r="M970" s="143"/>
      <c r="N970" s="143"/>
      <c r="O970" s="143"/>
      <c r="P970" s="143"/>
      <c r="Q970" s="143"/>
      <c r="R970" s="143"/>
      <c r="S970" s="146"/>
      <c r="T970" s="146"/>
      <c r="U970" s="146"/>
      <c r="V970" s="147"/>
      <c r="W970" s="143" t="s">
        <v>3043</v>
      </c>
      <c r="X970" s="143" t="s">
        <v>3130</v>
      </c>
      <c r="Y970" s="143" t="s">
        <v>3043</v>
      </c>
      <c r="Z970" s="143" t="s">
        <v>3130</v>
      </c>
      <c r="AA970" s="143"/>
      <c r="AB970" s="170"/>
      <c r="AC970" s="143"/>
      <c r="AD970" s="143"/>
      <c r="AE970" s="143"/>
      <c r="AF970" s="143"/>
      <c r="AG970" s="143"/>
      <c r="AH970" s="143"/>
      <c r="AI970" s="143"/>
      <c r="AJ970" s="143"/>
      <c r="AK970" s="143"/>
      <c r="AL970" s="143"/>
      <c r="AM970" s="143"/>
    </row>
    <row r="971" s="140" customFormat="1" ht="15" spans="1:39">
      <c r="A971" s="143">
        <v>969</v>
      </c>
      <c r="B971" s="144">
        <v>45874</v>
      </c>
      <c r="C971" s="143" t="s">
        <v>40</v>
      </c>
      <c r="D971" s="143" t="s">
        <v>2338</v>
      </c>
      <c r="E971" s="145"/>
      <c r="F971" s="143" t="s">
        <v>3021</v>
      </c>
      <c r="G971" s="143"/>
      <c r="H971" s="152" t="s">
        <v>3131</v>
      </c>
      <c r="I971" s="143" t="s">
        <v>324</v>
      </c>
      <c r="J971" s="143" t="s">
        <v>779</v>
      </c>
      <c r="K971" s="143">
        <v>147</v>
      </c>
      <c r="L971" s="143">
        <v>480</v>
      </c>
      <c r="M971" s="143"/>
      <c r="N971" s="143"/>
      <c r="O971" s="143"/>
      <c r="P971" s="143"/>
      <c r="Q971" s="143"/>
      <c r="R971" s="143"/>
      <c r="S971" s="146"/>
      <c r="T971" s="146"/>
      <c r="U971" s="146"/>
      <c r="V971" s="147"/>
      <c r="W971" s="143" t="s">
        <v>3043</v>
      </c>
      <c r="X971" s="143" t="s">
        <v>3132</v>
      </c>
      <c r="Y971" s="143" t="s">
        <v>3043</v>
      </c>
      <c r="Z971" s="143" t="s">
        <v>3132</v>
      </c>
      <c r="AA971" s="143"/>
      <c r="AB971" s="170"/>
      <c r="AC971" s="143"/>
      <c r="AD971" s="143"/>
      <c r="AE971" s="143"/>
      <c r="AF971" s="143"/>
      <c r="AG971" s="143"/>
      <c r="AH971" s="143"/>
      <c r="AI971" s="143"/>
      <c r="AJ971" s="143"/>
      <c r="AK971" s="143"/>
      <c r="AL971" s="143"/>
      <c r="AM971" s="143"/>
    </row>
    <row r="972" s="140" customFormat="1" ht="15" spans="1:39">
      <c r="A972" s="143">
        <v>970</v>
      </c>
      <c r="B972" s="144">
        <v>45874</v>
      </c>
      <c r="C972" s="143" t="s">
        <v>40</v>
      </c>
      <c r="D972" s="143" t="s">
        <v>2338</v>
      </c>
      <c r="E972" s="145"/>
      <c r="F972" s="143" t="s">
        <v>3021</v>
      </c>
      <c r="G972" s="143"/>
      <c r="H972" s="152" t="s">
        <v>3133</v>
      </c>
      <c r="I972" s="143" t="s">
        <v>281</v>
      </c>
      <c r="J972" s="143" t="s">
        <v>3125</v>
      </c>
      <c r="K972" s="143">
        <v>147</v>
      </c>
      <c r="L972" s="143">
        <v>70</v>
      </c>
      <c r="M972" s="143"/>
      <c r="N972" s="143"/>
      <c r="O972" s="143"/>
      <c r="P972" s="143"/>
      <c r="Q972" s="143"/>
      <c r="R972" s="143"/>
      <c r="S972" s="146"/>
      <c r="T972" s="146"/>
      <c r="U972" s="146"/>
      <c r="V972" s="147"/>
      <c r="W972" s="143" t="s">
        <v>3043</v>
      </c>
      <c r="X972" s="143" t="s">
        <v>3134</v>
      </c>
      <c r="Y972" s="143" t="s">
        <v>3043</v>
      </c>
      <c r="Z972" s="143" t="s">
        <v>3134</v>
      </c>
      <c r="AA972" s="143"/>
      <c r="AB972" s="170"/>
      <c r="AC972" s="143"/>
      <c r="AD972" s="143"/>
      <c r="AE972" s="143"/>
      <c r="AF972" s="143"/>
      <c r="AG972" s="143"/>
      <c r="AH972" s="143"/>
      <c r="AI972" s="143"/>
      <c r="AJ972" s="143"/>
      <c r="AK972" s="143"/>
      <c r="AL972" s="143"/>
      <c r="AM972" s="143"/>
    </row>
    <row r="973" s="140" customFormat="1" ht="15" spans="1:39">
      <c r="A973" s="143">
        <v>971</v>
      </c>
      <c r="B973" s="144">
        <v>45874</v>
      </c>
      <c r="C973" s="143" t="s">
        <v>40</v>
      </c>
      <c r="D973" s="143" t="s">
        <v>2338</v>
      </c>
      <c r="E973" s="145"/>
      <c r="F973" s="143" t="s">
        <v>3021</v>
      </c>
      <c r="G973" s="143"/>
      <c r="H973" s="152" t="s">
        <v>3135</v>
      </c>
      <c r="I973" s="143" t="s">
        <v>281</v>
      </c>
      <c r="J973" s="143" t="s">
        <v>3125</v>
      </c>
      <c r="K973" s="143">
        <v>147</v>
      </c>
      <c r="L973" s="143">
        <v>106</v>
      </c>
      <c r="M973" s="143"/>
      <c r="N973" s="143"/>
      <c r="O973" s="143"/>
      <c r="P973" s="143"/>
      <c r="Q973" s="143"/>
      <c r="R973" s="143"/>
      <c r="S973" s="146"/>
      <c r="T973" s="146"/>
      <c r="U973" s="146"/>
      <c r="V973" s="147"/>
      <c r="W973" s="143" t="s">
        <v>3043</v>
      </c>
      <c r="X973" s="143" t="s">
        <v>3136</v>
      </c>
      <c r="Y973" s="143" t="s">
        <v>3043</v>
      </c>
      <c r="Z973" s="143" t="s">
        <v>3136</v>
      </c>
      <c r="AA973" s="143"/>
      <c r="AB973" s="170"/>
      <c r="AC973" s="143"/>
      <c r="AD973" s="143"/>
      <c r="AE973" s="143"/>
      <c r="AF973" s="143"/>
      <c r="AG973" s="143"/>
      <c r="AH973" s="143"/>
      <c r="AI973" s="143"/>
      <c r="AJ973" s="143"/>
      <c r="AK973" s="143"/>
      <c r="AL973" s="143"/>
      <c r="AM973" s="143"/>
    </row>
    <row r="974" s="140" customFormat="1" ht="15" spans="1:39">
      <c r="A974" s="143">
        <v>972</v>
      </c>
      <c r="B974" s="144">
        <v>45874</v>
      </c>
      <c r="C974" s="143" t="s">
        <v>40</v>
      </c>
      <c r="D974" s="143" t="s">
        <v>2338</v>
      </c>
      <c r="E974" s="145"/>
      <c r="F974" s="143" t="s">
        <v>3021</v>
      </c>
      <c r="G974" s="143"/>
      <c r="H974" s="152" t="s">
        <v>3137</v>
      </c>
      <c r="I974" s="143" t="s">
        <v>324</v>
      </c>
      <c r="J974" s="143" t="s">
        <v>3046</v>
      </c>
      <c r="K974" s="143">
        <v>147</v>
      </c>
      <c r="L974" s="143">
        <v>278</v>
      </c>
      <c r="M974" s="143"/>
      <c r="N974" s="143"/>
      <c r="O974" s="143"/>
      <c r="P974" s="143"/>
      <c r="Q974" s="143"/>
      <c r="R974" s="143"/>
      <c r="S974" s="146"/>
      <c r="T974" s="146"/>
      <c r="U974" s="146"/>
      <c r="V974" s="147"/>
      <c r="W974" s="143" t="s">
        <v>3043</v>
      </c>
      <c r="X974" s="143" t="s">
        <v>3138</v>
      </c>
      <c r="Y974" s="143" t="s">
        <v>3043</v>
      </c>
      <c r="Z974" s="143" t="s">
        <v>3138</v>
      </c>
      <c r="AA974" s="143"/>
      <c r="AB974" s="170"/>
      <c r="AC974" s="143"/>
      <c r="AD974" s="143"/>
      <c r="AE974" s="143"/>
      <c r="AF974" s="143"/>
      <c r="AG974" s="143"/>
      <c r="AH974" s="143"/>
      <c r="AI974" s="143"/>
      <c r="AJ974" s="143"/>
      <c r="AK974" s="143"/>
      <c r="AL974" s="143"/>
      <c r="AM974" s="143"/>
    </row>
    <row r="975" s="140" customFormat="1" ht="15" spans="1:39">
      <c r="A975" s="143">
        <v>973</v>
      </c>
      <c r="B975" s="144">
        <v>45876</v>
      </c>
      <c r="C975" s="143" t="s">
        <v>3139</v>
      </c>
      <c r="D975" s="143" t="s">
        <v>41</v>
      </c>
      <c r="E975" s="145"/>
      <c r="F975" s="143"/>
      <c r="G975" s="143"/>
      <c r="H975" s="152" t="s">
        <v>3140</v>
      </c>
      <c r="I975" s="143" t="s">
        <v>324</v>
      </c>
      <c r="J975" s="143" t="s">
        <v>325</v>
      </c>
      <c r="K975" s="143">
        <v>148</v>
      </c>
      <c r="L975" s="143">
        <v>100</v>
      </c>
      <c r="M975" s="143"/>
      <c r="N975" s="143"/>
      <c r="O975" s="143"/>
      <c r="P975" s="143"/>
      <c r="Q975" s="143"/>
      <c r="R975" s="143"/>
      <c r="S975" s="146"/>
      <c r="T975" s="146"/>
      <c r="U975" s="146"/>
      <c r="V975" s="147"/>
      <c r="W975" s="143" t="s">
        <v>3141</v>
      </c>
      <c r="X975" s="143" t="s">
        <v>3142</v>
      </c>
      <c r="Y975" s="143" t="s">
        <v>3141</v>
      </c>
      <c r="Z975" s="143" t="s">
        <v>3142</v>
      </c>
      <c r="AA975" s="143">
        <v>6.2</v>
      </c>
      <c r="AB975" s="170">
        <v>45876</v>
      </c>
      <c r="AC975" s="143"/>
      <c r="AD975" s="143"/>
      <c r="AE975" s="143"/>
      <c r="AF975" s="143"/>
      <c r="AG975" s="143"/>
      <c r="AH975" s="143"/>
      <c r="AI975" s="143"/>
      <c r="AJ975" s="143"/>
      <c r="AK975" s="143"/>
      <c r="AL975" s="143"/>
      <c r="AM975" s="143"/>
    </row>
    <row r="976" s="140" customFormat="1" ht="37.5" spans="1:39">
      <c r="A976" s="143">
        <v>974</v>
      </c>
      <c r="B976" s="144"/>
      <c r="C976" s="143" t="s">
        <v>193</v>
      </c>
      <c r="D976" s="169" t="s">
        <v>3143</v>
      </c>
      <c r="E976" s="186" t="s">
        <v>3144</v>
      </c>
      <c r="F976" s="143"/>
      <c r="G976" s="143"/>
      <c r="H976" s="152" t="s">
        <v>3145</v>
      </c>
      <c r="I976" s="143" t="s">
        <v>1621</v>
      </c>
      <c r="J976" s="143" t="s">
        <v>3146</v>
      </c>
      <c r="K976" s="143">
        <v>150</v>
      </c>
      <c r="L976" s="143">
        <v>165</v>
      </c>
      <c r="M976" s="143"/>
      <c r="N976" s="143"/>
      <c r="O976" s="143"/>
      <c r="P976" s="143"/>
      <c r="Q976" s="143"/>
      <c r="R976" s="143"/>
      <c r="S976" s="146"/>
      <c r="T976" s="146"/>
      <c r="U976" s="146"/>
      <c r="V976" s="147"/>
      <c r="W976" s="143" t="s">
        <v>3147</v>
      </c>
      <c r="X976" s="143">
        <v>1808</v>
      </c>
      <c r="Y976" s="143" t="s">
        <v>1666</v>
      </c>
      <c r="Z976" s="143">
        <v>1808</v>
      </c>
      <c r="AA976" s="143">
        <v>12.8</v>
      </c>
      <c r="AB976" s="170">
        <v>45861</v>
      </c>
      <c r="AC976" s="143"/>
      <c r="AD976" s="143"/>
      <c r="AE976" s="143"/>
      <c r="AF976" s="143"/>
      <c r="AG976" s="143" t="s">
        <v>1173</v>
      </c>
      <c r="AH976" s="143" t="s">
        <v>563</v>
      </c>
      <c r="AI976" s="143"/>
      <c r="AJ976" s="143" t="s">
        <v>1174</v>
      </c>
      <c r="AK976" s="143"/>
      <c r="AL976" s="143"/>
      <c r="AM976" s="143"/>
    </row>
    <row r="977" s="140" customFormat="1" ht="15" spans="1:39">
      <c r="A977" s="143">
        <v>975</v>
      </c>
      <c r="B977" s="144">
        <v>45882</v>
      </c>
      <c r="C977" s="169" t="s">
        <v>3148</v>
      </c>
      <c r="D977" s="143" t="s">
        <v>41</v>
      </c>
      <c r="E977" s="186" t="s">
        <v>3149</v>
      </c>
      <c r="F977" s="143" t="s">
        <v>3150</v>
      </c>
      <c r="G977" s="143"/>
      <c r="H977" s="152" t="s">
        <v>3151</v>
      </c>
      <c r="I977" s="143" t="s">
        <v>3152</v>
      </c>
      <c r="J977" s="143" t="s">
        <v>3153</v>
      </c>
      <c r="K977" s="143">
        <v>150</v>
      </c>
      <c r="L977" s="143">
        <v>375</v>
      </c>
      <c r="M977" s="143"/>
      <c r="N977" s="143"/>
      <c r="O977" s="143"/>
      <c r="P977" s="143"/>
      <c r="Q977" s="143"/>
      <c r="R977" s="143"/>
      <c r="S977" s="146"/>
      <c r="T977" s="146"/>
      <c r="U977" s="146"/>
      <c r="V977" s="147"/>
      <c r="W977" s="143" t="s">
        <v>3147</v>
      </c>
      <c r="X977" s="143" t="s">
        <v>3150</v>
      </c>
      <c r="Y977" s="169" t="s">
        <v>3154</v>
      </c>
      <c r="Z977" s="143" t="s">
        <v>3150</v>
      </c>
      <c r="AA977" s="143">
        <v>18.3</v>
      </c>
      <c r="AB977" s="170">
        <v>45882</v>
      </c>
      <c r="AC977" s="143"/>
      <c r="AD977" s="143"/>
      <c r="AE977" s="143"/>
      <c r="AF977" s="143"/>
      <c r="AG977" s="143"/>
      <c r="AH977" s="143"/>
      <c r="AI977" s="143"/>
      <c r="AJ977" s="143"/>
      <c r="AK977" s="143"/>
      <c r="AL977" s="143"/>
      <c r="AM977" s="143"/>
    </row>
    <row r="978" s="140" customFormat="1" ht="15" spans="1:39">
      <c r="A978" s="143">
        <v>976</v>
      </c>
      <c r="B978" s="144">
        <v>45882</v>
      </c>
      <c r="C978" s="169" t="s">
        <v>3148</v>
      </c>
      <c r="D978" s="143" t="s">
        <v>41</v>
      </c>
      <c r="E978" s="186" t="s">
        <v>3149</v>
      </c>
      <c r="F978" s="169" t="s">
        <v>3155</v>
      </c>
      <c r="G978" s="169"/>
      <c r="H978" s="152" t="s">
        <v>3156</v>
      </c>
      <c r="I978" s="143" t="s">
        <v>3157</v>
      </c>
      <c r="J978" s="143" t="s">
        <v>46</v>
      </c>
      <c r="K978" s="143">
        <v>155</v>
      </c>
      <c r="L978" s="143">
        <v>310</v>
      </c>
      <c r="M978" s="143"/>
      <c r="N978" s="143"/>
      <c r="O978" s="143"/>
      <c r="P978" s="143"/>
      <c r="Q978" s="143"/>
      <c r="R978" s="143"/>
      <c r="S978" s="146"/>
      <c r="T978" s="146"/>
      <c r="U978" s="146"/>
      <c r="V978" s="147"/>
      <c r="W978" s="143" t="s">
        <v>3147</v>
      </c>
      <c r="X978" s="143" t="s">
        <v>3158</v>
      </c>
      <c r="Y978" s="169" t="s">
        <v>3159</v>
      </c>
      <c r="Z978" s="143" t="s">
        <v>3158</v>
      </c>
      <c r="AA978" s="143">
        <v>17.5</v>
      </c>
      <c r="AB978" s="170">
        <v>45882</v>
      </c>
      <c r="AC978" s="143"/>
      <c r="AD978" s="143"/>
      <c r="AE978" s="143"/>
      <c r="AF978" s="143"/>
      <c r="AG978" s="143"/>
      <c r="AH978" s="143"/>
      <c r="AI978" s="143"/>
      <c r="AJ978" s="143"/>
      <c r="AK978" s="143"/>
      <c r="AL978" s="143"/>
      <c r="AM978" s="143"/>
    </row>
    <row r="979" s="140" customFormat="1" ht="15" spans="1:39">
      <c r="A979" s="143">
        <v>977</v>
      </c>
      <c r="B979" s="144">
        <v>45882</v>
      </c>
      <c r="C979" s="169" t="s">
        <v>3148</v>
      </c>
      <c r="D979" s="143" t="s">
        <v>41</v>
      </c>
      <c r="E979" s="186" t="s">
        <v>3149</v>
      </c>
      <c r="F979" s="143" t="s">
        <v>3160</v>
      </c>
      <c r="G979" s="143"/>
      <c r="H979" s="152" t="s">
        <v>3161</v>
      </c>
      <c r="I979" s="143" t="s">
        <v>3162</v>
      </c>
      <c r="J979" s="143" t="s">
        <v>325</v>
      </c>
      <c r="K979" s="143">
        <v>150</v>
      </c>
      <c r="L979" s="143">
        <v>260</v>
      </c>
      <c r="M979" s="143"/>
      <c r="N979" s="143"/>
      <c r="O979" s="143"/>
      <c r="P979" s="143"/>
      <c r="Q979" s="143"/>
      <c r="R979" s="143"/>
      <c r="S979" s="146"/>
      <c r="T979" s="146"/>
      <c r="U979" s="146"/>
      <c r="V979" s="147"/>
      <c r="W979" s="143" t="s">
        <v>3147</v>
      </c>
      <c r="X979" s="143" t="s">
        <v>3160</v>
      </c>
      <c r="Y979" s="169" t="s">
        <v>3154</v>
      </c>
      <c r="Z979" s="143" t="s">
        <v>3160</v>
      </c>
      <c r="AA979" s="143">
        <v>11</v>
      </c>
      <c r="AB979" s="170">
        <v>45882</v>
      </c>
      <c r="AC979" s="143"/>
      <c r="AD979" s="143"/>
      <c r="AE979" s="143"/>
      <c r="AF979" s="143"/>
      <c r="AG979" s="143"/>
      <c r="AH979" s="143"/>
      <c r="AI979" s="143"/>
      <c r="AJ979" s="143"/>
      <c r="AK979" s="143"/>
      <c r="AL979" s="143"/>
      <c r="AM979" s="143"/>
    </row>
    <row r="980" s="140" customFormat="1" ht="15" spans="1:39">
      <c r="A980" s="143">
        <v>978</v>
      </c>
      <c r="B980" s="144">
        <v>45882</v>
      </c>
      <c r="C980" s="169" t="s">
        <v>3148</v>
      </c>
      <c r="D980" s="143" t="s">
        <v>41</v>
      </c>
      <c r="E980" s="186" t="s">
        <v>3149</v>
      </c>
      <c r="F980" s="143" t="s">
        <v>3163</v>
      </c>
      <c r="G980" s="143"/>
      <c r="H980" s="152" t="s">
        <v>3164</v>
      </c>
      <c r="I980" s="143" t="s">
        <v>3165</v>
      </c>
      <c r="J980" s="143" t="s">
        <v>3166</v>
      </c>
      <c r="K980" s="143">
        <v>152</v>
      </c>
      <c r="L980" s="143">
        <v>300</v>
      </c>
      <c r="M980" s="143"/>
      <c r="N980" s="143"/>
      <c r="O980" s="143"/>
      <c r="P980" s="143"/>
      <c r="Q980" s="143"/>
      <c r="R980" s="143"/>
      <c r="S980" s="146"/>
      <c r="T980" s="146"/>
      <c r="U980" s="146"/>
      <c r="V980" s="147"/>
      <c r="W980" s="143" t="s">
        <v>3147</v>
      </c>
      <c r="X980" s="143" t="s">
        <v>3163</v>
      </c>
      <c r="Y980" s="169" t="s">
        <v>3154</v>
      </c>
      <c r="Z980" s="143" t="s">
        <v>3163</v>
      </c>
      <c r="AA980" s="143">
        <v>14.7</v>
      </c>
      <c r="AB980" s="170">
        <v>45882</v>
      </c>
      <c r="AC980" s="143"/>
      <c r="AD980" s="143"/>
      <c r="AE980" s="143"/>
      <c r="AF980" s="143"/>
      <c r="AG980" s="143"/>
      <c r="AH980" s="143"/>
      <c r="AI980" s="143"/>
      <c r="AJ980" s="143"/>
      <c r="AK980" s="143"/>
      <c r="AL980" s="143"/>
      <c r="AM980" s="143"/>
    </row>
    <row r="981" s="140" customFormat="1" ht="15" spans="1:39">
      <c r="A981" s="143">
        <v>979</v>
      </c>
      <c r="B981" s="144">
        <v>45882</v>
      </c>
      <c r="C981" s="169" t="s">
        <v>3148</v>
      </c>
      <c r="D981" s="143" t="s">
        <v>3167</v>
      </c>
      <c r="E981" s="186" t="s">
        <v>3149</v>
      </c>
      <c r="F981" s="143" t="s">
        <v>3168</v>
      </c>
      <c r="G981" s="143"/>
      <c r="H981" s="152" t="s">
        <v>3169</v>
      </c>
      <c r="I981" s="182" t="s">
        <v>3170</v>
      </c>
      <c r="J981" s="143" t="s">
        <v>432</v>
      </c>
      <c r="K981" s="143">
        <v>150</v>
      </c>
      <c r="L981" s="143">
        <v>280</v>
      </c>
      <c r="M981" s="143"/>
      <c r="N981" s="143"/>
      <c r="O981" s="143"/>
      <c r="P981" s="143"/>
      <c r="Q981" s="143"/>
      <c r="R981" s="143"/>
      <c r="S981" s="146"/>
      <c r="T981" s="146"/>
      <c r="U981" s="146"/>
      <c r="V981" s="147"/>
      <c r="W981" s="143" t="s">
        <v>3147</v>
      </c>
      <c r="X981" s="143" t="s">
        <v>3168</v>
      </c>
      <c r="Y981" s="169" t="s">
        <v>3154</v>
      </c>
      <c r="Z981" s="143" t="s">
        <v>3168</v>
      </c>
      <c r="AA981" s="143">
        <v>13.4</v>
      </c>
      <c r="AB981" s="170">
        <v>45882</v>
      </c>
      <c r="AC981" s="143"/>
      <c r="AD981" s="143"/>
      <c r="AE981" s="143"/>
      <c r="AF981" s="143"/>
      <c r="AG981" s="143"/>
      <c r="AH981" s="143"/>
      <c r="AI981" s="143"/>
      <c r="AJ981" s="143"/>
      <c r="AK981" s="143"/>
      <c r="AL981" s="143"/>
      <c r="AM981" s="143"/>
    </row>
    <row r="982" s="140" customFormat="1" ht="15" spans="1:39">
      <c r="A982" s="143">
        <v>980</v>
      </c>
      <c r="B982" s="144">
        <v>45882</v>
      </c>
      <c r="C982" s="169" t="s">
        <v>3148</v>
      </c>
      <c r="D982" s="143" t="s">
        <v>3167</v>
      </c>
      <c r="E982" s="186" t="s">
        <v>3149</v>
      </c>
      <c r="F982" s="143" t="s">
        <v>3171</v>
      </c>
      <c r="G982" s="143"/>
      <c r="H982" s="152" t="s">
        <v>3172</v>
      </c>
      <c r="I982" s="143" t="s">
        <v>3173</v>
      </c>
      <c r="J982" s="143" t="s">
        <v>282</v>
      </c>
      <c r="K982" s="143">
        <v>150</v>
      </c>
      <c r="L982" s="143">
        <v>145</v>
      </c>
      <c r="M982" s="143"/>
      <c r="N982" s="143"/>
      <c r="O982" s="143"/>
      <c r="P982" s="143"/>
      <c r="Q982" s="143"/>
      <c r="R982" s="143"/>
      <c r="S982" s="146"/>
      <c r="T982" s="146"/>
      <c r="U982" s="146"/>
      <c r="V982" s="147"/>
      <c r="W982" s="143" t="s">
        <v>3147</v>
      </c>
      <c r="X982" s="143" t="s">
        <v>3171</v>
      </c>
      <c r="Y982" s="169" t="s">
        <v>3174</v>
      </c>
      <c r="Z982" s="143" t="s">
        <v>3171</v>
      </c>
      <c r="AA982" s="143">
        <v>13</v>
      </c>
      <c r="AB982" s="170">
        <v>45882</v>
      </c>
      <c r="AC982" s="143"/>
      <c r="AD982" s="143"/>
      <c r="AE982" s="143"/>
      <c r="AF982" s="143"/>
      <c r="AG982" s="143"/>
      <c r="AH982" s="143"/>
      <c r="AI982" s="143"/>
      <c r="AJ982" s="143"/>
      <c r="AK982" s="143"/>
      <c r="AL982" s="143"/>
      <c r="AM982" s="143"/>
    </row>
    <row r="983" s="140" customFormat="1" ht="15" spans="1:39">
      <c r="A983" s="143">
        <v>981</v>
      </c>
      <c r="B983" s="144">
        <v>45882</v>
      </c>
      <c r="C983" s="169" t="s">
        <v>3148</v>
      </c>
      <c r="D983" s="143" t="s">
        <v>3167</v>
      </c>
      <c r="E983" s="186" t="s">
        <v>3149</v>
      </c>
      <c r="F983" s="143" t="s">
        <v>3175</v>
      </c>
      <c r="G983" s="143"/>
      <c r="H983" s="152" t="s">
        <v>3176</v>
      </c>
      <c r="I983" s="143" t="s">
        <v>281</v>
      </c>
      <c r="J983" s="143" t="s">
        <v>282</v>
      </c>
      <c r="K983" s="143">
        <v>148</v>
      </c>
      <c r="L983" s="143">
        <v>220</v>
      </c>
      <c r="M983" s="143"/>
      <c r="N983" s="143"/>
      <c r="O983" s="143"/>
      <c r="P983" s="143"/>
      <c r="Q983" s="143"/>
      <c r="R983" s="143"/>
      <c r="S983" s="146"/>
      <c r="T983" s="146"/>
      <c r="U983" s="146"/>
      <c r="V983" s="147"/>
      <c r="W983" s="143" t="s">
        <v>3147</v>
      </c>
      <c r="X983" s="143" t="s">
        <v>3175</v>
      </c>
      <c r="Y983" s="169" t="s">
        <v>3177</v>
      </c>
      <c r="Z983" s="143" t="s">
        <v>3175</v>
      </c>
      <c r="AA983" s="143">
        <v>17.2</v>
      </c>
      <c r="AB983" s="170">
        <v>45882</v>
      </c>
      <c r="AC983" s="143"/>
      <c r="AD983" s="143"/>
      <c r="AE983" s="143"/>
      <c r="AF983" s="143"/>
      <c r="AG983" s="143"/>
      <c r="AH983" s="143"/>
      <c r="AI983" s="143"/>
      <c r="AJ983" s="143"/>
      <c r="AK983" s="143"/>
      <c r="AL983" s="143"/>
      <c r="AM983" s="143"/>
    </row>
    <row r="984" s="140" customFormat="1" ht="15" spans="1:39">
      <c r="A984" s="143">
        <v>982</v>
      </c>
      <c r="B984" s="144">
        <v>45882</v>
      </c>
      <c r="C984" s="169" t="s">
        <v>3148</v>
      </c>
      <c r="D984" s="143" t="s">
        <v>3167</v>
      </c>
      <c r="E984" s="186" t="s">
        <v>3149</v>
      </c>
      <c r="F984" s="169" t="s">
        <v>3178</v>
      </c>
      <c r="G984" s="169"/>
      <c r="H984" s="152" t="s">
        <v>3179</v>
      </c>
      <c r="I984" s="143" t="s">
        <v>281</v>
      </c>
      <c r="J984" s="143" t="s">
        <v>282</v>
      </c>
      <c r="K984" s="143">
        <v>150</v>
      </c>
      <c r="L984" s="143">
        <v>220</v>
      </c>
      <c r="M984" s="143"/>
      <c r="N984" s="143"/>
      <c r="O984" s="143"/>
      <c r="P984" s="143"/>
      <c r="Q984" s="143"/>
      <c r="R984" s="143"/>
      <c r="S984" s="146"/>
      <c r="T984" s="146"/>
      <c r="U984" s="146"/>
      <c r="V984" s="147"/>
      <c r="W984" s="143" t="s">
        <v>3147</v>
      </c>
      <c r="X984" s="143" t="s">
        <v>3180</v>
      </c>
      <c r="Y984" s="169" t="s">
        <v>3181</v>
      </c>
      <c r="Z984" s="143" t="s">
        <v>3180</v>
      </c>
      <c r="AA984" s="143">
        <v>15.7</v>
      </c>
      <c r="AB984" s="170">
        <v>45882</v>
      </c>
      <c r="AC984" s="143"/>
      <c r="AD984" s="143"/>
      <c r="AE984" s="143"/>
      <c r="AF984" s="143"/>
      <c r="AG984" s="143"/>
      <c r="AH984" s="143"/>
      <c r="AI984" s="143"/>
      <c r="AJ984" s="143"/>
      <c r="AK984" s="143"/>
      <c r="AL984" s="143"/>
      <c r="AM984" s="143"/>
    </row>
    <row r="985" s="140" customFormat="1" ht="15" spans="1:39">
      <c r="A985" s="143">
        <v>983</v>
      </c>
      <c r="B985" s="144">
        <v>45882</v>
      </c>
      <c r="C985" s="169" t="s">
        <v>3148</v>
      </c>
      <c r="D985" s="143" t="s">
        <v>3167</v>
      </c>
      <c r="E985" s="186" t="s">
        <v>3149</v>
      </c>
      <c r="F985" s="143" t="s">
        <v>3182</v>
      </c>
      <c r="G985" s="143"/>
      <c r="H985" s="152" t="s">
        <v>3183</v>
      </c>
      <c r="I985" s="143" t="s">
        <v>281</v>
      </c>
      <c r="J985" s="143" t="s">
        <v>282</v>
      </c>
      <c r="K985" s="143">
        <v>150</v>
      </c>
      <c r="L985" s="143">
        <v>140</v>
      </c>
      <c r="M985" s="143"/>
      <c r="N985" s="143"/>
      <c r="O985" s="143"/>
      <c r="P985" s="143"/>
      <c r="Q985" s="143"/>
      <c r="R985" s="143"/>
      <c r="S985" s="146"/>
      <c r="T985" s="146"/>
      <c r="U985" s="146"/>
      <c r="V985" s="147"/>
      <c r="W985" s="143" t="s">
        <v>3147</v>
      </c>
      <c r="X985" s="143" t="s">
        <v>3182</v>
      </c>
      <c r="Y985" s="169" t="s">
        <v>3184</v>
      </c>
      <c r="Z985" s="143" t="s">
        <v>3182</v>
      </c>
      <c r="AA985" s="143">
        <v>10.2</v>
      </c>
      <c r="AB985" s="170">
        <v>45882</v>
      </c>
      <c r="AC985" s="143"/>
      <c r="AD985" s="143"/>
      <c r="AE985" s="143"/>
      <c r="AF985" s="143"/>
      <c r="AG985" s="143"/>
      <c r="AH985" s="143"/>
      <c r="AI985" s="143"/>
      <c r="AJ985" s="143"/>
      <c r="AK985" s="143"/>
      <c r="AL985" s="143"/>
      <c r="AM985" s="143"/>
    </row>
    <row r="986" s="140" customFormat="1" ht="15" spans="1:39">
      <c r="A986" s="143">
        <v>984</v>
      </c>
      <c r="B986" s="144">
        <v>45882</v>
      </c>
      <c r="C986" s="169" t="s">
        <v>3148</v>
      </c>
      <c r="D986" s="143" t="s">
        <v>3167</v>
      </c>
      <c r="E986" s="186" t="s">
        <v>3149</v>
      </c>
      <c r="F986" s="169" t="s">
        <v>3185</v>
      </c>
      <c r="G986" s="169"/>
      <c r="H986" s="152" t="s">
        <v>3186</v>
      </c>
      <c r="I986" s="143" t="s">
        <v>45</v>
      </c>
      <c r="J986" s="143" t="s">
        <v>46</v>
      </c>
      <c r="K986" s="143">
        <v>150</v>
      </c>
      <c r="L986" s="143">
        <v>280</v>
      </c>
      <c r="M986" s="143"/>
      <c r="N986" s="143"/>
      <c r="O986" s="143"/>
      <c r="P986" s="143"/>
      <c r="Q986" s="143"/>
      <c r="R986" s="143"/>
      <c r="S986" s="146"/>
      <c r="T986" s="146"/>
      <c r="U986" s="146"/>
      <c r="V986" s="147"/>
      <c r="W986" s="143" t="s">
        <v>3147</v>
      </c>
      <c r="X986" s="143" t="s">
        <v>3187</v>
      </c>
      <c r="Y986" s="169" t="s">
        <v>3188</v>
      </c>
      <c r="Z986" s="143" t="s">
        <v>3187</v>
      </c>
      <c r="AA986" s="143">
        <v>15</v>
      </c>
      <c r="AB986" s="170">
        <v>45882</v>
      </c>
      <c r="AC986" s="143"/>
      <c r="AD986" s="143"/>
      <c r="AE986" s="143"/>
      <c r="AF986" s="143"/>
      <c r="AG986" s="143"/>
      <c r="AH986" s="143"/>
      <c r="AI986" s="143"/>
      <c r="AJ986" s="143"/>
      <c r="AK986" s="143"/>
      <c r="AL986" s="143"/>
      <c r="AM986" s="143"/>
    </row>
    <row r="987" s="140" customFormat="1" ht="15" spans="1:39">
      <c r="A987" s="143">
        <v>985</v>
      </c>
      <c r="B987" s="144">
        <v>45882</v>
      </c>
      <c r="C987" s="169" t="s">
        <v>3148</v>
      </c>
      <c r="D987" s="143" t="s">
        <v>3167</v>
      </c>
      <c r="E987" s="186" t="s">
        <v>3149</v>
      </c>
      <c r="F987" s="143" t="s">
        <v>3189</v>
      </c>
      <c r="G987" s="143"/>
      <c r="H987" s="152" t="s">
        <v>3190</v>
      </c>
      <c r="I987" s="143" t="s">
        <v>45</v>
      </c>
      <c r="J987" s="143" t="s">
        <v>46</v>
      </c>
      <c r="K987" s="143">
        <v>150</v>
      </c>
      <c r="L987" s="143">
        <v>450</v>
      </c>
      <c r="M987" s="143"/>
      <c r="N987" s="143"/>
      <c r="O987" s="143"/>
      <c r="P987" s="143"/>
      <c r="Q987" s="143"/>
      <c r="R987" s="143"/>
      <c r="S987" s="146"/>
      <c r="T987" s="146"/>
      <c r="U987" s="146"/>
      <c r="V987" s="147"/>
      <c r="W987" s="143" t="s">
        <v>3147</v>
      </c>
      <c r="X987" s="143" t="s">
        <v>3189</v>
      </c>
      <c r="Y987" s="169" t="s">
        <v>3191</v>
      </c>
      <c r="Z987" s="143" t="s">
        <v>3189</v>
      </c>
      <c r="AA987" s="143">
        <v>15.7</v>
      </c>
      <c r="AB987" s="170">
        <v>45882</v>
      </c>
      <c r="AC987" s="143"/>
      <c r="AD987" s="143"/>
      <c r="AE987" s="143"/>
      <c r="AF987" s="143"/>
      <c r="AG987" s="143"/>
      <c r="AH987" s="143"/>
      <c r="AI987" s="143"/>
      <c r="AJ987" s="143"/>
      <c r="AK987" s="143"/>
      <c r="AL987" s="143"/>
      <c r="AM987" s="143"/>
    </row>
    <row r="988" s="140" customFormat="1" ht="15" spans="1:39">
      <c r="A988" s="143">
        <v>986</v>
      </c>
      <c r="B988" s="144">
        <v>45882</v>
      </c>
      <c r="C988" s="169" t="s">
        <v>3148</v>
      </c>
      <c r="D988" s="143" t="s">
        <v>3167</v>
      </c>
      <c r="E988" s="186" t="s">
        <v>3149</v>
      </c>
      <c r="F988" s="169" t="s">
        <v>3192</v>
      </c>
      <c r="G988" s="169"/>
      <c r="H988" s="152" t="s">
        <v>3193</v>
      </c>
      <c r="I988" s="143" t="s">
        <v>45</v>
      </c>
      <c r="J988" s="143" t="s">
        <v>46</v>
      </c>
      <c r="K988" s="143">
        <v>150</v>
      </c>
      <c r="L988" s="143">
        <v>380</v>
      </c>
      <c r="M988" s="143"/>
      <c r="N988" s="143"/>
      <c r="O988" s="143"/>
      <c r="P988" s="143"/>
      <c r="Q988" s="143"/>
      <c r="R988" s="143"/>
      <c r="S988" s="146"/>
      <c r="T988" s="146"/>
      <c r="U988" s="146"/>
      <c r="V988" s="147"/>
      <c r="W988" s="143" t="s">
        <v>3147</v>
      </c>
      <c r="X988" s="143">
        <v>6637</v>
      </c>
      <c r="Y988" s="169" t="s">
        <v>3194</v>
      </c>
      <c r="Z988" s="143">
        <v>6637</v>
      </c>
      <c r="AA988" s="143">
        <v>18.3</v>
      </c>
      <c r="AB988" s="170">
        <v>45882</v>
      </c>
      <c r="AC988" s="143"/>
      <c r="AD988" s="143"/>
      <c r="AE988" s="143"/>
      <c r="AF988" s="143"/>
      <c r="AG988" s="143"/>
      <c r="AH988" s="143"/>
      <c r="AI988" s="143"/>
      <c r="AJ988" s="143"/>
      <c r="AK988" s="143"/>
      <c r="AL988" s="143"/>
      <c r="AM988" s="143"/>
    </row>
    <row r="989" s="140" customFormat="1" ht="15" spans="1:39">
      <c r="A989" s="143">
        <v>987</v>
      </c>
      <c r="B989" s="144">
        <v>45882</v>
      </c>
      <c r="C989" s="169" t="s">
        <v>3148</v>
      </c>
      <c r="D989" s="143" t="s">
        <v>3167</v>
      </c>
      <c r="E989" s="186" t="s">
        <v>3149</v>
      </c>
      <c r="F989" s="169" t="s">
        <v>3192</v>
      </c>
      <c r="G989" s="169"/>
      <c r="H989" s="152" t="s">
        <v>3195</v>
      </c>
      <c r="I989" s="182" t="s">
        <v>45</v>
      </c>
      <c r="J989" s="143" t="s">
        <v>46</v>
      </c>
      <c r="K989" s="143">
        <v>150</v>
      </c>
      <c r="L989" s="143">
        <v>290</v>
      </c>
      <c r="M989" s="143"/>
      <c r="N989" s="143"/>
      <c r="O989" s="143"/>
      <c r="P989" s="143"/>
      <c r="Q989" s="143"/>
      <c r="R989" s="143"/>
      <c r="S989" s="146"/>
      <c r="T989" s="146"/>
      <c r="U989" s="146"/>
      <c r="V989" s="147"/>
      <c r="W989" s="143" t="s">
        <v>3147</v>
      </c>
      <c r="X989" s="143">
        <v>6639</v>
      </c>
      <c r="Y989" s="169" t="s">
        <v>3194</v>
      </c>
      <c r="Z989" s="143">
        <v>6639</v>
      </c>
      <c r="AA989" s="143">
        <v>14.8</v>
      </c>
      <c r="AB989" s="170">
        <v>45882</v>
      </c>
      <c r="AC989" s="143"/>
      <c r="AD989" s="143"/>
      <c r="AE989" s="143"/>
      <c r="AF989" s="143"/>
      <c r="AG989" s="143"/>
      <c r="AH989" s="143"/>
      <c r="AI989" s="143"/>
      <c r="AJ989" s="143"/>
      <c r="AK989" s="143"/>
      <c r="AL989" s="143"/>
      <c r="AM989" s="143"/>
    </row>
    <row r="990" s="140" customFormat="1" ht="15" spans="1:39">
      <c r="A990" s="143">
        <v>988</v>
      </c>
      <c r="B990" s="144">
        <v>45882</v>
      </c>
      <c r="C990" s="169" t="s">
        <v>3148</v>
      </c>
      <c r="D990" s="143" t="s">
        <v>3167</v>
      </c>
      <c r="E990" s="186" t="s">
        <v>3149</v>
      </c>
      <c r="F990" s="169" t="s">
        <v>3192</v>
      </c>
      <c r="G990" s="169"/>
      <c r="H990" s="152" t="s">
        <v>3196</v>
      </c>
      <c r="I990" s="182" t="s">
        <v>3197</v>
      </c>
      <c r="J990" s="143" t="s">
        <v>46</v>
      </c>
      <c r="K990" s="143">
        <v>150</v>
      </c>
      <c r="L990" s="143">
        <v>250</v>
      </c>
      <c r="M990" s="143"/>
      <c r="N990" s="143"/>
      <c r="O990" s="143"/>
      <c r="P990" s="143"/>
      <c r="Q990" s="143"/>
      <c r="R990" s="143"/>
      <c r="S990" s="146"/>
      <c r="T990" s="146"/>
      <c r="U990" s="146"/>
      <c r="V990" s="147"/>
      <c r="W990" s="143" t="s">
        <v>3147</v>
      </c>
      <c r="X990" s="143">
        <v>6632</v>
      </c>
      <c r="Y990" s="169" t="s">
        <v>3194</v>
      </c>
      <c r="Z990" s="143">
        <v>6632</v>
      </c>
      <c r="AA990" s="143">
        <v>13.6</v>
      </c>
      <c r="AB990" s="170">
        <v>45882</v>
      </c>
      <c r="AC990" s="143"/>
      <c r="AD990" s="143"/>
      <c r="AE990" s="143"/>
      <c r="AF990" s="143"/>
      <c r="AG990" s="143"/>
      <c r="AH990" s="143"/>
      <c r="AI990" s="143"/>
      <c r="AJ990" s="143"/>
      <c r="AK990" s="143"/>
      <c r="AL990" s="143"/>
      <c r="AM990" s="143"/>
    </row>
    <row r="991" s="140" customFormat="1" ht="15" spans="1:39">
      <c r="A991" s="143">
        <v>989</v>
      </c>
      <c r="B991" s="144">
        <v>45882</v>
      </c>
      <c r="C991" s="169" t="s">
        <v>3148</v>
      </c>
      <c r="D991" s="143" t="s">
        <v>3167</v>
      </c>
      <c r="E991" s="186" t="s">
        <v>3149</v>
      </c>
      <c r="F991" s="169" t="s">
        <v>3198</v>
      </c>
      <c r="G991" s="169"/>
      <c r="H991" s="152" t="s">
        <v>3199</v>
      </c>
      <c r="I991" s="143" t="s">
        <v>45</v>
      </c>
      <c r="J991" s="143" t="s">
        <v>46</v>
      </c>
      <c r="K991" s="143">
        <v>155</v>
      </c>
      <c r="L991" s="143">
        <v>290</v>
      </c>
      <c r="M991" s="143"/>
      <c r="N991" s="143"/>
      <c r="O991" s="143"/>
      <c r="P991" s="143"/>
      <c r="Q991" s="143"/>
      <c r="R991" s="143"/>
      <c r="S991" s="146"/>
      <c r="T991" s="146"/>
      <c r="U991" s="146"/>
      <c r="V991" s="147"/>
      <c r="W991" s="143" t="s">
        <v>3147</v>
      </c>
      <c r="X991" s="143" t="s">
        <v>3200</v>
      </c>
      <c r="Y991" s="169" t="s">
        <v>3159</v>
      </c>
      <c r="Z991" s="143" t="s">
        <v>3200</v>
      </c>
      <c r="AA991" s="143">
        <v>16.5</v>
      </c>
      <c r="AB991" s="170">
        <v>45882</v>
      </c>
      <c r="AC991" s="143"/>
      <c r="AD991" s="143"/>
      <c r="AE991" s="143"/>
      <c r="AF991" s="143"/>
      <c r="AG991" s="143"/>
      <c r="AH991" s="143"/>
      <c r="AI991" s="143"/>
      <c r="AJ991" s="143"/>
      <c r="AK991" s="143"/>
      <c r="AL991" s="143"/>
      <c r="AM991" s="143"/>
    </row>
    <row r="992" s="140" customFormat="1" ht="15" spans="1:39">
      <c r="A992" s="143">
        <v>990</v>
      </c>
      <c r="B992" s="144">
        <v>45882</v>
      </c>
      <c r="C992" s="169" t="s">
        <v>3148</v>
      </c>
      <c r="D992" s="143" t="s">
        <v>3167</v>
      </c>
      <c r="E992" s="186" t="s">
        <v>3149</v>
      </c>
      <c r="F992" s="169" t="s">
        <v>3201</v>
      </c>
      <c r="G992" s="169"/>
      <c r="H992" s="152" t="s">
        <v>3202</v>
      </c>
      <c r="I992" s="143" t="s">
        <v>45</v>
      </c>
      <c r="J992" s="143" t="s">
        <v>46</v>
      </c>
      <c r="K992" s="143">
        <v>155</v>
      </c>
      <c r="L992" s="143">
        <v>290</v>
      </c>
      <c r="M992" s="143"/>
      <c r="N992" s="143"/>
      <c r="O992" s="143"/>
      <c r="P992" s="143"/>
      <c r="Q992" s="143"/>
      <c r="R992" s="143"/>
      <c r="S992" s="146"/>
      <c r="T992" s="146"/>
      <c r="U992" s="146"/>
      <c r="V992" s="147"/>
      <c r="W992" s="143" t="s">
        <v>3147</v>
      </c>
      <c r="X992" s="143" t="s">
        <v>3203</v>
      </c>
      <c r="Y992" s="169" t="s">
        <v>3159</v>
      </c>
      <c r="Z992" s="143" t="s">
        <v>3203</v>
      </c>
      <c r="AA992" s="143">
        <v>16.8</v>
      </c>
      <c r="AB992" s="170">
        <v>45882</v>
      </c>
      <c r="AC992" s="143"/>
      <c r="AD992" s="143"/>
      <c r="AE992" s="143"/>
      <c r="AF992" s="143"/>
      <c r="AG992" s="143"/>
      <c r="AH992" s="143"/>
      <c r="AI992" s="143"/>
      <c r="AJ992" s="143"/>
      <c r="AK992" s="143"/>
      <c r="AL992" s="143"/>
      <c r="AM992" s="143"/>
    </row>
    <row r="993" s="140" customFormat="1" ht="15" spans="1:39">
      <c r="A993" s="143">
        <v>991</v>
      </c>
      <c r="B993" s="144">
        <v>45882</v>
      </c>
      <c r="C993" s="169" t="s">
        <v>3148</v>
      </c>
      <c r="D993" s="143" t="s">
        <v>3167</v>
      </c>
      <c r="E993" s="186" t="s">
        <v>3149</v>
      </c>
      <c r="F993" s="169" t="s">
        <v>3204</v>
      </c>
      <c r="G993" s="169"/>
      <c r="H993" s="152" t="s">
        <v>3205</v>
      </c>
      <c r="I993" s="143" t="s">
        <v>45</v>
      </c>
      <c r="J993" s="143" t="s">
        <v>46</v>
      </c>
      <c r="K993" s="143">
        <v>160</v>
      </c>
      <c r="L993" s="143">
        <v>220</v>
      </c>
      <c r="M993" s="143"/>
      <c r="N993" s="143"/>
      <c r="O993" s="143"/>
      <c r="P993" s="143"/>
      <c r="Q993" s="143"/>
      <c r="R993" s="143"/>
      <c r="S993" s="146"/>
      <c r="T993" s="146"/>
      <c r="U993" s="146"/>
      <c r="V993" s="147"/>
      <c r="W993" s="143" t="s">
        <v>3147</v>
      </c>
      <c r="X993" s="143" t="s">
        <v>3206</v>
      </c>
      <c r="Y993" s="169" t="s">
        <v>3159</v>
      </c>
      <c r="Z993" s="143" t="s">
        <v>3206</v>
      </c>
      <c r="AA993" s="143">
        <v>14.6</v>
      </c>
      <c r="AB993" s="170">
        <v>45882</v>
      </c>
      <c r="AC993" s="143"/>
      <c r="AD993" s="143"/>
      <c r="AE993" s="143"/>
      <c r="AF993" s="143"/>
      <c r="AG993" s="143"/>
      <c r="AH993" s="143"/>
      <c r="AI993" s="143"/>
      <c r="AJ993" s="143"/>
      <c r="AK993" s="143"/>
      <c r="AL993" s="143"/>
      <c r="AM993" s="143"/>
    </row>
    <row r="994" s="140" customFormat="1" ht="15" spans="1:39">
      <c r="A994" s="143">
        <v>992</v>
      </c>
      <c r="B994" s="144">
        <v>45882</v>
      </c>
      <c r="C994" s="169" t="s">
        <v>3148</v>
      </c>
      <c r="D994" s="143" t="s">
        <v>3167</v>
      </c>
      <c r="E994" s="186" t="s">
        <v>3149</v>
      </c>
      <c r="F994" s="169" t="s">
        <v>3207</v>
      </c>
      <c r="G994" s="169"/>
      <c r="H994" s="152" t="s">
        <v>3208</v>
      </c>
      <c r="I994" s="143" t="s">
        <v>3157</v>
      </c>
      <c r="J994" s="143" t="s">
        <v>46</v>
      </c>
      <c r="K994" s="143">
        <v>155</v>
      </c>
      <c r="L994" s="143">
        <v>260</v>
      </c>
      <c r="M994" s="143"/>
      <c r="N994" s="143"/>
      <c r="O994" s="143"/>
      <c r="P994" s="143"/>
      <c r="Q994" s="143"/>
      <c r="R994" s="143"/>
      <c r="S994" s="146"/>
      <c r="T994" s="146"/>
      <c r="U994" s="146"/>
      <c r="V994" s="147"/>
      <c r="W994" s="143" t="s">
        <v>3147</v>
      </c>
      <c r="X994" s="143" t="s">
        <v>3209</v>
      </c>
      <c r="Y994" s="169" t="s">
        <v>3159</v>
      </c>
      <c r="Z994" s="143" t="s">
        <v>3209</v>
      </c>
      <c r="AA994" s="143">
        <v>14.5</v>
      </c>
      <c r="AB994" s="170">
        <v>45882</v>
      </c>
      <c r="AC994" s="143"/>
      <c r="AD994" s="143"/>
      <c r="AE994" s="143"/>
      <c r="AF994" s="143"/>
      <c r="AG994" s="143"/>
      <c r="AH994" s="143"/>
      <c r="AI994" s="143"/>
      <c r="AJ994" s="143"/>
      <c r="AK994" s="143"/>
      <c r="AL994" s="143"/>
      <c r="AM994" s="143"/>
    </row>
    <row r="995" s="140" customFormat="1" ht="15" spans="1:39">
      <c r="A995" s="143">
        <v>993</v>
      </c>
      <c r="B995" s="144">
        <v>45882</v>
      </c>
      <c r="C995" s="169" t="s">
        <v>3148</v>
      </c>
      <c r="D995" s="143" t="s">
        <v>3167</v>
      </c>
      <c r="E995" s="186" t="s">
        <v>3149</v>
      </c>
      <c r="F995" s="143" t="s">
        <v>3210</v>
      </c>
      <c r="G995" s="143"/>
      <c r="H995" s="152" t="s">
        <v>3211</v>
      </c>
      <c r="I995" s="143" t="s">
        <v>3157</v>
      </c>
      <c r="J995" s="143" t="s">
        <v>46</v>
      </c>
      <c r="K995" s="143">
        <v>145</v>
      </c>
      <c r="L995" s="143">
        <v>280</v>
      </c>
      <c r="M995" s="143"/>
      <c r="N995" s="143"/>
      <c r="O995" s="143"/>
      <c r="P995" s="143"/>
      <c r="Q995" s="143"/>
      <c r="R995" s="143"/>
      <c r="S995" s="146"/>
      <c r="T995" s="146"/>
      <c r="U995" s="146"/>
      <c r="V995" s="147"/>
      <c r="W995" s="143" t="s">
        <v>3147</v>
      </c>
      <c r="X995" s="143" t="s">
        <v>3212</v>
      </c>
      <c r="Y995" s="169" t="s">
        <v>3213</v>
      </c>
      <c r="Z995" s="143" t="s">
        <v>3212</v>
      </c>
      <c r="AA995" s="143">
        <v>19.3</v>
      </c>
      <c r="AB995" s="170">
        <v>45882</v>
      </c>
      <c r="AC995" s="143"/>
      <c r="AD995" s="143"/>
      <c r="AE995" s="143"/>
      <c r="AF995" s="143"/>
      <c r="AG995" s="143"/>
      <c r="AH995" s="143"/>
      <c r="AI995" s="143"/>
      <c r="AJ995" s="143"/>
      <c r="AK995" s="143"/>
      <c r="AL995" s="143"/>
      <c r="AM995" s="143"/>
    </row>
    <row r="996" s="140" customFormat="1" ht="15" spans="1:39">
      <c r="A996" s="143">
        <v>994</v>
      </c>
      <c r="B996" s="144">
        <v>45882</v>
      </c>
      <c r="C996" s="169" t="s">
        <v>3148</v>
      </c>
      <c r="D996" s="143" t="s">
        <v>3167</v>
      </c>
      <c r="E996" s="186" t="s">
        <v>3149</v>
      </c>
      <c r="F996" s="169" t="s">
        <v>3214</v>
      </c>
      <c r="G996" s="169"/>
      <c r="H996" s="152" t="s">
        <v>3215</v>
      </c>
      <c r="I996" s="143" t="s">
        <v>324</v>
      </c>
      <c r="J996" s="143" t="s">
        <v>1577</v>
      </c>
      <c r="K996" s="143">
        <v>148</v>
      </c>
      <c r="L996" s="143">
        <v>300</v>
      </c>
      <c r="M996" s="143"/>
      <c r="N996" s="143"/>
      <c r="O996" s="143"/>
      <c r="P996" s="143"/>
      <c r="Q996" s="143"/>
      <c r="R996" s="143"/>
      <c r="S996" s="146"/>
      <c r="T996" s="146"/>
      <c r="U996" s="146"/>
      <c r="V996" s="147"/>
      <c r="W996" s="143" t="s">
        <v>3147</v>
      </c>
      <c r="X996" s="143">
        <v>212</v>
      </c>
      <c r="Y996" s="169" t="s">
        <v>3213</v>
      </c>
      <c r="Z996" s="143">
        <v>212</v>
      </c>
      <c r="AA996" s="143">
        <v>11.5</v>
      </c>
      <c r="AB996" s="170">
        <v>45882</v>
      </c>
      <c r="AC996" s="143"/>
      <c r="AD996" s="143"/>
      <c r="AE996" s="143"/>
      <c r="AF996" s="143"/>
      <c r="AG996" s="143"/>
      <c r="AH996" s="143"/>
      <c r="AI996" s="143"/>
      <c r="AJ996" s="143"/>
      <c r="AK996" s="143"/>
      <c r="AL996" s="143"/>
      <c r="AM996" s="143"/>
    </row>
    <row r="997" s="140" customFormat="1" ht="15" spans="1:39">
      <c r="A997" s="143">
        <v>995</v>
      </c>
      <c r="B997" s="144">
        <v>45882</v>
      </c>
      <c r="C997" s="169" t="s">
        <v>3148</v>
      </c>
      <c r="D997" s="143" t="s">
        <v>3167</v>
      </c>
      <c r="E997" s="186" t="s">
        <v>3149</v>
      </c>
      <c r="F997" s="169" t="s">
        <v>3216</v>
      </c>
      <c r="G997" s="169"/>
      <c r="H997" s="152" t="s">
        <v>3217</v>
      </c>
      <c r="I997" s="143" t="s">
        <v>3218</v>
      </c>
      <c r="J997" s="143" t="s">
        <v>1577</v>
      </c>
      <c r="K997" s="143">
        <v>148</v>
      </c>
      <c r="L997" s="143">
        <v>290</v>
      </c>
      <c r="M997" s="143"/>
      <c r="N997" s="143"/>
      <c r="O997" s="143"/>
      <c r="P997" s="143"/>
      <c r="Q997" s="143"/>
      <c r="R997" s="143"/>
      <c r="S997" s="146"/>
      <c r="T997" s="146"/>
      <c r="U997" s="146"/>
      <c r="V997" s="147"/>
      <c r="W997" s="143" t="s">
        <v>3147</v>
      </c>
      <c r="X997" s="143">
        <v>208</v>
      </c>
      <c r="Y997" s="169" t="s">
        <v>3213</v>
      </c>
      <c r="Z997" s="143">
        <v>208</v>
      </c>
      <c r="AA997" s="143">
        <v>11.5</v>
      </c>
      <c r="AB997" s="170">
        <v>45882</v>
      </c>
      <c r="AC997" s="143"/>
      <c r="AD997" s="143"/>
      <c r="AE997" s="143"/>
      <c r="AF997" s="143"/>
      <c r="AG997" s="143"/>
      <c r="AH997" s="143"/>
      <c r="AI997" s="143"/>
      <c r="AJ997" s="143"/>
      <c r="AK997" s="143"/>
      <c r="AL997" s="143"/>
      <c r="AM997" s="143"/>
    </row>
    <row r="998" s="140" customFormat="1" ht="15" spans="1:39">
      <c r="A998" s="143">
        <v>996</v>
      </c>
      <c r="B998" s="144">
        <v>45882</v>
      </c>
      <c r="C998" s="169" t="s">
        <v>3148</v>
      </c>
      <c r="D998" s="143" t="s">
        <v>3167</v>
      </c>
      <c r="E998" s="186" t="s">
        <v>3149</v>
      </c>
      <c r="F998" s="143" t="s">
        <v>3219</v>
      </c>
      <c r="G998" s="143"/>
      <c r="H998" s="152" t="s">
        <v>3220</v>
      </c>
      <c r="I998" s="143" t="s">
        <v>3157</v>
      </c>
      <c r="J998" s="143" t="s">
        <v>46</v>
      </c>
      <c r="K998" s="143">
        <v>145</v>
      </c>
      <c r="L998" s="143">
        <v>290</v>
      </c>
      <c r="M998" s="143"/>
      <c r="N998" s="143"/>
      <c r="O998" s="143"/>
      <c r="P998" s="143"/>
      <c r="Q998" s="143"/>
      <c r="R998" s="143"/>
      <c r="S998" s="146"/>
      <c r="T998" s="146"/>
      <c r="U998" s="146"/>
      <c r="V998" s="147"/>
      <c r="W998" s="143" t="s">
        <v>3147</v>
      </c>
      <c r="X998" s="143" t="s">
        <v>3221</v>
      </c>
      <c r="Y998" s="169" t="s">
        <v>3213</v>
      </c>
      <c r="Z998" s="143" t="s">
        <v>3221</v>
      </c>
      <c r="AA998" s="143">
        <v>19.3</v>
      </c>
      <c r="AB998" s="170">
        <v>45882</v>
      </c>
      <c r="AC998" s="143"/>
      <c r="AD998" s="143"/>
      <c r="AE998" s="143"/>
      <c r="AF998" s="143"/>
      <c r="AG998" s="143"/>
      <c r="AH998" s="143"/>
      <c r="AI998" s="143"/>
      <c r="AJ998" s="143"/>
      <c r="AK998" s="143"/>
      <c r="AL998" s="143"/>
      <c r="AM998" s="143"/>
    </row>
    <row r="999" s="140" customFormat="1" ht="15" spans="1:39">
      <c r="A999" s="143">
        <v>997</v>
      </c>
      <c r="B999" s="144">
        <v>45882</v>
      </c>
      <c r="C999" s="169" t="s">
        <v>3148</v>
      </c>
      <c r="D999" s="143" t="s">
        <v>3167</v>
      </c>
      <c r="E999" s="186" t="s">
        <v>3149</v>
      </c>
      <c r="F999" s="143" t="s">
        <v>3222</v>
      </c>
      <c r="G999" s="143"/>
      <c r="H999" s="152" t="s">
        <v>3223</v>
      </c>
      <c r="I999" s="143" t="s">
        <v>3224</v>
      </c>
      <c r="J999" s="143" t="s">
        <v>1577</v>
      </c>
      <c r="K999" s="143">
        <v>150</v>
      </c>
      <c r="L999" s="143">
        <v>285</v>
      </c>
      <c r="M999" s="143"/>
      <c r="N999" s="143"/>
      <c r="O999" s="143"/>
      <c r="P999" s="143"/>
      <c r="Q999" s="143"/>
      <c r="R999" s="143"/>
      <c r="S999" s="146"/>
      <c r="T999" s="146"/>
      <c r="U999" s="146"/>
      <c r="V999" s="147"/>
      <c r="W999" s="143" t="s">
        <v>3147</v>
      </c>
      <c r="X999" s="143" t="s">
        <v>3225</v>
      </c>
      <c r="Y999" s="169" t="s">
        <v>3226</v>
      </c>
      <c r="Z999" s="143" t="s">
        <v>3225</v>
      </c>
      <c r="AA999" s="143">
        <v>11.8</v>
      </c>
      <c r="AB999" s="170">
        <v>45882</v>
      </c>
      <c r="AC999" s="143"/>
      <c r="AD999" s="143"/>
      <c r="AE999" s="143"/>
      <c r="AF999" s="143"/>
      <c r="AG999" s="143"/>
      <c r="AH999" s="143"/>
      <c r="AI999" s="143"/>
      <c r="AJ999" s="143"/>
      <c r="AK999" s="143"/>
      <c r="AL999" s="143"/>
      <c r="AM999" s="143"/>
    </row>
    <row r="1000" s="140" customFormat="1" ht="15" spans="1:39">
      <c r="A1000" s="143">
        <v>998</v>
      </c>
      <c r="B1000" s="144">
        <v>45882</v>
      </c>
      <c r="C1000" s="169" t="s">
        <v>3148</v>
      </c>
      <c r="D1000" s="143" t="s">
        <v>3167</v>
      </c>
      <c r="E1000" s="186" t="s">
        <v>3149</v>
      </c>
      <c r="F1000" s="169" t="s">
        <v>3227</v>
      </c>
      <c r="G1000" s="169"/>
      <c r="H1000" s="152" t="s">
        <v>3228</v>
      </c>
      <c r="I1000" s="143" t="s">
        <v>3229</v>
      </c>
      <c r="J1000" s="143" t="s">
        <v>3230</v>
      </c>
      <c r="K1000" s="143">
        <v>148</v>
      </c>
      <c r="L1000" s="143">
        <v>320</v>
      </c>
      <c r="M1000" s="143"/>
      <c r="N1000" s="143"/>
      <c r="O1000" s="143"/>
      <c r="P1000" s="143"/>
      <c r="Q1000" s="143"/>
      <c r="R1000" s="143"/>
      <c r="S1000" s="146"/>
      <c r="T1000" s="146"/>
      <c r="U1000" s="146"/>
      <c r="V1000" s="147"/>
      <c r="W1000" s="143" t="s">
        <v>3147</v>
      </c>
      <c r="X1000" s="143" t="s">
        <v>3231</v>
      </c>
      <c r="Y1000" s="169" t="s">
        <v>3226</v>
      </c>
      <c r="Z1000" s="143" t="s">
        <v>3231</v>
      </c>
      <c r="AA1000" s="143">
        <v>16.7</v>
      </c>
      <c r="AB1000" s="170">
        <v>45882</v>
      </c>
      <c r="AC1000" s="143"/>
      <c r="AD1000" s="143"/>
      <c r="AE1000" s="143"/>
      <c r="AF1000" s="143"/>
      <c r="AG1000" s="143"/>
      <c r="AH1000" s="143"/>
      <c r="AI1000" s="143"/>
      <c r="AJ1000" s="143"/>
      <c r="AK1000" s="143"/>
      <c r="AL1000" s="143"/>
      <c r="AM1000" s="143"/>
    </row>
    <row r="1001" s="140" customFormat="1" ht="15" spans="1:39">
      <c r="A1001" s="143">
        <v>999</v>
      </c>
      <c r="B1001" s="144">
        <v>45882</v>
      </c>
      <c r="C1001" s="169" t="s">
        <v>3148</v>
      </c>
      <c r="D1001" s="143" t="s">
        <v>3167</v>
      </c>
      <c r="E1001" s="186" t="s">
        <v>3149</v>
      </c>
      <c r="F1001" s="169" t="s">
        <v>3232</v>
      </c>
      <c r="G1001" s="169"/>
      <c r="H1001" s="152" t="s">
        <v>3233</v>
      </c>
      <c r="I1001" s="143" t="s">
        <v>535</v>
      </c>
      <c r="J1001" s="143" t="s">
        <v>1577</v>
      </c>
      <c r="K1001" s="143">
        <v>150</v>
      </c>
      <c r="L1001" s="143">
        <v>280</v>
      </c>
      <c r="M1001" s="143"/>
      <c r="N1001" s="143"/>
      <c r="O1001" s="143"/>
      <c r="P1001" s="143"/>
      <c r="Q1001" s="143"/>
      <c r="R1001" s="143"/>
      <c r="S1001" s="146"/>
      <c r="T1001" s="146"/>
      <c r="U1001" s="146"/>
      <c r="V1001" s="147"/>
      <c r="W1001" s="143" t="s">
        <v>3147</v>
      </c>
      <c r="X1001" s="169" t="s">
        <v>3232</v>
      </c>
      <c r="Y1001" s="169" t="s">
        <v>3234</v>
      </c>
      <c r="Z1001" s="169" t="s">
        <v>3232</v>
      </c>
      <c r="AA1001" s="143">
        <v>10.3</v>
      </c>
      <c r="AB1001" s="170">
        <v>45882</v>
      </c>
      <c r="AC1001" s="143"/>
      <c r="AD1001" s="143"/>
      <c r="AE1001" s="143"/>
      <c r="AF1001" s="143"/>
      <c r="AG1001" s="143"/>
      <c r="AH1001" s="143"/>
      <c r="AI1001" s="143"/>
      <c r="AJ1001" s="143"/>
      <c r="AK1001" s="143"/>
      <c r="AL1001" s="143"/>
      <c r="AM1001" s="143"/>
    </row>
    <row r="1002" s="140" customFormat="1" ht="15" spans="1:39">
      <c r="A1002" s="143">
        <v>1000</v>
      </c>
      <c r="B1002" s="144">
        <v>45882</v>
      </c>
      <c r="C1002" s="169" t="s">
        <v>3148</v>
      </c>
      <c r="D1002" s="143" t="s">
        <v>3167</v>
      </c>
      <c r="E1002" s="186" t="s">
        <v>3149</v>
      </c>
      <c r="F1002" s="143" t="s">
        <v>3235</v>
      </c>
      <c r="G1002" s="143"/>
      <c r="H1002" s="152" t="s">
        <v>3236</v>
      </c>
      <c r="I1002" s="143" t="s">
        <v>3224</v>
      </c>
      <c r="J1002" s="143" t="s">
        <v>1577</v>
      </c>
      <c r="K1002" s="143">
        <v>150</v>
      </c>
      <c r="L1002" s="143">
        <v>290</v>
      </c>
      <c r="M1002" s="143"/>
      <c r="N1002" s="143"/>
      <c r="O1002" s="143"/>
      <c r="P1002" s="143"/>
      <c r="Q1002" s="143"/>
      <c r="R1002" s="143"/>
      <c r="S1002" s="146"/>
      <c r="T1002" s="146"/>
      <c r="U1002" s="146"/>
      <c r="V1002" s="147"/>
      <c r="W1002" s="143" t="s">
        <v>3147</v>
      </c>
      <c r="X1002" s="143" t="s">
        <v>3237</v>
      </c>
      <c r="Y1002" s="169" t="s">
        <v>3234</v>
      </c>
      <c r="Z1002" s="143" t="s">
        <v>3237</v>
      </c>
      <c r="AA1002" s="143">
        <v>14.6</v>
      </c>
      <c r="AB1002" s="170">
        <v>45882</v>
      </c>
      <c r="AC1002" s="143"/>
      <c r="AD1002" s="143"/>
      <c r="AE1002" s="143"/>
      <c r="AF1002" s="143"/>
      <c r="AG1002" s="143"/>
      <c r="AH1002" s="169" t="s">
        <v>3238</v>
      </c>
      <c r="AI1002" s="143"/>
      <c r="AJ1002" s="143"/>
      <c r="AK1002" s="143"/>
      <c r="AL1002" s="143"/>
      <c r="AM1002" s="143"/>
    </row>
    <row r="1003" s="140" customFormat="1" ht="15" spans="1:39">
      <c r="A1003" s="143">
        <v>1001</v>
      </c>
      <c r="B1003" s="144">
        <v>45882</v>
      </c>
      <c r="C1003" s="169" t="s">
        <v>3148</v>
      </c>
      <c r="D1003" s="143" t="s">
        <v>3167</v>
      </c>
      <c r="E1003" s="186" t="s">
        <v>3149</v>
      </c>
      <c r="F1003" s="143">
        <v>79007</v>
      </c>
      <c r="G1003" s="143"/>
      <c r="H1003" s="152" t="s">
        <v>3239</v>
      </c>
      <c r="I1003" s="143" t="s">
        <v>3240</v>
      </c>
      <c r="J1003" s="143" t="s">
        <v>3241</v>
      </c>
      <c r="K1003" s="143">
        <v>150</v>
      </c>
      <c r="L1003" s="143">
        <v>270</v>
      </c>
      <c r="M1003" s="143"/>
      <c r="N1003" s="143"/>
      <c r="O1003" s="143"/>
      <c r="P1003" s="143"/>
      <c r="Q1003" s="143"/>
      <c r="R1003" s="143"/>
      <c r="S1003" s="146"/>
      <c r="T1003" s="146"/>
      <c r="U1003" s="146"/>
      <c r="V1003" s="147"/>
      <c r="W1003" s="143" t="s">
        <v>3147</v>
      </c>
      <c r="X1003" s="143">
        <v>79007</v>
      </c>
      <c r="Y1003" s="169" t="s">
        <v>3242</v>
      </c>
      <c r="Z1003" s="143">
        <v>79007</v>
      </c>
      <c r="AA1003" s="143">
        <v>21.8</v>
      </c>
      <c r="AB1003" s="170">
        <v>45882</v>
      </c>
      <c r="AC1003" s="143"/>
      <c r="AD1003" s="143"/>
      <c r="AE1003" s="143"/>
      <c r="AF1003" s="143"/>
      <c r="AG1003" s="143"/>
      <c r="AH1003" s="169"/>
      <c r="AI1003" s="143"/>
      <c r="AJ1003" s="143"/>
      <c r="AK1003" s="143"/>
      <c r="AL1003" s="143"/>
      <c r="AM1003" s="143"/>
    </row>
    <row r="1004" s="140" customFormat="1" ht="15" spans="1:39">
      <c r="A1004" s="143">
        <v>1002</v>
      </c>
      <c r="B1004" s="144">
        <v>45882</v>
      </c>
      <c r="C1004" s="169" t="s">
        <v>3148</v>
      </c>
      <c r="D1004" s="143" t="s">
        <v>3167</v>
      </c>
      <c r="E1004" s="186" t="s">
        <v>3149</v>
      </c>
      <c r="F1004" s="143">
        <v>79029</v>
      </c>
      <c r="G1004" s="143"/>
      <c r="H1004" s="152" t="s">
        <v>3243</v>
      </c>
      <c r="I1004" s="143" t="s">
        <v>3244</v>
      </c>
      <c r="J1004" s="143" t="s">
        <v>3245</v>
      </c>
      <c r="K1004" s="143">
        <v>148</v>
      </c>
      <c r="L1004" s="143">
        <v>400</v>
      </c>
      <c r="M1004" s="143"/>
      <c r="N1004" s="143"/>
      <c r="O1004" s="143"/>
      <c r="P1004" s="143"/>
      <c r="Q1004" s="143"/>
      <c r="R1004" s="143"/>
      <c r="S1004" s="146"/>
      <c r="T1004" s="146"/>
      <c r="U1004" s="146"/>
      <c r="V1004" s="147"/>
      <c r="W1004" s="143" t="s">
        <v>3147</v>
      </c>
      <c r="X1004" s="143">
        <v>79029</v>
      </c>
      <c r="Y1004" s="169" t="s">
        <v>3242</v>
      </c>
      <c r="Z1004" s="143">
        <v>79029</v>
      </c>
      <c r="AA1004" s="143">
        <v>28.2</v>
      </c>
      <c r="AB1004" s="170">
        <v>45882</v>
      </c>
      <c r="AC1004" s="143"/>
      <c r="AD1004" s="143"/>
      <c r="AE1004" s="143"/>
      <c r="AF1004" s="143"/>
      <c r="AG1004" s="143"/>
      <c r="AH1004" s="143"/>
      <c r="AI1004" s="143"/>
      <c r="AJ1004" s="143"/>
      <c r="AK1004" s="143"/>
      <c r="AL1004" s="143"/>
      <c r="AM1004" s="143"/>
    </row>
    <row r="1005" s="140" customFormat="1" ht="15" spans="1:39">
      <c r="A1005" s="143">
        <v>1003</v>
      </c>
      <c r="B1005" s="144">
        <v>45882</v>
      </c>
      <c r="C1005" s="169" t="s">
        <v>3148</v>
      </c>
      <c r="D1005" s="143" t="s">
        <v>3167</v>
      </c>
      <c r="E1005" s="186" t="s">
        <v>3149</v>
      </c>
      <c r="F1005" s="143">
        <v>78672</v>
      </c>
      <c r="G1005" s="143"/>
      <c r="H1005" s="152" t="s">
        <v>3246</v>
      </c>
      <c r="I1005" s="143" t="s">
        <v>3247</v>
      </c>
      <c r="J1005" s="143" t="s">
        <v>3248</v>
      </c>
      <c r="K1005" s="143">
        <v>148</v>
      </c>
      <c r="L1005" s="143">
        <v>510</v>
      </c>
      <c r="M1005" s="143"/>
      <c r="N1005" s="143"/>
      <c r="O1005" s="143"/>
      <c r="P1005" s="143"/>
      <c r="Q1005" s="143"/>
      <c r="R1005" s="143"/>
      <c r="S1005" s="146"/>
      <c r="T1005" s="146"/>
      <c r="U1005" s="146"/>
      <c r="V1005" s="147"/>
      <c r="W1005" s="143" t="s">
        <v>3147</v>
      </c>
      <c r="X1005" s="143">
        <v>78672</v>
      </c>
      <c r="Y1005" s="169" t="s">
        <v>3242</v>
      </c>
      <c r="Z1005" s="143">
        <v>78672</v>
      </c>
      <c r="AA1005" s="143">
        <v>31.8</v>
      </c>
      <c r="AB1005" s="170">
        <v>45882</v>
      </c>
      <c r="AC1005" s="143"/>
      <c r="AD1005" s="143"/>
      <c r="AE1005" s="143"/>
      <c r="AF1005" s="143"/>
      <c r="AG1005" s="143"/>
      <c r="AH1005" s="143"/>
      <c r="AI1005" s="143"/>
      <c r="AJ1005" s="143"/>
      <c r="AK1005" s="143"/>
      <c r="AL1005" s="143"/>
      <c r="AM1005" s="143"/>
    </row>
    <row r="1006" s="140" customFormat="1" ht="15" spans="1:39">
      <c r="A1006" s="143">
        <v>1004</v>
      </c>
      <c r="B1006" s="144">
        <v>45882</v>
      </c>
      <c r="C1006" s="169" t="s">
        <v>3148</v>
      </c>
      <c r="D1006" s="143" t="s">
        <v>3167</v>
      </c>
      <c r="E1006" s="186" t="s">
        <v>3149</v>
      </c>
      <c r="F1006" s="143" t="s">
        <v>3249</v>
      </c>
      <c r="G1006" s="143"/>
      <c r="H1006" s="152" t="s">
        <v>3250</v>
      </c>
      <c r="I1006" s="143" t="s">
        <v>3251</v>
      </c>
      <c r="J1006" s="143" t="s">
        <v>3252</v>
      </c>
      <c r="K1006" s="143">
        <v>152</v>
      </c>
      <c r="L1006" s="143">
        <v>300</v>
      </c>
      <c r="M1006" s="143"/>
      <c r="N1006" s="143"/>
      <c r="O1006" s="143"/>
      <c r="P1006" s="143"/>
      <c r="Q1006" s="143"/>
      <c r="R1006" s="143"/>
      <c r="S1006" s="146"/>
      <c r="T1006" s="146"/>
      <c r="U1006" s="146"/>
      <c r="V1006" s="147"/>
      <c r="W1006" s="143" t="s">
        <v>3147</v>
      </c>
      <c r="X1006" s="143" t="s">
        <v>3249</v>
      </c>
      <c r="Y1006" s="169" t="s">
        <v>3154</v>
      </c>
      <c r="Z1006" s="143" t="s">
        <v>3249</v>
      </c>
      <c r="AA1006" s="143">
        <v>17.8</v>
      </c>
      <c r="AB1006" s="170">
        <v>45882</v>
      </c>
      <c r="AC1006" s="143"/>
      <c r="AD1006" s="143"/>
      <c r="AE1006" s="143"/>
      <c r="AF1006" s="143"/>
      <c r="AG1006" s="143"/>
      <c r="AH1006" s="143"/>
      <c r="AI1006" s="143"/>
      <c r="AJ1006" s="143"/>
      <c r="AK1006" s="143"/>
      <c r="AL1006" s="143"/>
      <c r="AM1006" s="143"/>
    </row>
    <row r="1007" s="140" customFormat="1" ht="15" spans="1:39">
      <c r="A1007" s="143">
        <v>1005</v>
      </c>
      <c r="B1007" s="144">
        <v>45882</v>
      </c>
      <c r="C1007" s="169" t="s">
        <v>3148</v>
      </c>
      <c r="D1007" s="143" t="s">
        <v>3167</v>
      </c>
      <c r="E1007" s="186" t="s">
        <v>3149</v>
      </c>
      <c r="F1007" s="143" t="s">
        <v>3253</v>
      </c>
      <c r="G1007" s="143"/>
      <c r="H1007" s="152" t="s">
        <v>3254</v>
      </c>
      <c r="I1007" s="182" t="s">
        <v>3255</v>
      </c>
      <c r="J1007" s="143" t="s">
        <v>3256</v>
      </c>
      <c r="K1007" s="143">
        <v>148</v>
      </c>
      <c r="L1007" s="143">
        <v>580</v>
      </c>
      <c r="M1007" s="143"/>
      <c r="N1007" s="143"/>
      <c r="O1007" s="143"/>
      <c r="P1007" s="143"/>
      <c r="Q1007" s="143"/>
      <c r="R1007" s="143"/>
      <c r="S1007" s="146"/>
      <c r="T1007" s="146"/>
      <c r="U1007" s="146"/>
      <c r="V1007" s="147"/>
      <c r="W1007" s="143" t="s">
        <v>3147</v>
      </c>
      <c r="X1007" s="143" t="s">
        <v>3253</v>
      </c>
      <c r="Y1007" s="169" t="s">
        <v>3257</v>
      </c>
      <c r="Z1007" s="143" t="s">
        <v>3253</v>
      </c>
      <c r="AA1007" s="143">
        <v>26.5</v>
      </c>
      <c r="AB1007" s="170">
        <v>45882</v>
      </c>
      <c r="AC1007" s="143"/>
      <c r="AD1007" s="143"/>
      <c r="AE1007" s="143"/>
      <c r="AF1007" s="143"/>
      <c r="AG1007" s="143"/>
      <c r="AH1007" s="143"/>
      <c r="AI1007" s="143"/>
      <c r="AJ1007" s="143"/>
      <c r="AK1007" s="143"/>
      <c r="AL1007" s="143"/>
      <c r="AM1007" s="143"/>
    </row>
    <row r="1008" s="140" customFormat="1" ht="15" spans="1:39">
      <c r="A1008" s="143">
        <v>1006</v>
      </c>
      <c r="B1008" s="144">
        <v>45882</v>
      </c>
      <c r="C1008" s="169" t="s">
        <v>3148</v>
      </c>
      <c r="D1008" s="143" t="s">
        <v>3167</v>
      </c>
      <c r="E1008" s="186" t="s">
        <v>3149</v>
      </c>
      <c r="F1008" s="143" t="s">
        <v>3258</v>
      </c>
      <c r="G1008" s="143"/>
      <c r="H1008" s="152" t="s">
        <v>3259</v>
      </c>
      <c r="I1008" s="143" t="s">
        <v>3260</v>
      </c>
      <c r="J1008" s="143" t="s">
        <v>3261</v>
      </c>
      <c r="K1008" s="143">
        <v>148</v>
      </c>
      <c r="L1008" s="143">
        <v>310</v>
      </c>
      <c r="M1008" s="143"/>
      <c r="N1008" s="143"/>
      <c r="O1008" s="143"/>
      <c r="P1008" s="143"/>
      <c r="Q1008" s="143"/>
      <c r="R1008" s="143"/>
      <c r="S1008" s="146"/>
      <c r="T1008" s="146"/>
      <c r="U1008" s="146"/>
      <c r="V1008" s="147"/>
      <c r="W1008" s="143" t="s">
        <v>3147</v>
      </c>
      <c r="X1008" s="143" t="s">
        <v>3262</v>
      </c>
      <c r="Y1008" s="169" t="s">
        <v>3257</v>
      </c>
      <c r="Z1008" s="143" t="s">
        <v>3262</v>
      </c>
      <c r="AA1008" s="143">
        <v>20.3</v>
      </c>
      <c r="AB1008" s="170">
        <v>45882</v>
      </c>
      <c r="AC1008" s="143"/>
      <c r="AD1008" s="143"/>
      <c r="AE1008" s="143"/>
      <c r="AF1008" s="143"/>
      <c r="AG1008" s="143"/>
      <c r="AH1008" s="143"/>
      <c r="AI1008" s="143"/>
      <c r="AJ1008" s="143"/>
      <c r="AK1008" s="143"/>
      <c r="AL1008" s="143"/>
      <c r="AM1008" s="143"/>
    </row>
    <row r="1009" s="140" customFormat="1" ht="15" spans="1:39">
      <c r="A1009" s="143">
        <v>1007</v>
      </c>
      <c r="B1009" s="144">
        <v>45882</v>
      </c>
      <c r="C1009" s="169" t="s">
        <v>3148</v>
      </c>
      <c r="D1009" s="143" t="s">
        <v>3167</v>
      </c>
      <c r="E1009" s="186" t="s">
        <v>3149</v>
      </c>
      <c r="F1009" s="143" t="s">
        <v>3263</v>
      </c>
      <c r="G1009" s="143"/>
      <c r="H1009" s="152" t="s">
        <v>3264</v>
      </c>
      <c r="I1009" s="143" t="s">
        <v>3265</v>
      </c>
      <c r="J1009" s="143" t="s">
        <v>3146</v>
      </c>
      <c r="K1009" s="143">
        <v>148</v>
      </c>
      <c r="L1009" s="143">
        <v>580</v>
      </c>
      <c r="M1009" s="143"/>
      <c r="N1009" s="143"/>
      <c r="O1009" s="143"/>
      <c r="P1009" s="143"/>
      <c r="Q1009" s="169" t="s">
        <v>3266</v>
      </c>
      <c r="R1009" s="143"/>
      <c r="S1009" s="146"/>
      <c r="T1009" s="146"/>
      <c r="U1009" s="146"/>
      <c r="V1009" s="147"/>
      <c r="W1009" s="143" t="s">
        <v>3147</v>
      </c>
      <c r="X1009" s="143" t="s">
        <v>3263</v>
      </c>
      <c r="Y1009" s="143" t="s">
        <v>3267</v>
      </c>
      <c r="Z1009" s="143" t="s">
        <v>3263</v>
      </c>
      <c r="AA1009" s="143"/>
      <c r="AB1009" s="170"/>
      <c r="AC1009" s="143"/>
      <c r="AD1009" s="143"/>
      <c r="AE1009" s="143"/>
      <c r="AF1009" s="143"/>
      <c r="AG1009" s="143"/>
      <c r="AH1009" s="169" t="s">
        <v>3266</v>
      </c>
      <c r="AI1009" s="143"/>
      <c r="AJ1009" s="143"/>
      <c r="AK1009" s="143"/>
      <c r="AL1009" s="143"/>
      <c r="AM1009" s="143"/>
    </row>
    <row r="1010" s="140" customFormat="1" ht="15" spans="1:39">
      <c r="A1010" s="143">
        <v>1008</v>
      </c>
      <c r="B1010" s="144">
        <v>45882</v>
      </c>
      <c r="C1010" s="169" t="s">
        <v>3148</v>
      </c>
      <c r="D1010" s="143" t="s">
        <v>3167</v>
      </c>
      <c r="E1010" s="186" t="s">
        <v>3149</v>
      </c>
      <c r="F1010" s="143" t="s">
        <v>3268</v>
      </c>
      <c r="G1010" s="143"/>
      <c r="H1010" s="152" t="s">
        <v>3269</v>
      </c>
      <c r="I1010" s="143" t="s">
        <v>3270</v>
      </c>
      <c r="J1010" s="143" t="s">
        <v>3271</v>
      </c>
      <c r="K1010" s="143">
        <v>150</v>
      </c>
      <c r="L1010" s="143">
        <v>370</v>
      </c>
      <c r="M1010" s="143"/>
      <c r="N1010" s="143"/>
      <c r="O1010" s="143"/>
      <c r="P1010" s="143"/>
      <c r="Q1010" s="143"/>
      <c r="R1010" s="143"/>
      <c r="S1010" s="146"/>
      <c r="T1010" s="146"/>
      <c r="U1010" s="146"/>
      <c r="V1010" s="147"/>
      <c r="W1010" s="143" t="s">
        <v>3147</v>
      </c>
      <c r="X1010" s="143" t="s">
        <v>3268</v>
      </c>
      <c r="Y1010" s="169" t="s">
        <v>3257</v>
      </c>
      <c r="Z1010" s="143" t="s">
        <v>3268</v>
      </c>
      <c r="AA1010" s="143">
        <v>19.8</v>
      </c>
      <c r="AB1010" s="170">
        <v>45882</v>
      </c>
      <c r="AC1010" s="143"/>
      <c r="AD1010" s="143"/>
      <c r="AE1010" s="143"/>
      <c r="AF1010" s="143"/>
      <c r="AG1010" s="143"/>
      <c r="AH1010" s="143"/>
      <c r="AI1010" s="143"/>
      <c r="AJ1010" s="143"/>
      <c r="AK1010" s="143"/>
      <c r="AL1010" s="143"/>
      <c r="AM1010" s="143"/>
    </row>
    <row r="1011" s="140" customFormat="1" ht="15" spans="1:39">
      <c r="A1011" s="143">
        <v>1009</v>
      </c>
      <c r="B1011" s="144">
        <v>45882</v>
      </c>
      <c r="C1011" s="169" t="s">
        <v>3148</v>
      </c>
      <c r="D1011" s="143" t="s">
        <v>3167</v>
      </c>
      <c r="E1011" s="186" t="s">
        <v>3149</v>
      </c>
      <c r="F1011" s="143">
        <v>79008</v>
      </c>
      <c r="G1011" s="143"/>
      <c r="H1011" s="152" t="s">
        <v>3272</v>
      </c>
      <c r="I1011" s="143" t="s">
        <v>3273</v>
      </c>
      <c r="J1011" s="143" t="s">
        <v>3241</v>
      </c>
      <c r="K1011" s="143">
        <v>150</v>
      </c>
      <c r="L1011" s="143">
        <v>270</v>
      </c>
      <c r="M1011" s="143"/>
      <c r="N1011" s="143"/>
      <c r="O1011" s="143"/>
      <c r="P1011" s="143"/>
      <c r="Q1011" s="143"/>
      <c r="R1011" s="143"/>
      <c r="S1011" s="146"/>
      <c r="T1011" s="146"/>
      <c r="U1011" s="146"/>
      <c r="V1011" s="147"/>
      <c r="W1011" s="143" t="s">
        <v>3147</v>
      </c>
      <c r="X1011" s="143">
        <v>79008</v>
      </c>
      <c r="Y1011" s="169" t="s">
        <v>3242</v>
      </c>
      <c r="Z1011" s="143">
        <v>79008</v>
      </c>
      <c r="AA1011" s="143">
        <v>23.6</v>
      </c>
      <c r="AB1011" s="170">
        <v>45882</v>
      </c>
      <c r="AC1011" s="143"/>
      <c r="AD1011" s="143"/>
      <c r="AE1011" s="143"/>
      <c r="AF1011" s="143"/>
      <c r="AG1011" s="143"/>
      <c r="AH1011" s="143"/>
      <c r="AI1011" s="143"/>
      <c r="AJ1011" s="143"/>
      <c r="AK1011" s="143"/>
      <c r="AL1011" s="143"/>
      <c r="AM1011" s="143"/>
    </row>
    <row r="1012" s="140" customFormat="1" ht="15" spans="1:39">
      <c r="A1012" s="143">
        <v>1010</v>
      </c>
      <c r="B1012" s="144">
        <v>45882</v>
      </c>
      <c r="C1012" s="169" t="s">
        <v>3148</v>
      </c>
      <c r="D1012" s="143" t="s">
        <v>3167</v>
      </c>
      <c r="E1012" s="186" t="s">
        <v>3149</v>
      </c>
      <c r="F1012" s="143">
        <v>79034</v>
      </c>
      <c r="G1012" s="143"/>
      <c r="H1012" s="152" t="s">
        <v>3274</v>
      </c>
      <c r="I1012" s="143" t="s">
        <v>3275</v>
      </c>
      <c r="J1012" s="143" t="s">
        <v>3276</v>
      </c>
      <c r="K1012" s="143">
        <v>150</v>
      </c>
      <c r="L1012" s="143">
        <v>300</v>
      </c>
      <c r="M1012" s="143"/>
      <c r="N1012" s="143"/>
      <c r="O1012" s="143"/>
      <c r="P1012" s="143"/>
      <c r="Q1012" s="143"/>
      <c r="R1012" s="143"/>
      <c r="S1012" s="146"/>
      <c r="T1012" s="146"/>
      <c r="U1012" s="146"/>
      <c r="V1012" s="147"/>
      <c r="W1012" s="143" t="s">
        <v>3147</v>
      </c>
      <c r="X1012" s="143">
        <v>79034</v>
      </c>
      <c r="Y1012" s="169" t="s">
        <v>3242</v>
      </c>
      <c r="Z1012" s="143">
        <v>79034</v>
      </c>
      <c r="AA1012" s="143">
        <v>18.8</v>
      </c>
      <c r="AB1012" s="170">
        <v>45882</v>
      </c>
      <c r="AC1012" s="143"/>
      <c r="AD1012" s="143"/>
      <c r="AE1012" s="143"/>
      <c r="AF1012" s="143"/>
      <c r="AG1012" s="143"/>
      <c r="AH1012" s="143"/>
      <c r="AI1012" s="143"/>
      <c r="AJ1012" s="143"/>
      <c r="AK1012" s="143"/>
      <c r="AL1012" s="143"/>
      <c r="AM1012" s="143"/>
    </row>
    <row r="1013" s="140" customFormat="1" ht="15" spans="1:39">
      <c r="A1013" s="143">
        <v>1011</v>
      </c>
      <c r="B1013" s="144">
        <v>45883</v>
      </c>
      <c r="C1013" s="169" t="s">
        <v>3277</v>
      </c>
      <c r="D1013" s="143" t="s">
        <v>3167</v>
      </c>
      <c r="E1013" s="186" t="s">
        <v>3149</v>
      </c>
      <c r="F1013" s="143" t="s">
        <v>3278</v>
      </c>
      <c r="G1013" s="143"/>
      <c r="H1013" s="152" t="s">
        <v>3279</v>
      </c>
      <c r="I1013" s="143" t="s">
        <v>3280</v>
      </c>
      <c r="J1013" s="143" t="s">
        <v>304</v>
      </c>
      <c r="K1013" s="143">
        <v>148</v>
      </c>
      <c r="L1013" s="143">
        <v>160</v>
      </c>
      <c r="M1013" s="143"/>
      <c r="N1013" s="143"/>
      <c r="O1013" s="143"/>
      <c r="P1013" s="143"/>
      <c r="Q1013" s="143"/>
      <c r="R1013" s="143"/>
      <c r="S1013" s="146"/>
      <c r="T1013" s="146"/>
      <c r="U1013" s="146"/>
      <c r="V1013" s="147"/>
      <c r="W1013" s="143" t="s">
        <v>3147</v>
      </c>
      <c r="X1013" s="143" t="s">
        <v>3278</v>
      </c>
      <c r="Y1013" s="143" t="s">
        <v>3177</v>
      </c>
      <c r="Z1013" s="143" t="s">
        <v>3278</v>
      </c>
      <c r="AA1013" s="143">
        <v>14.8</v>
      </c>
      <c r="AB1013" s="170">
        <v>45883</v>
      </c>
      <c r="AC1013" s="143"/>
      <c r="AD1013" s="143"/>
      <c r="AE1013" s="143"/>
      <c r="AF1013" s="143"/>
      <c r="AG1013" s="143"/>
      <c r="AH1013" s="143"/>
      <c r="AI1013" s="143"/>
      <c r="AJ1013" s="143"/>
      <c r="AK1013" s="143"/>
      <c r="AL1013" s="143"/>
      <c r="AM1013" s="143"/>
    </row>
    <row r="1014" s="140" customFormat="1" ht="15" spans="1:39">
      <c r="A1014" s="143">
        <v>1012</v>
      </c>
      <c r="B1014" s="144">
        <v>45883</v>
      </c>
      <c r="C1014" s="169" t="s">
        <v>3277</v>
      </c>
      <c r="D1014" s="143" t="s">
        <v>3167</v>
      </c>
      <c r="E1014" s="186" t="s">
        <v>3149</v>
      </c>
      <c r="F1014" s="143" t="s">
        <v>3281</v>
      </c>
      <c r="G1014" s="143"/>
      <c r="H1014" s="152" t="s">
        <v>3282</v>
      </c>
      <c r="I1014" s="143" t="s">
        <v>3170</v>
      </c>
      <c r="J1014" s="143" t="s">
        <v>432</v>
      </c>
      <c r="K1014" s="143">
        <v>150</v>
      </c>
      <c r="L1014" s="143">
        <v>140</v>
      </c>
      <c r="M1014" s="143"/>
      <c r="N1014" s="143"/>
      <c r="O1014" s="143"/>
      <c r="P1014" s="143"/>
      <c r="Q1014" s="143"/>
      <c r="R1014" s="143"/>
      <c r="S1014" s="146"/>
      <c r="T1014" s="146"/>
      <c r="U1014" s="146"/>
      <c r="V1014" s="147"/>
      <c r="W1014" s="143" t="s">
        <v>3147</v>
      </c>
      <c r="X1014" s="143" t="s">
        <v>3281</v>
      </c>
      <c r="Y1014" s="169" t="s">
        <v>3283</v>
      </c>
      <c r="Z1014" s="143" t="s">
        <v>3281</v>
      </c>
      <c r="AA1014" s="143">
        <v>6.2</v>
      </c>
      <c r="AB1014" s="170">
        <v>45883</v>
      </c>
      <c r="AC1014" s="143"/>
      <c r="AD1014" s="143"/>
      <c r="AE1014" s="143"/>
      <c r="AF1014" s="143"/>
      <c r="AG1014" s="143"/>
      <c r="AH1014" s="143"/>
      <c r="AI1014" s="143"/>
      <c r="AJ1014" s="143"/>
      <c r="AK1014" s="143"/>
      <c r="AL1014" s="143"/>
      <c r="AM1014" s="143"/>
    </row>
    <row r="1015" s="140" customFormat="1" ht="15" spans="1:39">
      <c r="A1015" s="143">
        <v>1013</v>
      </c>
      <c r="B1015" s="144">
        <v>45883</v>
      </c>
      <c r="C1015" s="169" t="s">
        <v>3277</v>
      </c>
      <c r="D1015" s="143" t="s">
        <v>3167</v>
      </c>
      <c r="E1015" s="186" t="s">
        <v>3149</v>
      </c>
      <c r="F1015" s="143" t="s">
        <v>3284</v>
      </c>
      <c r="G1015" s="143"/>
      <c r="H1015" s="152" t="s">
        <v>3285</v>
      </c>
      <c r="I1015" s="143" t="s">
        <v>3286</v>
      </c>
      <c r="J1015" s="143" t="s">
        <v>1030</v>
      </c>
      <c r="K1015" s="143">
        <v>150</v>
      </c>
      <c r="L1015" s="143">
        <v>120</v>
      </c>
      <c r="M1015" s="143"/>
      <c r="N1015" s="143"/>
      <c r="O1015" s="143"/>
      <c r="P1015" s="143"/>
      <c r="Q1015" s="143"/>
      <c r="R1015" s="143"/>
      <c r="S1015" s="146"/>
      <c r="T1015" s="146"/>
      <c r="U1015" s="146"/>
      <c r="V1015" s="147"/>
      <c r="W1015" s="143" t="s">
        <v>3147</v>
      </c>
      <c r="X1015" s="143" t="s">
        <v>3284</v>
      </c>
      <c r="Y1015" s="169" t="s">
        <v>3283</v>
      </c>
      <c r="Z1015" s="143" t="s">
        <v>3284</v>
      </c>
      <c r="AA1015" s="143">
        <v>7.6</v>
      </c>
      <c r="AB1015" s="170">
        <v>45883</v>
      </c>
      <c r="AC1015" s="143"/>
      <c r="AD1015" s="143"/>
      <c r="AE1015" s="143"/>
      <c r="AF1015" s="143"/>
      <c r="AG1015" s="143"/>
      <c r="AH1015" s="143"/>
      <c r="AI1015" s="143"/>
      <c r="AJ1015" s="143"/>
      <c r="AK1015" s="143"/>
      <c r="AL1015" s="143"/>
      <c r="AM1015" s="143"/>
    </row>
    <row r="1016" s="140" customFormat="1" ht="15" spans="1:39">
      <c r="A1016" s="143">
        <v>1014</v>
      </c>
      <c r="B1016" s="144">
        <v>45883</v>
      </c>
      <c r="C1016" s="169" t="s">
        <v>3277</v>
      </c>
      <c r="D1016" s="143" t="s">
        <v>3167</v>
      </c>
      <c r="E1016" s="186" t="s">
        <v>3149</v>
      </c>
      <c r="F1016" s="169" t="s">
        <v>3287</v>
      </c>
      <c r="G1016" s="169"/>
      <c r="H1016" s="152" t="s">
        <v>3288</v>
      </c>
      <c r="I1016" s="143" t="s">
        <v>3218</v>
      </c>
      <c r="J1016" s="143" t="s">
        <v>1577</v>
      </c>
      <c r="K1016" s="143">
        <v>150</v>
      </c>
      <c r="L1016" s="143">
        <v>150</v>
      </c>
      <c r="M1016" s="143"/>
      <c r="N1016" s="143"/>
      <c r="O1016" s="143"/>
      <c r="P1016" s="143"/>
      <c r="Q1016" s="143"/>
      <c r="R1016" s="143"/>
      <c r="S1016" s="146"/>
      <c r="T1016" s="146"/>
      <c r="U1016" s="146"/>
      <c r="V1016" s="147"/>
      <c r="W1016" s="143" t="s">
        <v>3147</v>
      </c>
      <c r="X1016" s="169" t="s">
        <v>3287</v>
      </c>
      <c r="Y1016" s="169" t="s">
        <v>3283</v>
      </c>
      <c r="Z1016" s="169" t="s">
        <v>3287</v>
      </c>
      <c r="AA1016" s="143">
        <v>7.2</v>
      </c>
      <c r="AB1016" s="170">
        <v>45883</v>
      </c>
      <c r="AC1016" s="143"/>
      <c r="AD1016" s="143"/>
      <c r="AE1016" s="143"/>
      <c r="AF1016" s="143"/>
      <c r="AG1016" s="143"/>
      <c r="AH1016" s="143"/>
      <c r="AI1016" s="143"/>
      <c r="AJ1016" s="143"/>
      <c r="AK1016" s="143"/>
      <c r="AL1016" s="143"/>
      <c r="AM1016" s="143"/>
    </row>
    <row r="1017" s="140" customFormat="1" ht="15" spans="1:39">
      <c r="A1017" s="143">
        <v>1015</v>
      </c>
      <c r="B1017" s="144">
        <v>45883</v>
      </c>
      <c r="C1017" s="169" t="s">
        <v>3277</v>
      </c>
      <c r="D1017" s="143" t="s">
        <v>3167</v>
      </c>
      <c r="E1017" s="186" t="s">
        <v>3149</v>
      </c>
      <c r="F1017" s="143" t="s">
        <v>3289</v>
      </c>
      <c r="G1017" s="143"/>
      <c r="H1017" s="152" t="s">
        <v>3290</v>
      </c>
      <c r="I1017" s="143" t="s">
        <v>3291</v>
      </c>
      <c r="J1017" s="143" t="s">
        <v>2115</v>
      </c>
      <c r="K1017" s="143">
        <v>150</v>
      </c>
      <c r="L1017" s="143">
        <v>145</v>
      </c>
      <c r="M1017" s="143"/>
      <c r="N1017" s="143"/>
      <c r="O1017" s="143"/>
      <c r="P1017" s="143"/>
      <c r="Q1017" s="143"/>
      <c r="R1017" s="143"/>
      <c r="S1017" s="146"/>
      <c r="T1017" s="146"/>
      <c r="U1017" s="146"/>
      <c r="V1017" s="147"/>
      <c r="W1017" s="143" t="s">
        <v>3147</v>
      </c>
      <c r="X1017" s="143" t="s">
        <v>3289</v>
      </c>
      <c r="Y1017" s="143" t="s">
        <v>3147</v>
      </c>
      <c r="Z1017" s="143" t="s">
        <v>3289</v>
      </c>
      <c r="AA1017" s="143">
        <v>7.2</v>
      </c>
      <c r="AB1017" s="170">
        <v>45883</v>
      </c>
      <c r="AC1017" s="143"/>
      <c r="AD1017" s="143"/>
      <c r="AE1017" s="143"/>
      <c r="AF1017" s="143"/>
      <c r="AG1017" s="143"/>
      <c r="AH1017" s="143"/>
      <c r="AI1017" s="143"/>
      <c r="AJ1017" s="143"/>
      <c r="AK1017" s="143"/>
      <c r="AL1017" s="143"/>
      <c r="AM1017" s="143"/>
    </row>
    <row r="1018" s="140" customFormat="1" ht="15" spans="1:39">
      <c r="A1018" s="143">
        <v>1016</v>
      </c>
      <c r="B1018" s="144">
        <v>45883</v>
      </c>
      <c r="C1018" s="169" t="s">
        <v>3277</v>
      </c>
      <c r="D1018" s="143" t="s">
        <v>3167</v>
      </c>
      <c r="E1018" s="186" t="s">
        <v>3149</v>
      </c>
      <c r="F1018" s="143" t="s">
        <v>3292</v>
      </c>
      <c r="G1018" s="143"/>
      <c r="H1018" s="152" t="s">
        <v>3293</v>
      </c>
      <c r="I1018" s="143" t="s">
        <v>3294</v>
      </c>
      <c r="J1018" s="143" t="s">
        <v>3295</v>
      </c>
      <c r="K1018" s="143">
        <v>150</v>
      </c>
      <c r="L1018" s="143">
        <v>110</v>
      </c>
      <c r="M1018" s="143"/>
      <c r="N1018" s="143"/>
      <c r="O1018" s="143"/>
      <c r="P1018" s="143"/>
      <c r="Q1018" s="143"/>
      <c r="R1018" s="143"/>
      <c r="S1018" s="146"/>
      <c r="T1018" s="146"/>
      <c r="U1018" s="146"/>
      <c r="V1018" s="147"/>
      <c r="W1018" s="143" t="s">
        <v>3147</v>
      </c>
      <c r="X1018" s="143" t="s">
        <v>3292</v>
      </c>
      <c r="Y1018" s="169" t="s">
        <v>3283</v>
      </c>
      <c r="Z1018" s="143" t="s">
        <v>3292</v>
      </c>
      <c r="AA1018" s="143">
        <v>11.3</v>
      </c>
      <c r="AB1018" s="170">
        <v>45883</v>
      </c>
      <c r="AC1018" s="143"/>
      <c r="AD1018" s="143"/>
      <c r="AE1018" s="143"/>
      <c r="AF1018" s="143"/>
      <c r="AG1018" s="143"/>
      <c r="AH1018" s="143"/>
      <c r="AI1018" s="143"/>
      <c r="AJ1018" s="143"/>
      <c r="AK1018" s="143"/>
      <c r="AL1018" s="143"/>
      <c r="AM1018" s="143"/>
    </row>
    <row r="1019" s="140" customFormat="1" ht="15" spans="1:39">
      <c r="A1019" s="143">
        <v>1017</v>
      </c>
      <c r="B1019" s="144">
        <v>45883</v>
      </c>
      <c r="C1019" s="169" t="s">
        <v>3277</v>
      </c>
      <c r="D1019" s="143" t="s">
        <v>3167</v>
      </c>
      <c r="E1019" s="186" t="s">
        <v>3296</v>
      </c>
      <c r="F1019" s="143" t="s">
        <v>3297</v>
      </c>
      <c r="G1019" s="143"/>
      <c r="H1019" s="152" t="s">
        <v>3298</v>
      </c>
      <c r="I1019" s="143" t="s">
        <v>3218</v>
      </c>
      <c r="J1019" s="143" t="s">
        <v>1577</v>
      </c>
      <c r="K1019" s="143">
        <v>125</v>
      </c>
      <c r="L1019" s="143">
        <v>110</v>
      </c>
      <c r="M1019" s="143"/>
      <c r="N1019" s="143"/>
      <c r="O1019" s="143"/>
      <c r="P1019" s="143"/>
      <c r="Q1019" s="143"/>
      <c r="R1019" s="143"/>
      <c r="S1019" s="146"/>
      <c r="T1019" s="146"/>
      <c r="U1019" s="146"/>
      <c r="V1019" s="147"/>
      <c r="W1019" s="143" t="s">
        <v>3147</v>
      </c>
      <c r="X1019" s="143" t="s">
        <v>3297</v>
      </c>
      <c r="Y1019" s="169" t="s">
        <v>3299</v>
      </c>
      <c r="Z1019" s="143" t="s">
        <v>3297</v>
      </c>
      <c r="AA1019" s="143">
        <v>17.5</v>
      </c>
      <c r="AB1019" s="170">
        <v>45883</v>
      </c>
      <c r="AC1019" s="143"/>
      <c r="AD1019" s="143"/>
      <c r="AE1019" s="143"/>
      <c r="AF1019" s="143"/>
      <c r="AG1019" s="143"/>
      <c r="AH1019" s="143"/>
      <c r="AI1019" s="143"/>
      <c r="AJ1019" s="143"/>
      <c r="AK1019" s="143"/>
      <c r="AL1019" s="143"/>
      <c r="AM1019" s="143"/>
    </row>
    <row r="1020" s="140" customFormat="1" ht="15" spans="1:39">
      <c r="A1020" s="143">
        <v>1018</v>
      </c>
      <c r="B1020" s="144">
        <v>45883</v>
      </c>
      <c r="C1020" s="169" t="s">
        <v>3277</v>
      </c>
      <c r="D1020" s="143" t="s">
        <v>3167</v>
      </c>
      <c r="E1020" s="186" t="s">
        <v>3296</v>
      </c>
      <c r="F1020" s="143" t="s">
        <v>3300</v>
      </c>
      <c r="G1020" s="143"/>
      <c r="H1020" s="152" t="s">
        <v>3301</v>
      </c>
      <c r="I1020" s="143" t="s">
        <v>3218</v>
      </c>
      <c r="J1020" s="143" t="s">
        <v>1577</v>
      </c>
      <c r="K1020" s="143">
        <v>110</v>
      </c>
      <c r="L1020" s="143">
        <v>120</v>
      </c>
      <c r="M1020" s="143"/>
      <c r="N1020" s="143"/>
      <c r="O1020" s="143"/>
      <c r="P1020" s="143"/>
      <c r="Q1020" s="143"/>
      <c r="R1020" s="143"/>
      <c r="S1020" s="146"/>
      <c r="T1020" s="146"/>
      <c r="U1020" s="146"/>
      <c r="V1020" s="147"/>
      <c r="W1020" s="143" t="s">
        <v>3147</v>
      </c>
      <c r="X1020" s="143" t="s">
        <v>3300</v>
      </c>
      <c r="Y1020" s="169" t="s">
        <v>3299</v>
      </c>
      <c r="Z1020" s="143" t="s">
        <v>3300</v>
      </c>
      <c r="AA1020" s="143">
        <v>17.8</v>
      </c>
      <c r="AB1020" s="170">
        <v>45883</v>
      </c>
      <c r="AC1020" s="143"/>
      <c r="AD1020" s="143"/>
      <c r="AE1020" s="143"/>
      <c r="AF1020" s="143"/>
      <c r="AG1020" s="143"/>
      <c r="AH1020" s="143"/>
      <c r="AI1020" s="143"/>
      <c r="AJ1020" s="143"/>
      <c r="AK1020" s="143"/>
      <c r="AL1020" s="143"/>
      <c r="AM1020" s="143"/>
    </row>
    <row r="1021" s="140" customFormat="1" ht="15" spans="1:39">
      <c r="A1021" s="143">
        <v>1019</v>
      </c>
      <c r="B1021" s="144">
        <v>45883</v>
      </c>
      <c r="C1021" s="169" t="s">
        <v>3277</v>
      </c>
      <c r="D1021" s="143" t="s">
        <v>3167</v>
      </c>
      <c r="E1021" s="186" t="s">
        <v>3296</v>
      </c>
      <c r="F1021" s="143" t="s">
        <v>3302</v>
      </c>
      <c r="G1021" s="143"/>
      <c r="H1021" s="152" t="s">
        <v>3303</v>
      </c>
      <c r="I1021" s="143" t="s">
        <v>3304</v>
      </c>
      <c r="J1021" s="143" t="s">
        <v>1518</v>
      </c>
      <c r="K1021" s="143">
        <v>110</v>
      </c>
      <c r="L1021" s="143">
        <v>150</v>
      </c>
      <c r="M1021" s="143"/>
      <c r="N1021" s="143"/>
      <c r="O1021" s="143"/>
      <c r="P1021" s="143"/>
      <c r="Q1021" s="143"/>
      <c r="R1021" s="143"/>
      <c r="S1021" s="146"/>
      <c r="T1021" s="146"/>
      <c r="U1021" s="146"/>
      <c r="V1021" s="147"/>
      <c r="W1021" s="143" t="s">
        <v>3147</v>
      </c>
      <c r="X1021" s="143" t="s">
        <v>3302</v>
      </c>
      <c r="Y1021" s="143" t="s">
        <v>3305</v>
      </c>
      <c r="Z1021" s="143" t="s">
        <v>3302</v>
      </c>
      <c r="AA1021" s="143">
        <v>11.3</v>
      </c>
      <c r="AB1021" s="170">
        <v>45883</v>
      </c>
      <c r="AC1021" s="143"/>
      <c r="AD1021" s="143"/>
      <c r="AE1021" s="143"/>
      <c r="AF1021" s="143"/>
      <c r="AG1021" s="143"/>
      <c r="AH1021" s="143"/>
      <c r="AI1021" s="143"/>
      <c r="AJ1021" s="143"/>
      <c r="AK1021" s="143"/>
      <c r="AL1021" s="143"/>
      <c r="AM1021" s="143"/>
    </row>
    <row r="1022" s="140" customFormat="1" ht="15" spans="1:39">
      <c r="A1022" s="143">
        <v>1020</v>
      </c>
      <c r="B1022" s="144">
        <v>45883</v>
      </c>
      <c r="C1022" s="169" t="s">
        <v>3277</v>
      </c>
      <c r="D1022" s="143" t="s">
        <v>3167</v>
      </c>
      <c r="E1022" s="186" t="s">
        <v>3296</v>
      </c>
      <c r="F1022" s="143" t="s">
        <v>3306</v>
      </c>
      <c r="G1022" s="143"/>
      <c r="H1022" s="152" t="s">
        <v>3307</v>
      </c>
      <c r="I1022" s="143" t="s">
        <v>3218</v>
      </c>
      <c r="J1022" s="143" t="s">
        <v>1577</v>
      </c>
      <c r="K1022" s="143">
        <v>150</v>
      </c>
      <c r="L1022" s="143">
        <v>136</v>
      </c>
      <c r="M1022" s="143"/>
      <c r="N1022" s="143"/>
      <c r="O1022" s="143"/>
      <c r="P1022" s="143"/>
      <c r="Q1022" s="143"/>
      <c r="R1022" s="143"/>
      <c r="S1022" s="146"/>
      <c r="T1022" s="146"/>
      <c r="U1022" s="146"/>
      <c r="V1022" s="147"/>
      <c r="W1022" s="143" t="s">
        <v>3147</v>
      </c>
      <c r="X1022" s="143" t="s">
        <v>3306</v>
      </c>
      <c r="Y1022" s="143" t="s">
        <v>3305</v>
      </c>
      <c r="Z1022" s="143" t="s">
        <v>3306</v>
      </c>
      <c r="AA1022" s="143">
        <v>13.8</v>
      </c>
      <c r="AB1022" s="170">
        <v>45883</v>
      </c>
      <c r="AC1022" s="143"/>
      <c r="AD1022" s="143"/>
      <c r="AE1022" s="143"/>
      <c r="AF1022" s="143"/>
      <c r="AG1022" s="143"/>
      <c r="AH1022" s="143"/>
      <c r="AI1022" s="143"/>
      <c r="AJ1022" s="143"/>
      <c r="AK1022" s="143"/>
      <c r="AL1022" s="143"/>
      <c r="AM1022" s="143"/>
    </row>
    <row r="1023" s="140" customFormat="1" ht="15" spans="1:39">
      <c r="A1023" s="143">
        <v>1021</v>
      </c>
      <c r="B1023" s="144">
        <v>45883</v>
      </c>
      <c r="C1023" s="169" t="s">
        <v>3277</v>
      </c>
      <c r="D1023" s="143" t="s">
        <v>3167</v>
      </c>
      <c r="E1023" s="186" t="s">
        <v>3296</v>
      </c>
      <c r="F1023" s="143">
        <v>2821</v>
      </c>
      <c r="G1023" s="143"/>
      <c r="H1023" s="152" t="s">
        <v>3308</v>
      </c>
      <c r="I1023" s="143" t="s">
        <v>3309</v>
      </c>
      <c r="J1023" s="143" t="s">
        <v>1030</v>
      </c>
      <c r="K1023" s="143">
        <v>153</v>
      </c>
      <c r="L1023" s="143">
        <v>115</v>
      </c>
      <c r="M1023" s="143"/>
      <c r="N1023" s="143"/>
      <c r="O1023" s="143"/>
      <c r="P1023" s="143"/>
      <c r="Q1023" s="143"/>
      <c r="R1023" s="143"/>
      <c r="S1023" s="146"/>
      <c r="T1023" s="146"/>
      <c r="U1023" s="146"/>
      <c r="V1023" s="147"/>
      <c r="W1023" s="143" t="s">
        <v>3147</v>
      </c>
      <c r="X1023" s="143">
        <v>2821</v>
      </c>
      <c r="Y1023" s="169" t="s">
        <v>3310</v>
      </c>
      <c r="Z1023" s="143">
        <v>2821</v>
      </c>
      <c r="AA1023" s="143">
        <v>11.3</v>
      </c>
      <c r="AB1023" s="170">
        <v>45887</v>
      </c>
      <c r="AC1023" s="143"/>
      <c r="AD1023" s="143"/>
      <c r="AE1023" s="143"/>
      <c r="AF1023" s="143"/>
      <c r="AG1023" s="143"/>
      <c r="AH1023" s="143"/>
      <c r="AI1023" s="143"/>
      <c r="AJ1023" s="143"/>
      <c r="AK1023" s="143"/>
      <c r="AL1023" s="143"/>
      <c r="AM1023" s="143"/>
    </row>
    <row r="1024" s="140" customFormat="1" ht="15" spans="1:39">
      <c r="A1024" s="143">
        <v>1022</v>
      </c>
      <c r="B1024" s="144">
        <v>45883</v>
      </c>
      <c r="C1024" s="169" t="s">
        <v>3277</v>
      </c>
      <c r="D1024" s="143" t="s">
        <v>3167</v>
      </c>
      <c r="E1024" s="186" t="s">
        <v>3296</v>
      </c>
      <c r="F1024" s="143" t="s">
        <v>3311</v>
      </c>
      <c r="G1024" s="143"/>
      <c r="H1024" s="152" t="s">
        <v>3312</v>
      </c>
      <c r="I1024" s="143"/>
      <c r="J1024" s="143"/>
      <c r="K1024" s="168"/>
      <c r="L1024" s="168"/>
      <c r="M1024" s="143"/>
      <c r="N1024" s="143"/>
      <c r="O1024" s="143"/>
      <c r="P1024" s="143"/>
      <c r="Q1024" s="169" t="s">
        <v>3313</v>
      </c>
      <c r="R1024" s="143"/>
      <c r="S1024" s="146"/>
      <c r="T1024" s="146"/>
      <c r="U1024" s="146"/>
      <c r="V1024" s="147"/>
      <c r="W1024" s="143" t="s">
        <v>3147</v>
      </c>
      <c r="X1024" s="143" t="s">
        <v>3311</v>
      </c>
      <c r="Y1024" s="143" t="s">
        <v>1594</v>
      </c>
      <c r="Z1024" s="143" t="s">
        <v>3311</v>
      </c>
      <c r="AA1024" s="168"/>
      <c r="AB1024" s="170"/>
      <c r="AC1024" s="143"/>
      <c r="AD1024" s="143"/>
      <c r="AE1024" s="143"/>
      <c r="AF1024" s="143"/>
      <c r="AG1024" s="143"/>
      <c r="AH1024" s="169" t="s">
        <v>3314</v>
      </c>
      <c r="AI1024" s="143"/>
      <c r="AJ1024" s="143"/>
      <c r="AK1024" s="143"/>
      <c r="AL1024" s="143"/>
      <c r="AM1024" s="143"/>
    </row>
    <row r="1025" s="140" customFormat="1" ht="15" spans="1:39">
      <c r="A1025" s="143">
        <v>1023</v>
      </c>
      <c r="B1025" s="144">
        <v>45883</v>
      </c>
      <c r="C1025" s="169" t="s">
        <v>3277</v>
      </c>
      <c r="D1025" s="143" t="s">
        <v>3167</v>
      </c>
      <c r="E1025" s="186" t="s">
        <v>3296</v>
      </c>
      <c r="F1025" s="143" t="s">
        <v>3315</v>
      </c>
      <c r="G1025" s="143"/>
      <c r="H1025" s="152" t="s">
        <v>3316</v>
      </c>
      <c r="I1025" s="143" t="s">
        <v>3218</v>
      </c>
      <c r="J1025" s="143" t="s">
        <v>1577</v>
      </c>
      <c r="K1025" s="143">
        <v>150</v>
      </c>
      <c r="L1025" s="143">
        <v>120</v>
      </c>
      <c r="M1025" s="143"/>
      <c r="N1025" s="143"/>
      <c r="O1025" s="143"/>
      <c r="P1025" s="143"/>
      <c r="Q1025" s="143"/>
      <c r="R1025" s="143"/>
      <c r="S1025" s="146"/>
      <c r="T1025" s="146"/>
      <c r="U1025" s="146"/>
      <c r="V1025" s="147"/>
      <c r="W1025" s="143" t="s">
        <v>3147</v>
      </c>
      <c r="X1025" s="143" t="s">
        <v>3315</v>
      </c>
      <c r="Y1025" s="143" t="s">
        <v>3283</v>
      </c>
      <c r="Z1025" s="143" t="s">
        <v>3315</v>
      </c>
      <c r="AA1025" s="143">
        <v>5.7</v>
      </c>
      <c r="AB1025" s="170">
        <v>45883</v>
      </c>
      <c r="AC1025" s="143"/>
      <c r="AD1025" s="143"/>
      <c r="AE1025" s="143"/>
      <c r="AF1025" s="143"/>
      <c r="AG1025" s="143"/>
      <c r="AH1025" s="143"/>
      <c r="AI1025" s="143"/>
      <c r="AJ1025" s="143"/>
      <c r="AK1025" s="143"/>
      <c r="AL1025" s="143"/>
      <c r="AM1025" s="143"/>
    </row>
    <row r="1026" s="140" customFormat="1" ht="15" spans="1:39">
      <c r="A1026" s="143">
        <v>1024</v>
      </c>
      <c r="B1026" s="144">
        <v>45883</v>
      </c>
      <c r="C1026" s="169" t="s">
        <v>3277</v>
      </c>
      <c r="D1026" s="143" t="s">
        <v>3167</v>
      </c>
      <c r="E1026" s="186" t="s">
        <v>3296</v>
      </c>
      <c r="F1026" s="143" t="s">
        <v>3317</v>
      </c>
      <c r="G1026" s="143"/>
      <c r="H1026" s="152" t="s">
        <v>3318</v>
      </c>
      <c r="I1026" s="143" t="s">
        <v>3319</v>
      </c>
      <c r="J1026" s="143" t="s">
        <v>3320</v>
      </c>
      <c r="K1026" s="143">
        <v>150</v>
      </c>
      <c r="L1026" s="143">
        <v>100</v>
      </c>
      <c r="M1026" s="143"/>
      <c r="N1026" s="143"/>
      <c r="O1026" s="143"/>
      <c r="P1026" s="143"/>
      <c r="Q1026" s="143"/>
      <c r="R1026" s="143"/>
      <c r="S1026" s="146"/>
      <c r="T1026" s="146"/>
      <c r="U1026" s="146"/>
      <c r="V1026" s="147"/>
      <c r="W1026" s="143" t="s">
        <v>3147</v>
      </c>
      <c r="X1026" s="143" t="s">
        <v>3317</v>
      </c>
      <c r="Y1026" s="143" t="s">
        <v>3283</v>
      </c>
      <c r="Z1026" s="143" t="s">
        <v>3317</v>
      </c>
      <c r="AA1026" s="143">
        <v>7.8</v>
      </c>
      <c r="AB1026" s="170">
        <v>45883</v>
      </c>
      <c r="AC1026" s="143"/>
      <c r="AD1026" s="143"/>
      <c r="AE1026" s="143"/>
      <c r="AF1026" s="143"/>
      <c r="AG1026" s="143"/>
      <c r="AH1026" s="143"/>
      <c r="AI1026" s="143"/>
      <c r="AJ1026" s="143"/>
      <c r="AK1026" s="143"/>
      <c r="AL1026" s="143"/>
      <c r="AM1026" s="143"/>
    </row>
    <row r="1027" s="140" customFormat="1" ht="15" spans="1:39">
      <c r="A1027" s="143">
        <v>1025</v>
      </c>
      <c r="B1027" s="144">
        <v>45883</v>
      </c>
      <c r="C1027" s="169" t="s">
        <v>3277</v>
      </c>
      <c r="D1027" s="143" t="s">
        <v>3167</v>
      </c>
      <c r="E1027" s="186" t="s">
        <v>3296</v>
      </c>
      <c r="F1027" s="143" t="s">
        <v>3321</v>
      </c>
      <c r="G1027" s="143"/>
      <c r="H1027" s="152" t="s">
        <v>3322</v>
      </c>
      <c r="I1027" s="143" t="s">
        <v>3323</v>
      </c>
      <c r="J1027" s="143" t="s">
        <v>1058</v>
      </c>
      <c r="K1027" s="143">
        <v>150</v>
      </c>
      <c r="L1027" s="143">
        <v>120</v>
      </c>
      <c r="M1027" s="143"/>
      <c r="N1027" s="143"/>
      <c r="O1027" s="143"/>
      <c r="P1027" s="143"/>
      <c r="Q1027" s="143"/>
      <c r="R1027" s="143"/>
      <c r="S1027" s="146"/>
      <c r="T1027" s="146"/>
      <c r="U1027" s="146"/>
      <c r="V1027" s="147"/>
      <c r="W1027" s="143" t="s">
        <v>3147</v>
      </c>
      <c r="X1027" s="143" t="s">
        <v>3321</v>
      </c>
      <c r="Y1027" s="143" t="s">
        <v>3283</v>
      </c>
      <c r="Z1027" s="143" t="s">
        <v>3321</v>
      </c>
      <c r="AA1027" s="143">
        <v>8.8</v>
      </c>
      <c r="AB1027" s="170">
        <v>45883</v>
      </c>
      <c r="AC1027" s="143"/>
      <c r="AD1027" s="143"/>
      <c r="AE1027" s="143"/>
      <c r="AF1027" s="143"/>
      <c r="AG1027" s="143"/>
      <c r="AH1027" s="143"/>
      <c r="AI1027" s="143"/>
      <c r="AJ1027" s="143"/>
      <c r="AK1027" s="143"/>
      <c r="AL1027" s="143"/>
      <c r="AM1027" s="143"/>
    </row>
    <row r="1028" s="140" customFormat="1" ht="15" spans="1:39">
      <c r="A1028" s="143">
        <v>1026</v>
      </c>
      <c r="B1028" s="144">
        <v>45883</v>
      </c>
      <c r="C1028" s="169" t="s">
        <v>3277</v>
      </c>
      <c r="D1028" s="143" t="s">
        <v>3167</v>
      </c>
      <c r="E1028" s="186" t="s">
        <v>3296</v>
      </c>
      <c r="F1028" s="143" t="s">
        <v>3324</v>
      </c>
      <c r="G1028" s="143"/>
      <c r="H1028" s="152" t="s">
        <v>3325</v>
      </c>
      <c r="I1028" s="143" t="s">
        <v>3326</v>
      </c>
      <c r="J1028" s="143" t="s">
        <v>1911</v>
      </c>
      <c r="K1028" s="143">
        <v>150</v>
      </c>
      <c r="L1028" s="143">
        <v>80</v>
      </c>
      <c r="M1028" s="143"/>
      <c r="N1028" s="143"/>
      <c r="O1028" s="143"/>
      <c r="P1028" s="143"/>
      <c r="Q1028" s="143"/>
      <c r="R1028" s="143"/>
      <c r="S1028" s="146"/>
      <c r="T1028" s="146"/>
      <c r="U1028" s="146"/>
      <c r="V1028" s="147"/>
      <c r="W1028" s="143" t="s">
        <v>3147</v>
      </c>
      <c r="X1028" s="143" t="s">
        <v>3324</v>
      </c>
      <c r="Y1028" s="143" t="s">
        <v>3283</v>
      </c>
      <c r="Z1028" s="143" t="s">
        <v>3324</v>
      </c>
      <c r="AA1028" s="143">
        <v>9.6</v>
      </c>
      <c r="AB1028" s="170">
        <v>45883</v>
      </c>
      <c r="AC1028" s="143"/>
      <c r="AD1028" s="143"/>
      <c r="AE1028" s="143"/>
      <c r="AF1028" s="143"/>
      <c r="AG1028" s="143"/>
      <c r="AH1028" s="143"/>
      <c r="AI1028" s="143"/>
      <c r="AJ1028" s="143"/>
      <c r="AK1028" s="143"/>
      <c r="AL1028" s="143"/>
      <c r="AM1028" s="143"/>
    </row>
    <row r="1029" s="140" customFormat="1" ht="15" spans="1:39">
      <c r="A1029" s="143">
        <v>1027</v>
      </c>
      <c r="B1029" s="144">
        <v>45883</v>
      </c>
      <c r="C1029" s="169" t="s">
        <v>3277</v>
      </c>
      <c r="D1029" s="143" t="s">
        <v>3167</v>
      </c>
      <c r="E1029" s="186" t="s">
        <v>3296</v>
      </c>
      <c r="F1029" s="143" t="s">
        <v>3327</v>
      </c>
      <c r="G1029" s="143"/>
      <c r="H1029" s="152" t="s">
        <v>3328</v>
      </c>
      <c r="I1029" s="143" t="s">
        <v>3218</v>
      </c>
      <c r="J1029" s="143" t="s">
        <v>1577</v>
      </c>
      <c r="K1029" s="143">
        <v>150</v>
      </c>
      <c r="L1029" s="143">
        <v>150</v>
      </c>
      <c r="M1029" s="143"/>
      <c r="N1029" s="143"/>
      <c r="O1029" s="143"/>
      <c r="P1029" s="143"/>
      <c r="Q1029" s="143"/>
      <c r="R1029" s="143"/>
      <c r="S1029" s="146"/>
      <c r="T1029" s="146"/>
      <c r="U1029" s="146"/>
      <c r="V1029" s="147"/>
      <c r="W1029" s="143" t="s">
        <v>3147</v>
      </c>
      <c r="X1029" s="143" t="s">
        <v>3327</v>
      </c>
      <c r="Y1029" s="143" t="s">
        <v>3283</v>
      </c>
      <c r="Z1029" s="143" t="s">
        <v>3327</v>
      </c>
      <c r="AA1029" s="143">
        <v>9.5</v>
      </c>
      <c r="AB1029" s="170">
        <v>45883</v>
      </c>
      <c r="AC1029" s="143"/>
      <c r="AD1029" s="143"/>
      <c r="AE1029" s="143"/>
      <c r="AF1029" s="143"/>
      <c r="AG1029" s="143"/>
      <c r="AH1029" s="143"/>
      <c r="AI1029" s="143"/>
      <c r="AJ1029" s="143"/>
      <c r="AK1029" s="143"/>
      <c r="AL1029" s="143"/>
      <c r="AM1029" s="143"/>
    </row>
    <row r="1030" s="140" customFormat="1" ht="15" spans="1:39">
      <c r="A1030" s="143">
        <v>1028</v>
      </c>
      <c r="B1030" s="144">
        <v>45883</v>
      </c>
      <c r="C1030" s="169" t="s">
        <v>3277</v>
      </c>
      <c r="D1030" s="143" t="s">
        <v>3167</v>
      </c>
      <c r="E1030" s="186" t="s">
        <v>3296</v>
      </c>
      <c r="F1030" s="143" t="s">
        <v>3329</v>
      </c>
      <c r="G1030" s="143"/>
      <c r="H1030" s="152" t="s">
        <v>3330</v>
      </c>
      <c r="I1030" s="143" t="s">
        <v>3218</v>
      </c>
      <c r="J1030" s="143" t="s">
        <v>1577</v>
      </c>
      <c r="K1030" s="143">
        <v>150</v>
      </c>
      <c r="L1030" s="143">
        <v>100</v>
      </c>
      <c r="M1030" s="143"/>
      <c r="N1030" s="143"/>
      <c r="O1030" s="143"/>
      <c r="P1030" s="143"/>
      <c r="Q1030" s="143"/>
      <c r="R1030" s="143"/>
      <c r="S1030" s="146"/>
      <c r="T1030" s="146"/>
      <c r="U1030" s="146"/>
      <c r="V1030" s="147"/>
      <c r="W1030" s="143" t="s">
        <v>3147</v>
      </c>
      <c r="X1030" s="143" t="s">
        <v>3329</v>
      </c>
      <c r="Y1030" s="143" t="s">
        <v>3283</v>
      </c>
      <c r="Z1030" s="143" t="s">
        <v>3329</v>
      </c>
      <c r="AA1030" s="143">
        <v>8.1</v>
      </c>
      <c r="AB1030" s="170">
        <v>45883</v>
      </c>
      <c r="AC1030" s="143"/>
      <c r="AD1030" s="143"/>
      <c r="AE1030" s="143"/>
      <c r="AF1030" s="143"/>
      <c r="AG1030" s="143"/>
      <c r="AH1030" s="143"/>
      <c r="AI1030" s="143"/>
      <c r="AJ1030" s="143"/>
      <c r="AK1030" s="143"/>
      <c r="AL1030" s="143"/>
      <c r="AM1030" s="143"/>
    </row>
    <row r="1031" s="140" customFormat="1" ht="15" spans="1:39">
      <c r="A1031" s="143">
        <v>1029</v>
      </c>
      <c r="B1031" s="144">
        <v>45883</v>
      </c>
      <c r="C1031" s="169" t="s">
        <v>3277</v>
      </c>
      <c r="D1031" s="143" t="s">
        <v>3167</v>
      </c>
      <c r="E1031" s="186" t="s">
        <v>3296</v>
      </c>
      <c r="F1031" s="143" t="s">
        <v>3331</v>
      </c>
      <c r="G1031" s="143"/>
      <c r="H1031" s="152" t="s">
        <v>3332</v>
      </c>
      <c r="I1031" s="143" t="s">
        <v>3333</v>
      </c>
      <c r="J1031" s="143" t="s">
        <v>3334</v>
      </c>
      <c r="K1031" s="143">
        <v>150</v>
      </c>
      <c r="L1031" s="143">
        <v>115</v>
      </c>
      <c r="M1031" s="143"/>
      <c r="N1031" s="143"/>
      <c r="O1031" s="143"/>
      <c r="P1031" s="143"/>
      <c r="Q1031" s="143"/>
      <c r="R1031" s="143"/>
      <c r="S1031" s="146"/>
      <c r="T1031" s="146"/>
      <c r="U1031" s="146"/>
      <c r="V1031" s="147"/>
      <c r="W1031" s="143" t="s">
        <v>3147</v>
      </c>
      <c r="X1031" s="143" t="s">
        <v>3331</v>
      </c>
      <c r="Y1031" s="143" t="s">
        <v>3283</v>
      </c>
      <c r="Z1031" s="143" t="s">
        <v>3331</v>
      </c>
      <c r="AA1031" s="143">
        <v>9.5</v>
      </c>
      <c r="AB1031" s="170">
        <v>45883</v>
      </c>
      <c r="AC1031" s="143"/>
      <c r="AD1031" s="143"/>
      <c r="AE1031" s="143"/>
      <c r="AF1031" s="143"/>
      <c r="AG1031" s="143"/>
      <c r="AH1031" s="143"/>
      <c r="AI1031" s="143"/>
      <c r="AJ1031" s="143"/>
      <c r="AK1031" s="143"/>
      <c r="AL1031" s="143"/>
      <c r="AM1031" s="143"/>
    </row>
    <row r="1032" s="140" customFormat="1" ht="15" spans="1:39">
      <c r="A1032" s="143">
        <v>1030</v>
      </c>
      <c r="B1032" s="144">
        <v>45883</v>
      </c>
      <c r="C1032" s="169" t="s">
        <v>3277</v>
      </c>
      <c r="D1032" s="143" t="s">
        <v>3167</v>
      </c>
      <c r="E1032" s="186" t="s">
        <v>3296</v>
      </c>
      <c r="F1032" s="143" t="s">
        <v>3335</v>
      </c>
      <c r="G1032" s="143"/>
      <c r="H1032" s="152" t="s">
        <v>3336</v>
      </c>
      <c r="I1032" s="143" t="s">
        <v>3218</v>
      </c>
      <c r="J1032" s="143" t="s">
        <v>1577</v>
      </c>
      <c r="K1032" s="143">
        <v>150</v>
      </c>
      <c r="L1032" s="143">
        <v>130</v>
      </c>
      <c r="M1032" s="143"/>
      <c r="N1032" s="143"/>
      <c r="O1032" s="143"/>
      <c r="P1032" s="143"/>
      <c r="Q1032" s="143"/>
      <c r="R1032" s="143"/>
      <c r="S1032" s="146"/>
      <c r="T1032" s="146"/>
      <c r="U1032" s="146"/>
      <c r="V1032" s="147"/>
      <c r="W1032" s="143" t="s">
        <v>3147</v>
      </c>
      <c r="X1032" s="143" t="s">
        <v>3335</v>
      </c>
      <c r="Y1032" s="143" t="s">
        <v>3283</v>
      </c>
      <c r="Z1032" s="143" t="s">
        <v>3335</v>
      </c>
      <c r="AA1032" s="143">
        <v>6.3</v>
      </c>
      <c r="AB1032" s="170">
        <v>45883</v>
      </c>
      <c r="AC1032" s="143"/>
      <c r="AD1032" s="143"/>
      <c r="AE1032" s="143"/>
      <c r="AF1032" s="143"/>
      <c r="AG1032" s="143"/>
      <c r="AH1032" s="143"/>
      <c r="AI1032" s="143"/>
      <c r="AJ1032" s="143"/>
      <c r="AK1032" s="143"/>
      <c r="AL1032" s="143"/>
      <c r="AM1032" s="143"/>
    </row>
    <row r="1033" s="140" customFormat="1" ht="15" spans="1:39">
      <c r="A1033" s="143">
        <v>1031</v>
      </c>
      <c r="B1033" s="144">
        <v>45883</v>
      </c>
      <c r="C1033" s="169" t="s">
        <v>3277</v>
      </c>
      <c r="D1033" s="143" t="s">
        <v>3167</v>
      </c>
      <c r="E1033" s="186" t="s">
        <v>3296</v>
      </c>
      <c r="F1033" s="169" t="s">
        <v>3337</v>
      </c>
      <c r="G1033" s="169"/>
      <c r="H1033" s="152" t="s">
        <v>3338</v>
      </c>
      <c r="I1033" s="143" t="s">
        <v>3333</v>
      </c>
      <c r="J1033" s="143" t="s">
        <v>3334</v>
      </c>
      <c r="K1033" s="143">
        <v>150</v>
      </c>
      <c r="L1033" s="143">
        <v>110</v>
      </c>
      <c r="M1033" s="143"/>
      <c r="N1033" s="143"/>
      <c r="O1033" s="143"/>
      <c r="P1033" s="143"/>
      <c r="Q1033" s="143"/>
      <c r="R1033" s="143"/>
      <c r="S1033" s="146"/>
      <c r="T1033" s="146"/>
      <c r="U1033" s="146"/>
      <c r="V1033" s="147"/>
      <c r="W1033" s="143" t="s">
        <v>3147</v>
      </c>
      <c r="X1033" s="169" t="s">
        <v>3337</v>
      </c>
      <c r="Y1033" s="143" t="s">
        <v>3283</v>
      </c>
      <c r="Z1033" s="169" t="s">
        <v>3337</v>
      </c>
      <c r="AA1033" s="143">
        <v>6.5</v>
      </c>
      <c r="AB1033" s="170">
        <v>45883</v>
      </c>
      <c r="AC1033" s="143"/>
      <c r="AD1033" s="143"/>
      <c r="AE1033" s="143"/>
      <c r="AF1033" s="143"/>
      <c r="AG1033" s="143"/>
      <c r="AH1033" s="143"/>
      <c r="AI1033" s="143"/>
      <c r="AJ1033" s="143"/>
      <c r="AK1033" s="143"/>
      <c r="AL1033" s="143"/>
      <c r="AM1033" s="143"/>
    </row>
    <row r="1034" s="140" customFormat="1" ht="15" spans="1:39">
      <c r="A1034" s="143">
        <v>1032</v>
      </c>
      <c r="B1034" s="144">
        <v>45883</v>
      </c>
      <c r="C1034" s="169" t="s">
        <v>3277</v>
      </c>
      <c r="D1034" s="143" t="s">
        <v>3167</v>
      </c>
      <c r="E1034" s="186" t="s">
        <v>3296</v>
      </c>
      <c r="F1034" s="143" t="s">
        <v>3339</v>
      </c>
      <c r="G1034" s="143"/>
      <c r="H1034" s="152" t="s">
        <v>3340</v>
      </c>
      <c r="I1034" s="143" t="s">
        <v>3333</v>
      </c>
      <c r="J1034" s="143" t="s">
        <v>3334</v>
      </c>
      <c r="K1034" s="143">
        <v>150</v>
      </c>
      <c r="L1034" s="143">
        <v>120</v>
      </c>
      <c r="M1034" s="143"/>
      <c r="N1034" s="143"/>
      <c r="O1034" s="143"/>
      <c r="P1034" s="143"/>
      <c r="Q1034" s="143"/>
      <c r="R1034" s="143"/>
      <c r="S1034" s="146"/>
      <c r="T1034" s="146"/>
      <c r="U1034" s="146"/>
      <c r="V1034" s="147"/>
      <c r="W1034" s="143" t="s">
        <v>3147</v>
      </c>
      <c r="X1034" s="143" t="s">
        <v>3339</v>
      </c>
      <c r="Y1034" s="143" t="s">
        <v>3283</v>
      </c>
      <c r="Z1034" s="143" t="s">
        <v>3339</v>
      </c>
      <c r="AA1034" s="143">
        <v>7.8</v>
      </c>
      <c r="AB1034" s="170">
        <v>45883</v>
      </c>
      <c r="AC1034" s="143"/>
      <c r="AD1034" s="143"/>
      <c r="AE1034" s="143"/>
      <c r="AF1034" s="143"/>
      <c r="AG1034" s="143"/>
      <c r="AH1034" s="143"/>
      <c r="AI1034" s="143"/>
      <c r="AJ1034" s="143"/>
      <c r="AK1034" s="143"/>
      <c r="AL1034" s="143"/>
      <c r="AM1034" s="143"/>
    </row>
    <row r="1035" s="140" customFormat="1" ht="15" spans="1:39">
      <c r="A1035" s="143">
        <v>1033</v>
      </c>
      <c r="B1035" s="144">
        <v>45883</v>
      </c>
      <c r="C1035" s="169" t="s">
        <v>3277</v>
      </c>
      <c r="D1035" s="143" t="s">
        <v>3167</v>
      </c>
      <c r="E1035" s="186" t="s">
        <v>3341</v>
      </c>
      <c r="F1035" s="169" t="s">
        <v>3342</v>
      </c>
      <c r="G1035" s="169"/>
      <c r="H1035" s="152" t="s">
        <v>3343</v>
      </c>
      <c r="I1035" s="143" t="s">
        <v>3344</v>
      </c>
      <c r="J1035" s="143" t="s">
        <v>3345</v>
      </c>
      <c r="K1035" s="143">
        <v>185</v>
      </c>
      <c r="L1035" s="143">
        <v>110</v>
      </c>
      <c r="M1035" s="143"/>
      <c r="N1035" s="143"/>
      <c r="O1035" s="143"/>
      <c r="P1035" s="143"/>
      <c r="Q1035" s="177" t="s">
        <v>3346</v>
      </c>
      <c r="R1035" s="143"/>
      <c r="S1035" s="146"/>
      <c r="T1035" s="146"/>
      <c r="U1035" s="146"/>
      <c r="V1035" s="147"/>
      <c r="W1035" s="143" t="s">
        <v>3147</v>
      </c>
      <c r="X1035" s="169" t="s">
        <v>3342</v>
      </c>
      <c r="Y1035" s="169" t="s">
        <v>3347</v>
      </c>
      <c r="Z1035" s="169" t="s">
        <v>3342</v>
      </c>
      <c r="AA1035" s="143">
        <v>53</v>
      </c>
      <c r="AB1035" s="170">
        <v>45887</v>
      </c>
      <c r="AC1035" s="143"/>
      <c r="AD1035" s="143"/>
      <c r="AE1035" s="143"/>
      <c r="AF1035" s="143"/>
      <c r="AG1035" s="143"/>
      <c r="AH1035" s="143"/>
      <c r="AI1035" s="143"/>
      <c r="AJ1035" s="143"/>
      <c r="AK1035" s="143"/>
      <c r="AL1035" s="143"/>
      <c r="AM1035" s="143"/>
    </row>
    <row r="1036" s="140" customFormat="1" ht="15" spans="1:39">
      <c r="A1036" s="143">
        <v>1034</v>
      </c>
      <c r="B1036" s="144">
        <v>45883</v>
      </c>
      <c r="C1036" s="169" t="s">
        <v>3277</v>
      </c>
      <c r="D1036" s="143" t="s">
        <v>3167</v>
      </c>
      <c r="E1036" s="186" t="s">
        <v>3341</v>
      </c>
      <c r="F1036" s="169" t="s">
        <v>3348</v>
      </c>
      <c r="G1036" s="169"/>
      <c r="H1036" s="152" t="s">
        <v>3349</v>
      </c>
      <c r="I1036" s="143" t="s">
        <v>3350</v>
      </c>
      <c r="J1036" s="143" t="s">
        <v>2913</v>
      </c>
      <c r="K1036" s="143">
        <v>165</v>
      </c>
      <c r="L1036" s="143">
        <v>190</v>
      </c>
      <c r="M1036" s="143"/>
      <c r="N1036" s="143"/>
      <c r="O1036" s="143"/>
      <c r="P1036" s="143"/>
      <c r="Q1036" s="177" t="s">
        <v>3351</v>
      </c>
      <c r="R1036" s="143"/>
      <c r="S1036" s="146"/>
      <c r="T1036" s="146"/>
      <c r="U1036" s="146"/>
      <c r="V1036" s="147"/>
      <c r="W1036" s="143" t="s">
        <v>3147</v>
      </c>
      <c r="X1036" s="169" t="s">
        <v>3348</v>
      </c>
      <c r="Y1036" s="169" t="s">
        <v>3347</v>
      </c>
      <c r="Z1036" s="169" t="s">
        <v>3348</v>
      </c>
      <c r="AA1036" s="143">
        <v>37.5</v>
      </c>
      <c r="AB1036" s="170">
        <v>45887</v>
      </c>
      <c r="AC1036" s="143"/>
      <c r="AD1036" s="143"/>
      <c r="AE1036" s="143"/>
      <c r="AF1036" s="143"/>
      <c r="AG1036" s="143"/>
      <c r="AH1036" s="143"/>
      <c r="AI1036" s="143"/>
      <c r="AJ1036" s="143"/>
      <c r="AK1036" s="143"/>
      <c r="AL1036" s="143"/>
      <c r="AM1036" s="143"/>
    </row>
    <row r="1037" s="140" customFormat="1" ht="15" spans="1:39">
      <c r="A1037" s="143">
        <v>1035</v>
      </c>
      <c r="B1037" s="144">
        <v>45883</v>
      </c>
      <c r="C1037" s="169" t="s">
        <v>3277</v>
      </c>
      <c r="D1037" s="143" t="s">
        <v>3167</v>
      </c>
      <c r="E1037" s="186" t="s">
        <v>3341</v>
      </c>
      <c r="F1037" s="143" t="s">
        <v>3352</v>
      </c>
      <c r="G1037" s="143"/>
      <c r="H1037" s="152" t="s">
        <v>3353</v>
      </c>
      <c r="I1037" s="143" t="s">
        <v>3218</v>
      </c>
      <c r="J1037" s="143" t="s">
        <v>1577</v>
      </c>
      <c r="K1037" s="143">
        <v>135</v>
      </c>
      <c r="L1037" s="143">
        <v>120</v>
      </c>
      <c r="M1037" s="143"/>
      <c r="N1037" s="143"/>
      <c r="O1037" s="143"/>
      <c r="P1037" s="143"/>
      <c r="Q1037" s="177" t="s">
        <v>3354</v>
      </c>
      <c r="R1037" s="143"/>
      <c r="S1037" s="146"/>
      <c r="T1037" s="146"/>
      <c r="U1037" s="146"/>
      <c r="V1037" s="147"/>
      <c r="W1037" s="143" t="s">
        <v>3147</v>
      </c>
      <c r="X1037" s="143" t="s">
        <v>3352</v>
      </c>
      <c r="Y1037" s="169" t="s">
        <v>3347</v>
      </c>
      <c r="Z1037" s="143" t="s">
        <v>3352</v>
      </c>
      <c r="AA1037" s="143">
        <v>34.5</v>
      </c>
      <c r="AB1037" s="170">
        <v>45887</v>
      </c>
      <c r="AC1037" s="143"/>
      <c r="AD1037" s="143"/>
      <c r="AE1037" s="143"/>
      <c r="AF1037" s="143"/>
      <c r="AG1037" s="143"/>
      <c r="AH1037" s="143"/>
      <c r="AI1037" s="143"/>
      <c r="AJ1037" s="143"/>
      <c r="AK1037" s="143"/>
      <c r="AL1037" s="143"/>
      <c r="AM1037" s="143"/>
    </row>
    <row r="1038" s="140" customFormat="1" ht="15" spans="1:39">
      <c r="A1038" s="143">
        <v>1036</v>
      </c>
      <c r="B1038" s="144">
        <v>45883</v>
      </c>
      <c r="C1038" s="169" t="s">
        <v>3277</v>
      </c>
      <c r="D1038" s="143" t="s">
        <v>3167</v>
      </c>
      <c r="E1038" s="186" t="s">
        <v>3341</v>
      </c>
      <c r="F1038" s="169" t="s">
        <v>3355</v>
      </c>
      <c r="G1038" s="169"/>
      <c r="H1038" s="152" t="s">
        <v>3356</v>
      </c>
      <c r="I1038" s="143" t="s">
        <v>3218</v>
      </c>
      <c r="J1038" s="143" t="s">
        <v>1577</v>
      </c>
      <c r="K1038" s="143">
        <v>165</v>
      </c>
      <c r="L1038" s="143">
        <v>115</v>
      </c>
      <c r="M1038" s="143"/>
      <c r="N1038" s="143"/>
      <c r="O1038" s="143"/>
      <c r="P1038" s="143"/>
      <c r="Q1038" s="177" t="s">
        <v>3357</v>
      </c>
      <c r="R1038" s="143"/>
      <c r="S1038" s="146"/>
      <c r="T1038" s="146"/>
      <c r="U1038" s="146"/>
      <c r="V1038" s="147"/>
      <c r="W1038" s="143" t="s">
        <v>3147</v>
      </c>
      <c r="X1038" s="169" t="s">
        <v>3355</v>
      </c>
      <c r="Y1038" s="169" t="s">
        <v>3347</v>
      </c>
      <c r="Z1038" s="169" t="s">
        <v>3355</v>
      </c>
      <c r="AA1038" s="143">
        <v>38.6</v>
      </c>
      <c r="AB1038" s="170">
        <v>45887</v>
      </c>
      <c r="AC1038" s="143"/>
      <c r="AD1038" s="143"/>
      <c r="AE1038" s="143"/>
      <c r="AF1038" s="143"/>
      <c r="AG1038" s="143"/>
      <c r="AH1038" s="143"/>
      <c r="AI1038" s="143"/>
      <c r="AJ1038" s="143"/>
      <c r="AK1038" s="143"/>
      <c r="AL1038" s="143"/>
      <c r="AM1038" s="143"/>
    </row>
    <row r="1039" s="140" customFormat="1" ht="15" spans="1:39">
      <c r="A1039" s="143">
        <v>1037</v>
      </c>
      <c r="B1039" s="144">
        <v>45883</v>
      </c>
      <c r="C1039" s="169" t="s">
        <v>3277</v>
      </c>
      <c r="D1039" s="143" t="s">
        <v>3167</v>
      </c>
      <c r="E1039" s="186" t="s">
        <v>3341</v>
      </c>
      <c r="F1039" s="169" t="s">
        <v>3358</v>
      </c>
      <c r="G1039" s="169"/>
      <c r="H1039" s="152" t="s">
        <v>3359</v>
      </c>
      <c r="I1039" s="143" t="s">
        <v>3360</v>
      </c>
      <c r="J1039" s="143" t="s">
        <v>3361</v>
      </c>
      <c r="K1039" s="143">
        <v>160</v>
      </c>
      <c r="L1039" s="143">
        <v>120</v>
      </c>
      <c r="M1039" s="143"/>
      <c r="N1039" s="143"/>
      <c r="O1039" s="143"/>
      <c r="P1039" s="143"/>
      <c r="Q1039" s="177" t="s">
        <v>3362</v>
      </c>
      <c r="R1039" s="143"/>
      <c r="S1039" s="146"/>
      <c r="T1039" s="146"/>
      <c r="U1039" s="146"/>
      <c r="V1039" s="147"/>
      <c r="W1039" s="169" t="s">
        <v>3147</v>
      </c>
      <c r="X1039" s="169" t="s">
        <v>3358</v>
      </c>
      <c r="Y1039" s="169" t="s">
        <v>3347</v>
      </c>
      <c r="Z1039" s="169" t="s">
        <v>3358</v>
      </c>
      <c r="AA1039" s="143">
        <v>42</v>
      </c>
      <c r="AB1039" s="170">
        <v>45887</v>
      </c>
      <c r="AC1039" s="143"/>
      <c r="AD1039" s="143"/>
      <c r="AE1039" s="143"/>
      <c r="AF1039" s="143"/>
      <c r="AG1039" s="143"/>
      <c r="AH1039" s="143"/>
      <c r="AI1039" s="143"/>
      <c r="AJ1039" s="143"/>
      <c r="AK1039" s="143"/>
      <c r="AL1039" s="143"/>
      <c r="AM1039" s="143"/>
    </row>
    <row r="1040" s="140" customFormat="1" ht="15" spans="1:39">
      <c r="A1040" s="143">
        <v>1038</v>
      </c>
      <c r="B1040" s="144">
        <v>45883</v>
      </c>
      <c r="C1040" s="169" t="s">
        <v>3277</v>
      </c>
      <c r="D1040" s="143" t="s">
        <v>3167</v>
      </c>
      <c r="E1040" s="186" t="s">
        <v>3341</v>
      </c>
      <c r="F1040" s="169" t="s">
        <v>3363</v>
      </c>
      <c r="G1040" s="169"/>
      <c r="H1040" s="152" t="s">
        <v>3364</v>
      </c>
      <c r="I1040" s="143" t="s">
        <v>3360</v>
      </c>
      <c r="J1040" s="143" t="s">
        <v>3361</v>
      </c>
      <c r="K1040" s="143">
        <v>150</v>
      </c>
      <c r="L1040" s="143">
        <v>110</v>
      </c>
      <c r="M1040" s="143"/>
      <c r="N1040" s="143"/>
      <c r="O1040" s="143"/>
      <c r="P1040" s="143"/>
      <c r="Q1040" s="177" t="s">
        <v>3365</v>
      </c>
      <c r="R1040" s="143"/>
      <c r="S1040" s="146"/>
      <c r="T1040" s="146"/>
      <c r="U1040" s="146"/>
      <c r="V1040" s="147"/>
      <c r="W1040" s="143" t="s">
        <v>3147</v>
      </c>
      <c r="X1040" s="169" t="s">
        <v>3363</v>
      </c>
      <c r="Y1040" s="169" t="s">
        <v>3347</v>
      </c>
      <c r="Z1040" s="169" t="s">
        <v>3363</v>
      </c>
      <c r="AA1040" s="143">
        <v>43</v>
      </c>
      <c r="AB1040" s="170">
        <v>45887</v>
      </c>
      <c r="AC1040" s="143"/>
      <c r="AD1040" s="143"/>
      <c r="AE1040" s="143"/>
      <c r="AF1040" s="143"/>
      <c r="AG1040" s="143"/>
      <c r="AH1040" s="143"/>
      <c r="AI1040" s="143"/>
      <c r="AJ1040" s="143"/>
      <c r="AK1040" s="143"/>
      <c r="AL1040" s="143"/>
      <c r="AM1040" s="143"/>
    </row>
    <row r="1041" s="140" customFormat="1" ht="15" spans="1:39">
      <c r="A1041" s="143">
        <v>1039</v>
      </c>
      <c r="B1041" s="144">
        <v>45883</v>
      </c>
      <c r="C1041" s="169" t="s">
        <v>3277</v>
      </c>
      <c r="D1041" s="143" t="s">
        <v>3167</v>
      </c>
      <c r="E1041" s="186" t="s">
        <v>3341</v>
      </c>
      <c r="F1041" s="143" t="s">
        <v>3366</v>
      </c>
      <c r="G1041" s="143"/>
      <c r="H1041" s="152" t="s">
        <v>3367</v>
      </c>
      <c r="I1041" s="143" t="s">
        <v>3368</v>
      </c>
      <c r="J1041" s="143" t="s">
        <v>3369</v>
      </c>
      <c r="K1041" s="143">
        <v>145</v>
      </c>
      <c r="L1041" s="143">
        <v>200</v>
      </c>
      <c r="M1041" s="143"/>
      <c r="N1041" s="143"/>
      <c r="O1041" s="143"/>
      <c r="P1041" s="143"/>
      <c r="Q1041" s="177" t="s">
        <v>3370</v>
      </c>
      <c r="R1041" s="143"/>
      <c r="S1041" s="146"/>
      <c r="T1041" s="146"/>
      <c r="U1041" s="146"/>
      <c r="V1041" s="147"/>
      <c r="W1041" s="143" t="s">
        <v>3147</v>
      </c>
      <c r="X1041" s="143" t="s">
        <v>3366</v>
      </c>
      <c r="Y1041" s="169" t="s">
        <v>3347</v>
      </c>
      <c r="Z1041" s="143" t="s">
        <v>3366</v>
      </c>
      <c r="AA1041" s="143">
        <v>44.8</v>
      </c>
      <c r="AB1041" s="170">
        <v>45887</v>
      </c>
      <c r="AC1041" s="143"/>
      <c r="AD1041" s="143"/>
      <c r="AE1041" s="143"/>
      <c r="AF1041" s="143"/>
      <c r="AG1041" s="143"/>
      <c r="AH1041" s="143"/>
      <c r="AI1041" s="143"/>
      <c r="AJ1041" s="143"/>
      <c r="AK1041" s="143"/>
      <c r="AL1041" s="143"/>
      <c r="AM1041" s="143"/>
    </row>
    <row r="1042" s="140" customFormat="1" ht="15" spans="1:39">
      <c r="A1042" s="143">
        <v>1040</v>
      </c>
      <c r="B1042" s="144">
        <v>45883</v>
      </c>
      <c r="C1042" s="169" t="s">
        <v>3277</v>
      </c>
      <c r="D1042" s="143" t="s">
        <v>3167</v>
      </c>
      <c r="E1042" s="186" t="s">
        <v>3341</v>
      </c>
      <c r="F1042" s="169" t="s">
        <v>3371</v>
      </c>
      <c r="G1042" s="169"/>
      <c r="H1042" s="152" t="s">
        <v>3372</v>
      </c>
      <c r="I1042" s="143" t="s">
        <v>3373</v>
      </c>
      <c r="J1042" s="143" t="s">
        <v>3374</v>
      </c>
      <c r="K1042" s="143">
        <v>145</v>
      </c>
      <c r="L1042" s="143">
        <v>220</v>
      </c>
      <c r="M1042" s="143"/>
      <c r="N1042" s="143"/>
      <c r="O1042" s="143"/>
      <c r="P1042" s="143"/>
      <c r="Q1042" s="177" t="s">
        <v>3375</v>
      </c>
      <c r="R1042" s="143"/>
      <c r="S1042" s="146"/>
      <c r="T1042" s="146"/>
      <c r="U1042" s="146"/>
      <c r="V1042" s="147"/>
      <c r="W1042" s="143" t="s">
        <v>3147</v>
      </c>
      <c r="X1042" s="169" t="s">
        <v>3371</v>
      </c>
      <c r="Y1042" s="169" t="s">
        <v>3347</v>
      </c>
      <c r="Z1042" s="169" t="s">
        <v>3371</v>
      </c>
      <c r="AA1042" s="143">
        <v>42.3</v>
      </c>
      <c r="AB1042" s="170">
        <v>45887</v>
      </c>
      <c r="AC1042" s="143"/>
      <c r="AD1042" s="143"/>
      <c r="AE1042" s="143"/>
      <c r="AF1042" s="143"/>
      <c r="AG1042" s="143"/>
      <c r="AH1042" s="143"/>
      <c r="AI1042" s="143"/>
      <c r="AJ1042" s="143"/>
      <c r="AK1042" s="143"/>
      <c r="AL1042" s="143"/>
      <c r="AM1042" s="143"/>
    </row>
    <row r="1043" s="140" customFormat="1" ht="15" spans="1:39">
      <c r="A1043" s="143">
        <v>1041</v>
      </c>
      <c r="B1043" s="144">
        <v>45883</v>
      </c>
      <c r="C1043" s="169" t="s">
        <v>3277</v>
      </c>
      <c r="D1043" s="143" t="s">
        <v>3167</v>
      </c>
      <c r="E1043" s="186" t="s">
        <v>3341</v>
      </c>
      <c r="F1043" s="143" t="s">
        <v>3376</v>
      </c>
      <c r="G1043" s="143"/>
      <c r="H1043" s="152" t="s">
        <v>3377</v>
      </c>
      <c r="I1043" s="143" t="s">
        <v>3218</v>
      </c>
      <c r="J1043" s="143" t="s">
        <v>1577</v>
      </c>
      <c r="K1043" s="143">
        <v>160</v>
      </c>
      <c r="L1043" s="143">
        <v>120</v>
      </c>
      <c r="M1043" s="143"/>
      <c r="N1043" s="143"/>
      <c r="O1043" s="143"/>
      <c r="P1043" s="143"/>
      <c r="Q1043" s="177" t="s">
        <v>3362</v>
      </c>
      <c r="R1043" s="143"/>
      <c r="S1043" s="146"/>
      <c r="T1043" s="146"/>
      <c r="U1043" s="146"/>
      <c r="V1043" s="147"/>
      <c r="W1043" s="143" t="s">
        <v>3147</v>
      </c>
      <c r="X1043" s="143" t="s">
        <v>3376</v>
      </c>
      <c r="Y1043" s="169" t="s">
        <v>3347</v>
      </c>
      <c r="Z1043" s="143" t="s">
        <v>3376</v>
      </c>
      <c r="AA1043" s="143">
        <v>35</v>
      </c>
      <c r="AB1043" s="170">
        <v>45887</v>
      </c>
      <c r="AC1043" s="143"/>
      <c r="AD1043" s="143"/>
      <c r="AE1043" s="143"/>
      <c r="AF1043" s="143"/>
      <c r="AG1043" s="143"/>
      <c r="AH1043" s="143"/>
      <c r="AI1043" s="143"/>
      <c r="AJ1043" s="143"/>
      <c r="AK1043" s="143"/>
      <c r="AL1043" s="143"/>
      <c r="AM1043" s="143"/>
    </row>
    <row r="1044" s="140" customFormat="1" ht="15" spans="1:39">
      <c r="A1044" s="143">
        <v>1042</v>
      </c>
      <c r="B1044" s="144">
        <v>45883</v>
      </c>
      <c r="C1044" s="169" t="s">
        <v>3277</v>
      </c>
      <c r="D1044" s="143" t="s">
        <v>3167</v>
      </c>
      <c r="E1044" s="186" t="s">
        <v>3341</v>
      </c>
      <c r="F1044" s="169" t="s">
        <v>3378</v>
      </c>
      <c r="G1044" s="169"/>
      <c r="H1044" s="152" t="s">
        <v>3379</v>
      </c>
      <c r="I1044" s="143" t="s">
        <v>3380</v>
      </c>
      <c r="J1044" s="143" t="s">
        <v>3381</v>
      </c>
      <c r="K1044" s="143">
        <v>140</v>
      </c>
      <c r="L1044" s="143">
        <v>230</v>
      </c>
      <c r="M1044" s="143"/>
      <c r="N1044" s="143"/>
      <c r="O1044" s="143"/>
      <c r="P1044" s="143"/>
      <c r="Q1044" s="177" t="s">
        <v>3382</v>
      </c>
      <c r="R1044" s="143"/>
      <c r="S1044" s="146"/>
      <c r="T1044" s="146"/>
      <c r="U1044" s="146"/>
      <c r="V1044" s="147"/>
      <c r="W1044" s="143" t="s">
        <v>3147</v>
      </c>
      <c r="X1044" s="169" t="s">
        <v>3378</v>
      </c>
      <c r="Y1044" s="169" t="s">
        <v>3347</v>
      </c>
      <c r="Z1044" s="169" t="s">
        <v>3378</v>
      </c>
      <c r="AA1044" s="143">
        <v>44.2</v>
      </c>
      <c r="AB1044" s="170">
        <v>45887</v>
      </c>
      <c r="AC1044" s="143"/>
      <c r="AD1044" s="143"/>
      <c r="AE1044" s="143"/>
      <c r="AF1044" s="143"/>
      <c r="AG1044" s="143"/>
      <c r="AH1044" s="143"/>
      <c r="AI1044" s="143"/>
      <c r="AJ1044" s="143"/>
      <c r="AK1044" s="143"/>
      <c r="AL1044" s="143"/>
      <c r="AM1044" s="143"/>
    </row>
    <row r="1045" s="140" customFormat="1" ht="15" spans="1:39">
      <c r="A1045" s="143">
        <v>1043</v>
      </c>
      <c r="B1045" s="144">
        <v>45883</v>
      </c>
      <c r="C1045" s="169" t="s">
        <v>3277</v>
      </c>
      <c r="D1045" s="143" t="s">
        <v>3167</v>
      </c>
      <c r="E1045" s="186" t="s">
        <v>3341</v>
      </c>
      <c r="F1045" s="143" t="s">
        <v>3383</v>
      </c>
      <c r="G1045" s="143"/>
      <c r="H1045" s="152" t="s">
        <v>3384</v>
      </c>
      <c r="I1045" s="143" t="s">
        <v>1785</v>
      </c>
      <c r="J1045" s="143" t="s">
        <v>3385</v>
      </c>
      <c r="K1045" s="143">
        <v>160</v>
      </c>
      <c r="L1045" s="143">
        <v>150</v>
      </c>
      <c r="M1045" s="143"/>
      <c r="N1045" s="143"/>
      <c r="O1045" s="143"/>
      <c r="P1045" s="143"/>
      <c r="Q1045" s="177" t="s">
        <v>3386</v>
      </c>
      <c r="R1045" s="143"/>
      <c r="S1045" s="146"/>
      <c r="T1045" s="146"/>
      <c r="U1045" s="146"/>
      <c r="V1045" s="147"/>
      <c r="W1045" s="143" t="s">
        <v>3147</v>
      </c>
      <c r="X1045" s="143" t="s">
        <v>3383</v>
      </c>
      <c r="Y1045" s="169" t="s">
        <v>3387</v>
      </c>
      <c r="Z1045" s="143" t="s">
        <v>3383</v>
      </c>
      <c r="AA1045" s="143">
        <v>45.2</v>
      </c>
      <c r="AB1045" s="170">
        <v>45883</v>
      </c>
      <c r="AC1045" s="143"/>
      <c r="AD1045" s="143"/>
      <c r="AE1045" s="143"/>
      <c r="AF1045" s="143"/>
      <c r="AG1045" s="143"/>
      <c r="AH1045" s="143"/>
      <c r="AI1045" s="143"/>
      <c r="AJ1045" s="143"/>
      <c r="AK1045" s="143"/>
      <c r="AL1045" s="143"/>
      <c r="AM1045" s="143"/>
    </row>
    <row r="1046" s="140" customFormat="1" ht="15" spans="1:39">
      <c r="A1046" s="143">
        <v>1044</v>
      </c>
      <c r="B1046" s="144">
        <v>45883</v>
      </c>
      <c r="C1046" s="169" t="s">
        <v>3277</v>
      </c>
      <c r="D1046" s="143" t="s">
        <v>3167</v>
      </c>
      <c r="E1046" s="186" t="s">
        <v>3341</v>
      </c>
      <c r="F1046" s="143" t="s">
        <v>3388</v>
      </c>
      <c r="G1046" s="143"/>
      <c r="H1046" s="152" t="s">
        <v>3389</v>
      </c>
      <c r="I1046" s="143" t="s">
        <v>3390</v>
      </c>
      <c r="J1046" s="143" t="s">
        <v>320</v>
      </c>
      <c r="K1046" s="143">
        <v>150</v>
      </c>
      <c r="L1046" s="143">
        <v>80</v>
      </c>
      <c r="M1046" s="143"/>
      <c r="N1046" s="143"/>
      <c r="O1046" s="143"/>
      <c r="P1046" s="143"/>
      <c r="Q1046" s="177" t="s">
        <v>3391</v>
      </c>
      <c r="R1046" s="143"/>
      <c r="S1046" s="146"/>
      <c r="T1046" s="146"/>
      <c r="U1046" s="146"/>
      <c r="V1046" s="147"/>
      <c r="W1046" s="143" t="s">
        <v>3147</v>
      </c>
      <c r="X1046" s="143" t="s">
        <v>3388</v>
      </c>
      <c r="Y1046" s="169" t="s">
        <v>3392</v>
      </c>
      <c r="Z1046" s="143" t="s">
        <v>3388</v>
      </c>
      <c r="AA1046" s="168"/>
      <c r="AB1046" s="170"/>
      <c r="AC1046" s="143"/>
      <c r="AD1046" s="143"/>
      <c r="AE1046" s="143"/>
      <c r="AF1046" s="143"/>
      <c r="AG1046" s="143"/>
      <c r="AH1046" s="169" t="s">
        <v>3314</v>
      </c>
      <c r="AI1046" s="143"/>
      <c r="AJ1046" s="143"/>
      <c r="AK1046" s="143"/>
      <c r="AL1046" s="143"/>
      <c r="AM1046" s="143"/>
    </row>
    <row r="1047" s="140" customFormat="1" ht="15" spans="1:39">
      <c r="A1047" s="143">
        <v>1045</v>
      </c>
      <c r="B1047" s="144">
        <v>45883</v>
      </c>
      <c r="C1047" s="169" t="s">
        <v>3277</v>
      </c>
      <c r="D1047" s="169" t="s">
        <v>3393</v>
      </c>
      <c r="E1047" s="186"/>
      <c r="F1047" s="143" t="s">
        <v>3394</v>
      </c>
      <c r="G1047" s="143"/>
      <c r="H1047" s="152" t="s">
        <v>3395</v>
      </c>
      <c r="I1047" s="143" t="s">
        <v>3396</v>
      </c>
      <c r="J1047" s="143" t="s">
        <v>3397</v>
      </c>
      <c r="K1047" s="143">
        <v>150</v>
      </c>
      <c r="L1047" s="143">
        <v>190</v>
      </c>
      <c r="M1047" s="143"/>
      <c r="N1047" s="143"/>
      <c r="O1047" s="143"/>
      <c r="P1047" s="143"/>
      <c r="Q1047" s="143"/>
      <c r="R1047" s="143"/>
      <c r="S1047" s="146"/>
      <c r="T1047" s="146"/>
      <c r="U1047" s="146"/>
      <c r="V1047" s="147"/>
      <c r="W1047" s="143" t="s">
        <v>3147</v>
      </c>
      <c r="X1047" s="143" t="s">
        <v>3394</v>
      </c>
      <c r="Y1047" s="143" t="s">
        <v>3398</v>
      </c>
      <c r="Z1047" s="143" t="s">
        <v>3394</v>
      </c>
      <c r="AA1047" s="143"/>
      <c r="AB1047" s="170"/>
      <c r="AC1047" s="143"/>
      <c r="AD1047" s="143"/>
      <c r="AE1047" s="143"/>
      <c r="AF1047" s="143"/>
      <c r="AG1047" s="143"/>
      <c r="AH1047" s="143"/>
      <c r="AI1047" s="143"/>
      <c r="AJ1047" s="143"/>
      <c r="AK1047" s="143"/>
      <c r="AL1047" s="143"/>
      <c r="AM1047" s="143"/>
    </row>
    <row r="1048" s="140" customFormat="1" ht="15" spans="1:39">
      <c r="A1048" s="143">
        <v>1046</v>
      </c>
      <c r="B1048" s="144">
        <v>45883</v>
      </c>
      <c r="C1048" s="169" t="s">
        <v>3277</v>
      </c>
      <c r="D1048" s="169" t="s">
        <v>3393</v>
      </c>
      <c r="E1048" s="186"/>
      <c r="F1048" s="169" t="s">
        <v>3399</v>
      </c>
      <c r="G1048" s="169"/>
      <c r="H1048" s="152" t="s">
        <v>3400</v>
      </c>
      <c r="I1048" s="143"/>
      <c r="J1048" s="143"/>
      <c r="K1048" s="143">
        <v>145</v>
      </c>
      <c r="L1048" s="143" t="s">
        <v>3401</v>
      </c>
      <c r="M1048" s="143"/>
      <c r="N1048" s="143"/>
      <c r="O1048" s="143"/>
      <c r="P1048" s="143"/>
      <c r="Q1048" s="143"/>
      <c r="R1048" s="143"/>
      <c r="S1048" s="146"/>
      <c r="T1048" s="146"/>
      <c r="U1048" s="146"/>
      <c r="V1048" s="147"/>
      <c r="W1048" s="169" t="s">
        <v>3402</v>
      </c>
      <c r="X1048" s="169" t="s">
        <v>3399</v>
      </c>
      <c r="Y1048" s="169" t="s">
        <v>3402</v>
      </c>
      <c r="Z1048" s="169" t="s">
        <v>3399</v>
      </c>
      <c r="AA1048" s="143"/>
      <c r="AB1048" s="170"/>
      <c r="AC1048" s="143"/>
      <c r="AD1048" s="143"/>
      <c r="AE1048" s="143"/>
      <c r="AF1048" s="143"/>
      <c r="AG1048" s="143"/>
      <c r="AH1048" s="143"/>
      <c r="AI1048" s="143"/>
      <c r="AJ1048" s="143"/>
      <c r="AK1048" s="143"/>
      <c r="AL1048" s="143"/>
      <c r="AM1048" s="143"/>
    </row>
    <row r="1049" s="140" customFormat="1" ht="24" spans="1:39">
      <c r="A1049" s="143">
        <v>1047</v>
      </c>
      <c r="B1049" s="144">
        <v>45887</v>
      </c>
      <c r="C1049" s="169" t="s">
        <v>3277</v>
      </c>
      <c r="D1049" s="143" t="s">
        <v>41</v>
      </c>
      <c r="E1049" s="186" t="s">
        <v>3403</v>
      </c>
      <c r="F1049" s="143">
        <v>11047</v>
      </c>
      <c r="G1049" s="143"/>
      <c r="H1049" s="152" t="s">
        <v>3404</v>
      </c>
      <c r="I1049" s="143" t="s">
        <v>3218</v>
      </c>
      <c r="J1049" s="143" t="s">
        <v>1577</v>
      </c>
      <c r="K1049" s="143">
        <v>150</v>
      </c>
      <c r="L1049" s="143">
        <v>200</v>
      </c>
      <c r="M1049" s="143"/>
      <c r="N1049" s="143"/>
      <c r="O1049" s="143"/>
      <c r="P1049" s="143"/>
      <c r="Q1049" s="143"/>
      <c r="R1049" s="143"/>
      <c r="S1049" s="146"/>
      <c r="T1049" s="146"/>
      <c r="U1049" s="146"/>
      <c r="V1049" s="147"/>
      <c r="W1049" s="143" t="s">
        <v>3147</v>
      </c>
      <c r="X1049" s="143">
        <v>11047</v>
      </c>
      <c r="Y1049" s="169" t="s">
        <v>3405</v>
      </c>
      <c r="Z1049" s="143">
        <v>11047</v>
      </c>
      <c r="AA1049" s="143">
        <v>22.4</v>
      </c>
      <c r="AB1049" s="170">
        <v>45888</v>
      </c>
      <c r="AC1049" s="143"/>
      <c r="AD1049" s="143"/>
      <c r="AE1049" s="143"/>
      <c r="AF1049" s="143"/>
      <c r="AG1049" s="143"/>
      <c r="AH1049" s="169" t="s">
        <v>3406</v>
      </c>
      <c r="AI1049" s="143"/>
      <c r="AJ1049" s="143"/>
      <c r="AK1049" s="143"/>
      <c r="AL1049" s="143"/>
      <c r="AM1049" s="143"/>
    </row>
    <row r="1050" s="140" customFormat="1" ht="24" spans="1:39">
      <c r="A1050" s="143">
        <v>1048</v>
      </c>
      <c r="B1050" s="144">
        <v>45887</v>
      </c>
      <c r="C1050" s="169" t="s">
        <v>3277</v>
      </c>
      <c r="D1050" s="143" t="s">
        <v>41</v>
      </c>
      <c r="E1050" s="186" t="s">
        <v>3403</v>
      </c>
      <c r="F1050" s="143">
        <v>23203</v>
      </c>
      <c r="G1050" s="143"/>
      <c r="H1050" s="152" t="s">
        <v>3407</v>
      </c>
      <c r="I1050" s="143" t="s">
        <v>3218</v>
      </c>
      <c r="J1050" s="143" t="s">
        <v>1577</v>
      </c>
      <c r="K1050" s="143">
        <v>155</v>
      </c>
      <c r="L1050" s="143">
        <v>280</v>
      </c>
      <c r="M1050" s="143"/>
      <c r="N1050" s="143"/>
      <c r="O1050" s="143"/>
      <c r="P1050" s="143"/>
      <c r="Q1050" s="143"/>
      <c r="R1050" s="143"/>
      <c r="S1050" s="146"/>
      <c r="T1050" s="146"/>
      <c r="U1050" s="146"/>
      <c r="V1050" s="147"/>
      <c r="W1050" s="143" t="s">
        <v>3147</v>
      </c>
      <c r="X1050" s="143">
        <v>23203</v>
      </c>
      <c r="Y1050" s="169" t="s">
        <v>3408</v>
      </c>
      <c r="Z1050" s="143">
        <v>23203</v>
      </c>
      <c r="AA1050" s="143">
        <v>26.6</v>
      </c>
      <c r="AB1050" s="170">
        <v>45887</v>
      </c>
      <c r="AC1050" s="143"/>
      <c r="AD1050" s="143"/>
      <c r="AE1050" s="143"/>
      <c r="AF1050" s="143"/>
      <c r="AG1050" s="143"/>
      <c r="AH1050" s="143"/>
      <c r="AI1050" s="143"/>
      <c r="AJ1050" s="143"/>
      <c r="AK1050" s="143"/>
      <c r="AL1050" s="143"/>
      <c r="AM1050" s="143"/>
    </row>
    <row r="1051" s="140" customFormat="1" ht="24" spans="1:39">
      <c r="A1051" s="143">
        <v>1049</v>
      </c>
      <c r="B1051" s="144">
        <v>45887</v>
      </c>
      <c r="C1051" s="169" t="s">
        <v>3277</v>
      </c>
      <c r="D1051" s="143" t="s">
        <v>41</v>
      </c>
      <c r="E1051" s="186" t="s">
        <v>3403</v>
      </c>
      <c r="F1051" s="143" t="s">
        <v>3409</v>
      </c>
      <c r="G1051" s="143"/>
      <c r="H1051" s="152" t="s">
        <v>3410</v>
      </c>
      <c r="I1051" s="143" t="s">
        <v>3218</v>
      </c>
      <c r="J1051" s="143" t="s">
        <v>1577</v>
      </c>
      <c r="K1051" s="143">
        <v>150</v>
      </c>
      <c r="L1051" s="143">
        <v>150</v>
      </c>
      <c r="M1051" s="143"/>
      <c r="N1051" s="143"/>
      <c r="O1051" s="143"/>
      <c r="P1051" s="143"/>
      <c r="Q1051" s="143"/>
      <c r="R1051" s="143"/>
      <c r="S1051" s="146"/>
      <c r="T1051" s="146"/>
      <c r="U1051" s="146"/>
      <c r="V1051" s="147"/>
      <c r="W1051" s="143" t="s">
        <v>3147</v>
      </c>
      <c r="X1051" s="143" t="s">
        <v>3409</v>
      </c>
      <c r="Y1051" s="169" t="s">
        <v>3408</v>
      </c>
      <c r="Z1051" s="143" t="s">
        <v>3409</v>
      </c>
      <c r="AA1051" s="143">
        <v>19.8</v>
      </c>
      <c r="AB1051" s="170">
        <v>45887</v>
      </c>
      <c r="AC1051" s="143"/>
      <c r="AD1051" s="143"/>
      <c r="AE1051" s="143"/>
      <c r="AF1051" s="143"/>
      <c r="AG1051" s="143"/>
      <c r="AH1051" s="143"/>
      <c r="AI1051" s="143"/>
      <c r="AJ1051" s="143"/>
      <c r="AK1051" s="143"/>
      <c r="AL1051" s="143"/>
      <c r="AM1051" s="143"/>
    </row>
    <row r="1052" s="140" customFormat="1" ht="24" spans="1:39">
      <c r="A1052" s="143">
        <v>1050</v>
      </c>
      <c r="B1052" s="144">
        <v>45887</v>
      </c>
      <c r="C1052" s="169" t="s">
        <v>3277</v>
      </c>
      <c r="D1052" s="143" t="s">
        <v>41</v>
      </c>
      <c r="E1052" s="186" t="s">
        <v>3403</v>
      </c>
      <c r="F1052" s="143">
        <v>23165</v>
      </c>
      <c r="G1052" s="143"/>
      <c r="H1052" s="152" t="s">
        <v>3411</v>
      </c>
      <c r="I1052" s="143" t="s">
        <v>3218</v>
      </c>
      <c r="J1052" s="143" t="s">
        <v>1577</v>
      </c>
      <c r="K1052" s="143">
        <v>155</v>
      </c>
      <c r="L1052" s="143">
        <v>120</v>
      </c>
      <c r="M1052" s="143"/>
      <c r="N1052" s="143"/>
      <c r="O1052" s="143"/>
      <c r="P1052" s="143"/>
      <c r="Q1052" s="143"/>
      <c r="R1052" s="143"/>
      <c r="S1052" s="146"/>
      <c r="T1052" s="146"/>
      <c r="U1052" s="146"/>
      <c r="V1052" s="147"/>
      <c r="W1052" s="143" t="s">
        <v>3147</v>
      </c>
      <c r="X1052" s="143">
        <v>23165</v>
      </c>
      <c r="Y1052" s="169" t="s">
        <v>3408</v>
      </c>
      <c r="Z1052" s="143">
        <v>23165</v>
      </c>
      <c r="AA1052" s="143">
        <v>15.9</v>
      </c>
      <c r="AB1052" s="170">
        <v>45887</v>
      </c>
      <c r="AC1052" s="143"/>
      <c r="AD1052" s="143"/>
      <c r="AE1052" s="143"/>
      <c r="AF1052" s="143"/>
      <c r="AG1052" s="143"/>
      <c r="AH1052" s="143"/>
      <c r="AI1052" s="143"/>
      <c r="AJ1052" s="143"/>
      <c r="AK1052" s="143"/>
      <c r="AL1052" s="143"/>
      <c r="AM1052" s="143"/>
    </row>
    <row r="1053" s="140" customFormat="1" ht="24" spans="1:39">
      <c r="A1053" s="143">
        <v>1051</v>
      </c>
      <c r="B1053" s="144">
        <v>45887</v>
      </c>
      <c r="C1053" s="169" t="s">
        <v>3277</v>
      </c>
      <c r="D1053" s="143" t="s">
        <v>41</v>
      </c>
      <c r="E1053" s="186" t="s">
        <v>3403</v>
      </c>
      <c r="F1053" s="143" t="s">
        <v>3412</v>
      </c>
      <c r="G1053" s="143"/>
      <c r="H1053" s="152" t="s">
        <v>3413</v>
      </c>
      <c r="I1053" s="143" t="s">
        <v>3218</v>
      </c>
      <c r="J1053" s="143" t="s">
        <v>1577</v>
      </c>
      <c r="K1053" s="143">
        <v>155</v>
      </c>
      <c r="L1053" s="143">
        <v>150</v>
      </c>
      <c r="M1053" s="143"/>
      <c r="N1053" s="143"/>
      <c r="O1053" s="143"/>
      <c r="P1053" s="143"/>
      <c r="Q1053" s="143"/>
      <c r="R1053" s="143"/>
      <c r="S1053" s="146"/>
      <c r="T1053" s="146"/>
      <c r="U1053" s="146"/>
      <c r="V1053" s="147"/>
      <c r="W1053" s="143" t="s">
        <v>3147</v>
      </c>
      <c r="X1053" s="143" t="s">
        <v>3412</v>
      </c>
      <c r="Y1053" s="169" t="s">
        <v>3408</v>
      </c>
      <c r="Z1053" s="143" t="s">
        <v>3412</v>
      </c>
      <c r="AA1053" s="143">
        <v>15.8</v>
      </c>
      <c r="AB1053" s="170">
        <v>45887</v>
      </c>
      <c r="AC1053" s="143"/>
      <c r="AD1053" s="143"/>
      <c r="AE1053" s="143"/>
      <c r="AF1053" s="143"/>
      <c r="AG1053" s="143"/>
      <c r="AH1053" s="143"/>
      <c r="AI1053" s="143"/>
      <c r="AJ1053" s="143"/>
      <c r="AK1053" s="143"/>
      <c r="AL1053" s="143"/>
      <c r="AM1053" s="143"/>
    </row>
    <row r="1054" s="140" customFormat="1" ht="24" spans="1:39">
      <c r="A1054" s="143">
        <v>1052</v>
      </c>
      <c r="B1054" s="144">
        <v>45887</v>
      </c>
      <c r="C1054" s="169" t="s">
        <v>3277</v>
      </c>
      <c r="D1054" s="143" t="s">
        <v>41</v>
      </c>
      <c r="E1054" s="186" t="s">
        <v>3403</v>
      </c>
      <c r="F1054" s="143">
        <v>23162</v>
      </c>
      <c r="G1054" s="143"/>
      <c r="H1054" s="152" t="s">
        <v>3414</v>
      </c>
      <c r="I1054" s="143" t="s">
        <v>3218</v>
      </c>
      <c r="J1054" s="143" t="s">
        <v>1577</v>
      </c>
      <c r="K1054" s="143">
        <v>145</v>
      </c>
      <c r="L1054" s="143">
        <v>190</v>
      </c>
      <c r="M1054" s="143"/>
      <c r="N1054" s="143"/>
      <c r="O1054" s="143"/>
      <c r="P1054" s="143"/>
      <c r="Q1054" s="143"/>
      <c r="R1054" s="143"/>
      <c r="S1054" s="146"/>
      <c r="T1054" s="146"/>
      <c r="U1054" s="146"/>
      <c r="V1054" s="147"/>
      <c r="W1054" s="143" t="s">
        <v>3147</v>
      </c>
      <c r="X1054" s="143">
        <v>23162</v>
      </c>
      <c r="Y1054" s="169" t="s">
        <v>3408</v>
      </c>
      <c r="Z1054" s="143">
        <v>23162</v>
      </c>
      <c r="AA1054" s="143">
        <v>22.8</v>
      </c>
      <c r="AB1054" s="170">
        <v>45887</v>
      </c>
      <c r="AC1054" s="143"/>
      <c r="AD1054" s="143"/>
      <c r="AE1054" s="143"/>
      <c r="AF1054" s="143"/>
      <c r="AG1054" s="143"/>
      <c r="AH1054" s="143"/>
      <c r="AI1054" s="143"/>
      <c r="AJ1054" s="143"/>
      <c r="AK1054" s="143"/>
      <c r="AL1054" s="143"/>
      <c r="AM1054" s="143"/>
    </row>
    <row r="1055" s="140" customFormat="1" ht="24" spans="1:39">
      <c r="A1055" s="143">
        <v>1053</v>
      </c>
      <c r="B1055" s="144">
        <v>45887</v>
      </c>
      <c r="C1055" s="169" t="s">
        <v>3277</v>
      </c>
      <c r="D1055" s="143" t="s">
        <v>41</v>
      </c>
      <c r="E1055" s="186" t="s">
        <v>3403</v>
      </c>
      <c r="F1055" s="143">
        <v>24105</v>
      </c>
      <c r="G1055" s="143"/>
      <c r="H1055" s="152" t="s">
        <v>3415</v>
      </c>
      <c r="I1055" s="143" t="s">
        <v>3218</v>
      </c>
      <c r="J1055" s="143" t="s">
        <v>1577</v>
      </c>
      <c r="K1055" s="143">
        <v>140</v>
      </c>
      <c r="L1055" s="143">
        <v>210</v>
      </c>
      <c r="M1055" s="143"/>
      <c r="N1055" s="143"/>
      <c r="O1055" s="143"/>
      <c r="P1055" s="143"/>
      <c r="Q1055" s="143"/>
      <c r="R1055" s="143"/>
      <c r="S1055" s="146"/>
      <c r="T1055" s="146"/>
      <c r="U1055" s="146"/>
      <c r="V1055" s="147"/>
      <c r="W1055" s="143" t="s">
        <v>3147</v>
      </c>
      <c r="X1055" s="143">
        <v>24105</v>
      </c>
      <c r="Y1055" s="169" t="s">
        <v>3408</v>
      </c>
      <c r="Z1055" s="143">
        <v>24105</v>
      </c>
      <c r="AA1055" s="143">
        <v>18.7</v>
      </c>
      <c r="AB1055" s="170">
        <v>45887</v>
      </c>
      <c r="AC1055" s="143"/>
      <c r="AD1055" s="143"/>
      <c r="AE1055" s="143"/>
      <c r="AF1055" s="143"/>
      <c r="AG1055" s="143"/>
      <c r="AH1055" s="143"/>
      <c r="AI1055" s="143"/>
      <c r="AJ1055" s="143"/>
      <c r="AK1055" s="143"/>
      <c r="AL1055" s="143"/>
      <c r="AM1055" s="143"/>
    </row>
    <row r="1056" s="140" customFormat="1" ht="24" spans="1:39">
      <c r="A1056" s="143">
        <v>1054</v>
      </c>
      <c r="B1056" s="144">
        <v>45887</v>
      </c>
      <c r="C1056" s="169" t="s">
        <v>3277</v>
      </c>
      <c r="D1056" s="143" t="s">
        <v>41</v>
      </c>
      <c r="E1056" s="186" t="s">
        <v>3403</v>
      </c>
      <c r="F1056" s="143" t="s">
        <v>3416</v>
      </c>
      <c r="G1056" s="143"/>
      <c r="H1056" s="152" t="s">
        <v>3417</v>
      </c>
      <c r="I1056" s="143" t="s">
        <v>3418</v>
      </c>
      <c r="J1056" s="143" t="s">
        <v>1588</v>
      </c>
      <c r="K1056" s="143">
        <v>150</v>
      </c>
      <c r="L1056" s="143">
        <v>120</v>
      </c>
      <c r="M1056" s="143"/>
      <c r="N1056" s="143"/>
      <c r="O1056" s="143"/>
      <c r="P1056" s="143"/>
      <c r="Q1056" s="143"/>
      <c r="R1056" s="143"/>
      <c r="S1056" s="146"/>
      <c r="T1056" s="146"/>
      <c r="U1056" s="146"/>
      <c r="V1056" s="147"/>
      <c r="W1056" s="143" t="s">
        <v>3147</v>
      </c>
      <c r="X1056" s="143" t="s">
        <v>3416</v>
      </c>
      <c r="Y1056" s="169" t="s">
        <v>3419</v>
      </c>
      <c r="Z1056" s="143" t="s">
        <v>3416</v>
      </c>
      <c r="AA1056" s="143">
        <v>11.8</v>
      </c>
      <c r="AB1056" s="170">
        <v>45887</v>
      </c>
      <c r="AC1056" s="143"/>
      <c r="AD1056" s="143"/>
      <c r="AE1056" s="143"/>
      <c r="AF1056" s="143"/>
      <c r="AG1056" s="143"/>
      <c r="AH1056" s="143"/>
      <c r="AI1056" s="143"/>
      <c r="AJ1056" s="143"/>
      <c r="AK1056" s="143"/>
      <c r="AL1056" s="143"/>
      <c r="AM1056" s="143"/>
    </row>
    <row r="1057" s="140" customFormat="1" ht="15" spans="1:39">
      <c r="A1057" s="143">
        <v>1055</v>
      </c>
      <c r="B1057" s="144">
        <v>45887</v>
      </c>
      <c r="C1057" s="169" t="s">
        <v>3277</v>
      </c>
      <c r="D1057" s="143" t="s">
        <v>41</v>
      </c>
      <c r="E1057" s="186" t="s">
        <v>3420</v>
      </c>
      <c r="F1057" s="143">
        <v>81013</v>
      </c>
      <c r="G1057" s="143"/>
      <c r="H1057" s="152" t="s">
        <v>3421</v>
      </c>
      <c r="I1057" s="143" t="s">
        <v>324</v>
      </c>
      <c r="J1057" s="143" t="s">
        <v>1577</v>
      </c>
      <c r="K1057" s="143">
        <v>150</v>
      </c>
      <c r="L1057" s="143">
        <v>110</v>
      </c>
      <c r="M1057" s="143"/>
      <c r="N1057" s="143"/>
      <c r="O1057" s="143"/>
      <c r="P1057" s="143"/>
      <c r="Q1057" s="143"/>
      <c r="R1057" s="143"/>
      <c r="S1057" s="146"/>
      <c r="T1057" s="146"/>
      <c r="U1057" s="146"/>
      <c r="V1057" s="147"/>
      <c r="W1057" s="143" t="s">
        <v>3147</v>
      </c>
      <c r="X1057" s="143">
        <v>81013</v>
      </c>
      <c r="Y1057" s="169" t="s">
        <v>3422</v>
      </c>
      <c r="Z1057" s="143">
        <v>81013</v>
      </c>
      <c r="AA1057" s="143">
        <v>13.6</v>
      </c>
      <c r="AB1057" s="170">
        <v>45887</v>
      </c>
      <c r="AC1057" s="143"/>
      <c r="AD1057" s="143"/>
      <c r="AE1057" s="143"/>
      <c r="AF1057" s="143"/>
      <c r="AG1057" s="143"/>
      <c r="AH1057" s="143"/>
      <c r="AI1057" s="143"/>
      <c r="AJ1057" s="143"/>
      <c r="AK1057" s="143"/>
      <c r="AL1057" s="143"/>
      <c r="AM1057" s="143"/>
    </row>
    <row r="1058" s="140" customFormat="1" ht="15" spans="1:39">
      <c r="A1058" s="143">
        <v>1056</v>
      </c>
      <c r="B1058" s="144">
        <v>45887</v>
      </c>
      <c r="C1058" s="169" t="s">
        <v>3277</v>
      </c>
      <c r="D1058" s="143" t="s">
        <v>41</v>
      </c>
      <c r="E1058" s="186" t="s">
        <v>3420</v>
      </c>
      <c r="F1058" s="143" t="s">
        <v>3423</v>
      </c>
      <c r="G1058" s="143"/>
      <c r="H1058" s="152" t="s">
        <v>3424</v>
      </c>
      <c r="I1058" s="143" t="s">
        <v>3218</v>
      </c>
      <c r="J1058" s="143" t="s">
        <v>1577</v>
      </c>
      <c r="K1058" s="143">
        <v>150</v>
      </c>
      <c r="L1058" s="143">
        <v>150</v>
      </c>
      <c r="M1058" s="143"/>
      <c r="N1058" s="143"/>
      <c r="O1058" s="143"/>
      <c r="P1058" s="143"/>
      <c r="Q1058" s="143"/>
      <c r="R1058" s="143"/>
      <c r="S1058" s="146"/>
      <c r="T1058" s="146"/>
      <c r="U1058" s="146"/>
      <c r="V1058" s="147"/>
      <c r="W1058" s="143" t="s">
        <v>3147</v>
      </c>
      <c r="X1058" s="143" t="s">
        <v>3423</v>
      </c>
      <c r="Y1058" s="143" t="s">
        <v>3425</v>
      </c>
      <c r="Z1058" s="143" t="s">
        <v>3423</v>
      </c>
      <c r="AA1058" s="143">
        <v>16.5</v>
      </c>
      <c r="AB1058" s="170">
        <v>45887</v>
      </c>
      <c r="AC1058" s="143"/>
      <c r="AD1058" s="143"/>
      <c r="AE1058" s="143"/>
      <c r="AF1058" s="143"/>
      <c r="AG1058" s="143"/>
      <c r="AH1058" s="143"/>
      <c r="AI1058" s="143"/>
      <c r="AJ1058" s="143"/>
      <c r="AK1058" s="143"/>
      <c r="AL1058" s="143"/>
      <c r="AM1058" s="143"/>
    </row>
    <row r="1059" s="140" customFormat="1" ht="15" spans="1:39">
      <c r="A1059" s="143">
        <v>1057</v>
      </c>
      <c r="B1059" s="144">
        <v>45887</v>
      </c>
      <c r="C1059" s="169" t="s">
        <v>3277</v>
      </c>
      <c r="D1059" s="143" t="s">
        <v>41</v>
      </c>
      <c r="E1059" s="186" t="s">
        <v>3420</v>
      </c>
      <c r="F1059" s="143">
        <v>81010</v>
      </c>
      <c r="G1059" s="143"/>
      <c r="H1059" s="152" t="s">
        <v>3426</v>
      </c>
      <c r="I1059" s="143" t="s">
        <v>3218</v>
      </c>
      <c r="J1059" s="143" t="s">
        <v>1577</v>
      </c>
      <c r="K1059" s="143">
        <v>150</v>
      </c>
      <c r="L1059" s="143">
        <v>130</v>
      </c>
      <c r="M1059" s="143"/>
      <c r="N1059" s="143"/>
      <c r="O1059" s="143"/>
      <c r="P1059" s="143"/>
      <c r="Q1059" s="143"/>
      <c r="R1059" s="143"/>
      <c r="S1059" s="146"/>
      <c r="T1059" s="146"/>
      <c r="U1059" s="146"/>
      <c r="V1059" s="147"/>
      <c r="W1059" s="143" t="s">
        <v>3147</v>
      </c>
      <c r="X1059" s="143">
        <v>81010</v>
      </c>
      <c r="Y1059" s="169" t="s">
        <v>3422</v>
      </c>
      <c r="Z1059" s="143">
        <v>81010</v>
      </c>
      <c r="AA1059" s="143">
        <v>13.8</v>
      </c>
      <c r="AB1059" s="170">
        <v>45887</v>
      </c>
      <c r="AC1059" s="143"/>
      <c r="AD1059" s="143"/>
      <c r="AE1059" s="143"/>
      <c r="AF1059" s="143"/>
      <c r="AG1059" s="143"/>
      <c r="AH1059" s="143"/>
      <c r="AI1059" s="143"/>
      <c r="AJ1059" s="143"/>
      <c r="AK1059" s="143"/>
      <c r="AL1059" s="143"/>
      <c r="AM1059" s="143"/>
    </row>
    <row r="1060" s="140" customFormat="1" ht="15" spans="1:39">
      <c r="A1060" s="143">
        <v>1058</v>
      </c>
      <c r="B1060" s="144">
        <v>45887</v>
      </c>
      <c r="C1060" s="169" t="s">
        <v>3277</v>
      </c>
      <c r="D1060" s="143" t="s">
        <v>41</v>
      </c>
      <c r="E1060" s="186" t="s">
        <v>3420</v>
      </c>
      <c r="F1060" s="143" t="s">
        <v>3427</v>
      </c>
      <c r="G1060" s="143"/>
      <c r="H1060" s="152" t="s">
        <v>3428</v>
      </c>
      <c r="I1060" s="143" t="s">
        <v>3418</v>
      </c>
      <c r="J1060" s="143" t="s">
        <v>1588</v>
      </c>
      <c r="K1060" s="143">
        <v>150</v>
      </c>
      <c r="L1060" s="143">
        <v>100</v>
      </c>
      <c r="M1060" s="143"/>
      <c r="N1060" s="143"/>
      <c r="O1060" s="143"/>
      <c r="P1060" s="143"/>
      <c r="Q1060" s="143"/>
      <c r="R1060" s="143"/>
      <c r="S1060" s="146"/>
      <c r="T1060" s="146"/>
      <c r="U1060" s="146"/>
      <c r="V1060" s="147"/>
      <c r="W1060" s="143" t="s">
        <v>3147</v>
      </c>
      <c r="X1060" s="143" t="s">
        <v>3427</v>
      </c>
      <c r="Y1060" s="169" t="s">
        <v>3429</v>
      </c>
      <c r="Z1060" s="143" t="s">
        <v>3427</v>
      </c>
      <c r="AA1060" s="143">
        <v>16</v>
      </c>
      <c r="AB1060" s="170">
        <v>45887</v>
      </c>
      <c r="AC1060" s="143"/>
      <c r="AD1060" s="143"/>
      <c r="AE1060" s="143"/>
      <c r="AF1060" s="143"/>
      <c r="AG1060" s="143"/>
      <c r="AH1060" s="143"/>
      <c r="AI1060" s="143"/>
      <c r="AJ1060" s="143"/>
      <c r="AK1060" s="143"/>
      <c r="AL1060" s="143"/>
      <c r="AM1060" s="143"/>
    </row>
    <row r="1061" s="140" customFormat="1" ht="15" spans="1:39">
      <c r="A1061" s="143">
        <v>1059</v>
      </c>
      <c r="B1061" s="144">
        <v>45890</v>
      </c>
      <c r="C1061" s="169" t="s">
        <v>3277</v>
      </c>
      <c r="D1061" s="143" t="s">
        <v>41</v>
      </c>
      <c r="E1061" s="186" t="s">
        <v>3430</v>
      </c>
      <c r="F1061" s="143">
        <v>19344</v>
      </c>
      <c r="G1061" s="143"/>
      <c r="H1061" s="152" t="s">
        <v>3431</v>
      </c>
      <c r="I1061" s="143" t="s">
        <v>3432</v>
      </c>
      <c r="J1061" s="143" t="s">
        <v>3433</v>
      </c>
      <c r="K1061" s="143">
        <v>150</v>
      </c>
      <c r="L1061" s="143">
        <v>105</v>
      </c>
      <c r="M1061" s="143"/>
      <c r="N1061" s="143"/>
      <c r="O1061" s="143"/>
      <c r="P1061" s="143"/>
      <c r="Q1061" s="143"/>
      <c r="R1061" s="143"/>
      <c r="S1061" s="146"/>
      <c r="T1061" s="146"/>
      <c r="U1061" s="146"/>
      <c r="V1061" s="147"/>
      <c r="W1061" s="143" t="s">
        <v>3147</v>
      </c>
      <c r="X1061" s="143">
        <v>19344</v>
      </c>
      <c r="Y1061" s="169" t="s">
        <v>3434</v>
      </c>
      <c r="Z1061" s="143">
        <f>X1061</f>
        <v>19344</v>
      </c>
      <c r="AA1061" s="143">
        <v>12.5</v>
      </c>
      <c r="AB1061" s="170">
        <v>45890</v>
      </c>
      <c r="AC1061" s="143"/>
      <c r="AD1061" s="143"/>
      <c r="AE1061" s="143"/>
      <c r="AF1061" s="143"/>
      <c r="AG1061" s="143"/>
      <c r="AH1061" s="143"/>
      <c r="AI1061" s="143"/>
      <c r="AJ1061" s="143"/>
      <c r="AK1061" s="143"/>
      <c r="AL1061" s="143"/>
      <c r="AM1061" s="143"/>
    </row>
    <row r="1062" s="140" customFormat="1" ht="15" spans="1:39">
      <c r="A1062" s="143">
        <v>1060</v>
      </c>
      <c r="B1062" s="144">
        <v>45890</v>
      </c>
      <c r="C1062" s="169" t="s">
        <v>3277</v>
      </c>
      <c r="D1062" s="143" t="s">
        <v>41</v>
      </c>
      <c r="E1062" s="186" t="s">
        <v>3430</v>
      </c>
      <c r="F1062" s="143" t="s">
        <v>3435</v>
      </c>
      <c r="G1062" s="143"/>
      <c r="H1062" s="152" t="s">
        <v>3436</v>
      </c>
      <c r="I1062" s="143" t="s">
        <v>3157</v>
      </c>
      <c r="J1062" s="143" t="s">
        <v>46</v>
      </c>
      <c r="K1062" s="143">
        <v>145</v>
      </c>
      <c r="L1062" s="143">
        <v>90</v>
      </c>
      <c r="M1062" s="143"/>
      <c r="N1062" s="143"/>
      <c r="O1062" s="143"/>
      <c r="P1062" s="143"/>
      <c r="Q1062" s="143"/>
      <c r="R1062" s="143"/>
      <c r="S1062" s="146"/>
      <c r="T1062" s="146"/>
      <c r="U1062" s="146"/>
      <c r="V1062" s="147"/>
      <c r="W1062" s="143" t="s">
        <v>3147</v>
      </c>
      <c r="X1062" s="143" t="s">
        <v>3435</v>
      </c>
      <c r="Y1062" s="169" t="s">
        <v>3434</v>
      </c>
      <c r="Z1062" s="143" t="str">
        <f t="shared" ref="Z1062:Z1077" si="0">X1062</f>
        <v>B1089</v>
      </c>
      <c r="AA1062" s="143">
        <v>13.8</v>
      </c>
      <c r="AB1062" s="170">
        <v>45890</v>
      </c>
      <c r="AC1062" s="143"/>
      <c r="AD1062" s="143"/>
      <c r="AE1062" s="143"/>
      <c r="AF1062" s="143"/>
      <c r="AG1062" s="143"/>
      <c r="AH1062" s="143"/>
      <c r="AI1062" s="143"/>
      <c r="AJ1062" s="143"/>
      <c r="AK1062" s="143"/>
      <c r="AL1062" s="143"/>
      <c r="AM1062" s="143"/>
    </row>
    <row r="1063" s="140" customFormat="1" ht="15" spans="1:39">
      <c r="A1063" s="143">
        <v>1061</v>
      </c>
      <c r="B1063" s="144">
        <v>45890</v>
      </c>
      <c r="C1063" s="169" t="s">
        <v>3277</v>
      </c>
      <c r="D1063" s="143" t="s">
        <v>41</v>
      </c>
      <c r="E1063" s="186" t="s">
        <v>3430</v>
      </c>
      <c r="F1063" s="143" t="s">
        <v>3437</v>
      </c>
      <c r="G1063" s="143"/>
      <c r="H1063" s="152" t="s">
        <v>3438</v>
      </c>
      <c r="I1063" s="143" t="s">
        <v>3286</v>
      </c>
      <c r="J1063" s="143" t="s">
        <v>1030</v>
      </c>
      <c r="K1063" s="143">
        <v>148</v>
      </c>
      <c r="L1063" s="143">
        <v>130</v>
      </c>
      <c r="M1063" s="143"/>
      <c r="N1063" s="143"/>
      <c r="O1063" s="143"/>
      <c r="P1063" s="143"/>
      <c r="Q1063" s="143"/>
      <c r="R1063" s="143"/>
      <c r="S1063" s="146"/>
      <c r="T1063" s="146"/>
      <c r="U1063" s="146"/>
      <c r="V1063" s="147"/>
      <c r="W1063" s="143" t="s">
        <v>3147</v>
      </c>
      <c r="X1063" s="143" t="s">
        <v>3437</v>
      </c>
      <c r="Y1063" s="169" t="s">
        <v>3434</v>
      </c>
      <c r="Z1063" s="143" t="str">
        <f t="shared" si="0"/>
        <v>DS1072</v>
      </c>
      <c r="AA1063" s="143">
        <v>9.3</v>
      </c>
      <c r="AB1063" s="170">
        <v>45890</v>
      </c>
      <c r="AC1063" s="143"/>
      <c r="AD1063" s="143"/>
      <c r="AE1063" s="143"/>
      <c r="AF1063" s="143"/>
      <c r="AG1063" s="143"/>
      <c r="AH1063" s="143"/>
      <c r="AI1063" s="143"/>
      <c r="AJ1063" s="143"/>
      <c r="AK1063" s="143"/>
      <c r="AL1063" s="143"/>
      <c r="AM1063" s="143"/>
    </row>
    <row r="1064" s="140" customFormat="1" ht="15" spans="1:39">
      <c r="A1064" s="143">
        <v>1062</v>
      </c>
      <c r="B1064" s="144">
        <v>45890</v>
      </c>
      <c r="C1064" s="169" t="s">
        <v>3277</v>
      </c>
      <c r="D1064" s="143" t="s">
        <v>41</v>
      </c>
      <c r="E1064" s="186" t="s">
        <v>3430</v>
      </c>
      <c r="F1064" s="143" t="s">
        <v>3439</v>
      </c>
      <c r="G1064" s="143"/>
      <c r="H1064" s="152" t="s">
        <v>3440</v>
      </c>
      <c r="I1064" s="143" t="s">
        <v>3218</v>
      </c>
      <c r="J1064" s="143" t="s">
        <v>1577</v>
      </c>
      <c r="K1064" s="143">
        <v>150</v>
      </c>
      <c r="L1064" s="143">
        <v>210</v>
      </c>
      <c r="M1064" s="143"/>
      <c r="N1064" s="143"/>
      <c r="O1064" s="143"/>
      <c r="P1064" s="143"/>
      <c r="Q1064" s="143"/>
      <c r="R1064" s="143"/>
      <c r="S1064" s="146"/>
      <c r="T1064" s="146"/>
      <c r="U1064" s="146"/>
      <c r="V1064" s="147"/>
      <c r="W1064" s="143" t="s">
        <v>3147</v>
      </c>
      <c r="X1064" s="143" t="s">
        <v>3439</v>
      </c>
      <c r="Y1064" s="169" t="s">
        <v>3441</v>
      </c>
      <c r="Z1064" s="143" t="str">
        <f t="shared" si="0"/>
        <v>ZL615</v>
      </c>
      <c r="AA1064" s="143">
        <v>11.2</v>
      </c>
      <c r="AB1064" s="170">
        <v>45890</v>
      </c>
      <c r="AC1064" s="143"/>
      <c r="AD1064" s="143"/>
      <c r="AE1064" s="143"/>
      <c r="AF1064" s="143"/>
      <c r="AG1064" s="143"/>
      <c r="AH1064" s="143"/>
      <c r="AI1064" s="143"/>
      <c r="AJ1064" s="143"/>
      <c r="AK1064" s="143"/>
      <c r="AL1064" s="143"/>
      <c r="AM1064" s="143"/>
    </row>
    <row r="1065" s="140" customFormat="1" ht="15" spans="1:39">
      <c r="A1065" s="143">
        <v>1063</v>
      </c>
      <c r="B1065" s="144">
        <v>45890</v>
      </c>
      <c r="C1065" s="169" t="s">
        <v>3277</v>
      </c>
      <c r="D1065" s="143" t="s">
        <v>41</v>
      </c>
      <c r="E1065" s="186" t="s">
        <v>3430</v>
      </c>
      <c r="F1065" s="143" t="s">
        <v>3442</v>
      </c>
      <c r="G1065" s="143"/>
      <c r="H1065" s="152" t="s">
        <v>3443</v>
      </c>
      <c r="I1065" s="143" t="s">
        <v>3218</v>
      </c>
      <c r="J1065" s="143" t="s">
        <v>1577</v>
      </c>
      <c r="K1065" s="143">
        <v>150</v>
      </c>
      <c r="L1065" s="143">
        <v>200</v>
      </c>
      <c r="M1065" s="143"/>
      <c r="N1065" s="143"/>
      <c r="O1065" s="143"/>
      <c r="P1065" s="143"/>
      <c r="Q1065" s="143"/>
      <c r="R1065" s="143"/>
      <c r="S1065" s="146"/>
      <c r="T1065" s="146"/>
      <c r="U1065" s="146"/>
      <c r="V1065" s="147"/>
      <c r="W1065" s="143" t="s">
        <v>3147</v>
      </c>
      <c r="X1065" s="143" t="s">
        <v>3442</v>
      </c>
      <c r="Y1065" s="169" t="s">
        <v>3441</v>
      </c>
      <c r="Z1065" s="143" t="str">
        <f t="shared" si="0"/>
        <v>YS36</v>
      </c>
      <c r="AA1065" s="143">
        <v>13.7</v>
      </c>
      <c r="AB1065" s="170">
        <v>45890</v>
      </c>
      <c r="AC1065" s="143"/>
      <c r="AD1065" s="143"/>
      <c r="AE1065" s="143"/>
      <c r="AF1065" s="143"/>
      <c r="AG1065" s="143"/>
      <c r="AH1065" s="143"/>
      <c r="AI1065" s="143"/>
      <c r="AJ1065" s="143"/>
      <c r="AK1065" s="143"/>
      <c r="AL1065" s="143"/>
      <c r="AM1065" s="143"/>
    </row>
    <row r="1066" s="140" customFormat="1" ht="15" spans="1:39">
      <c r="A1066" s="143">
        <v>1064</v>
      </c>
      <c r="B1066" s="144">
        <v>45890</v>
      </c>
      <c r="C1066" s="169" t="s">
        <v>3277</v>
      </c>
      <c r="D1066" s="143" t="s">
        <v>41</v>
      </c>
      <c r="E1066" s="186" t="s">
        <v>3430</v>
      </c>
      <c r="F1066" s="143" t="s">
        <v>3444</v>
      </c>
      <c r="G1066" s="143"/>
      <c r="H1066" s="152" t="s">
        <v>3445</v>
      </c>
      <c r="I1066" s="143" t="s">
        <v>3218</v>
      </c>
      <c r="J1066" s="143" t="s">
        <v>1577</v>
      </c>
      <c r="K1066" s="143">
        <v>150</v>
      </c>
      <c r="L1066" s="143">
        <v>160</v>
      </c>
      <c r="M1066" s="143"/>
      <c r="N1066" s="143"/>
      <c r="O1066" s="143"/>
      <c r="P1066" s="143"/>
      <c r="Q1066" s="143"/>
      <c r="R1066" s="143"/>
      <c r="S1066" s="146"/>
      <c r="T1066" s="146"/>
      <c r="U1066" s="146"/>
      <c r="V1066" s="147"/>
      <c r="W1066" s="143" t="s">
        <v>3147</v>
      </c>
      <c r="X1066" s="143" t="s">
        <v>3444</v>
      </c>
      <c r="Y1066" s="169" t="s">
        <v>3441</v>
      </c>
      <c r="Z1066" s="143" t="str">
        <f t="shared" si="0"/>
        <v>YS25</v>
      </c>
      <c r="AA1066" s="143">
        <v>13.7</v>
      </c>
      <c r="AB1066" s="170">
        <v>45890</v>
      </c>
      <c r="AC1066" s="143"/>
      <c r="AD1066" s="143"/>
      <c r="AE1066" s="143"/>
      <c r="AF1066" s="143"/>
      <c r="AG1066" s="143"/>
      <c r="AH1066" s="143"/>
      <c r="AI1066" s="143"/>
      <c r="AJ1066" s="143"/>
      <c r="AK1066" s="143"/>
      <c r="AL1066" s="143"/>
      <c r="AM1066" s="143"/>
    </row>
    <row r="1067" s="140" customFormat="1" ht="15" spans="1:39">
      <c r="A1067" s="143">
        <v>1065</v>
      </c>
      <c r="B1067" s="144">
        <v>45890</v>
      </c>
      <c r="C1067" s="169" t="s">
        <v>3277</v>
      </c>
      <c r="D1067" s="143" t="s">
        <v>41</v>
      </c>
      <c r="E1067" s="186" t="s">
        <v>3430</v>
      </c>
      <c r="F1067" s="143" t="s">
        <v>3446</v>
      </c>
      <c r="G1067" s="143"/>
      <c r="H1067" s="152" t="s">
        <v>3447</v>
      </c>
      <c r="I1067" s="143" t="s">
        <v>3218</v>
      </c>
      <c r="J1067" s="143" t="s">
        <v>1577</v>
      </c>
      <c r="K1067" s="143">
        <v>150</v>
      </c>
      <c r="L1067" s="143">
        <v>125</v>
      </c>
      <c r="M1067" s="143"/>
      <c r="N1067" s="143"/>
      <c r="O1067" s="143"/>
      <c r="P1067" s="143"/>
      <c r="Q1067" s="143"/>
      <c r="R1067" s="143"/>
      <c r="S1067" s="146"/>
      <c r="T1067" s="146"/>
      <c r="U1067" s="146"/>
      <c r="V1067" s="147"/>
      <c r="W1067" s="143" t="s">
        <v>3147</v>
      </c>
      <c r="X1067" s="143" t="s">
        <v>3446</v>
      </c>
      <c r="Y1067" s="169" t="s">
        <v>3441</v>
      </c>
      <c r="Z1067" s="143" t="str">
        <f t="shared" si="0"/>
        <v>P66</v>
      </c>
      <c r="AA1067" s="143">
        <v>9.5</v>
      </c>
      <c r="AB1067" s="170">
        <v>45890</v>
      </c>
      <c r="AC1067" s="143"/>
      <c r="AD1067" s="143"/>
      <c r="AE1067" s="143"/>
      <c r="AF1067" s="143"/>
      <c r="AG1067" s="143"/>
      <c r="AH1067" s="143"/>
      <c r="AI1067" s="143"/>
      <c r="AJ1067" s="143"/>
      <c r="AK1067" s="143"/>
      <c r="AL1067" s="143"/>
      <c r="AM1067" s="143"/>
    </row>
    <row r="1068" s="140" customFormat="1" ht="15" spans="1:39">
      <c r="A1068" s="143">
        <v>1066</v>
      </c>
      <c r="B1068" s="144">
        <v>45890</v>
      </c>
      <c r="C1068" s="169" t="s">
        <v>3277</v>
      </c>
      <c r="D1068" s="143" t="s">
        <v>41</v>
      </c>
      <c r="E1068" s="186" t="s">
        <v>3430</v>
      </c>
      <c r="F1068" s="143" t="s">
        <v>3448</v>
      </c>
      <c r="G1068" s="143"/>
      <c r="H1068" s="152" t="s">
        <v>3449</v>
      </c>
      <c r="I1068" s="143" t="s">
        <v>3218</v>
      </c>
      <c r="J1068" s="143" t="s">
        <v>1577</v>
      </c>
      <c r="K1068" s="143">
        <v>150</v>
      </c>
      <c r="L1068" s="143">
        <v>130</v>
      </c>
      <c r="M1068" s="143"/>
      <c r="N1068" s="143"/>
      <c r="O1068" s="143"/>
      <c r="P1068" s="143"/>
      <c r="Q1068" s="143"/>
      <c r="R1068" s="143"/>
      <c r="S1068" s="146"/>
      <c r="T1068" s="146"/>
      <c r="U1068" s="146"/>
      <c r="V1068" s="147"/>
      <c r="W1068" s="143" t="s">
        <v>3147</v>
      </c>
      <c r="X1068" s="143" t="s">
        <v>3448</v>
      </c>
      <c r="Y1068" s="169" t="s">
        <v>3441</v>
      </c>
      <c r="Z1068" s="143" t="str">
        <f t="shared" si="0"/>
        <v>P46</v>
      </c>
      <c r="AA1068" s="143">
        <v>9.5</v>
      </c>
      <c r="AB1068" s="170">
        <v>45890</v>
      </c>
      <c r="AC1068" s="143"/>
      <c r="AD1068" s="143"/>
      <c r="AE1068" s="143"/>
      <c r="AF1068" s="143"/>
      <c r="AG1068" s="143"/>
      <c r="AH1068" s="143"/>
      <c r="AI1068" s="143"/>
      <c r="AJ1068" s="143"/>
      <c r="AK1068" s="143"/>
      <c r="AL1068" s="143"/>
      <c r="AM1068" s="143"/>
    </row>
    <row r="1069" s="140" customFormat="1" ht="15" spans="1:39">
      <c r="A1069" s="143">
        <v>1067</v>
      </c>
      <c r="B1069" s="144">
        <v>45890</v>
      </c>
      <c r="C1069" s="169" t="s">
        <v>3277</v>
      </c>
      <c r="D1069" s="143" t="s">
        <v>41</v>
      </c>
      <c r="E1069" s="186" t="s">
        <v>3430</v>
      </c>
      <c r="F1069" s="143" t="s">
        <v>3450</v>
      </c>
      <c r="G1069" s="143"/>
      <c r="H1069" s="152" t="s">
        <v>3451</v>
      </c>
      <c r="I1069" s="143" t="s">
        <v>3218</v>
      </c>
      <c r="J1069" s="143" t="s">
        <v>1577</v>
      </c>
      <c r="K1069" s="143">
        <v>150</v>
      </c>
      <c r="L1069" s="143">
        <v>130</v>
      </c>
      <c r="M1069" s="143"/>
      <c r="N1069" s="143"/>
      <c r="O1069" s="143"/>
      <c r="P1069" s="143"/>
      <c r="Q1069" s="143"/>
      <c r="R1069" s="143"/>
      <c r="S1069" s="146"/>
      <c r="T1069" s="146"/>
      <c r="U1069" s="146"/>
      <c r="V1069" s="147"/>
      <c r="W1069" s="143" t="s">
        <v>3147</v>
      </c>
      <c r="X1069" s="143" t="s">
        <v>3450</v>
      </c>
      <c r="Y1069" s="169" t="s">
        <v>3441</v>
      </c>
      <c r="Z1069" s="143" t="str">
        <f t="shared" si="0"/>
        <v>P107</v>
      </c>
      <c r="AA1069" s="143">
        <v>9.5</v>
      </c>
      <c r="AB1069" s="170">
        <v>45890</v>
      </c>
      <c r="AC1069" s="143"/>
      <c r="AD1069" s="143"/>
      <c r="AE1069" s="143"/>
      <c r="AF1069" s="143"/>
      <c r="AG1069" s="143"/>
      <c r="AH1069" s="143"/>
      <c r="AI1069" s="143"/>
      <c r="AJ1069" s="143"/>
      <c r="AK1069" s="143"/>
      <c r="AL1069" s="143"/>
      <c r="AM1069" s="143"/>
    </row>
    <row r="1070" s="140" customFormat="1" ht="15" spans="1:39">
      <c r="A1070" s="143">
        <v>1068</v>
      </c>
      <c r="B1070" s="144">
        <v>45890</v>
      </c>
      <c r="C1070" s="169" t="s">
        <v>3277</v>
      </c>
      <c r="D1070" s="143" t="s">
        <v>41</v>
      </c>
      <c r="E1070" s="186" t="s">
        <v>3430</v>
      </c>
      <c r="F1070" s="143" t="s">
        <v>3452</v>
      </c>
      <c r="G1070" s="143"/>
      <c r="H1070" s="152" t="s">
        <v>3453</v>
      </c>
      <c r="I1070" s="143" t="s">
        <v>3218</v>
      </c>
      <c r="J1070" s="143" t="s">
        <v>1577</v>
      </c>
      <c r="K1070" s="143">
        <v>150</v>
      </c>
      <c r="L1070" s="143">
        <v>150</v>
      </c>
      <c r="M1070" s="143"/>
      <c r="N1070" s="143"/>
      <c r="O1070" s="143"/>
      <c r="P1070" s="143"/>
      <c r="Q1070" s="143"/>
      <c r="R1070" s="143"/>
      <c r="S1070" s="146"/>
      <c r="T1070" s="146"/>
      <c r="U1070" s="146"/>
      <c r="V1070" s="147"/>
      <c r="W1070" s="143" t="s">
        <v>3147</v>
      </c>
      <c r="X1070" s="143" t="s">
        <v>3452</v>
      </c>
      <c r="Y1070" s="169" t="s">
        <v>3441</v>
      </c>
      <c r="Z1070" s="143" t="str">
        <f t="shared" si="0"/>
        <v>P109</v>
      </c>
      <c r="AA1070" s="143">
        <v>9.5</v>
      </c>
      <c r="AB1070" s="170">
        <v>45890</v>
      </c>
      <c r="AC1070" s="143"/>
      <c r="AD1070" s="143"/>
      <c r="AE1070" s="143"/>
      <c r="AF1070" s="143"/>
      <c r="AG1070" s="143"/>
      <c r="AH1070" s="143"/>
      <c r="AI1070" s="143"/>
      <c r="AJ1070" s="143"/>
      <c r="AK1070" s="143"/>
      <c r="AL1070" s="143"/>
      <c r="AM1070" s="143"/>
    </row>
    <row r="1071" s="140" customFormat="1" ht="15" spans="1:39">
      <c r="A1071" s="143">
        <v>1069</v>
      </c>
      <c r="B1071" s="144">
        <v>45890</v>
      </c>
      <c r="C1071" s="169" t="s">
        <v>3277</v>
      </c>
      <c r="D1071" s="143" t="s">
        <v>41</v>
      </c>
      <c r="E1071" s="186" t="s">
        <v>3430</v>
      </c>
      <c r="F1071" s="143" t="s">
        <v>3454</v>
      </c>
      <c r="G1071" s="143"/>
      <c r="H1071" s="152" t="s">
        <v>3455</v>
      </c>
      <c r="I1071" s="143" t="s">
        <v>3218</v>
      </c>
      <c r="J1071" s="143" t="s">
        <v>1577</v>
      </c>
      <c r="K1071" s="143">
        <v>150</v>
      </c>
      <c r="L1071" s="143">
        <v>170</v>
      </c>
      <c r="M1071" s="143"/>
      <c r="N1071" s="143"/>
      <c r="O1071" s="143"/>
      <c r="P1071" s="143"/>
      <c r="Q1071" s="143"/>
      <c r="R1071" s="143"/>
      <c r="S1071" s="146"/>
      <c r="T1071" s="146"/>
      <c r="U1071" s="146"/>
      <c r="V1071" s="147"/>
      <c r="W1071" s="143" t="s">
        <v>3147</v>
      </c>
      <c r="X1071" s="143" t="s">
        <v>3454</v>
      </c>
      <c r="Y1071" s="169" t="s">
        <v>3441</v>
      </c>
      <c r="Z1071" s="143" t="str">
        <f t="shared" si="0"/>
        <v>P106</v>
      </c>
      <c r="AA1071" s="143">
        <v>9.5</v>
      </c>
      <c r="AB1071" s="170">
        <v>45890</v>
      </c>
      <c r="AC1071" s="143"/>
      <c r="AD1071" s="143"/>
      <c r="AE1071" s="143"/>
      <c r="AF1071" s="143"/>
      <c r="AG1071" s="143"/>
      <c r="AH1071" s="143"/>
      <c r="AI1071" s="143"/>
      <c r="AJ1071" s="143"/>
      <c r="AK1071" s="143"/>
      <c r="AL1071" s="143"/>
      <c r="AM1071" s="143"/>
    </row>
    <row r="1072" s="140" customFormat="1" ht="15" spans="1:39">
      <c r="A1072" s="143">
        <v>1070</v>
      </c>
      <c r="B1072" s="144">
        <v>45890</v>
      </c>
      <c r="C1072" s="169" t="s">
        <v>3277</v>
      </c>
      <c r="D1072" s="143" t="s">
        <v>41</v>
      </c>
      <c r="E1072" s="186" t="s">
        <v>3430</v>
      </c>
      <c r="F1072" s="143" t="s">
        <v>3456</v>
      </c>
      <c r="G1072" s="143"/>
      <c r="H1072" s="152" t="s">
        <v>3457</v>
      </c>
      <c r="I1072" s="143" t="s">
        <v>3286</v>
      </c>
      <c r="J1072" s="143" t="s">
        <v>1030</v>
      </c>
      <c r="K1072" s="143">
        <v>150</v>
      </c>
      <c r="L1072" s="143">
        <v>160</v>
      </c>
      <c r="M1072" s="143"/>
      <c r="N1072" s="143"/>
      <c r="O1072" s="143"/>
      <c r="P1072" s="143"/>
      <c r="Q1072" s="143"/>
      <c r="R1072" s="143"/>
      <c r="S1072" s="146"/>
      <c r="T1072" s="146"/>
      <c r="U1072" s="146"/>
      <c r="V1072" s="147"/>
      <c r="W1072" s="143" t="s">
        <v>3147</v>
      </c>
      <c r="X1072" s="143" t="s">
        <v>3456</v>
      </c>
      <c r="Y1072" s="169" t="s">
        <v>3458</v>
      </c>
      <c r="Z1072" s="143" t="str">
        <f t="shared" si="0"/>
        <v>DST-573</v>
      </c>
      <c r="AA1072" s="143">
        <v>11.3</v>
      </c>
      <c r="AB1072" s="170">
        <v>45890</v>
      </c>
      <c r="AC1072" s="143"/>
      <c r="AD1072" s="143"/>
      <c r="AE1072" s="143"/>
      <c r="AF1072" s="143"/>
      <c r="AG1072" s="143"/>
      <c r="AH1072" s="143"/>
      <c r="AI1072" s="143"/>
      <c r="AJ1072" s="143"/>
      <c r="AK1072" s="143"/>
      <c r="AL1072" s="143"/>
      <c r="AM1072" s="143"/>
    </row>
    <row r="1073" s="140" customFormat="1" ht="15" spans="1:39">
      <c r="A1073" s="143">
        <v>1071</v>
      </c>
      <c r="B1073" s="144">
        <v>45890</v>
      </c>
      <c r="C1073" s="169" t="s">
        <v>3277</v>
      </c>
      <c r="D1073" s="143" t="s">
        <v>41</v>
      </c>
      <c r="E1073" s="186" t="s">
        <v>3430</v>
      </c>
      <c r="F1073" s="143" t="s">
        <v>3459</v>
      </c>
      <c r="G1073" s="143"/>
      <c r="H1073" s="152" t="s">
        <v>3460</v>
      </c>
      <c r="I1073" s="143" t="s">
        <v>3286</v>
      </c>
      <c r="J1073" s="143" t="s">
        <v>1030</v>
      </c>
      <c r="K1073" s="143">
        <v>150</v>
      </c>
      <c r="L1073" s="143">
        <v>135</v>
      </c>
      <c r="M1073" s="143"/>
      <c r="N1073" s="143"/>
      <c r="O1073" s="143"/>
      <c r="P1073" s="143"/>
      <c r="Q1073" s="143"/>
      <c r="R1073" s="143"/>
      <c r="S1073" s="146"/>
      <c r="T1073" s="146"/>
      <c r="U1073" s="146"/>
      <c r="V1073" s="147"/>
      <c r="W1073" s="143" t="s">
        <v>3147</v>
      </c>
      <c r="X1073" s="143" t="s">
        <v>3459</v>
      </c>
      <c r="Y1073" s="169" t="s">
        <v>3458</v>
      </c>
      <c r="Z1073" s="143" t="str">
        <f t="shared" si="0"/>
        <v>DS6349</v>
      </c>
      <c r="AA1073" s="143">
        <v>10.1</v>
      </c>
      <c r="AB1073" s="170">
        <v>45890</v>
      </c>
      <c r="AC1073" s="143"/>
      <c r="AD1073" s="143"/>
      <c r="AE1073" s="143"/>
      <c r="AF1073" s="143"/>
      <c r="AG1073" s="143"/>
      <c r="AH1073" s="143"/>
      <c r="AI1073" s="143"/>
      <c r="AJ1073" s="143"/>
      <c r="AK1073" s="143"/>
      <c r="AL1073" s="143"/>
      <c r="AM1073" s="143"/>
    </row>
    <row r="1074" s="140" customFormat="1" ht="15" spans="1:39">
      <c r="A1074" s="143">
        <v>1072</v>
      </c>
      <c r="B1074" s="144">
        <v>45890</v>
      </c>
      <c r="C1074" s="169" t="s">
        <v>3277</v>
      </c>
      <c r="D1074" s="143" t="s">
        <v>41</v>
      </c>
      <c r="E1074" s="186" t="s">
        <v>3430</v>
      </c>
      <c r="F1074" s="143" t="s">
        <v>3461</v>
      </c>
      <c r="G1074" s="143"/>
      <c r="H1074" s="152" t="s">
        <v>3462</v>
      </c>
      <c r="I1074" s="143" t="s">
        <v>3286</v>
      </c>
      <c r="J1074" s="143" t="s">
        <v>1030</v>
      </c>
      <c r="K1074" s="143">
        <v>150</v>
      </c>
      <c r="L1074" s="143">
        <v>115</v>
      </c>
      <c r="M1074" s="143"/>
      <c r="N1074" s="143"/>
      <c r="O1074" s="143"/>
      <c r="P1074" s="143"/>
      <c r="Q1074" s="143"/>
      <c r="R1074" s="143"/>
      <c r="S1074" s="146"/>
      <c r="T1074" s="146"/>
      <c r="U1074" s="146"/>
      <c r="V1074" s="147"/>
      <c r="W1074" s="143" t="s">
        <v>3147</v>
      </c>
      <c r="X1074" s="143" t="s">
        <v>3461</v>
      </c>
      <c r="Y1074" s="169" t="s">
        <v>3458</v>
      </c>
      <c r="Z1074" s="143" t="str">
        <f t="shared" si="0"/>
        <v>DW618#</v>
      </c>
      <c r="AA1074" s="143">
        <v>11.4</v>
      </c>
      <c r="AB1074" s="170">
        <v>45890</v>
      </c>
      <c r="AC1074" s="143"/>
      <c r="AD1074" s="143"/>
      <c r="AE1074" s="143"/>
      <c r="AF1074" s="143"/>
      <c r="AG1074" s="143"/>
      <c r="AH1074" s="143"/>
      <c r="AI1074" s="143"/>
      <c r="AJ1074" s="143"/>
      <c r="AK1074" s="143"/>
      <c r="AL1074" s="143"/>
      <c r="AM1074" s="143"/>
    </row>
    <row r="1075" s="140" customFormat="1" ht="15" spans="1:39">
      <c r="A1075" s="143">
        <v>1073</v>
      </c>
      <c r="B1075" s="144">
        <v>45890</v>
      </c>
      <c r="C1075" s="169" t="s">
        <v>3277</v>
      </c>
      <c r="D1075" s="143" t="s">
        <v>41</v>
      </c>
      <c r="E1075" s="186" t="s">
        <v>3430</v>
      </c>
      <c r="F1075" s="143" t="s">
        <v>3463</v>
      </c>
      <c r="G1075" s="143"/>
      <c r="H1075" s="152" t="s">
        <v>3464</v>
      </c>
      <c r="I1075" s="143" t="s">
        <v>3465</v>
      </c>
      <c r="J1075" s="143" t="s">
        <v>3466</v>
      </c>
      <c r="K1075" s="143">
        <v>150</v>
      </c>
      <c r="L1075" s="143">
        <v>195</v>
      </c>
      <c r="M1075" s="143"/>
      <c r="N1075" s="143"/>
      <c r="O1075" s="143"/>
      <c r="P1075" s="143"/>
      <c r="Q1075" s="143"/>
      <c r="R1075" s="143"/>
      <c r="S1075" s="146"/>
      <c r="T1075" s="146"/>
      <c r="U1075" s="146"/>
      <c r="V1075" s="147"/>
      <c r="W1075" s="143" t="s">
        <v>3147</v>
      </c>
      <c r="X1075" s="143" t="s">
        <v>3463</v>
      </c>
      <c r="Y1075" s="169" t="s">
        <v>3458</v>
      </c>
      <c r="Z1075" s="143" t="str">
        <f t="shared" si="0"/>
        <v>RM349#</v>
      </c>
      <c r="AA1075" s="143">
        <v>13.4</v>
      </c>
      <c r="AB1075" s="170">
        <v>45890</v>
      </c>
      <c r="AC1075" s="143"/>
      <c r="AD1075" s="143"/>
      <c r="AE1075" s="143"/>
      <c r="AF1075" s="143"/>
      <c r="AG1075" s="143"/>
      <c r="AH1075" s="143"/>
      <c r="AI1075" s="143"/>
      <c r="AJ1075" s="143"/>
      <c r="AK1075" s="143"/>
      <c r="AL1075" s="143"/>
      <c r="AM1075" s="143"/>
    </row>
    <row r="1076" s="140" customFormat="1" ht="15" spans="1:39">
      <c r="A1076" s="143">
        <v>1074</v>
      </c>
      <c r="B1076" s="144">
        <v>45890</v>
      </c>
      <c r="C1076" s="169" t="s">
        <v>3277</v>
      </c>
      <c r="D1076" s="143" t="s">
        <v>41</v>
      </c>
      <c r="E1076" s="186" t="s">
        <v>3430</v>
      </c>
      <c r="F1076" s="143" t="s">
        <v>3467</v>
      </c>
      <c r="G1076" s="143"/>
      <c r="H1076" s="152" t="s">
        <v>3468</v>
      </c>
      <c r="I1076" s="143" t="s">
        <v>3218</v>
      </c>
      <c r="J1076" s="143" t="s">
        <v>1577</v>
      </c>
      <c r="K1076" s="143">
        <v>150</v>
      </c>
      <c r="L1076" s="143">
        <v>125</v>
      </c>
      <c r="M1076" s="143"/>
      <c r="N1076" s="143"/>
      <c r="O1076" s="143"/>
      <c r="P1076" s="143"/>
      <c r="Q1076" s="143"/>
      <c r="R1076" s="143"/>
      <c r="S1076" s="146"/>
      <c r="T1076" s="146"/>
      <c r="U1076" s="146"/>
      <c r="V1076" s="147"/>
      <c r="W1076" s="143" t="s">
        <v>3147</v>
      </c>
      <c r="X1076" s="143" t="s">
        <v>3467</v>
      </c>
      <c r="Y1076" s="169" t="s">
        <v>3458</v>
      </c>
      <c r="Z1076" s="143" t="str">
        <f t="shared" si="0"/>
        <v>S00472</v>
      </c>
      <c r="AA1076" s="143">
        <v>9.6</v>
      </c>
      <c r="AB1076" s="170">
        <v>45890</v>
      </c>
      <c r="AC1076" s="143"/>
      <c r="AD1076" s="143"/>
      <c r="AE1076" s="143"/>
      <c r="AF1076" s="143"/>
      <c r="AG1076" s="143"/>
      <c r="AH1076" s="143"/>
      <c r="AI1076" s="143"/>
      <c r="AJ1076" s="143"/>
      <c r="AK1076" s="143"/>
      <c r="AL1076" s="143"/>
      <c r="AM1076" s="143"/>
    </row>
    <row r="1077" s="140" customFormat="1" ht="15" spans="1:39">
      <c r="A1077" s="143">
        <v>1075</v>
      </c>
      <c r="B1077" s="144">
        <v>45890</v>
      </c>
      <c r="C1077" s="169" t="s">
        <v>3277</v>
      </c>
      <c r="D1077" s="143" t="s">
        <v>41</v>
      </c>
      <c r="E1077" s="186" t="s">
        <v>3430</v>
      </c>
      <c r="F1077" s="143" t="s">
        <v>3469</v>
      </c>
      <c r="G1077" s="143"/>
      <c r="H1077" s="152" t="s">
        <v>3470</v>
      </c>
      <c r="I1077" s="143" t="s">
        <v>3218</v>
      </c>
      <c r="J1077" s="143" t="s">
        <v>1577</v>
      </c>
      <c r="K1077" s="143">
        <v>150</v>
      </c>
      <c r="L1077" s="143">
        <v>85</v>
      </c>
      <c r="M1077" s="143"/>
      <c r="N1077" s="143"/>
      <c r="O1077" s="143"/>
      <c r="P1077" s="143"/>
      <c r="Q1077" s="143"/>
      <c r="R1077" s="143"/>
      <c r="S1077" s="146"/>
      <c r="T1077" s="146"/>
      <c r="U1077" s="146"/>
      <c r="V1077" s="147"/>
      <c r="W1077" s="143" t="s">
        <v>3147</v>
      </c>
      <c r="X1077" s="143" t="s">
        <v>3469</v>
      </c>
      <c r="Y1077" s="169" t="s">
        <v>3458</v>
      </c>
      <c r="Z1077" s="143" t="str">
        <f t="shared" si="0"/>
        <v>S00502</v>
      </c>
      <c r="AA1077" s="143">
        <v>7.3</v>
      </c>
      <c r="AB1077" s="170">
        <v>45890</v>
      </c>
      <c r="AC1077" s="143"/>
      <c r="AD1077" s="143"/>
      <c r="AE1077" s="143"/>
      <c r="AF1077" s="143"/>
      <c r="AG1077" s="143"/>
      <c r="AH1077" s="143"/>
      <c r="AI1077" s="143"/>
      <c r="AJ1077" s="143"/>
      <c r="AK1077" s="143"/>
      <c r="AL1077" s="143"/>
      <c r="AM1077" s="143"/>
    </row>
    <row r="1078" s="141" customFormat="1" ht="15" spans="1:39">
      <c r="A1078" s="187">
        <v>1077</v>
      </c>
      <c r="B1078" s="188">
        <v>45891</v>
      </c>
      <c r="C1078" s="189" t="s">
        <v>3148</v>
      </c>
      <c r="D1078" s="187" t="s">
        <v>2338</v>
      </c>
      <c r="E1078" s="190"/>
      <c r="F1078" s="187"/>
      <c r="G1078" s="187"/>
      <c r="H1078" s="152" t="s">
        <v>3471</v>
      </c>
      <c r="I1078" s="187"/>
      <c r="J1078" s="187"/>
      <c r="K1078" s="187">
        <v>147</v>
      </c>
      <c r="L1078" s="187">
        <v>400</v>
      </c>
      <c r="M1078" s="187"/>
      <c r="N1078" s="187"/>
      <c r="O1078" s="187"/>
      <c r="P1078" s="187"/>
      <c r="Q1078" s="187" t="s">
        <v>3472</v>
      </c>
      <c r="R1078" s="187"/>
      <c r="S1078" s="187"/>
      <c r="T1078" s="187"/>
      <c r="U1078" s="187"/>
      <c r="V1078" s="188"/>
      <c r="W1078" s="187" t="s">
        <v>3473</v>
      </c>
      <c r="X1078" s="187" t="s">
        <v>3474</v>
      </c>
      <c r="Y1078" s="187" t="s">
        <v>3473</v>
      </c>
      <c r="Z1078" s="187" t="s">
        <v>3474</v>
      </c>
      <c r="AA1078" s="187">
        <v>15</v>
      </c>
      <c r="AB1078" s="184" t="s">
        <v>3057</v>
      </c>
      <c r="AC1078" s="143"/>
      <c r="AD1078" s="143"/>
      <c r="AE1078" s="143"/>
      <c r="AF1078" s="143"/>
      <c r="AG1078" s="143"/>
      <c r="AH1078" s="187"/>
      <c r="AI1078" s="187"/>
      <c r="AJ1078" s="187"/>
      <c r="AK1078" s="187"/>
      <c r="AL1078" s="187"/>
      <c r="AM1078" s="187"/>
    </row>
    <row r="1079" s="140" customFormat="1" ht="15" spans="1:39">
      <c r="A1079" s="143">
        <v>1078</v>
      </c>
      <c r="B1079" s="144">
        <v>45891</v>
      </c>
      <c r="C1079" s="169" t="s">
        <v>3148</v>
      </c>
      <c r="D1079" s="143" t="s">
        <v>2338</v>
      </c>
      <c r="E1079" s="186"/>
      <c r="F1079" s="143"/>
      <c r="G1079" s="143"/>
      <c r="H1079" s="152" t="s">
        <v>3475</v>
      </c>
      <c r="I1079" s="143"/>
      <c r="J1079" s="143"/>
      <c r="K1079" s="143">
        <v>147</v>
      </c>
      <c r="L1079" s="143">
        <v>370</v>
      </c>
      <c r="M1079" s="143"/>
      <c r="N1079" s="143"/>
      <c r="O1079" s="143"/>
      <c r="P1079" s="143"/>
      <c r="Q1079" s="169" t="s">
        <v>3476</v>
      </c>
      <c r="R1079" s="143"/>
      <c r="S1079" s="146"/>
      <c r="T1079" s="146"/>
      <c r="U1079" s="146"/>
      <c r="V1079" s="147"/>
      <c r="W1079" s="143" t="s">
        <v>3473</v>
      </c>
      <c r="X1079" s="143" t="s">
        <v>3477</v>
      </c>
      <c r="Y1079" s="143" t="s">
        <v>3473</v>
      </c>
      <c r="Z1079" s="143" t="s">
        <v>3477</v>
      </c>
      <c r="AA1079" s="143">
        <v>35</v>
      </c>
      <c r="AB1079" s="184" t="s">
        <v>3057</v>
      </c>
      <c r="AC1079" s="143"/>
      <c r="AD1079" s="143"/>
      <c r="AE1079" s="143"/>
      <c r="AF1079" s="143"/>
      <c r="AG1079" s="143"/>
      <c r="AH1079" s="143"/>
      <c r="AI1079" s="143"/>
      <c r="AJ1079" s="143"/>
      <c r="AK1079" s="143"/>
      <c r="AL1079" s="143"/>
      <c r="AM1079" s="143"/>
    </row>
    <row r="1080" s="140" customFormat="1" ht="15" spans="1:39">
      <c r="A1080" s="143">
        <v>1079</v>
      </c>
      <c r="B1080" s="144">
        <v>45891</v>
      </c>
      <c r="C1080" s="169" t="s">
        <v>3148</v>
      </c>
      <c r="D1080" s="143" t="s">
        <v>2338</v>
      </c>
      <c r="E1080" s="186"/>
      <c r="F1080" s="143"/>
      <c r="G1080" s="143"/>
      <c r="H1080" s="152" t="s">
        <v>3478</v>
      </c>
      <c r="I1080" s="143"/>
      <c r="J1080" s="143"/>
      <c r="K1080" s="143">
        <v>147</v>
      </c>
      <c r="L1080" s="143">
        <v>225</v>
      </c>
      <c r="M1080" s="143"/>
      <c r="N1080" s="143"/>
      <c r="O1080" s="143"/>
      <c r="P1080" s="143"/>
      <c r="Q1080" s="143" t="s">
        <v>3479</v>
      </c>
      <c r="R1080" s="143"/>
      <c r="S1080" s="146"/>
      <c r="T1080" s="146"/>
      <c r="U1080" s="146"/>
      <c r="V1080" s="147"/>
      <c r="W1080" s="143" t="s">
        <v>3473</v>
      </c>
      <c r="X1080" s="143" t="s">
        <v>3480</v>
      </c>
      <c r="Y1080" s="143" t="s">
        <v>3473</v>
      </c>
      <c r="Z1080" s="143" t="s">
        <v>3480</v>
      </c>
      <c r="AA1080" s="143"/>
      <c r="AB1080" s="170"/>
      <c r="AC1080" s="143"/>
      <c r="AD1080" s="143"/>
      <c r="AE1080" s="143"/>
      <c r="AF1080" s="143"/>
      <c r="AG1080" s="143"/>
      <c r="AH1080" s="143"/>
      <c r="AI1080" s="143"/>
      <c r="AJ1080" s="143"/>
      <c r="AK1080" s="143"/>
      <c r="AL1080" s="143"/>
      <c r="AM1080" s="143"/>
    </row>
    <row r="1081" s="140" customFormat="1" ht="15" spans="1:39">
      <c r="A1081" s="143">
        <v>1080</v>
      </c>
      <c r="B1081" s="144">
        <v>45891</v>
      </c>
      <c r="C1081" s="169" t="s">
        <v>3148</v>
      </c>
      <c r="D1081" s="143" t="s">
        <v>2338</v>
      </c>
      <c r="E1081" s="186"/>
      <c r="F1081" s="143"/>
      <c r="G1081" s="143"/>
      <c r="H1081" s="152" t="s">
        <v>3481</v>
      </c>
      <c r="I1081" s="143"/>
      <c r="J1081" s="143"/>
      <c r="K1081" s="143">
        <v>147</v>
      </c>
      <c r="L1081" s="143">
        <v>290</v>
      </c>
      <c r="M1081" s="143"/>
      <c r="N1081" s="143"/>
      <c r="O1081" s="143"/>
      <c r="P1081" s="143"/>
      <c r="Q1081" s="143"/>
      <c r="R1081" s="143"/>
      <c r="S1081" s="146"/>
      <c r="T1081" s="146"/>
      <c r="U1081" s="146"/>
      <c r="V1081" s="147"/>
      <c r="W1081" s="143" t="s">
        <v>3473</v>
      </c>
      <c r="X1081" s="177" t="s">
        <v>3482</v>
      </c>
      <c r="Y1081" s="143" t="s">
        <v>3473</v>
      </c>
      <c r="Z1081" s="143" t="s">
        <v>3482</v>
      </c>
      <c r="AA1081" s="143"/>
      <c r="AB1081" s="170"/>
      <c r="AC1081" s="143"/>
      <c r="AD1081" s="143"/>
      <c r="AE1081" s="143"/>
      <c r="AF1081" s="143"/>
      <c r="AG1081" s="143"/>
      <c r="AH1081" s="143"/>
      <c r="AI1081" s="143"/>
      <c r="AJ1081" s="143"/>
      <c r="AK1081" s="143"/>
      <c r="AL1081" s="143"/>
      <c r="AM1081" s="143"/>
    </row>
    <row r="1082" s="140" customFormat="1" ht="15" spans="1:39">
      <c r="A1082" s="143">
        <v>1081</v>
      </c>
      <c r="B1082" s="144">
        <v>45891</v>
      </c>
      <c r="C1082" s="169" t="s">
        <v>3148</v>
      </c>
      <c r="D1082" s="143" t="s">
        <v>2338</v>
      </c>
      <c r="E1082" s="186"/>
      <c r="F1082" s="143"/>
      <c r="G1082" s="143"/>
      <c r="H1082" s="152" t="s">
        <v>3483</v>
      </c>
      <c r="I1082" s="143"/>
      <c r="J1082" s="143"/>
      <c r="K1082" s="143">
        <v>147</v>
      </c>
      <c r="L1082" s="143">
        <v>250</v>
      </c>
      <c r="M1082" s="143"/>
      <c r="N1082" s="143"/>
      <c r="O1082" s="143"/>
      <c r="P1082" s="143"/>
      <c r="Q1082" s="143" t="s">
        <v>3484</v>
      </c>
      <c r="R1082" s="143"/>
      <c r="S1082" s="146"/>
      <c r="T1082" s="146"/>
      <c r="U1082" s="146"/>
      <c r="V1082" s="147"/>
      <c r="W1082" s="143" t="s">
        <v>3473</v>
      </c>
      <c r="X1082" s="143" t="s">
        <v>3485</v>
      </c>
      <c r="Y1082" s="143" t="s">
        <v>3473</v>
      </c>
      <c r="Z1082" s="143" t="s">
        <v>3485</v>
      </c>
      <c r="AA1082" s="143"/>
      <c r="AB1082" s="170"/>
      <c r="AC1082" s="143"/>
      <c r="AD1082" s="143"/>
      <c r="AE1082" s="143"/>
      <c r="AF1082" s="143"/>
      <c r="AG1082" s="143"/>
      <c r="AH1082" s="143"/>
      <c r="AI1082" s="143"/>
      <c r="AJ1082" s="143"/>
      <c r="AK1082" s="143"/>
      <c r="AL1082" s="143"/>
      <c r="AM1082" s="143"/>
    </row>
    <row r="1083" s="140" customFormat="1" ht="15" spans="1:39">
      <c r="A1083" s="143">
        <v>1082</v>
      </c>
      <c r="B1083" s="144">
        <v>45891</v>
      </c>
      <c r="C1083" s="169" t="s">
        <v>3148</v>
      </c>
      <c r="D1083" s="143" t="s">
        <v>2338</v>
      </c>
      <c r="E1083" s="186"/>
      <c r="F1083" s="143"/>
      <c r="G1083" s="143"/>
      <c r="H1083" s="152" t="s">
        <v>3486</v>
      </c>
      <c r="I1083" s="143"/>
      <c r="J1083" s="143"/>
      <c r="K1083" s="143">
        <v>137</v>
      </c>
      <c r="L1083" s="143">
        <v>200</v>
      </c>
      <c r="M1083" s="143"/>
      <c r="N1083" s="143"/>
      <c r="O1083" s="143"/>
      <c r="P1083" s="143"/>
      <c r="Q1083" s="143" t="s">
        <v>3487</v>
      </c>
      <c r="R1083" s="143"/>
      <c r="S1083" s="146"/>
      <c r="T1083" s="146"/>
      <c r="U1083" s="146"/>
      <c r="V1083" s="147"/>
      <c r="W1083" s="143" t="s">
        <v>3473</v>
      </c>
      <c r="X1083" s="143" t="s">
        <v>3488</v>
      </c>
      <c r="Y1083" s="143" t="s">
        <v>3473</v>
      </c>
      <c r="Z1083" s="143" t="s">
        <v>3488</v>
      </c>
      <c r="AA1083" s="143"/>
      <c r="AB1083" s="170"/>
      <c r="AC1083" s="143"/>
      <c r="AD1083" s="143"/>
      <c r="AE1083" s="143"/>
      <c r="AF1083" s="143"/>
      <c r="AG1083" s="143"/>
      <c r="AH1083" s="143"/>
      <c r="AI1083" s="143"/>
      <c r="AJ1083" s="143"/>
      <c r="AK1083" s="143"/>
      <c r="AL1083" s="143"/>
      <c r="AM1083" s="143"/>
    </row>
    <row r="1084" s="140" customFormat="1" ht="15" spans="1:39">
      <c r="A1084" s="143">
        <v>1083</v>
      </c>
      <c r="B1084" s="144">
        <v>45891</v>
      </c>
      <c r="C1084" s="169" t="s">
        <v>3148</v>
      </c>
      <c r="D1084" s="143" t="s">
        <v>2338</v>
      </c>
      <c r="E1084" s="186"/>
      <c r="F1084" s="143"/>
      <c r="G1084" s="143"/>
      <c r="H1084" s="152" t="s">
        <v>3489</v>
      </c>
      <c r="I1084" s="143"/>
      <c r="J1084" s="143"/>
      <c r="K1084" s="143">
        <v>147</v>
      </c>
      <c r="L1084" s="143">
        <v>279</v>
      </c>
      <c r="M1084" s="143"/>
      <c r="N1084" s="143"/>
      <c r="O1084" s="143"/>
      <c r="P1084" s="143"/>
      <c r="Q1084" s="143" t="s">
        <v>3490</v>
      </c>
      <c r="R1084" s="143"/>
      <c r="S1084" s="146"/>
      <c r="T1084" s="146"/>
      <c r="U1084" s="146"/>
      <c r="V1084" s="147"/>
      <c r="W1084" s="143" t="s">
        <v>3491</v>
      </c>
      <c r="X1084" s="143" t="s">
        <v>3492</v>
      </c>
      <c r="Y1084" s="143" t="s">
        <v>3491</v>
      </c>
      <c r="Z1084" s="143" t="s">
        <v>3492</v>
      </c>
      <c r="AA1084" s="143"/>
      <c r="AB1084" s="170"/>
      <c r="AC1084" s="143"/>
      <c r="AD1084" s="143"/>
      <c r="AE1084" s="143"/>
      <c r="AF1084" s="143"/>
      <c r="AG1084" s="143"/>
      <c r="AH1084" s="143"/>
      <c r="AI1084" s="143"/>
      <c r="AJ1084" s="143"/>
      <c r="AK1084" s="143"/>
      <c r="AL1084" s="143"/>
      <c r="AM1084" s="143"/>
    </row>
    <row r="1085" s="140" customFormat="1" ht="15" spans="1:39">
      <c r="A1085" s="143">
        <v>1084</v>
      </c>
      <c r="B1085" s="144">
        <v>45891</v>
      </c>
      <c r="C1085" s="169" t="s">
        <v>3148</v>
      </c>
      <c r="D1085" s="143" t="s">
        <v>2338</v>
      </c>
      <c r="E1085" s="186"/>
      <c r="F1085" s="143"/>
      <c r="G1085" s="143"/>
      <c r="H1085" s="152" t="s">
        <v>3493</v>
      </c>
      <c r="I1085" s="143"/>
      <c r="J1085" s="143"/>
      <c r="K1085" s="143">
        <v>144</v>
      </c>
      <c r="L1085" s="143">
        <v>475</v>
      </c>
      <c r="M1085" s="143"/>
      <c r="N1085" s="143"/>
      <c r="O1085" s="143"/>
      <c r="P1085" s="143"/>
      <c r="Q1085" s="143" t="s">
        <v>3494</v>
      </c>
      <c r="R1085" s="143"/>
      <c r="S1085" s="146"/>
      <c r="T1085" s="146"/>
      <c r="U1085" s="146"/>
      <c r="V1085" s="147"/>
      <c r="W1085" s="143" t="s">
        <v>3491</v>
      </c>
      <c r="X1085" s="143" t="s">
        <v>3495</v>
      </c>
      <c r="Y1085" s="143" t="s">
        <v>3491</v>
      </c>
      <c r="Z1085" s="143" t="s">
        <v>3495</v>
      </c>
      <c r="AA1085" s="143"/>
      <c r="AB1085" s="170"/>
      <c r="AC1085" s="143"/>
      <c r="AD1085" s="143"/>
      <c r="AE1085" s="143"/>
      <c r="AF1085" s="143"/>
      <c r="AG1085" s="143"/>
      <c r="AH1085" s="143"/>
      <c r="AI1085" s="143"/>
      <c r="AJ1085" s="143"/>
      <c r="AK1085" s="143"/>
      <c r="AL1085" s="143"/>
      <c r="AM1085" s="143"/>
    </row>
    <row r="1086" s="140" customFormat="1" ht="15" spans="1:39">
      <c r="A1086" s="143">
        <v>1085</v>
      </c>
      <c r="B1086" s="144">
        <v>45891</v>
      </c>
      <c r="C1086" s="169" t="s">
        <v>3148</v>
      </c>
      <c r="D1086" s="143" t="s">
        <v>2338</v>
      </c>
      <c r="E1086" s="186"/>
      <c r="F1086" s="143"/>
      <c r="G1086" s="143"/>
      <c r="H1086" s="152" t="s">
        <v>3496</v>
      </c>
      <c r="I1086" s="143" t="s">
        <v>3497</v>
      </c>
      <c r="J1086" s="143"/>
      <c r="K1086" s="143">
        <v>145</v>
      </c>
      <c r="L1086" s="143">
        <v>560</v>
      </c>
      <c r="M1086" s="143"/>
      <c r="N1086" s="143"/>
      <c r="O1086" s="143"/>
      <c r="P1086" s="143"/>
      <c r="Q1086" s="169" t="s">
        <v>3498</v>
      </c>
      <c r="R1086" s="143"/>
      <c r="S1086" s="146"/>
      <c r="T1086" s="146"/>
      <c r="U1086" s="146"/>
      <c r="V1086" s="147"/>
      <c r="W1086" s="143" t="s">
        <v>3491</v>
      </c>
      <c r="X1086" s="143" t="s">
        <v>3499</v>
      </c>
      <c r="Y1086" s="143" t="s">
        <v>3491</v>
      </c>
      <c r="Z1086" s="143" t="s">
        <v>3499</v>
      </c>
      <c r="AA1086" s="143"/>
      <c r="AB1086" s="170"/>
      <c r="AC1086" s="143"/>
      <c r="AD1086" s="143"/>
      <c r="AE1086" s="143"/>
      <c r="AF1086" s="143"/>
      <c r="AG1086" s="143"/>
      <c r="AH1086" s="143"/>
      <c r="AI1086" s="143"/>
      <c r="AJ1086" s="143"/>
      <c r="AK1086" s="143"/>
      <c r="AL1086" s="143"/>
      <c r="AM1086" s="143"/>
    </row>
    <row r="1087" s="140" customFormat="1" ht="15" spans="1:39">
      <c r="A1087" s="143">
        <v>1086</v>
      </c>
      <c r="B1087" s="144">
        <v>45891</v>
      </c>
      <c r="C1087" s="169" t="s">
        <v>3148</v>
      </c>
      <c r="D1087" s="143" t="s">
        <v>2338</v>
      </c>
      <c r="E1087" s="186"/>
      <c r="F1087" s="143"/>
      <c r="G1087" s="143"/>
      <c r="H1087" s="152" t="s">
        <v>3500</v>
      </c>
      <c r="I1087" s="143"/>
      <c r="J1087" s="143"/>
      <c r="K1087" s="143">
        <v>147</v>
      </c>
      <c r="L1087" s="143">
        <v>250</v>
      </c>
      <c r="M1087" s="143"/>
      <c r="N1087" s="143"/>
      <c r="O1087" s="143"/>
      <c r="P1087" s="143"/>
      <c r="Q1087" s="143"/>
      <c r="R1087" s="143"/>
      <c r="S1087" s="146"/>
      <c r="T1087" s="146"/>
      <c r="U1087" s="146"/>
      <c r="V1087" s="147"/>
      <c r="W1087" s="143" t="s">
        <v>3473</v>
      </c>
      <c r="X1087" s="177" t="s">
        <v>3501</v>
      </c>
      <c r="Y1087" s="143" t="s">
        <v>3473</v>
      </c>
      <c r="Z1087" s="143" t="s">
        <v>3501</v>
      </c>
      <c r="AA1087" s="143"/>
      <c r="AB1087" s="170"/>
      <c r="AC1087" s="143"/>
      <c r="AD1087" s="143"/>
      <c r="AE1087" s="143"/>
      <c r="AF1087" s="143"/>
      <c r="AG1087" s="143"/>
      <c r="AH1087" s="143"/>
      <c r="AI1087" s="143"/>
      <c r="AJ1087" s="143"/>
      <c r="AK1087" s="143"/>
      <c r="AL1087" s="143"/>
      <c r="AM1087" s="143"/>
    </row>
    <row r="1088" s="140" customFormat="1" ht="15" spans="1:39">
      <c r="A1088" s="143">
        <v>1087</v>
      </c>
      <c r="B1088" s="144">
        <v>45891</v>
      </c>
      <c r="C1088" s="169" t="s">
        <v>3148</v>
      </c>
      <c r="D1088" s="143" t="s">
        <v>2338</v>
      </c>
      <c r="E1088" s="186"/>
      <c r="F1088" s="143"/>
      <c r="G1088" s="143"/>
      <c r="H1088" s="152" t="s">
        <v>3502</v>
      </c>
      <c r="I1088" s="143"/>
      <c r="J1088" s="143"/>
      <c r="K1088" s="143">
        <v>142</v>
      </c>
      <c r="L1088" s="143">
        <v>280</v>
      </c>
      <c r="M1088" s="143"/>
      <c r="N1088" s="143"/>
      <c r="O1088" s="143"/>
      <c r="P1088" s="143"/>
      <c r="Q1088" s="169"/>
      <c r="R1088" s="143"/>
      <c r="S1088" s="146"/>
      <c r="T1088" s="146"/>
      <c r="U1088" s="146"/>
      <c r="V1088" s="147"/>
      <c r="W1088" s="143" t="s">
        <v>3473</v>
      </c>
      <c r="X1088" s="143" t="s">
        <v>3503</v>
      </c>
      <c r="Y1088" s="143" t="s">
        <v>3473</v>
      </c>
      <c r="Z1088" s="143" t="s">
        <v>3503</v>
      </c>
      <c r="AA1088" s="143"/>
      <c r="AB1088" s="170"/>
      <c r="AC1088" s="143"/>
      <c r="AD1088" s="143"/>
      <c r="AE1088" s="143"/>
      <c r="AF1088" s="143"/>
      <c r="AG1088" s="143"/>
      <c r="AH1088" s="143"/>
      <c r="AI1088" s="143"/>
      <c r="AJ1088" s="143"/>
      <c r="AK1088" s="143"/>
      <c r="AL1088" s="143"/>
      <c r="AM1088" s="143"/>
    </row>
    <row r="1089" s="140" customFormat="1" ht="15" spans="1:39">
      <c r="A1089" s="143">
        <v>1088</v>
      </c>
      <c r="B1089" s="144">
        <v>45891</v>
      </c>
      <c r="C1089" s="169" t="s">
        <v>3148</v>
      </c>
      <c r="D1089" s="143" t="s">
        <v>2338</v>
      </c>
      <c r="E1089" s="186"/>
      <c r="F1089" s="143"/>
      <c r="G1089" s="143"/>
      <c r="H1089" s="152" t="s">
        <v>3504</v>
      </c>
      <c r="I1089" s="143"/>
      <c r="J1089" s="143"/>
      <c r="K1089" s="143">
        <v>147</v>
      </c>
      <c r="L1089" s="143">
        <v>260</v>
      </c>
      <c r="M1089" s="143"/>
      <c r="N1089" s="143"/>
      <c r="O1089" s="143"/>
      <c r="P1089" s="143"/>
      <c r="Q1089" s="143" t="s">
        <v>3505</v>
      </c>
      <c r="R1089" s="143"/>
      <c r="S1089" s="146"/>
      <c r="T1089" s="146"/>
      <c r="U1089" s="146"/>
      <c r="V1089" s="147"/>
      <c r="W1089" s="143" t="s">
        <v>3473</v>
      </c>
      <c r="X1089" s="143" t="s">
        <v>3506</v>
      </c>
      <c r="Y1089" s="143" t="s">
        <v>3473</v>
      </c>
      <c r="Z1089" s="143" t="s">
        <v>3506</v>
      </c>
      <c r="AA1089" s="143"/>
      <c r="AB1089" s="170"/>
      <c r="AC1089" s="143"/>
      <c r="AD1089" s="143"/>
      <c r="AE1089" s="143"/>
      <c r="AF1089" s="143"/>
      <c r="AG1089" s="143"/>
      <c r="AH1089" s="143"/>
      <c r="AI1089" s="143"/>
      <c r="AJ1089" s="143"/>
      <c r="AK1089" s="143"/>
      <c r="AL1089" s="143"/>
      <c r="AM1089" s="143"/>
    </row>
    <row r="1090" s="140" customFormat="1" ht="15" spans="1:39">
      <c r="A1090" s="143">
        <v>1089</v>
      </c>
      <c r="B1090" s="144">
        <v>45891</v>
      </c>
      <c r="C1090" s="169" t="s">
        <v>3148</v>
      </c>
      <c r="D1090" s="143" t="s">
        <v>2338</v>
      </c>
      <c r="E1090" s="186"/>
      <c r="F1090" s="143"/>
      <c r="G1090" s="143"/>
      <c r="H1090" s="152" t="s">
        <v>3507</v>
      </c>
      <c r="I1090" s="143"/>
      <c r="J1090" s="143"/>
      <c r="K1090" s="143">
        <v>147</v>
      </c>
      <c r="L1090" s="143">
        <v>319</v>
      </c>
      <c r="M1090" s="143"/>
      <c r="N1090" s="143"/>
      <c r="O1090" s="143"/>
      <c r="P1090" s="143"/>
      <c r="Q1090" s="143" t="s">
        <v>3508</v>
      </c>
      <c r="R1090" s="143"/>
      <c r="S1090" s="146"/>
      <c r="T1090" s="146"/>
      <c r="U1090" s="146"/>
      <c r="V1090" s="147"/>
      <c r="W1090" s="143" t="s">
        <v>3473</v>
      </c>
      <c r="X1090" s="143" t="s">
        <v>3509</v>
      </c>
      <c r="Y1090" s="143" t="s">
        <v>3473</v>
      </c>
      <c r="Z1090" s="143" t="s">
        <v>3509</v>
      </c>
      <c r="AA1090" s="143"/>
      <c r="AB1090" s="170"/>
      <c r="AC1090" s="143"/>
      <c r="AD1090" s="143"/>
      <c r="AE1090" s="143"/>
      <c r="AF1090" s="143"/>
      <c r="AG1090" s="143"/>
      <c r="AH1090" s="143"/>
      <c r="AI1090" s="143"/>
      <c r="AJ1090" s="143"/>
      <c r="AK1090" s="143"/>
      <c r="AL1090" s="143"/>
      <c r="AM1090" s="143"/>
    </row>
    <row r="1091" s="140" customFormat="1" ht="15" spans="1:39">
      <c r="A1091" s="143">
        <v>1090</v>
      </c>
      <c r="B1091" s="144">
        <v>45891</v>
      </c>
      <c r="C1091" s="169" t="s">
        <v>3148</v>
      </c>
      <c r="D1091" s="143" t="s">
        <v>2338</v>
      </c>
      <c r="E1091" s="186"/>
      <c r="F1091" s="143"/>
      <c r="G1091" s="143"/>
      <c r="H1091" s="152" t="s">
        <v>3510</v>
      </c>
      <c r="I1091" s="143"/>
      <c r="J1091" s="143"/>
      <c r="K1091" s="143">
        <v>147</v>
      </c>
      <c r="L1091" s="143">
        <v>300</v>
      </c>
      <c r="M1091" s="143"/>
      <c r="N1091" s="143"/>
      <c r="O1091" s="143"/>
      <c r="P1091" s="143"/>
      <c r="Q1091" s="143" t="s">
        <v>3511</v>
      </c>
      <c r="R1091" s="143"/>
      <c r="S1091" s="146"/>
      <c r="T1091" s="146"/>
      <c r="U1091" s="146"/>
      <c r="V1091" s="147"/>
      <c r="W1091" s="143" t="s">
        <v>3473</v>
      </c>
      <c r="X1091" s="177" t="s">
        <v>3512</v>
      </c>
      <c r="Y1091" s="143" t="s">
        <v>3473</v>
      </c>
      <c r="Z1091" s="143" t="s">
        <v>3512</v>
      </c>
      <c r="AA1091" s="143"/>
      <c r="AB1091" s="170"/>
      <c r="AC1091" s="143"/>
      <c r="AD1091" s="143"/>
      <c r="AE1091" s="143"/>
      <c r="AF1091" s="143"/>
      <c r="AG1091" s="143"/>
      <c r="AH1091" s="143"/>
      <c r="AI1091" s="143"/>
      <c r="AJ1091" s="143"/>
      <c r="AK1091" s="143"/>
      <c r="AL1091" s="143"/>
      <c r="AM1091" s="143"/>
    </row>
    <row r="1092" s="140" customFormat="1" ht="15" spans="1:39">
      <c r="A1092" s="143">
        <v>1091</v>
      </c>
      <c r="B1092" s="144">
        <v>45891</v>
      </c>
      <c r="C1092" s="169" t="s">
        <v>3148</v>
      </c>
      <c r="D1092" s="143" t="s">
        <v>2338</v>
      </c>
      <c r="E1092" s="186"/>
      <c r="F1092" s="143"/>
      <c r="G1092" s="143"/>
      <c r="H1092" s="152" t="s">
        <v>3513</v>
      </c>
      <c r="I1092" s="143"/>
      <c r="J1092" s="143"/>
      <c r="K1092" s="143">
        <v>147</v>
      </c>
      <c r="L1092" s="143">
        <v>320</v>
      </c>
      <c r="M1092" s="143"/>
      <c r="N1092" s="143"/>
      <c r="O1092" s="143"/>
      <c r="P1092" s="143"/>
      <c r="Q1092" s="143" t="s">
        <v>3514</v>
      </c>
      <c r="R1092" s="143"/>
      <c r="S1092" s="146"/>
      <c r="T1092" s="146"/>
      <c r="U1092" s="146"/>
      <c r="V1092" s="147"/>
      <c r="W1092" s="143" t="s">
        <v>3473</v>
      </c>
      <c r="X1092" s="143" t="s">
        <v>3515</v>
      </c>
      <c r="Y1092" s="143" t="s">
        <v>3473</v>
      </c>
      <c r="Z1092" s="143" t="s">
        <v>3515</v>
      </c>
      <c r="AA1092" s="143"/>
      <c r="AB1092" s="170"/>
      <c r="AC1092" s="143"/>
      <c r="AD1092" s="143"/>
      <c r="AE1092" s="143"/>
      <c r="AF1092" s="143"/>
      <c r="AG1092" s="143"/>
      <c r="AH1092" s="143"/>
      <c r="AI1092" s="143"/>
      <c r="AJ1092" s="143"/>
      <c r="AK1092" s="143"/>
      <c r="AL1092" s="143"/>
      <c r="AM1092" s="143"/>
    </row>
    <row r="1093" s="140" customFormat="1" ht="15" spans="1:39">
      <c r="A1093" s="143">
        <v>1092</v>
      </c>
      <c r="B1093" s="144">
        <v>45891</v>
      </c>
      <c r="C1093" s="169" t="s">
        <v>3148</v>
      </c>
      <c r="D1093" s="143" t="s">
        <v>2338</v>
      </c>
      <c r="E1093" s="186"/>
      <c r="F1093" s="143"/>
      <c r="G1093" s="143"/>
      <c r="H1093" s="152" t="s">
        <v>3516</v>
      </c>
      <c r="I1093" s="143"/>
      <c r="J1093" s="143"/>
      <c r="K1093" s="143">
        <v>147</v>
      </c>
      <c r="L1093" s="143">
        <v>160</v>
      </c>
      <c r="M1093" s="143"/>
      <c r="N1093" s="143"/>
      <c r="O1093" s="143"/>
      <c r="P1093" s="143"/>
      <c r="Q1093" s="143" t="s">
        <v>3517</v>
      </c>
      <c r="R1093" s="143"/>
      <c r="S1093" s="146"/>
      <c r="T1093" s="146"/>
      <c r="U1093" s="146"/>
      <c r="V1093" s="147"/>
      <c r="W1093" s="143" t="s">
        <v>3473</v>
      </c>
      <c r="X1093" s="143" t="s">
        <v>3518</v>
      </c>
      <c r="Y1093" s="143" t="s">
        <v>3473</v>
      </c>
      <c r="Z1093" s="143" t="s">
        <v>3518</v>
      </c>
      <c r="AA1093" s="143"/>
      <c r="AB1093" s="170"/>
      <c r="AC1093" s="143"/>
      <c r="AD1093" s="143"/>
      <c r="AE1093" s="143"/>
      <c r="AF1093" s="143"/>
      <c r="AG1093" s="143"/>
      <c r="AH1093" s="143"/>
      <c r="AI1093" s="143"/>
      <c r="AJ1093" s="143"/>
      <c r="AK1093" s="143"/>
      <c r="AL1093" s="143"/>
      <c r="AM1093" s="143"/>
    </row>
    <row r="1094" s="140" customFormat="1" ht="15" spans="1:39">
      <c r="A1094" s="143">
        <v>1093</v>
      </c>
      <c r="B1094" s="144">
        <v>45891</v>
      </c>
      <c r="C1094" s="169" t="s">
        <v>3148</v>
      </c>
      <c r="D1094" s="143" t="s">
        <v>2338</v>
      </c>
      <c r="E1094" s="186"/>
      <c r="F1094" s="143"/>
      <c r="G1094" s="143"/>
      <c r="H1094" s="152" t="s">
        <v>3519</v>
      </c>
      <c r="I1094" s="143"/>
      <c r="J1094" s="143"/>
      <c r="K1094" s="143">
        <v>147</v>
      </c>
      <c r="L1094" s="143">
        <v>215</v>
      </c>
      <c r="M1094" s="143"/>
      <c r="N1094" s="143"/>
      <c r="O1094" s="143"/>
      <c r="P1094" s="143"/>
      <c r="Q1094" s="143" t="s">
        <v>3520</v>
      </c>
      <c r="R1094" s="143"/>
      <c r="S1094" s="146"/>
      <c r="T1094" s="146"/>
      <c r="U1094" s="146"/>
      <c r="V1094" s="147"/>
      <c r="W1094" s="143" t="s">
        <v>3473</v>
      </c>
      <c r="X1094" s="143" t="s">
        <v>3521</v>
      </c>
      <c r="Y1094" s="143" t="s">
        <v>3473</v>
      </c>
      <c r="Z1094" s="143" t="s">
        <v>3521</v>
      </c>
      <c r="AA1094" s="143">
        <v>19</v>
      </c>
      <c r="AB1094" s="184" t="s">
        <v>3057</v>
      </c>
      <c r="AC1094" s="143"/>
      <c r="AD1094" s="143"/>
      <c r="AE1094" s="143"/>
      <c r="AF1094" s="143"/>
      <c r="AG1094" s="143"/>
      <c r="AH1094" s="143"/>
      <c r="AI1094" s="143"/>
      <c r="AJ1094" s="143"/>
      <c r="AK1094" s="143"/>
      <c r="AL1094" s="143"/>
      <c r="AM1094" s="143"/>
    </row>
    <row r="1095" s="140" customFormat="1" ht="15" spans="1:39">
      <c r="A1095" s="143">
        <v>1094</v>
      </c>
      <c r="B1095" s="144">
        <v>45891</v>
      </c>
      <c r="C1095" s="169" t="s">
        <v>3148</v>
      </c>
      <c r="D1095" s="143" t="s">
        <v>2338</v>
      </c>
      <c r="E1095" s="186"/>
      <c r="F1095" s="143"/>
      <c r="G1095" s="143"/>
      <c r="H1095" s="152" t="s">
        <v>3522</v>
      </c>
      <c r="I1095" s="143"/>
      <c r="J1095" s="143"/>
      <c r="K1095" s="143">
        <v>147</v>
      </c>
      <c r="L1095" s="143">
        <v>220</v>
      </c>
      <c r="M1095" s="143"/>
      <c r="N1095" s="143"/>
      <c r="O1095" s="143"/>
      <c r="P1095" s="143"/>
      <c r="Q1095" s="143" t="s">
        <v>3523</v>
      </c>
      <c r="R1095" s="143"/>
      <c r="S1095" s="146"/>
      <c r="T1095" s="146"/>
      <c r="U1095" s="146"/>
      <c r="V1095" s="147"/>
      <c r="W1095" s="143" t="s">
        <v>3473</v>
      </c>
      <c r="X1095" s="143" t="s">
        <v>3524</v>
      </c>
      <c r="Y1095" s="143" t="s">
        <v>3473</v>
      </c>
      <c r="Z1095" s="143" t="s">
        <v>3524</v>
      </c>
      <c r="AA1095" s="143"/>
      <c r="AB1095" s="170"/>
      <c r="AC1095" s="143"/>
      <c r="AD1095" s="143"/>
      <c r="AE1095" s="143"/>
      <c r="AF1095" s="143"/>
      <c r="AG1095" s="143"/>
      <c r="AH1095" s="143"/>
      <c r="AI1095" s="143"/>
      <c r="AJ1095" s="143"/>
      <c r="AK1095" s="143"/>
      <c r="AL1095" s="143"/>
      <c r="AM1095" s="143"/>
    </row>
    <row r="1096" s="140" customFormat="1" ht="15" spans="1:39">
      <c r="A1096" s="143">
        <v>1095</v>
      </c>
      <c r="B1096" s="144">
        <v>45891</v>
      </c>
      <c r="C1096" s="169" t="s">
        <v>3148</v>
      </c>
      <c r="D1096" s="143" t="s">
        <v>2338</v>
      </c>
      <c r="E1096" s="186"/>
      <c r="F1096" s="143"/>
      <c r="G1096" s="143"/>
      <c r="H1096" s="152" t="s">
        <v>3525</v>
      </c>
      <c r="I1096" s="143"/>
      <c r="J1096" s="143"/>
      <c r="K1096" s="143">
        <v>147</v>
      </c>
      <c r="L1096" s="143">
        <v>1310</v>
      </c>
      <c r="M1096" s="143"/>
      <c r="N1096" s="143"/>
      <c r="O1096" s="143"/>
      <c r="P1096" s="143"/>
      <c r="Q1096" s="169" t="s">
        <v>3526</v>
      </c>
      <c r="R1096" s="143"/>
      <c r="S1096" s="146"/>
      <c r="T1096" s="146"/>
      <c r="U1096" s="146"/>
      <c r="V1096" s="147"/>
      <c r="W1096" s="143" t="s">
        <v>3473</v>
      </c>
      <c r="X1096" s="143" t="s">
        <v>3527</v>
      </c>
      <c r="Y1096" s="143" t="s">
        <v>3473</v>
      </c>
      <c r="Z1096" s="143" t="s">
        <v>3527</v>
      </c>
      <c r="AA1096" s="143"/>
      <c r="AB1096" s="170"/>
      <c r="AC1096" s="143"/>
      <c r="AD1096" s="143"/>
      <c r="AE1096" s="143"/>
      <c r="AF1096" s="143"/>
      <c r="AG1096" s="143"/>
      <c r="AH1096" s="143"/>
      <c r="AI1096" s="143"/>
      <c r="AJ1096" s="143"/>
      <c r="AK1096" s="143"/>
      <c r="AL1096" s="143"/>
      <c r="AM1096" s="143"/>
    </row>
    <row r="1097" s="140" customFormat="1" ht="15" spans="1:39">
      <c r="A1097" s="143">
        <v>1096</v>
      </c>
      <c r="B1097" s="144">
        <v>45891</v>
      </c>
      <c r="C1097" s="169" t="s">
        <v>3148</v>
      </c>
      <c r="D1097" s="143" t="s">
        <v>2338</v>
      </c>
      <c r="E1097" s="186"/>
      <c r="F1097" s="143"/>
      <c r="G1097" s="143"/>
      <c r="H1097" s="152" t="s">
        <v>3528</v>
      </c>
      <c r="I1097" s="143"/>
      <c r="J1097" s="143"/>
      <c r="K1097" s="143">
        <v>147</v>
      </c>
      <c r="L1097" s="143">
        <v>185</v>
      </c>
      <c r="M1097" s="143"/>
      <c r="N1097" s="143"/>
      <c r="O1097" s="143"/>
      <c r="P1097" s="143"/>
      <c r="Q1097" s="143" t="s">
        <v>3529</v>
      </c>
      <c r="R1097" s="143"/>
      <c r="S1097" s="146"/>
      <c r="T1097" s="146"/>
      <c r="U1097" s="146"/>
      <c r="V1097" s="147"/>
      <c r="W1097" s="143" t="s">
        <v>3473</v>
      </c>
      <c r="X1097" s="143" t="s">
        <v>3530</v>
      </c>
      <c r="Y1097" s="143" t="s">
        <v>3473</v>
      </c>
      <c r="Z1097" s="143" t="s">
        <v>3530</v>
      </c>
      <c r="AA1097" s="143"/>
      <c r="AB1097" s="170"/>
      <c r="AC1097" s="143"/>
      <c r="AD1097" s="143"/>
      <c r="AE1097" s="143"/>
      <c r="AF1097" s="143"/>
      <c r="AG1097" s="143"/>
      <c r="AH1097" s="143"/>
      <c r="AI1097" s="143"/>
      <c r="AJ1097" s="143"/>
      <c r="AK1097" s="143"/>
      <c r="AL1097" s="143"/>
      <c r="AM1097" s="143"/>
    </row>
    <row r="1098" s="140" customFormat="1" ht="15" spans="1:39">
      <c r="A1098" s="143">
        <v>1097</v>
      </c>
      <c r="B1098" s="144">
        <v>45891</v>
      </c>
      <c r="C1098" s="169" t="s">
        <v>3148</v>
      </c>
      <c r="D1098" s="143" t="s">
        <v>2338</v>
      </c>
      <c r="E1098" s="186"/>
      <c r="F1098" s="143"/>
      <c r="G1098" s="143"/>
      <c r="H1098" s="152" t="s">
        <v>3531</v>
      </c>
      <c r="I1098" s="143"/>
      <c r="J1098" s="143"/>
      <c r="K1098" s="143">
        <v>147</v>
      </c>
      <c r="L1098" s="143">
        <v>180</v>
      </c>
      <c r="M1098" s="143"/>
      <c r="N1098" s="143"/>
      <c r="O1098" s="143"/>
      <c r="P1098" s="143"/>
      <c r="Q1098" s="143" t="s">
        <v>3532</v>
      </c>
      <c r="R1098" s="143"/>
      <c r="S1098" s="146"/>
      <c r="T1098" s="146"/>
      <c r="U1098" s="146"/>
      <c r="V1098" s="147"/>
      <c r="W1098" s="143" t="s">
        <v>3473</v>
      </c>
      <c r="X1098" s="143" t="s">
        <v>3533</v>
      </c>
      <c r="Y1098" s="143" t="s">
        <v>3473</v>
      </c>
      <c r="Z1098" s="143" t="s">
        <v>3533</v>
      </c>
      <c r="AA1098" s="143"/>
      <c r="AB1098" s="170"/>
      <c r="AC1098" s="143"/>
      <c r="AD1098" s="143"/>
      <c r="AE1098" s="143"/>
      <c r="AF1098" s="143"/>
      <c r="AG1098" s="143"/>
      <c r="AH1098" s="143"/>
      <c r="AI1098" s="143"/>
      <c r="AJ1098" s="143"/>
      <c r="AK1098" s="143"/>
      <c r="AL1098" s="143"/>
      <c r="AM1098" s="143"/>
    </row>
    <row r="1099" s="140" customFormat="1" ht="15" spans="1:39">
      <c r="A1099" s="143">
        <v>1098</v>
      </c>
      <c r="B1099" s="144">
        <v>45891</v>
      </c>
      <c r="C1099" s="169" t="s">
        <v>3148</v>
      </c>
      <c r="D1099" s="143" t="s">
        <v>2338</v>
      </c>
      <c r="E1099" s="186"/>
      <c r="F1099" s="143"/>
      <c r="G1099" s="143"/>
      <c r="H1099" s="152" t="s">
        <v>3534</v>
      </c>
      <c r="I1099" s="143"/>
      <c r="J1099" s="143"/>
      <c r="K1099" s="143">
        <v>147</v>
      </c>
      <c r="L1099" s="143">
        <v>160</v>
      </c>
      <c r="M1099" s="143"/>
      <c r="N1099" s="143"/>
      <c r="O1099" s="143"/>
      <c r="P1099" s="143"/>
      <c r="Q1099" s="143" t="s">
        <v>3487</v>
      </c>
      <c r="R1099" s="143"/>
      <c r="S1099" s="146"/>
      <c r="T1099" s="146"/>
      <c r="U1099" s="146"/>
      <c r="V1099" s="147"/>
      <c r="W1099" s="143" t="s">
        <v>3473</v>
      </c>
      <c r="X1099" s="143" t="s">
        <v>3535</v>
      </c>
      <c r="Y1099" s="143" t="s">
        <v>3473</v>
      </c>
      <c r="Z1099" s="143" t="s">
        <v>3535</v>
      </c>
      <c r="AA1099" s="143"/>
      <c r="AB1099" s="170"/>
      <c r="AC1099" s="143"/>
      <c r="AD1099" s="143"/>
      <c r="AE1099" s="143"/>
      <c r="AF1099" s="143"/>
      <c r="AG1099" s="143"/>
      <c r="AH1099" s="143"/>
      <c r="AI1099" s="143"/>
      <c r="AJ1099" s="143"/>
      <c r="AK1099" s="143"/>
      <c r="AL1099" s="143"/>
      <c r="AM1099" s="143"/>
    </row>
    <row r="1100" s="140" customFormat="1" ht="15" spans="1:39">
      <c r="A1100" s="143">
        <v>1099</v>
      </c>
      <c r="B1100" s="144">
        <v>45891</v>
      </c>
      <c r="C1100" s="169" t="s">
        <v>3148</v>
      </c>
      <c r="D1100" s="143" t="s">
        <v>2338</v>
      </c>
      <c r="E1100" s="186"/>
      <c r="F1100" s="143"/>
      <c r="G1100" s="143"/>
      <c r="H1100" s="152" t="s">
        <v>3536</v>
      </c>
      <c r="I1100" s="143"/>
      <c r="J1100" s="143"/>
      <c r="K1100" s="143">
        <v>147</v>
      </c>
      <c r="L1100" s="143">
        <v>120</v>
      </c>
      <c r="M1100" s="143"/>
      <c r="N1100" s="143"/>
      <c r="O1100" s="143"/>
      <c r="P1100" s="143"/>
      <c r="Q1100" s="169" t="s">
        <v>3537</v>
      </c>
      <c r="R1100" s="143"/>
      <c r="S1100" s="146"/>
      <c r="T1100" s="146"/>
      <c r="U1100" s="146"/>
      <c r="V1100" s="147"/>
      <c r="W1100" s="143" t="s">
        <v>3473</v>
      </c>
      <c r="X1100" s="143" t="s">
        <v>3538</v>
      </c>
      <c r="Y1100" s="143" t="s">
        <v>3473</v>
      </c>
      <c r="Z1100" s="143" t="s">
        <v>3538</v>
      </c>
      <c r="AA1100" s="143"/>
      <c r="AB1100" s="170"/>
      <c r="AC1100" s="143"/>
      <c r="AD1100" s="143"/>
      <c r="AE1100" s="143"/>
      <c r="AF1100" s="143"/>
      <c r="AG1100" s="143"/>
      <c r="AH1100" s="143"/>
      <c r="AI1100" s="143"/>
      <c r="AJ1100" s="143"/>
      <c r="AK1100" s="143"/>
      <c r="AL1100" s="143"/>
      <c r="AM1100" s="143"/>
    </row>
    <row r="1101" s="140" customFormat="1" ht="15" spans="1:39">
      <c r="A1101" s="143">
        <v>1100</v>
      </c>
      <c r="B1101" s="144">
        <v>45891</v>
      </c>
      <c r="C1101" s="169" t="s">
        <v>3148</v>
      </c>
      <c r="D1101" s="143" t="s">
        <v>2338</v>
      </c>
      <c r="E1101" s="186"/>
      <c r="F1101" s="143"/>
      <c r="G1101" s="143"/>
      <c r="H1101" s="152" t="s">
        <v>3539</v>
      </c>
      <c r="I1101" s="143"/>
      <c r="J1101" s="143"/>
      <c r="K1101" s="143">
        <v>137</v>
      </c>
      <c r="L1101" s="143">
        <v>270</v>
      </c>
      <c r="M1101" s="143"/>
      <c r="N1101" s="143"/>
      <c r="O1101" s="143"/>
      <c r="P1101" s="143"/>
      <c r="Q1101" s="143" t="s">
        <v>3540</v>
      </c>
      <c r="R1101" s="143"/>
      <c r="S1101" s="146"/>
      <c r="T1101" s="146"/>
      <c r="U1101" s="146"/>
      <c r="V1101" s="147"/>
      <c r="W1101" s="143" t="s">
        <v>3473</v>
      </c>
      <c r="X1101" s="143" t="s">
        <v>3541</v>
      </c>
      <c r="Y1101" s="143" t="s">
        <v>3473</v>
      </c>
      <c r="Z1101" s="143" t="s">
        <v>3541</v>
      </c>
      <c r="AA1101" s="143"/>
      <c r="AB1101" s="170"/>
      <c r="AC1101" s="143"/>
      <c r="AD1101" s="143"/>
      <c r="AE1101" s="143"/>
      <c r="AF1101" s="143"/>
      <c r="AG1101" s="143"/>
      <c r="AH1101" s="143"/>
      <c r="AI1101" s="143"/>
      <c r="AJ1101" s="143"/>
      <c r="AK1101" s="143"/>
      <c r="AL1101" s="143"/>
      <c r="AM1101" s="143"/>
    </row>
    <row r="1102" s="140" customFormat="1" ht="15" spans="1:39">
      <c r="A1102" s="143">
        <v>1101</v>
      </c>
      <c r="B1102" s="144">
        <v>45891</v>
      </c>
      <c r="C1102" s="169" t="s">
        <v>3148</v>
      </c>
      <c r="D1102" s="143" t="s">
        <v>2338</v>
      </c>
      <c r="E1102" s="186"/>
      <c r="F1102" s="143"/>
      <c r="G1102" s="143"/>
      <c r="H1102" s="152" t="s">
        <v>3542</v>
      </c>
      <c r="I1102" s="143"/>
      <c r="J1102" s="143"/>
      <c r="K1102" s="143">
        <v>147</v>
      </c>
      <c r="L1102" s="143">
        <v>340</v>
      </c>
      <c r="M1102" s="143"/>
      <c r="N1102" s="143"/>
      <c r="O1102" s="143"/>
      <c r="P1102" s="143"/>
      <c r="Q1102" s="143" t="s">
        <v>3543</v>
      </c>
      <c r="R1102" s="143"/>
      <c r="S1102" s="146"/>
      <c r="T1102" s="146"/>
      <c r="U1102" s="146"/>
      <c r="V1102" s="147"/>
      <c r="W1102" s="143" t="s">
        <v>3473</v>
      </c>
      <c r="X1102" s="143" t="s">
        <v>3544</v>
      </c>
      <c r="Y1102" s="143" t="s">
        <v>3473</v>
      </c>
      <c r="Z1102" s="143" t="s">
        <v>3544</v>
      </c>
      <c r="AA1102" s="143"/>
      <c r="AB1102" s="170"/>
      <c r="AC1102" s="143"/>
      <c r="AD1102" s="143"/>
      <c r="AE1102" s="143"/>
      <c r="AF1102" s="143"/>
      <c r="AG1102" s="143"/>
      <c r="AH1102" s="143"/>
      <c r="AI1102" s="143"/>
      <c r="AJ1102" s="143"/>
      <c r="AK1102" s="143"/>
      <c r="AL1102" s="143"/>
      <c r="AM1102" s="143"/>
    </row>
    <row r="1103" s="140" customFormat="1" ht="15" spans="1:39">
      <c r="A1103" s="143">
        <v>1102</v>
      </c>
      <c r="B1103" s="144">
        <v>45891</v>
      </c>
      <c r="C1103" s="169" t="s">
        <v>3148</v>
      </c>
      <c r="D1103" s="143" t="s">
        <v>2338</v>
      </c>
      <c r="E1103" s="186"/>
      <c r="F1103" s="143"/>
      <c r="G1103" s="143"/>
      <c r="H1103" s="152" t="s">
        <v>3545</v>
      </c>
      <c r="I1103" s="143"/>
      <c r="J1103" s="143"/>
      <c r="K1103" s="143">
        <v>147</v>
      </c>
      <c r="L1103" s="143">
        <v>250</v>
      </c>
      <c r="M1103" s="143"/>
      <c r="N1103" s="143"/>
      <c r="O1103" s="143"/>
      <c r="P1103" s="143"/>
      <c r="Q1103" s="143" t="s">
        <v>3472</v>
      </c>
      <c r="R1103" s="143"/>
      <c r="S1103" s="146"/>
      <c r="T1103" s="146"/>
      <c r="U1103" s="146"/>
      <c r="V1103" s="147"/>
      <c r="W1103" s="143" t="s">
        <v>3473</v>
      </c>
      <c r="X1103" s="143" t="s">
        <v>3546</v>
      </c>
      <c r="Y1103" s="143" t="s">
        <v>3473</v>
      </c>
      <c r="Z1103" s="143" t="s">
        <v>3546</v>
      </c>
      <c r="AA1103" s="143">
        <v>13.5</v>
      </c>
      <c r="AB1103" s="184" t="s">
        <v>3057</v>
      </c>
      <c r="AC1103" s="143"/>
      <c r="AD1103" s="143"/>
      <c r="AE1103" s="143"/>
      <c r="AF1103" s="143"/>
      <c r="AG1103" s="143"/>
      <c r="AH1103" s="143"/>
      <c r="AI1103" s="143"/>
      <c r="AJ1103" s="143"/>
      <c r="AK1103" s="143"/>
      <c r="AL1103" s="143"/>
      <c r="AM1103" s="143"/>
    </row>
    <row r="1104" s="140" customFormat="1" ht="15" spans="1:39">
      <c r="A1104" s="143">
        <v>1103</v>
      </c>
      <c r="B1104" s="144">
        <v>45891</v>
      </c>
      <c r="C1104" s="169" t="s">
        <v>3148</v>
      </c>
      <c r="D1104" s="143" t="s">
        <v>2338</v>
      </c>
      <c r="E1104" s="186"/>
      <c r="F1104" s="143"/>
      <c r="G1104" s="143"/>
      <c r="H1104" s="152" t="s">
        <v>3547</v>
      </c>
      <c r="I1104" s="143"/>
      <c r="J1104" s="143"/>
      <c r="K1104" s="143">
        <v>147</v>
      </c>
      <c r="L1104" s="143">
        <v>210</v>
      </c>
      <c r="M1104" s="143"/>
      <c r="N1104" s="143"/>
      <c r="O1104" s="143"/>
      <c r="P1104" s="143"/>
      <c r="Q1104" s="143" t="s">
        <v>3548</v>
      </c>
      <c r="R1104" s="143"/>
      <c r="S1104" s="146"/>
      <c r="T1104" s="146"/>
      <c r="U1104" s="146"/>
      <c r="V1104" s="147"/>
      <c r="W1104" s="143" t="s">
        <v>3473</v>
      </c>
      <c r="X1104" s="143" t="s">
        <v>3549</v>
      </c>
      <c r="Y1104" s="143" t="s">
        <v>3473</v>
      </c>
      <c r="Z1104" s="143" t="s">
        <v>3549</v>
      </c>
      <c r="AA1104" s="143"/>
      <c r="AB1104" s="170"/>
      <c r="AC1104" s="143"/>
      <c r="AD1104" s="143"/>
      <c r="AE1104" s="143"/>
      <c r="AF1104" s="143"/>
      <c r="AG1104" s="143"/>
      <c r="AH1104" s="143"/>
      <c r="AI1104" s="143"/>
      <c r="AJ1104" s="143"/>
      <c r="AK1104" s="143"/>
      <c r="AL1104" s="143"/>
      <c r="AM1104" s="143"/>
    </row>
    <row r="1105" s="140" customFormat="1" ht="15" spans="1:39">
      <c r="A1105" s="143">
        <v>1104</v>
      </c>
      <c r="B1105" s="144">
        <v>45891</v>
      </c>
      <c r="C1105" s="169" t="s">
        <v>3148</v>
      </c>
      <c r="D1105" s="143" t="s">
        <v>2338</v>
      </c>
      <c r="E1105" s="186"/>
      <c r="F1105" s="143"/>
      <c r="G1105" s="143"/>
      <c r="H1105" s="152" t="s">
        <v>3550</v>
      </c>
      <c r="I1105" s="143"/>
      <c r="J1105" s="143"/>
      <c r="K1105" s="143">
        <v>147</v>
      </c>
      <c r="L1105" s="143">
        <v>220</v>
      </c>
      <c r="M1105" s="143"/>
      <c r="N1105" s="143"/>
      <c r="O1105" s="143"/>
      <c r="P1105" s="143"/>
      <c r="Q1105" s="143" t="s">
        <v>3543</v>
      </c>
      <c r="R1105" s="143"/>
      <c r="S1105" s="146"/>
      <c r="T1105" s="146"/>
      <c r="U1105" s="146"/>
      <c r="V1105" s="147"/>
      <c r="W1105" s="143" t="s">
        <v>3473</v>
      </c>
      <c r="X1105" s="143" t="s">
        <v>3551</v>
      </c>
      <c r="Y1105" s="143" t="s">
        <v>3473</v>
      </c>
      <c r="Z1105" s="143" t="s">
        <v>3551</v>
      </c>
      <c r="AA1105" s="143"/>
      <c r="AB1105" s="170"/>
      <c r="AC1105" s="143"/>
      <c r="AD1105" s="143"/>
      <c r="AE1105" s="143"/>
      <c r="AF1105" s="143"/>
      <c r="AG1105" s="143"/>
      <c r="AH1105" s="143"/>
      <c r="AI1105" s="143"/>
      <c r="AJ1105" s="143"/>
      <c r="AK1105" s="143"/>
      <c r="AL1105" s="143"/>
      <c r="AM1105" s="143"/>
    </row>
    <row r="1106" s="140" customFormat="1" ht="15" spans="1:39">
      <c r="A1106" s="143">
        <v>1105</v>
      </c>
      <c r="B1106" s="144">
        <v>45891</v>
      </c>
      <c r="C1106" s="169" t="s">
        <v>3148</v>
      </c>
      <c r="D1106" s="143" t="s">
        <v>2338</v>
      </c>
      <c r="E1106" s="186"/>
      <c r="F1106" s="143"/>
      <c r="G1106" s="143"/>
      <c r="H1106" s="152" t="s">
        <v>3552</v>
      </c>
      <c r="I1106" s="143"/>
      <c r="J1106" s="143"/>
      <c r="K1106" s="143">
        <v>147</v>
      </c>
      <c r="L1106" s="143">
        <v>480</v>
      </c>
      <c r="M1106" s="143"/>
      <c r="N1106" s="143"/>
      <c r="O1106" s="143"/>
      <c r="P1106" s="143"/>
      <c r="Q1106" s="143" t="s">
        <v>3553</v>
      </c>
      <c r="R1106" s="143"/>
      <c r="S1106" s="146"/>
      <c r="T1106" s="146"/>
      <c r="U1106" s="146"/>
      <c r="V1106" s="147"/>
      <c r="W1106" s="143" t="s">
        <v>3473</v>
      </c>
      <c r="X1106" s="143" t="s">
        <v>3554</v>
      </c>
      <c r="Y1106" s="143" t="s">
        <v>3473</v>
      </c>
      <c r="Z1106" s="143" t="s">
        <v>3554</v>
      </c>
      <c r="AA1106" s="143"/>
      <c r="AB1106" s="170"/>
      <c r="AC1106" s="143"/>
      <c r="AD1106" s="143"/>
      <c r="AE1106" s="143"/>
      <c r="AF1106" s="143"/>
      <c r="AG1106" s="143"/>
      <c r="AH1106" s="143"/>
      <c r="AI1106" s="143"/>
      <c r="AJ1106" s="143"/>
      <c r="AK1106" s="143"/>
      <c r="AL1106" s="143"/>
      <c r="AM1106" s="143"/>
    </row>
    <row r="1107" s="140" customFormat="1" ht="15" spans="1:39">
      <c r="A1107" s="143">
        <v>1106</v>
      </c>
      <c r="B1107" s="144">
        <v>45891</v>
      </c>
      <c r="C1107" s="169" t="s">
        <v>3148</v>
      </c>
      <c r="D1107" s="143" t="s">
        <v>2338</v>
      </c>
      <c r="E1107" s="186"/>
      <c r="F1107" s="143"/>
      <c r="G1107" s="143"/>
      <c r="H1107" s="152" t="s">
        <v>3555</v>
      </c>
      <c r="I1107" s="143"/>
      <c r="J1107" s="143"/>
      <c r="K1107" s="143">
        <v>147</v>
      </c>
      <c r="L1107" s="143">
        <v>100</v>
      </c>
      <c r="M1107" s="143"/>
      <c r="N1107" s="143"/>
      <c r="O1107" s="143"/>
      <c r="P1107" s="143"/>
      <c r="Q1107" s="143" t="s">
        <v>3556</v>
      </c>
      <c r="R1107" s="143"/>
      <c r="S1107" s="146"/>
      <c r="T1107" s="146"/>
      <c r="U1107" s="146"/>
      <c r="V1107" s="147"/>
      <c r="W1107" s="143" t="s">
        <v>3473</v>
      </c>
      <c r="X1107" s="143" t="s">
        <v>3557</v>
      </c>
      <c r="Y1107" s="143" t="s">
        <v>3473</v>
      </c>
      <c r="Z1107" s="143" t="s">
        <v>3557</v>
      </c>
      <c r="AA1107" s="143"/>
      <c r="AB1107" s="170"/>
      <c r="AC1107" s="143"/>
      <c r="AD1107" s="143"/>
      <c r="AE1107" s="143"/>
      <c r="AF1107" s="143"/>
      <c r="AG1107" s="143"/>
      <c r="AH1107" s="143"/>
      <c r="AI1107" s="143"/>
      <c r="AJ1107" s="143"/>
      <c r="AK1107" s="143"/>
      <c r="AL1107" s="143"/>
      <c r="AM1107" s="143"/>
    </row>
    <row r="1108" s="140" customFormat="1" ht="15" spans="1:39">
      <c r="A1108" s="143">
        <v>1108</v>
      </c>
      <c r="B1108" s="144">
        <v>45891</v>
      </c>
      <c r="C1108" s="169" t="s">
        <v>3148</v>
      </c>
      <c r="D1108" s="143" t="s">
        <v>2338</v>
      </c>
      <c r="E1108" s="186"/>
      <c r="F1108" s="143"/>
      <c r="G1108" s="143"/>
      <c r="H1108" s="152" t="s">
        <v>3558</v>
      </c>
      <c r="I1108" s="143"/>
      <c r="J1108" s="143"/>
      <c r="K1108" s="143">
        <v>147</v>
      </c>
      <c r="L1108" s="143">
        <v>350</v>
      </c>
      <c r="M1108" s="143"/>
      <c r="N1108" s="143"/>
      <c r="O1108" s="143"/>
      <c r="P1108" s="143"/>
      <c r="Q1108" s="143" t="s">
        <v>3559</v>
      </c>
      <c r="R1108" s="143"/>
      <c r="S1108" s="146"/>
      <c r="T1108" s="146"/>
      <c r="U1108" s="146"/>
      <c r="V1108" s="147"/>
      <c r="W1108" s="143" t="s">
        <v>3473</v>
      </c>
      <c r="X1108" s="143" t="s">
        <v>3560</v>
      </c>
      <c r="Y1108" s="143" t="s">
        <v>3473</v>
      </c>
      <c r="Z1108" s="143" t="s">
        <v>3560</v>
      </c>
      <c r="AA1108" s="143"/>
      <c r="AB1108" s="170"/>
      <c r="AC1108" s="143"/>
      <c r="AD1108" s="143"/>
      <c r="AE1108" s="143"/>
      <c r="AF1108" s="143"/>
      <c r="AG1108" s="143"/>
      <c r="AH1108" s="143"/>
      <c r="AI1108" s="143"/>
      <c r="AJ1108" s="143"/>
      <c r="AK1108" s="143"/>
      <c r="AL1108" s="143"/>
      <c r="AM1108" s="143"/>
    </row>
    <row r="1109" s="140" customFormat="1" ht="15" spans="1:39">
      <c r="A1109" s="143">
        <v>1109</v>
      </c>
      <c r="B1109" s="144">
        <v>45891</v>
      </c>
      <c r="C1109" s="169" t="s">
        <v>3148</v>
      </c>
      <c r="D1109" s="143" t="s">
        <v>2338</v>
      </c>
      <c r="E1109" s="186"/>
      <c r="F1109" s="143"/>
      <c r="G1109" s="143"/>
      <c r="H1109" s="152" t="s">
        <v>3561</v>
      </c>
      <c r="I1109" s="143"/>
      <c r="J1109" s="143"/>
      <c r="K1109" s="143">
        <v>147</v>
      </c>
      <c r="L1109" s="143">
        <v>240</v>
      </c>
      <c r="M1109" s="143"/>
      <c r="N1109" s="143"/>
      <c r="O1109" s="143"/>
      <c r="P1109" s="143"/>
      <c r="Q1109" s="143" t="s">
        <v>3562</v>
      </c>
      <c r="R1109" s="143"/>
      <c r="S1109" s="146"/>
      <c r="T1109" s="146"/>
      <c r="U1109" s="146"/>
      <c r="V1109" s="147"/>
      <c r="W1109" s="143" t="s">
        <v>3473</v>
      </c>
      <c r="X1109" s="143" t="s">
        <v>3563</v>
      </c>
      <c r="Y1109" s="143" t="s">
        <v>3473</v>
      </c>
      <c r="Z1109" s="143" t="s">
        <v>3563</v>
      </c>
      <c r="AA1109" s="143"/>
      <c r="AB1109" s="170"/>
      <c r="AC1109" s="143"/>
      <c r="AD1109" s="143"/>
      <c r="AE1109" s="143"/>
      <c r="AF1109" s="143"/>
      <c r="AG1109" s="143"/>
      <c r="AH1109" s="143"/>
      <c r="AI1109" s="143"/>
      <c r="AJ1109" s="143"/>
      <c r="AK1109" s="143"/>
      <c r="AL1109" s="143"/>
      <c r="AM1109" s="143"/>
    </row>
    <row r="1110" s="140" customFormat="1" ht="15" spans="1:39">
      <c r="A1110" s="143">
        <v>1110</v>
      </c>
      <c r="B1110" s="144">
        <v>45891</v>
      </c>
      <c r="C1110" s="169" t="s">
        <v>3148</v>
      </c>
      <c r="D1110" s="143" t="s">
        <v>2338</v>
      </c>
      <c r="E1110" s="186"/>
      <c r="F1110" s="143"/>
      <c r="G1110" s="143"/>
      <c r="H1110" s="152" t="s">
        <v>3564</v>
      </c>
      <c r="I1110" s="143"/>
      <c r="J1110" s="143"/>
      <c r="K1110" s="143">
        <v>137</v>
      </c>
      <c r="L1110" s="143">
        <v>410</v>
      </c>
      <c r="M1110" s="143"/>
      <c r="N1110" s="143"/>
      <c r="O1110" s="143"/>
      <c r="P1110" s="143"/>
      <c r="Q1110" s="143" t="s">
        <v>3565</v>
      </c>
      <c r="R1110" s="143"/>
      <c r="S1110" s="146"/>
      <c r="T1110" s="146"/>
      <c r="U1110" s="146"/>
      <c r="V1110" s="147"/>
      <c r="W1110" s="143" t="s">
        <v>3473</v>
      </c>
      <c r="X1110" s="143" t="s">
        <v>3566</v>
      </c>
      <c r="Y1110" s="143" t="s">
        <v>3473</v>
      </c>
      <c r="Z1110" s="143" t="s">
        <v>3566</v>
      </c>
      <c r="AA1110" s="143"/>
      <c r="AB1110" s="170"/>
      <c r="AC1110" s="143"/>
      <c r="AD1110" s="143"/>
      <c r="AE1110" s="143"/>
      <c r="AF1110" s="143"/>
      <c r="AG1110" s="143"/>
      <c r="AH1110" s="143"/>
      <c r="AI1110" s="143"/>
      <c r="AJ1110" s="143"/>
      <c r="AK1110" s="143"/>
      <c r="AL1110" s="143"/>
      <c r="AM1110" s="143"/>
    </row>
    <row r="1111" s="140" customFormat="1" ht="15" spans="1:39">
      <c r="A1111" s="143">
        <v>1111</v>
      </c>
      <c r="B1111" s="144">
        <v>45891</v>
      </c>
      <c r="C1111" s="169" t="s">
        <v>3148</v>
      </c>
      <c r="D1111" s="143" t="s">
        <v>2338</v>
      </c>
      <c r="E1111" s="186"/>
      <c r="F1111" s="143"/>
      <c r="G1111" s="143"/>
      <c r="H1111" s="152" t="s">
        <v>3567</v>
      </c>
      <c r="I1111" s="143"/>
      <c r="J1111" s="143"/>
      <c r="K1111" s="143">
        <v>137</v>
      </c>
      <c r="L1111" s="143">
        <v>125</v>
      </c>
      <c r="M1111" s="143"/>
      <c r="N1111" s="143"/>
      <c r="O1111" s="143"/>
      <c r="P1111" s="143"/>
      <c r="Q1111" s="143" t="s">
        <v>3568</v>
      </c>
      <c r="R1111" s="143"/>
      <c r="S1111" s="146"/>
      <c r="T1111" s="146"/>
      <c r="U1111" s="146"/>
      <c r="V1111" s="147"/>
      <c r="W1111" s="143" t="s">
        <v>3473</v>
      </c>
      <c r="X1111" s="143" t="s">
        <v>3569</v>
      </c>
      <c r="Y1111" s="143" t="s">
        <v>3473</v>
      </c>
      <c r="Z1111" s="143" t="s">
        <v>3569</v>
      </c>
      <c r="AA1111" s="143"/>
      <c r="AB1111" s="170"/>
      <c r="AC1111" s="143"/>
      <c r="AD1111" s="143"/>
      <c r="AE1111" s="143"/>
      <c r="AF1111" s="143"/>
      <c r="AG1111" s="143"/>
      <c r="AH1111" s="143"/>
      <c r="AI1111" s="143"/>
      <c r="AJ1111" s="143"/>
      <c r="AK1111" s="143"/>
      <c r="AL1111" s="143"/>
      <c r="AM1111" s="143"/>
    </row>
    <row r="1112" s="140" customFormat="1" ht="24" spans="1:39">
      <c r="A1112" s="143">
        <v>1112</v>
      </c>
      <c r="B1112" s="144">
        <v>45891</v>
      </c>
      <c r="C1112" s="169" t="s">
        <v>3148</v>
      </c>
      <c r="D1112" s="143" t="s">
        <v>41</v>
      </c>
      <c r="E1112" s="186" t="s">
        <v>3570</v>
      </c>
      <c r="F1112" s="143" t="s">
        <v>3571</v>
      </c>
      <c r="G1112" s="143"/>
      <c r="H1112" s="152" t="s">
        <v>3572</v>
      </c>
      <c r="I1112" s="143" t="s">
        <v>3573</v>
      </c>
      <c r="J1112" s="143" t="s">
        <v>3574</v>
      </c>
      <c r="K1112" s="143">
        <v>172</v>
      </c>
      <c r="L1112" s="143">
        <v>170</v>
      </c>
      <c r="M1112" s="143"/>
      <c r="N1112" s="143"/>
      <c r="O1112" s="143"/>
      <c r="P1112" s="143"/>
      <c r="Q1112" s="177" t="s">
        <v>3575</v>
      </c>
      <c r="R1112" s="143"/>
      <c r="S1112" s="146"/>
      <c r="T1112" s="146"/>
      <c r="U1112" s="146"/>
      <c r="V1112" s="147"/>
      <c r="W1112" s="143" t="s">
        <v>3147</v>
      </c>
      <c r="X1112" s="143" t="s">
        <v>3576</v>
      </c>
      <c r="Y1112" s="169" t="s">
        <v>3577</v>
      </c>
      <c r="Z1112" s="143" t="s">
        <v>3578</v>
      </c>
      <c r="AA1112" s="143">
        <v>39.5</v>
      </c>
      <c r="AB1112" s="191">
        <v>45891</v>
      </c>
      <c r="AC1112" s="143"/>
      <c r="AD1112" s="143"/>
      <c r="AE1112" s="143"/>
      <c r="AF1112" s="143"/>
      <c r="AG1112" s="143"/>
      <c r="AH1112" s="143"/>
      <c r="AI1112" s="143"/>
      <c r="AJ1112" s="143"/>
      <c r="AK1112" s="143"/>
      <c r="AL1112" s="143"/>
      <c r="AM1112" s="143"/>
    </row>
    <row r="1113" ht="38.25" spans="1:39">
      <c r="A1113" s="143">
        <v>1113</v>
      </c>
      <c r="B1113" s="144">
        <v>45891</v>
      </c>
      <c r="C1113" s="143" t="s">
        <v>3148</v>
      </c>
      <c r="D1113" s="143" t="s">
        <v>41</v>
      </c>
      <c r="E1113" s="186" t="s">
        <v>3579</v>
      </c>
      <c r="F1113" s="169" t="s">
        <v>3580</v>
      </c>
      <c r="G1113" s="169"/>
      <c r="H1113" s="152" t="s">
        <v>3581</v>
      </c>
      <c r="I1113" s="143" t="s">
        <v>801</v>
      </c>
      <c r="J1113" s="143" t="s">
        <v>3582</v>
      </c>
      <c r="K1113" s="143">
        <v>172</v>
      </c>
      <c r="L1113" s="143">
        <v>230</v>
      </c>
      <c r="Q1113" s="192" t="s">
        <v>3583</v>
      </c>
      <c r="W1113" s="143" t="s">
        <v>3147</v>
      </c>
      <c r="X1113" s="143" t="s">
        <v>3584</v>
      </c>
      <c r="Y1113" s="143" t="s">
        <v>3577</v>
      </c>
      <c r="Z1113" s="143" t="s">
        <v>3584</v>
      </c>
      <c r="AA1113" s="143">
        <v>40.5</v>
      </c>
      <c r="AB1113" s="191">
        <v>45891</v>
      </c>
    </row>
    <row r="1114" ht="24" spans="1:39">
      <c r="A1114" s="143">
        <v>1114</v>
      </c>
      <c r="B1114" s="144">
        <v>45891</v>
      </c>
      <c r="C1114" s="143" t="s">
        <v>3148</v>
      </c>
      <c r="D1114" s="143" t="s">
        <v>41</v>
      </c>
      <c r="E1114" s="186" t="s">
        <v>3579</v>
      </c>
      <c r="F1114" s="143" t="s">
        <v>3585</v>
      </c>
      <c r="H1114" s="152" t="s">
        <v>3586</v>
      </c>
      <c r="I1114" s="143" t="s">
        <v>3587</v>
      </c>
      <c r="J1114" s="143" t="s">
        <v>3588</v>
      </c>
      <c r="K1114" s="143">
        <v>172</v>
      </c>
      <c r="L1114" s="143">
        <v>170</v>
      </c>
      <c r="Q1114" s="177" t="s">
        <v>3575</v>
      </c>
      <c r="W1114" s="143" t="s">
        <v>3147</v>
      </c>
      <c r="X1114" s="143" t="s">
        <v>3589</v>
      </c>
      <c r="Y1114" s="143" t="s">
        <v>3577</v>
      </c>
      <c r="Z1114" s="143" t="s">
        <v>3589</v>
      </c>
      <c r="AA1114" s="143">
        <v>36.4</v>
      </c>
      <c r="AB1114" s="191">
        <v>45891</v>
      </c>
    </row>
    <row r="1115" ht="24" spans="1:39">
      <c r="A1115" s="143">
        <v>1115</v>
      </c>
      <c r="B1115" s="144">
        <v>45891</v>
      </c>
      <c r="C1115" s="143" t="s">
        <v>3148</v>
      </c>
      <c r="D1115" s="143" t="s">
        <v>41</v>
      </c>
      <c r="E1115" s="186" t="s">
        <v>3570</v>
      </c>
      <c r="F1115" s="169" t="s">
        <v>3590</v>
      </c>
      <c r="G1115" s="169"/>
      <c r="H1115" s="152" t="s">
        <v>3591</v>
      </c>
      <c r="I1115" s="143" t="s">
        <v>3592</v>
      </c>
      <c r="J1115" s="143" t="s">
        <v>3593</v>
      </c>
      <c r="K1115" s="143">
        <v>175</v>
      </c>
      <c r="L1115" s="143">
        <v>170</v>
      </c>
      <c r="Q1115" s="177" t="s">
        <v>3594</v>
      </c>
      <c r="W1115" s="143" t="s">
        <v>3147</v>
      </c>
      <c r="X1115" s="169" t="s">
        <v>3590</v>
      </c>
      <c r="Y1115" s="169" t="s">
        <v>3595</v>
      </c>
      <c r="Z1115" s="169" t="s">
        <v>3590</v>
      </c>
      <c r="AA1115" s="143">
        <v>39.3</v>
      </c>
      <c r="AB1115" s="191">
        <v>45891</v>
      </c>
    </row>
    <row r="1116" ht="24" spans="1:39">
      <c r="A1116" s="143">
        <v>1116</v>
      </c>
      <c r="B1116" s="144">
        <v>45891</v>
      </c>
      <c r="C1116" s="143" t="s">
        <v>3148</v>
      </c>
      <c r="D1116" s="143" t="s">
        <v>41</v>
      </c>
      <c r="E1116" s="186" t="s">
        <v>3596</v>
      </c>
      <c r="F1116" s="169" t="s">
        <v>3597</v>
      </c>
      <c r="G1116" s="169"/>
      <c r="H1116" s="152" t="s">
        <v>3598</v>
      </c>
      <c r="I1116" s="143" t="s">
        <v>3573</v>
      </c>
      <c r="J1116" s="143" t="s">
        <v>3574</v>
      </c>
      <c r="K1116" s="143">
        <v>175</v>
      </c>
      <c r="L1116" s="143" t="s">
        <v>3599</v>
      </c>
      <c r="Q1116" s="177" t="s">
        <v>3594</v>
      </c>
      <c r="W1116" s="143" t="s">
        <v>3147</v>
      </c>
      <c r="X1116" s="169" t="s">
        <v>3597</v>
      </c>
      <c r="Y1116" s="169" t="s">
        <v>3595</v>
      </c>
      <c r="Z1116" s="169" t="s">
        <v>3597</v>
      </c>
      <c r="AA1116" s="143">
        <v>38.2</v>
      </c>
      <c r="AB1116" s="191">
        <v>45891</v>
      </c>
    </row>
    <row r="1117" ht="24" spans="1:39">
      <c r="A1117" s="143">
        <v>1117</v>
      </c>
      <c r="B1117" s="144">
        <v>45891</v>
      </c>
      <c r="C1117" s="143" t="s">
        <v>3148</v>
      </c>
      <c r="D1117" s="143" t="s">
        <v>41</v>
      </c>
      <c r="E1117" s="186" t="s">
        <v>3579</v>
      </c>
      <c r="F1117" s="169" t="s">
        <v>3600</v>
      </c>
      <c r="G1117" s="169"/>
      <c r="H1117" s="152" t="s">
        <v>3601</v>
      </c>
      <c r="I1117" s="143" t="s">
        <v>3592</v>
      </c>
      <c r="J1117" s="143" t="s">
        <v>3593</v>
      </c>
      <c r="K1117" s="143">
        <v>175</v>
      </c>
      <c r="L1117" s="143">
        <v>260</v>
      </c>
      <c r="Q1117" s="177" t="s">
        <v>3602</v>
      </c>
      <c r="W1117" s="143" t="s">
        <v>3147</v>
      </c>
      <c r="X1117" s="169" t="s">
        <v>3600</v>
      </c>
      <c r="Y1117" s="169" t="s">
        <v>3595</v>
      </c>
      <c r="Z1117" s="169" t="s">
        <v>3600</v>
      </c>
      <c r="AA1117" s="143">
        <v>38.2</v>
      </c>
      <c r="AB1117" s="191">
        <v>45891</v>
      </c>
    </row>
    <row r="1118" ht="49.5" spans="1:39">
      <c r="A1118" s="143">
        <v>1118</v>
      </c>
      <c r="B1118" s="144">
        <v>45891</v>
      </c>
      <c r="C1118" s="143" t="s">
        <v>3148</v>
      </c>
      <c r="D1118" s="143" t="s">
        <v>41</v>
      </c>
      <c r="E1118" s="186" t="s">
        <v>3570</v>
      </c>
      <c r="F1118" s="143" t="s">
        <v>3603</v>
      </c>
      <c r="H1118" s="152" t="s">
        <v>3604</v>
      </c>
      <c r="I1118" s="143" t="s">
        <v>3587</v>
      </c>
      <c r="J1118" s="143" t="s">
        <v>3588</v>
      </c>
      <c r="K1118" s="143">
        <v>173</v>
      </c>
      <c r="L1118" s="143">
        <v>170</v>
      </c>
      <c r="Q1118" s="193" t="s">
        <v>3605</v>
      </c>
      <c r="W1118" s="143" t="s">
        <v>3147</v>
      </c>
      <c r="X1118" s="143" t="s">
        <v>3606</v>
      </c>
      <c r="Y1118" s="169" t="s">
        <v>3607</v>
      </c>
      <c r="Z1118" s="143" t="s">
        <v>3606</v>
      </c>
      <c r="AA1118" s="143">
        <v>39.5</v>
      </c>
      <c r="AB1118" s="191">
        <v>45891</v>
      </c>
    </row>
    <row r="1119" ht="75" spans="1:39">
      <c r="A1119" s="143">
        <v>1119</v>
      </c>
      <c r="B1119" s="144">
        <v>45891</v>
      </c>
      <c r="C1119" s="143" t="s">
        <v>3148</v>
      </c>
      <c r="D1119" s="143" t="s">
        <v>41</v>
      </c>
      <c r="E1119" s="186" t="s">
        <v>3579</v>
      </c>
      <c r="F1119" s="143" t="s">
        <v>3608</v>
      </c>
      <c r="H1119" s="152" t="s">
        <v>3609</v>
      </c>
      <c r="I1119" s="143" t="s">
        <v>3573</v>
      </c>
      <c r="J1119" s="143" t="s">
        <v>3574</v>
      </c>
      <c r="K1119" s="143">
        <v>175</v>
      </c>
      <c r="L1119" s="143">
        <v>180</v>
      </c>
      <c r="Q1119" s="193" t="s">
        <v>3610</v>
      </c>
      <c r="W1119" s="143" t="s">
        <v>3147</v>
      </c>
      <c r="X1119" s="143">
        <v>10402</v>
      </c>
      <c r="Y1119" s="169" t="s">
        <v>3611</v>
      </c>
      <c r="Z1119" s="143">
        <v>10402</v>
      </c>
      <c r="AA1119" s="143">
        <v>41.5</v>
      </c>
      <c r="AB1119" s="191">
        <v>45891</v>
      </c>
    </row>
    <row r="1120" ht="114.75" spans="1:39">
      <c r="A1120" s="143">
        <v>1120</v>
      </c>
      <c r="B1120" s="144">
        <v>45891</v>
      </c>
      <c r="C1120" s="143" t="s">
        <v>3148</v>
      </c>
      <c r="D1120" s="143" t="s">
        <v>41</v>
      </c>
      <c r="E1120" s="186" t="s">
        <v>3579</v>
      </c>
      <c r="F1120" s="143" t="s">
        <v>3612</v>
      </c>
      <c r="H1120" s="152" t="s">
        <v>3613</v>
      </c>
      <c r="I1120" s="143" t="s">
        <v>801</v>
      </c>
      <c r="J1120" s="143" t="s">
        <v>3582</v>
      </c>
      <c r="K1120" s="143">
        <v>175</v>
      </c>
      <c r="L1120" s="143">
        <v>180</v>
      </c>
      <c r="Q1120" s="192" t="s">
        <v>3614</v>
      </c>
      <c r="W1120" s="143" t="s">
        <v>3147</v>
      </c>
      <c r="X1120" s="143" t="s">
        <v>3615</v>
      </c>
      <c r="Y1120" s="169" t="s">
        <v>3616</v>
      </c>
      <c r="Z1120" s="143" t="s">
        <v>3615</v>
      </c>
      <c r="AA1120" s="143">
        <v>46</v>
      </c>
      <c r="AB1120" s="191">
        <v>45891</v>
      </c>
    </row>
    <row r="1121" spans="1:35">
      <c r="A1121" s="143">
        <v>1121</v>
      </c>
      <c r="B1121" s="144">
        <v>45894</v>
      </c>
      <c r="C1121" s="169" t="s">
        <v>3148</v>
      </c>
      <c r="D1121" s="143" t="s">
        <v>41</v>
      </c>
      <c r="F1121" s="143" t="s">
        <v>3617</v>
      </c>
      <c r="H1121" s="152" t="s">
        <v>3618</v>
      </c>
      <c r="I1121" s="143" t="s">
        <v>3218</v>
      </c>
      <c r="J1121" s="143" t="s">
        <v>1577</v>
      </c>
      <c r="K1121" s="143">
        <v>150</v>
      </c>
      <c r="L1121" s="143">
        <v>190</v>
      </c>
      <c r="Q1121" s="143" t="s">
        <v>3619</v>
      </c>
      <c r="W1121" s="143" t="s">
        <v>3147</v>
      </c>
      <c r="X1121" s="143" t="s">
        <v>3617</v>
      </c>
      <c r="Y1121" s="169" t="s">
        <v>3620</v>
      </c>
      <c r="Z1121" s="143" t="s">
        <v>3617</v>
      </c>
      <c r="AA1121" s="143">
        <v>8.8</v>
      </c>
      <c r="AB1121" s="191">
        <v>45894</v>
      </c>
      <c r="AH1121" s="169" t="s">
        <v>2609</v>
      </c>
      <c r="AI1121" s="169"/>
    </row>
    <row r="1122" spans="1:35">
      <c r="A1122" s="143">
        <v>1122</v>
      </c>
      <c r="B1122" s="144">
        <v>45894</v>
      </c>
      <c r="C1122" s="169" t="s">
        <v>3148</v>
      </c>
      <c r="D1122" s="143" t="s">
        <v>41</v>
      </c>
      <c r="F1122" s="143" t="s">
        <v>3621</v>
      </c>
      <c r="H1122" s="152" t="s">
        <v>3622</v>
      </c>
      <c r="I1122" s="143" t="s">
        <v>3218</v>
      </c>
      <c r="J1122" s="143" t="s">
        <v>1577</v>
      </c>
      <c r="K1122" s="143">
        <v>150</v>
      </c>
      <c r="L1122" s="143">
        <v>170</v>
      </c>
      <c r="W1122" s="143" t="s">
        <v>3147</v>
      </c>
      <c r="X1122" s="143" t="s">
        <v>3621</v>
      </c>
      <c r="Y1122" s="169" t="s">
        <v>3623</v>
      </c>
      <c r="Z1122" s="143" t="s">
        <v>3621</v>
      </c>
      <c r="AA1122" s="143">
        <v>9</v>
      </c>
      <c r="AB1122" s="191">
        <v>45894</v>
      </c>
    </row>
    <row r="1123" spans="1:35">
      <c r="A1123" s="143">
        <v>1123</v>
      </c>
      <c r="B1123" s="144">
        <v>45894</v>
      </c>
      <c r="C1123" s="169" t="s">
        <v>3148</v>
      </c>
      <c r="D1123" s="143" t="s">
        <v>2338</v>
      </c>
      <c r="F1123" s="143" t="s">
        <v>3624</v>
      </c>
      <c r="H1123" s="143" t="s">
        <v>3625</v>
      </c>
      <c r="K1123" s="143">
        <v>147</v>
      </c>
      <c r="Q1123" s="143" t="s">
        <v>3626</v>
      </c>
      <c r="W1123" s="143" t="s">
        <v>3473</v>
      </c>
      <c r="X1123" s="143" t="s">
        <v>3624</v>
      </c>
      <c r="Y1123" s="143" t="s">
        <v>3473</v>
      </c>
      <c r="Z1123" s="143" t="s">
        <v>3624</v>
      </c>
    </row>
    <row r="1124" spans="1:35">
      <c r="A1124" s="143">
        <v>1124</v>
      </c>
      <c r="B1124" s="144">
        <v>45894</v>
      </c>
      <c r="C1124" s="169" t="s">
        <v>3148</v>
      </c>
      <c r="D1124" s="143" t="s">
        <v>2338</v>
      </c>
      <c r="F1124" s="143" t="s">
        <v>3627</v>
      </c>
      <c r="H1124" s="143" t="s">
        <v>3628</v>
      </c>
      <c r="K1124" s="143">
        <v>147</v>
      </c>
      <c r="Q1124" s="143" t="s">
        <v>3629</v>
      </c>
      <c r="W1124" s="143" t="s">
        <v>3473</v>
      </c>
      <c r="X1124" s="143" t="s">
        <v>3627</v>
      </c>
      <c r="Y1124" s="143" t="s">
        <v>3473</v>
      </c>
      <c r="Z1124" s="143" t="s">
        <v>3627</v>
      </c>
    </row>
    <row r="1125" spans="1:35">
      <c r="A1125" s="143">
        <v>1127</v>
      </c>
      <c r="B1125" s="144">
        <v>45894</v>
      </c>
      <c r="C1125" s="169" t="s">
        <v>3148</v>
      </c>
      <c r="D1125" s="143" t="s">
        <v>2338</v>
      </c>
      <c r="F1125" s="143" t="s">
        <v>3630</v>
      </c>
      <c r="H1125" s="143" t="s">
        <v>3631</v>
      </c>
      <c r="K1125" s="143">
        <v>147</v>
      </c>
      <c r="Q1125" s="143" t="s">
        <v>3632</v>
      </c>
      <c r="W1125" s="143" t="s">
        <v>3473</v>
      </c>
      <c r="X1125" s="187" t="s">
        <v>3630</v>
      </c>
      <c r="Y1125" s="143" t="s">
        <v>3473</v>
      </c>
      <c r="Z1125" s="143" t="s">
        <v>3630</v>
      </c>
    </row>
    <row r="1126" spans="1:35">
      <c r="A1126" s="143">
        <v>1128</v>
      </c>
      <c r="B1126" s="144">
        <v>45894</v>
      </c>
      <c r="C1126" s="169" t="s">
        <v>3148</v>
      </c>
      <c r="D1126" s="143" t="s">
        <v>2338</v>
      </c>
      <c r="F1126" s="143" t="s">
        <v>3633</v>
      </c>
      <c r="H1126" s="143" t="s">
        <v>3634</v>
      </c>
      <c r="I1126" s="143" t="s">
        <v>3497</v>
      </c>
      <c r="J1126" s="143" t="s">
        <v>282</v>
      </c>
      <c r="K1126" s="143">
        <v>147</v>
      </c>
      <c r="L1126" s="143">
        <v>262</v>
      </c>
      <c r="M1126" s="143" t="s">
        <v>3635</v>
      </c>
      <c r="Q1126" s="143" t="s">
        <v>3635</v>
      </c>
      <c r="W1126" s="143" t="s">
        <v>3473</v>
      </c>
      <c r="X1126" s="187" t="s">
        <v>3633</v>
      </c>
      <c r="Y1126" s="143" t="s">
        <v>3473</v>
      </c>
      <c r="Z1126" s="143" t="s">
        <v>3633</v>
      </c>
      <c r="AA1126" s="143" t="s">
        <v>3636</v>
      </c>
    </row>
    <row r="1127" spans="1:35">
      <c r="A1127" s="143">
        <v>1129</v>
      </c>
      <c r="B1127" s="144">
        <v>45894</v>
      </c>
      <c r="C1127" s="169" t="s">
        <v>3148</v>
      </c>
      <c r="D1127" s="143" t="s">
        <v>2338</v>
      </c>
      <c r="F1127" s="143" t="s">
        <v>3637</v>
      </c>
      <c r="H1127" s="143" t="s">
        <v>3638</v>
      </c>
      <c r="I1127" s="143" t="s">
        <v>3218</v>
      </c>
      <c r="J1127" s="143" t="s">
        <v>330</v>
      </c>
      <c r="K1127" s="143">
        <v>147</v>
      </c>
      <c r="L1127" s="143">
        <v>308</v>
      </c>
      <c r="M1127" s="143" t="s">
        <v>3632</v>
      </c>
      <c r="Q1127" s="143" t="s">
        <v>3639</v>
      </c>
      <c r="W1127" s="143" t="s">
        <v>3473</v>
      </c>
      <c r="X1127" s="187" t="s">
        <v>3637</v>
      </c>
      <c r="Y1127" s="143" t="s">
        <v>3473</v>
      </c>
      <c r="Z1127" s="143" t="s">
        <v>3637</v>
      </c>
      <c r="AA1127" s="143" t="s">
        <v>3640</v>
      </c>
    </row>
    <row r="1128" spans="1:35">
      <c r="A1128" s="143">
        <v>1130</v>
      </c>
      <c r="B1128" s="144">
        <v>45894</v>
      </c>
      <c r="C1128" s="169" t="s">
        <v>3148</v>
      </c>
      <c r="D1128" s="143" t="s">
        <v>2338</v>
      </c>
      <c r="F1128" s="143" t="s">
        <v>3641</v>
      </c>
      <c r="H1128" s="143" t="s">
        <v>3642</v>
      </c>
      <c r="I1128" s="143" t="s">
        <v>3497</v>
      </c>
      <c r="J1128" s="143" t="s">
        <v>282</v>
      </c>
      <c r="K1128" s="143">
        <v>147</v>
      </c>
      <c r="L1128" s="143">
        <v>413</v>
      </c>
      <c r="M1128" s="143" t="s">
        <v>3643</v>
      </c>
      <c r="Q1128" s="143" t="s">
        <v>3644</v>
      </c>
      <c r="W1128" s="143" t="s">
        <v>3473</v>
      </c>
      <c r="X1128" s="187" t="s">
        <v>3641</v>
      </c>
      <c r="Y1128" s="143" t="s">
        <v>3473</v>
      </c>
      <c r="Z1128" s="143" t="s">
        <v>3641</v>
      </c>
      <c r="AA1128" s="143" t="s">
        <v>3645</v>
      </c>
    </row>
    <row r="1129" spans="1:35">
      <c r="A1129" s="143">
        <v>1131</v>
      </c>
      <c r="B1129" s="144">
        <v>45895</v>
      </c>
      <c r="C1129" s="169" t="s">
        <v>3646</v>
      </c>
      <c r="D1129" s="143" t="s">
        <v>2338</v>
      </c>
      <c r="F1129" s="143" t="s">
        <v>3647</v>
      </c>
      <c r="H1129" s="143" t="s">
        <v>3648</v>
      </c>
      <c r="I1129" s="143" t="s">
        <v>3497</v>
      </c>
      <c r="J1129" s="143" t="s">
        <v>282</v>
      </c>
      <c r="K1129" s="143">
        <v>147</v>
      </c>
      <c r="L1129" s="143">
        <v>140</v>
      </c>
      <c r="Q1129" s="143" t="s">
        <v>3649</v>
      </c>
      <c r="W1129" s="143" t="s">
        <v>3650</v>
      </c>
      <c r="X1129" s="143" t="s">
        <v>3647</v>
      </c>
      <c r="Y1129" s="143" t="s">
        <v>3650</v>
      </c>
      <c r="Z1129" s="143" t="s">
        <v>3647</v>
      </c>
    </row>
    <row r="1130" spans="1:35">
      <c r="A1130" s="143">
        <v>1132</v>
      </c>
      <c r="B1130" s="144">
        <v>45897</v>
      </c>
      <c r="C1130" s="169" t="s">
        <v>3148</v>
      </c>
      <c r="D1130" s="143" t="s">
        <v>41</v>
      </c>
      <c r="F1130" s="169" t="s">
        <v>3651</v>
      </c>
      <c r="G1130" s="169"/>
      <c r="H1130" s="143" t="s">
        <v>3652</v>
      </c>
      <c r="I1130" s="169" t="s">
        <v>3218</v>
      </c>
      <c r="J1130" s="143" t="s">
        <v>3653</v>
      </c>
      <c r="K1130" s="143">
        <v>150</v>
      </c>
      <c r="L1130" s="143">
        <v>35</v>
      </c>
      <c r="W1130" s="143" t="s">
        <v>3147</v>
      </c>
      <c r="X1130" s="169" t="s">
        <v>3651</v>
      </c>
      <c r="Y1130" s="143" t="s">
        <v>3654</v>
      </c>
      <c r="Z1130" s="169" t="s">
        <v>3651</v>
      </c>
      <c r="AA1130" s="143">
        <v>6.8</v>
      </c>
    </row>
    <row r="1131" ht="63" spans="1:35">
      <c r="A1131" s="143">
        <v>1133</v>
      </c>
      <c r="B1131" s="144">
        <v>45897</v>
      </c>
      <c r="C1131" s="169" t="s">
        <v>3148</v>
      </c>
      <c r="D1131" s="143" t="s">
        <v>41</v>
      </c>
      <c r="F1131" s="143" t="s">
        <v>3655</v>
      </c>
      <c r="H1131" s="143" t="s">
        <v>3656</v>
      </c>
      <c r="I1131" s="143" t="s">
        <v>436</v>
      </c>
      <c r="J1131" s="143" t="s">
        <v>3657</v>
      </c>
      <c r="K1131" s="143">
        <v>160</v>
      </c>
      <c r="L1131" s="143">
        <v>190</v>
      </c>
      <c r="Q1131" s="177" t="s">
        <v>3658</v>
      </c>
      <c r="W1131" s="143" t="s">
        <v>3147</v>
      </c>
      <c r="X1131" s="143" t="s">
        <v>3655</v>
      </c>
      <c r="Y1131" s="143" t="s">
        <v>3659</v>
      </c>
      <c r="Z1131" s="143" t="s">
        <v>3655</v>
      </c>
      <c r="AA1131" s="143" t="s">
        <v>3660</v>
      </c>
      <c r="AH1131" s="152" t="s">
        <v>3661</v>
      </c>
    </row>
    <row r="1132" spans="1:35">
      <c r="A1132" s="143">
        <v>1134</v>
      </c>
      <c r="B1132" s="144">
        <v>45897</v>
      </c>
      <c r="C1132" s="169" t="s">
        <v>3148</v>
      </c>
      <c r="D1132" s="143" t="s">
        <v>41</v>
      </c>
      <c r="F1132" s="143" t="s">
        <v>3662</v>
      </c>
      <c r="H1132" s="143" t="s">
        <v>3663</v>
      </c>
      <c r="I1132" s="143" t="s">
        <v>3390</v>
      </c>
      <c r="J1132" s="143" t="s">
        <v>3657</v>
      </c>
      <c r="K1132" s="143">
        <v>165</v>
      </c>
      <c r="L1132" s="143">
        <v>190</v>
      </c>
      <c r="Q1132" s="177" t="s">
        <v>3664</v>
      </c>
      <c r="W1132" s="143" t="s">
        <v>3147</v>
      </c>
      <c r="X1132" s="143" t="s">
        <v>3662</v>
      </c>
      <c r="Y1132" s="169" t="s">
        <v>3665</v>
      </c>
      <c r="Z1132" s="143" t="s">
        <v>3662</v>
      </c>
      <c r="AA1132" s="143" t="s">
        <v>3666</v>
      </c>
    </row>
    <row r="1133" spans="1:35">
      <c r="A1133" s="143">
        <v>1135</v>
      </c>
      <c r="B1133" s="144">
        <v>45897</v>
      </c>
      <c r="C1133" s="169" t="s">
        <v>3646</v>
      </c>
      <c r="D1133" s="143" t="s">
        <v>41</v>
      </c>
      <c r="E1133" s="145">
        <v>28</v>
      </c>
      <c r="F1133" s="143" t="s">
        <v>3667</v>
      </c>
      <c r="H1133" s="143" t="s">
        <v>3668</v>
      </c>
      <c r="I1133" s="143" t="s">
        <v>3669</v>
      </c>
      <c r="J1133" s="143" t="s">
        <v>3670</v>
      </c>
      <c r="K1133" s="143">
        <v>150</v>
      </c>
      <c r="L1133" s="143">
        <v>280</v>
      </c>
      <c r="W1133" s="169" t="s">
        <v>3147</v>
      </c>
      <c r="X1133" s="143" t="s">
        <v>3667</v>
      </c>
      <c r="Y1133" s="169" t="s">
        <v>3671</v>
      </c>
      <c r="Z1133" s="143" t="s">
        <v>3667</v>
      </c>
      <c r="AA1133" s="143">
        <v>14.2</v>
      </c>
      <c r="AB1133" s="191">
        <v>45899</v>
      </c>
    </row>
    <row r="1134" spans="1:35">
      <c r="A1134" s="143">
        <v>1136</v>
      </c>
      <c r="B1134" s="144">
        <v>45897</v>
      </c>
      <c r="C1134" s="169" t="s">
        <v>3646</v>
      </c>
      <c r="D1134" s="143" t="s">
        <v>41</v>
      </c>
      <c r="E1134" s="145" t="s">
        <v>3672</v>
      </c>
      <c r="F1134" s="143" t="s">
        <v>3673</v>
      </c>
      <c r="H1134" s="143" t="s">
        <v>3674</v>
      </c>
      <c r="I1134" s="143" t="s">
        <v>3675</v>
      </c>
      <c r="J1134" s="143" t="s">
        <v>3676</v>
      </c>
      <c r="K1134" s="143">
        <v>150</v>
      </c>
      <c r="L1134" s="143">
        <v>245</v>
      </c>
      <c r="W1134" s="169" t="s">
        <v>3147</v>
      </c>
      <c r="X1134" s="143" t="s">
        <v>3673</v>
      </c>
      <c r="Y1134" s="169" t="s">
        <v>3677</v>
      </c>
      <c r="Z1134" s="143" t="s">
        <v>3673</v>
      </c>
      <c r="AA1134" s="143">
        <v>16.6</v>
      </c>
      <c r="AB1134" s="191">
        <v>45899</v>
      </c>
    </row>
    <row r="1135" spans="1:35">
      <c r="A1135" s="143">
        <v>1137</v>
      </c>
      <c r="B1135" s="144">
        <v>45897</v>
      </c>
      <c r="C1135" s="169" t="s">
        <v>3646</v>
      </c>
      <c r="D1135" s="143" t="s">
        <v>41</v>
      </c>
      <c r="F1135" s="143" t="s">
        <v>3678</v>
      </c>
      <c r="H1135" s="143" t="s">
        <v>3679</v>
      </c>
      <c r="I1135" s="143" t="s">
        <v>3680</v>
      </c>
      <c r="J1135" s="143" t="s">
        <v>3681</v>
      </c>
      <c r="K1135" s="143">
        <v>150</v>
      </c>
      <c r="L1135" s="143">
        <v>260</v>
      </c>
      <c r="W1135" s="169" t="s">
        <v>3147</v>
      </c>
      <c r="X1135" s="143" t="s">
        <v>3678</v>
      </c>
      <c r="Y1135" s="169" t="s">
        <v>3154</v>
      </c>
      <c r="Z1135" s="143" t="s">
        <v>3678</v>
      </c>
      <c r="AA1135" s="143">
        <v>15.6</v>
      </c>
      <c r="AB1135" s="191">
        <v>45899</v>
      </c>
    </row>
    <row r="1136" spans="1:35">
      <c r="A1136" s="143">
        <v>1138</v>
      </c>
      <c r="B1136" s="144">
        <v>45897</v>
      </c>
      <c r="C1136" s="169" t="s">
        <v>3646</v>
      </c>
      <c r="D1136" s="143" t="s">
        <v>41</v>
      </c>
      <c r="E1136" s="145">
        <v>18</v>
      </c>
      <c r="F1136" s="143" t="s">
        <v>3682</v>
      </c>
      <c r="H1136" s="143" t="s">
        <v>3683</v>
      </c>
      <c r="I1136" s="143" t="s">
        <v>45</v>
      </c>
      <c r="J1136" s="143" t="s">
        <v>3684</v>
      </c>
      <c r="K1136" s="143">
        <v>155</v>
      </c>
      <c r="L1136" s="143">
        <v>195</v>
      </c>
      <c r="W1136" s="169" t="s">
        <v>3147</v>
      </c>
      <c r="X1136" s="143" t="s">
        <v>3682</v>
      </c>
      <c r="Y1136" s="169" t="s">
        <v>3685</v>
      </c>
      <c r="Z1136" s="143" t="s">
        <v>3682</v>
      </c>
      <c r="AA1136" s="143">
        <v>15.2</v>
      </c>
      <c r="AB1136" s="191">
        <v>45899</v>
      </c>
    </row>
    <row r="1137" spans="1:34">
      <c r="A1137" s="143">
        <v>1139</v>
      </c>
      <c r="B1137" s="144">
        <v>45897</v>
      </c>
      <c r="C1137" s="169" t="s">
        <v>3646</v>
      </c>
      <c r="D1137" s="143" t="s">
        <v>41</v>
      </c>
      <c r="E1137" s="145">
        <v>27</v>
      </c>
      <c r="F1137" s="143" t="s">
        <v>3686</v>
      </c>
      <c r="H1137" s="143" t="s">
        <v>3687</v>
      </c>
      <c r="I1137" s="143" t="s">
        <v>3688</v>
      </c>
      <c r="J1137" s="143" t="s">
        <v>3689</v>
      </c>
      <c r="K1137" s="143">
        <v>150</v>
      </c>
      <c r="L1137" s="143">
        <v>220</v>
      </c>
      <c r="W1137" s="169" t="s">
        <v>3147</v>
      </c>
      <c r="X1137" s="143" t="s">
        <v>3686</v>
      </c>
      <c r="Y1137" s="169" t="s">
        <v>3690</v>
      </c>
      <c r="Z1137" s="143" t="s">
        <v>3686</v>
      </c>
      <c r="AA1137" s="143">
        <v>15.2</v>
      </c>
      <c r="AB1137" s="191">
        <v>45903</v>
      </c>
    </row>
    <row r="1138" spans="1:34">
      <c r="A1138" s="143">
        <v>1140</v>
      </c>
      <c r="B1138" s="144">
        <v>45897</v>
      </c>
      <c r="C1138" s="169" t="s">
        <v>3646</v>
      </c>
      <c r="D1138" s="143" t="s">
        <v>41</v>
      </c>
      <c r="F1138" s="143" t="s">
        <v>3691</v>
      </c>
      <c r="H1138" s="143" t="s">
        <v>3692</v>
      </c>
      <c r="I1138" s="143" t="s">
        <v>3693</v>
      </c>
      <c r="J1138" s="143" t="s">
        <v>3694</v>
      </c>
      <c r="K1138" s="143">
        <v>145</v>
      </c>
      <c r="L1138" s="143">
        <v>320</v>
      </c>
      <c r="W1138" s="169" t="s">
        <v>3147</v>
      </c>
      <c r="X1138" s="143" t="s">
        <v>3691</v>
      </c>
      <c r="Y1138" s="169" t="s">
        <v>3695</v>
      </c>
      <c r="Z1138" s="143" t="s">
        <v>3691</v>
      </c>
      <c r="AA1138" s="143">
        <v>21.3</v>
      </c>
      <c r="AB1138" s="191">
        <v>45899</v>
      </c>
    </row>
    <row r="1139" spans="1:34">
      <c r="A1139" s="143">
        <v>1141</v>
      </c>
      <c r="B1139" s="144">
        <v>45897</v>
      </c>
      <c r="C1139" s="169" t="s">
        <v>3646</v>
      </c>
      <c r="D1139" s="143" t="s">
        <v>41</v>
      </c>
      <c r="E1139" s="145">
        <v>11</v>
      </c>
      <c r="F1139" s="143" t="s">
        <v>3696</v>
      </c>
      <c r="G1139" s="169" t="s">
        <v>3697</v>
      </c>
      <c r="H1139" s="143" t="s">
        <v>3698</v>
      </c>
      <c r="I1139" s="143" t="s">
        <v>3699</v>
      </c>
      <c r="J1139" s="143" t="s">
        <v>3700</v>
      </c>
      <c r="K1139" s="143">
        <v>160</v>
      </c>
      <c r="L1139" s="143">
        <v>250</v>
      </c>
      <c r="Q1139" s="143" t="s">
        <v>3701</v>
      </c>
      <c r="W1139" s="169" t="s">
        <v>3147</v>
      </c>
      <c r="X1139" s="143" t="s">
        <v>3696</v>
      </c>
      <c r="Y1139" s="169" t="s">
        <v>3702</v>
      </c>
      <c r="Z1139" s="143" t="s">
        <v>3696</v>
      </c>
      <c r="AA1139" s="143">
        <v>43</v>
      </c>
      <c r="AB1139" s="191">
        <v>45899</v>
      </c>
    </row>
    <row r="1140" spans="1:34">
      <c r="A1140" s="143">
        <v>1142</v>
      </c>
      <c r="B1140" s="144">
        <v>45897</v>
      </c>
      <c r="C1140" s="169" t="s">
        <v>3646</v>
      </c>
      <c r="D1140" s="143" t="s">
        <v>41</v>
      </c>
      <c r="F1140" s="143" t="s">
        <v>3703</v>
      </c>
      <c r="G1140" s="169" t="s">
        <v>3697</v>
      </c>
      <c r="H1140" s="143" t="s">
        <v>3704</v>
      </c>
      <c r="I1140" s="143" t="s">
        <v>3705</v>
      </c>
      <c r="J1140" s="143" t="s">
        <v>3706</v>
      </c>
      <c r="K1140" s="143">
        <v>160</v>
      </c>
      <c r="L1140" s="143">
        <v>260</v>
      </c>
      <c r="W1140" s="169" t="s">
        <v>3147</v>
      </c>
      <c r="X1140" s="143" t="s">
        <v>3703</v>
      </c>
      <c r="Y1140" s="169" t="s">
        <v>3707</v>
      </c>
      <c r="Z1140" s="143" t="s">
        <v>3703</v>
      </c>
      <c r="AA1140" s="143">
        <v>40.7</v>
      </c>
      <c r="AB1140" s="191">
        <v>45899</v>
      </c>
    </row>
    <row r="1141" ht="15" spans="1:34">
      <c r="A1141" s="143">
        <v>1143</v>
      </c>
      <c r="B1141" s="144">
        <v>45897</v>
      </c>
      <c r="C1141" s="169" t="s">
        <v>3646</v>
      </c>
      <c r="D1141" s="143" t="s">
        <v>41</v>
      </c>
      <c r="E1141" s="145">
        <v>2</v>
      </c>
      <c r="F1141" s="169" t="s">
        <v>3708</v>
      </c>
      <c r="G1141" s="169" t="s">
        <v>3697</v>
      </c>
      <c r="H1141" s="143" t="s">
        <v>3709</v>
      </c>
      <c r="I1141" s="143" t="s">
        <v>3710</v>
      </c>
      <c r="J1141" s="143" t="s">
        <v>1588</v>
      </c>
      <c r="K1141" s="143">
        <v>180</v>
      </c>
      <c r="L1141" s="143">
        <v>280</v>
      </c>
      <c r="Q1141" s="169" t="s">
        <v>3711</v>
      </c>
      <c r="W1141" s="169" t="s">
        <v>3147</v>
      </c>
      <c r="X1141" s="169" t="s">
        <v>3708</v>
      </c>
      <c r="Y1141" s="169" t="s">
        <v>3712</v>
      </c>
      <c r="Z1141" s="169" t="s">
        <v>3708</v>
      </c>
      <c r="AA1141" s="143">
        <v>26.4</v>
      </c>
      <c r="AB1141" s="191">
        <v>45899</v>
      </c>
    </row>
    <row r="1142" spans="1:34">
      <c r="A1142" s="143">
        <v>1144</v>
      </c>
      <c r="B1142" s="144">
        <v>45897</v>
      </c>
      <c r="C1142" s="169" t="s">
        <v>3646</v>
      </c>
      <c r="D1142" s="143" t="s">
        <v>41</v>
      </c>
      <c r="E1142" s="145">
        <v>12</v>
      </c>
      <c r="F1142" s="143" t="s">
        <v>3713</v>
      </c>
      <c r="G1142" s="169" t="s">
        <v>3697</v>
      </c>
      <c r="H1142" s="143" t="s">
        <v>3714</v>
      </c>
      <c r="I1142" s="143" t="s">
        <v>3715</v>
      </c>
      <c r="J1142" s="143" t="s">
        <v>3716</v>
      </c>
      <c r="K1142" s="143">
        <v>160</v>
      </c>
      <c r="L1142" s="143">
        <v>300</v>
      </c>
      <c r="Q1142" s="143" t="s">
        <v>3717</v>
      </c>
      <c r="W1142" s="169" t="s">
        <v>3147</v>
      </c>
      <c r="X1142" s="143" t="s">
        <v>3713</v>
      </c>
      <c r="Y1142" s="169" t="s">
        <v>3718</v>
      </c>
      <c r="Z1142" s="143" t="s">
        <v>3713</v>
      </c>
      <c r="AA1142" s="143">
        <v>43.8</v>
      </c>
      <c r="AB1142" s="191">
        <v>45899</v>
      </c>
    </row>
    <row r="1143" spans="1:34">
      <c r="A1143" s="143">
        <v>1145</v>
      </c>
      <c r="B1143" s="144">
        <v>45897</v>
      </c>
      <c r="C1143" s="169" t="s">
        <v>3646</v>
      </c>
      <c r="D1143" s="143" t="s">
        <v>41</v>
      </c>
      <c r="E1143" s="194" t="s">
        <v>3719</v>
      </c>
      <c r="F1143" s="143" t="s">
        <v>3720</v>
      </c>
      <c r="G1143" s="169" t="s">
        <v>3697</v>
      </c>
      <c r="H1143" s="143" t="s">
        <v>3721</v>
      </c>
      <c r="I1143" s="143" t="s">
        <v>3390</v>
      </c>
      <c r="J1143" s="143" t="s">
        <v>3657</v>
      </c>
      <c r="K1143" s="143">
        <v>168</v>
      </c>
      <c r="L1143" s="143">
        <v>100</v>
      </c>
      <c r="Q1143" s="143" t="s">
        <v>3722</v>
      </c>
      <c r="W1143" s="169" t="s">
        <v>3147</v>
      </c>
      <c r="X1143" s="143" t="s">
        <v>3720</v>
      </c>
      <c r="Y1143" s="169" t="s">
        <v>3723</v>
      </c>
      <c r="Z1143" s="143" t="s">
        <v>3720</v>
      </c>
      <c r="AA1143" s="143">
        <v>23</v>
      </c>
      <c r="AB1143" s="191">
        <v>45899</v>
      </c>
    </row>
    <row r="1144" ht="16.5" spans="1:34">
      <c r="A1144" s="143">
        <v>1146</v>
      </c>
      <c r="B1144" s="144">
        <v>45897</v>
      </c>
      <c r="C1144" s="169" t="s">
        <v>3646</v>
      </c>
      <c r="D1144" s="143" t="s">
        <v>41</v>
      </c>
      <c r="E1144" s="145">
        <v>30</v>
      </c>
      <c r="F1144" s="143" t="s">
        <v>3724</v>
      </c>
      <c r="H1144" s="143" t="s">
        <v>3725</v>
      </c>
      <c r="I1144" s="143" t="s">
        <v>3726</v>
      </c>
      <c r="J1144" s="143" t="s">
        <v>3727</v>
      </c>
      <c r="K1144" s="143">
        <v>150</v>
      </c>
      <c r="L1144" s="143">
        <v>260</v>
      </c>
      <c r="W1144" s="169" t="s">
        <v>3147</v>
      </c>
      <c r="X1144" s="143" t="s">
        <v>3724</v>
      </c>
      <c r="Y1144" s="169" t="s">
        <v>3728</v>
      </c>
      <c r="Z1144" s="143" t="s">
        <v>3724</v>
      </c>
      <c r="AA1144" s="143">
        <v>10.8</v>
      </c>
      <c r="AB1144" s="191">
        <v>45903</v>
      </c>
    </row>
    <row r="1145" spans="1:34">
      <c r="A1145" s="143">
        <v>1147</v>
      </c>
      <c r="B1145" s="144">
        <v>45897</v>
      </c>
      <c r="C1145" s="169" t="s">
        <v>3646</v>
      </c>
      <c r="D1145" s="143" t="s">
        <v>41</v>
      </c>
      <c r="E1145" s="145" t="s">
        <v>3729</v>
      </c>
      <c r="F1145" s="143" t="s">
        <v>3730</v>
      </c>
      <c r="G1145" s="169" t="s">
        <v>3697</v>
      </c>
      <c r="H1145" s="143" t="s">
        <v>3731</v>
      </c>
      <c r="I1145" s="143" t="s">
        <v>45</v>
      </c>
      <c r="J1145" s="143" t="s">
        <v>46</v>
      </c>
      <c r="K1145" s="143">
        <v>110</v>
      </c>
      <c r="L1145" s="143">
        <v>260</v>
      </c>
      <c r="Q1145" s="143" t="s">
        <v>3732</v>
      </c>
      <c r="W1145" s="169" t="s">
        <v>3147</v>
      </c>
      <c r="X1145" s="143" t="s">
        <v>3733</v>
      </c>
      <c r="Y1145" s="169" t="s">
        <v>3607</v>
      </c>
      <c r="Z1145" s="143" t="s">
        <v>3733</v>
      </c>
      <c r="AA1145" s="143">
        <v>40.5</v>
      </c>
      <c r="AB1145" s="191">
        <v>45899</v>
      </c>
      <c r="AH1145" s="169" t="s">
        <v>3734</v>
      </c>
    </row>
    <row r="1146" spans="1:34">
      <c r="A1146" s="143">
        <v>1148</v>
      </c>
      <c r="B1146" s="144">
        <v>45897</v>
      </c>
      <c r="C1146" s="169" t="s">
        <v>3646</v>
      </c>
      <c r="D1146" s="143" t="s">
        <v>41</v>
      </c>
      <c r="F1146" s="143" t="s">
        <v>3735</v>
      </c>
      <c r="G1146" s="169" t="s">
        <v>3697</v>
      </c>
      <c r="H1146" s="143" t="s">
        <v>3736</v>
      </c>
      <c r="I1146" s="169" t="s">
        <v>3737</v>
      </c>
      <c r="J1146" s="143" t="s">
        <v>127</v>
      </c>
      <c r="K1146" s="143">
        <v>120</v>
      </c>
      <c r="L1146" s="143">
        <v>300</v>
      </c>
      <c r="Q1146" s="143" t="s">
        <v>3738</v>
      </c>
      <c r="W1146" s="169" t="s">
        <v>3147</v>
      </c>
      <c r="X1146" s="143" t="s">
        <v>3735</v>
      </c>
      <c r="Y1146" s="169" t="s">
        <v>3739</v>
      </c>
      <c r="Z1146" s="143" t="s">
        <v>3735</v>
      </c>
      <c r="AA1146" s="143">
        <v>55.2</v>
      </c>
      <c r="AB1146" s="191">
        <v>45899</v>
      </c>
    </row>
    <row r="1147" spans="1:34">
      <c r="A1147" s="143">
        <v>1149</v>
      </c>
      <c r="B1147" s="144">
        <v>45897</v>
      </c>
      <c r="C1147" s="169" t="s">
        <v>3646</v>
      </c>
      <c r="D1147" s="143" t="s">
        <v>41</v>
      </c>
      <c r="E1147" s="145">
        <v>23</v>
      </c>
      <c r="F1147" s="143" t="s">
        <v>3740</v>
      </c>
      <c r="H1147" s="143" t="s">
        <v>3741</v>
      </c>
      <c r="I1147" s="143" t="s">
        <v>3742</v>
      </c>
      <c r="J1147" s="143" t="s">
        <v>3657</v>
      </c>
      <c r="K1147" s="143">
        <v>150</v>
      </c>
      <c r="L1147" s="143">
        <v>220</v>
      </c>
      <c r="W1147" s="169" t="s">
        <v>3147</v>
      </c>
      <c r="X1147" s="143" t="s">
        <v>3740</v>
      </c>
      <c r="Y1147" s="169" t="s">
        <v>3743</v>
      </c>
      <c r="Z1147" s="143" t="s">
        <v>3740</v>
      </c>
      <c r="AA1147" s="143">
        <v>12.6</v>
      </c>
      <c r="AB1147" s="191">
        <v>45899</v>
      </c>
    </row>
    <row r="1148" spans="1:34">
      <c r="A1148" s="143">
        <v>1150</v>
      </c>
      <c r="B1148" s="144">
        <v>45897</v>
      </c>
      <c r="C1148" s="169" t="s">
        <v>3646</v>
      </c>
      <c r="D1148" s="143" t="s">
        <v>41</v>
      </c>
      <c r="F1148" s="143" t="s">
        <v>3744</v>
      </c>
      <c r="H1148" s="143" t="s">
        <v>3745</v>
      </c>
      <c r="I1148" s="143" t="s">
        <v>3390</v>
      </c>
      <c r="J1148" s="143" t="s">
        <v>3657</v>
      </c>
      <c r="K1148" s="143">
        <v>150</v>
      </c>
      <c r="L1148" s="143">
        <v>220</v>
      </c>
      <c r="W1148" s="169" t="s">
        <v>3147</v>
      </c>
      <c r="X1148" s="143" t="s">
        <v>3744</v>
      </c>
      <c r="Y1148" s="169" t="s">
        <v>3746</v>
      </c>
      <c r="Z1148" s="143" t="s">
        <v>3744</v>
      </c>
      <c r="AA1148" s="143">
        <v>12.8</v>
      </c>
      <c r="AB1148" s="191">
        <v>45899</v>
      </c>
    </row>
    <row r="1149" spans="1:34">
      <c r="A1149" s="143">
        <v>1151</v>
      </c>
      <c r="B1149" s="144">
        <v>45897</v>
      </c>
      <c r="C1149" s="169" t="s">
        <v>3646</v>
      </c>
      <c r="D1149" s="143" t="s">
        <v>41</v>
      </c>
      <c r="E1149" s="145">
        <v>9</v>
      </c>
      <c r="F1149" s="143" t="s">
        <v>3747</v>
      </c>
      <c r="H1149" s="143" t="s">
        <v>3748</v>
      </c>
      <c r="I1149" s="143" t="s">
        <v>3737</v>
      </c>
      <c r="J1149" s="143" t="s">
        <v>127</v>
      </c>
      <c r="K1149" s="143">
        <v>130</v>
      </c>
      <c r="L1149" s="143">
        <v>300</v>
      </c>
      <c r="Q1149" s="143" t="s">
        <v>3701</v>
      </c>
      <c r="W1149" s="169" t="s">
        <v>3147</v>
      </c>
      <c r="X1149" s="143" t="s">
        <v>3747</v>
      </c>
      <c r="Y1149" s="169" t="s">
        <v>3749</v>
      </c>
      <c r="Z1149" s="143" t="s">
        <v>3747</v>
      </c>
      <c r="AA1149" s="143">
        <v>50</v>
      </c>
      <c r="AB1149" s="191">
        <v>45899</v>
      </c>
    </row>
    <row r="1150" spans="1:34">
      <c r="A1150" s="143">
        <v>1152</v>
      </c>
      <c r="B1150" s="144">
        <v>45897</v>
      </c>
      <c r="C1150" s="169" t="s">
        <v>3646</v>
      </c>
      <c r="D1150" s="143" t="s">
        <v>41</v>
      </c>
      <c r="F1150" s="143" t="s">
        <v>3750</v>
      </c>
      <c r="G1150" s="169" t="s">
        <v>3697</v>
      </c>
      <c r="H1150" s="143" t="s">
        <v>3751</v>
      </c>
      <c r="I1150" s="143" t="s">
        <v>3752</v>
      </c>
      <c r="J1150" s="143" t="s">
        <v>224</v>
      </c>
      <c r="K1150" s="143">
        <v>110</v>
      </c>
      <c r="L1150" s="143">
        <v>250</v>
      </c>
      <c r="Q1150" s="143" t="s">
        <v>3753</v>
      </c>
      <c r="W1150" s="169" t="s">
        <v>3147</v>
      </c>
      <c r="X1150" s="143" t="s">
        <v>3750</v>
      </c>
      <c r="Y1150" s="169" t="s">
        <v>3749</v>
      </c>
      <c r="Z1150" s="143" t="s">
        <v>3750</v>
      </c>
      <c r="AA1150" s="143">
        <v>51.5</v>
      </c>
      <c r="AB1150" s="191">
        <v>45899</v>
      </c>
    </row>
    <row r="1151" spans="1:34">
      <c r="A1151" s="143">
        <v>1153</v>
      </c>
      <c r="B1151" s="144">
        <v>45897</v>
      </c>
      <c r="C1151" s="169" t="s">
        <v>3646</v>
      </c>
      <c r="D1151" s="143" t="s">
        <v>41</v>
      </c>
      <c r="E1151" s="145">
        <v>19</v>
      </c>
      <c r="F1151" s="143" t="s">
        <v>3754</v>
      </c>
      <c r="H1151" s="143" t="s">
        <v>2365</v>
      </c>
      <c r="I1151" s="176" t="s">
        <v>2361</v>
      </c>
      <c r="J1151" s="143" t="s">
        <v>3755</v>
      </c>
      <c r="K1151" s="143">
        <v>138</v>
      </c>
      <c r="L1151" s="143">
        <v>195</v>
      </c>
      <c r="W1151" s="169" t="s">
        <v>2364</v>
      </c>
      <c r="X1151" s="143" t="s">
        <v>3754</v>
      </c>
      <c r="Y1151" s="143" t="s">
        <v>2364</v>
      </c>
      <c r="Z1151" s="143" t="s">
        <v>3754</v>
      </c>
      <c r="AA1151" s="143">
        <v>9.2</v>
      </c>
      <c r="AB1151" s="191">
        <v>45899</v>
      </c>
    </row>
    <row r="1152" spans="1:34">
      <c r="A1152" s="143">
        <v>1154</v>
      </c>
      <c r="B1152" s="144">
        <v>45897</v>
      </c>
      <c r="C1152" s="169" t="s">
        <v>3646</v>
      </c>
      <c r="D1152" s="143" t="s">
        <v>41</v>
      </c>
      <c r="F1152" s="143">
        <v>317</v>
      </c>
      <c r="H1152" s="143" t="s">
        <v>3756</v>
      </c>
      <c r="I1152" s="143" t="s">
        <v>3757</v>
      </c>
      <c r="J1152" s="143" t="s">
        <v>3758</v>
      </c>
      <c r="K1152" s="143">
        <v>140</v>
      </c>
      <c r="L1152" s="143">
        <v>145</v>
      </c>
      <c r="Q1152" s="169" t="s">
        <v>3759</v>
      </c>
      <c r="W1152" s="169" t="s">
        <v>3147</v>
      </c>
      <c r="X1152" s="143">
        <v>317</v>
      </c>
      <c r="Y1152" s="169" t="s">
        <v>3760</v>
      </c>
      <c r="Z1152" s="143">
        <v>317</v>
      </c>
      <c r="AA1152" s="143">
        <v>14.8</v>
      </c>
      <c r="AB1152" s="191">
        <v>45899</v>
      </c>
    </row>
    <row r="1153" spans="1:34">
      <c r="A1153" s="143">
        <v>1155</v>
      </c>
      <c r="B1153" s="144">
        <v>45897</v>
      </c>
      <c r="C1153" s="169" t="s">
        <v>3646</v>
      </c>
      <c r="D1153" s="143" t="s">
        <v>41</v>
      </c>
      <c r="E1153" s="145">
        <v>17</v>
      </c>
      <c r="F1153" s="169" t="s">
        <v>3761</v>
      </c>
      <c r="G1153" s="169" t="s">
        <v>3697</v>
      </c>
      <c r="H1153" s="143" t="s">
        <v>3762</v>
      </c>
      <c r="I1153" s="143" t="s">
        <v>3737</v>
      </c>
      <c r="J1153" s="143" t="s">
        <v>2691</v>
      </c>
      <c r="K1153" s="143">
        <v>175</v>
      </c>
      <c r="L1153" s="143">
        <v>160</v>
      </c>
      <c r="Q1153" s="143" t="s">
        <v>3763</v>
      </c>
      <c r="W1153" s="169" t="s">
        <v>3147</v>
      </c>
      <c r="X1153" s="169" t="s">
        <v>3761</v>
      </c>
      <c r="Y1153" s="169" t="s">
        <v>3764</v>
      </c>
      <c r="Z1153" s="169" t="s">
        <v>3761</v>
      </c>
      <c r="AA1153" s="143">
        <v>63.5</v>
      </c>
      <c r="AB1153" s="191">
        <v>45899</v>
      </c>
    </row>
    <row r="1154" spans="1:34">
      <c r="A1154" s="143">
        <v>1156</v>
      </c>
      <c r="B1154" s="144">
        <v>45897</v>
      </c>
      <c r="C1154" s="169" t="s">
        <v>3646</v>
      </c>
      <c r="D1154" s="143" t="s">
        <v>41</v>
      </c>
      <c r="F1154" s="143" t="s">
        <v>3765</v>
      </c>
      <c r="G1154" s="169" t="s">
        <v>3697</v>
      </c>
      <c r="H1154" s="143" t="s">
        <v>3766</v>
      </c>
      <c r="I1154" s="143" t="s">
        <v>45</v>
      </c>
      <c r="J1154" s="143" t="s">
        <v>46</v>
      </c>
      <c r="K1154" s="143">
        <v>175</v>
      </c>
      <c r="L1154" s="143">
        <v>180</v>
      </c>
      <c r="Q1154" s="143" t="s">
        <v>3767</v>
      </c>
      <c r="W1154" s="169" t="s">
        <v>3147</v>
      </c>
      <c r="X1154" s="143" t="s">
        <v>3765</v>
      </c>
      <c r="Y1154" s="169" t="s">
        <v>3768</v>
      </c>
      <c r="Z1154" s="143" t="s">
        <v>3765</v>
      </c>
      <c r="AA1154" s="143">
        <v>55.8</v>
      </c>
      <c r="AB1154" s="191">
        <v>45899</v>
      </c>
    </row>
    <row r="1155" spans="1:34">
      <c r="A1155" s="143">
        <v>1157</v>
      </c>
      <c r="B1155" s="144">
        <v>45897</v>
      </c>
      <c r="C1155" s="169" t="s">
        <v>3646</v>
      </c>
      <c r="D1155" s="143" t="s">
        <v>41</v>
      </c>
      <c r="E1155" s="145">
        <v>15</v>
      </c>
      <c r="F1155" s="143" t="s">
        <v>3769</v>
      </c>
      <c r="G1155" s="169" t="s">
        <v>3697</v>
      </c>
      <c r="H1155" s="143" t="s">
        <v>3770</v>
      </c>
      <c r="I1155" s="143" t="s">
        <v>3737</v>
      </c>
      <c r="J1155" s="143" t="s">
        <v>2691</v>
      </c>
      <c r="K1155" s="143">
        <v>170</v>
      </c>
      <c r="L1155" s="143">
        <v>250</v>
      </c>
      <c r="Q1155" s="143" t="s">
        <v>3771</v>
      </c>
      <c r="W1155" s="169" t="s">
        <v>3147</v>
      </c>
      <c r="X1155" s="143" t="s">
        <v>3769</v>
      </c>
      <c r="Y1155" s="169" t="s">
        <v>3772</v>
      </c>
      <c r="Z1155" s="143" t="s">
        <v>3769</v>
      </c>
      <c r="AA1155" s="143">
        <v>54.8</v>
      </c>
      <c r="AB1155" s="191">
        <v>45899</v>
      </c>
    </row>
    <row r="1156" spans="1:34">
      <c r="A1156" s="143">
        <v>1158</v>
      </c>
      <c r="B1156" s="144">
        <v>45897</v>
      </c>
      <c r="C1156" s="169" t="s">
        <v>3646</v>
      </c>
      <c r="D1156" s="143" t="s">
        <v>41</v>
      </c>
      <c r="F1156" s="143" t="s">
        <v>3773</v>
      </c>
      <c r="G1156" s="169" t="s">
        <v>3697</v>
      </c>
      <c r="H1156" s="143" t="s">
        <v>3774</v>
      </c>
      <c r="I1156" s="143" t="s">
        <v>3775</v>
      </c>
      <c r="J1156" s="143" t="s">
        <v>2691</v>
      </c>
      <c r="K1156" s="143">
        <v>175</v>
      </c>
      <c r="L1156" s="143">
        <v>230</v>
      </c>
      <c r="W1156" s="169" t="s">
        <v>3147</v>
      </c>
      <c r="X1156" s="143" t="s">
        <v>3773</v>
      </c>
      <c r="Y1156" s="169" t="s">
        <v>3776</v>
      </c>
      <c r="Z1156" s="143" t="s">
        <v>3773</v>
      </c>
      <c r="AA1156" s="143">
        <v>50.5</v>
      </c>
      <c r="AB1156" s="191">
        <v>45899</v>
      </c>
    </row>
    <row r="1157" spans="1:34">
      <c r="A1157" s="143">
        <v>1159</v>
      </c>
      <c r="B1157" s="144">
        <v>45897</v>
      </c>
      <c r="C1157" s="169" t="s">
        <v>3646</v>
      </c>
      <c r="D1157" s="143" t="s">
        <v>41</v>
      </c>
      <c r="F1157" s="143" t="s">
        <v>3777</v>
      </c>
      <c r="G1157" s="169" t="s">
        <v>3697</v>
      </c>
      <c r="H1157" s="143" t="s">
        <v>3778</v>
      </c>
      <c r="I1157" s="143" t="s">
        <v>3775</v>
      </c>
      <c r="J1157" s="143" t="s">
        <v>2691</v>
      </c>
      <c r="K1157" s="143">
        <v>175</v>
      </c>
      <c r="L1157" s="143">
        <v>240</v>
      </c>
      <c r="Q1157" s="143" t="s">
        <v>3771</v>
      </c>
      <c r="W1157" s="169" t="s">
        <v>3147</v>
      </c>
      <c r="X1157" s="143" t="s">
        <v>3777</v>
      </c>
      <c r="Y1157" s="169" t="s">
        <v>3764</v>
      </c>
      <c r="Z1157" s="143" t="s">
        <v>3777</v>
      </c>
      <c r="AA1157" s="143">
        <v>51.5</v>
      </c>
      <c r="AB1157" s="191">
        <v>45899</v>
      </c>
    </row>
    <row r="1158" spans="1:34">
      <c r="A1158" s="143">
        <v>1160</v>
      </c>
      <c r="B1158" s="144">
        <v>45897</v>
      </c>
      <c r="C1158" s="169" t="s">
        <v>3646</v>
      </c>
      <c r="D1158" s="143" t="s">
        <v>41</v>
      </c>
      <c r="E1158" s="145">
        <v>25</v>
      </c>
      <c r="F1158" s="143" t="s">
        <v>3779</v>
      </c>
      <c r="G1158" s="169"/>
      <c r="H1158" s="143" t="s">
        <v>3780</v>
      </c>
      <c r="I1158" s="143" t="s">
        <v>3781</v>
      </c>
      <c r="J1158" s="143" t="s">
        <v>3782</v>
      </c>
      <c r="K1158" s="143">
        <v>145</v>
      </c>
      <c r="L1158" s="143">
        <v>220</v>
      </c>
      <c r="W1158" s="169" t="s">
        <v>3147</v>
      </c>
      <c r="X1158" s="143" t="s">
        <v>3779</v>
      </c>
      <c r="Y1158" s="169" t="s">
        <v>3783</v>
      </c>
      <c r="Z1158" s="143" t="s">
        <v>3779</v>
      </c>
      <c r="AA1158" s="143">
        <v>18.2</v>
      </c>
      <c r="AB1158" s="191">
        <v>45899</v>
      </c>
    </row>
    <row r="1159" spans="1:34">
      <c r="A1159" s="143">
        <v>1161</v>
      </c>
      <c r="B1159" s="144">
        <v>45897</v>
      </c>
      <c r="C1159" s="169" t="s">
        <v>3646</v>
      </c>
      <c r="D1159" s="143" t="s">
        <v>41</v>
      </c>
      <c r="F1159" s="143" t="s">
        <v>3784</v>
      </c>
      <c r="H1159" s="143" t="s">
        <v>3785</v>
      </c>
      <c r="I1159" s="143" t="s">
        <v>3786</v>
      </c>
      <c r="J1159" s="143" t="s">
        <v>3787</v>
      </c>
      <c r="K1159" s="143">
        <v>145</v>
      </c>
      <c r="L1159" s="143">
        <v>205</v>
      </c>
      <c r="W1159" s="169" t="s">
        <v>3147</v>
      </c>
      <c r="X1159" s="143" t="s">
        <v>3784</v>
      </c>
      <c r="Y1159" s="169" t="s">
        <v>3788</v>
      </c>
      <c r="Z1159" s="143" t="s">
        <v>3784</v>
      </c>
      <c r="AA1159" s="143">
        <v>19.3</v>
      </c>
      <c r="AB1159" s="191">
        <v>45899</v>
      </c>
      <c r="AH1159" s="169" t="s">
        <v>3789</v>
      </c>
    </row>
    <row r="1160" spans="1:34">
      <c r="A1160" s="143">
        <v>1162</v>
      </c>
      <c r="B1160" s="144">
        <v>45897</v>
      </c>
      <c r="C1160" s="169" t="s">
        <v>3646</v>
      </c>
      <c r="D1160" s="143" t="s">
        <v>41</v>
      </c>
      <c r="E1160" s="145">
        <v>16</v>
      </c>
      <c r="F1160" s="143" t="s">
        <v>3790</v>
      </c>
      <c r="G1160" s="169" t="s">
        <v>3697</v>
      </c>
      <c r="H1160" s="143" t="s">
        <v>3791</v>
      </c>
      <c r="I1160" s="143" t="s">
        <v>45</v>
      </c>
      <c r="J1160" s="143" t="s">
        <v>46</v>
      </c>
      <c r="K1160" s="143">
        <v>180</v>
      </c>
      <c r="L1160" s="143">
        <v>230</v>
      </c>
      <c r="Q1160" s="143" t="s">
        <v>3792</v>
      </c>
      <c r="W1160" s="169" t="s">
        <v>3147</v>
      </c>
      <c r="X1160" s="143" t="s">
        <v>3790</v>
      </c>
      <c r="Y1160" s="169" t="s">
        <v>3772</v>
      </c>
      <c r="Z1160" s="143" t="s">
        <v>3790</v>
      </c>
      <c r="AA1160" s="143">
        <v>55.8</v>
      </c>
      <c r="AB1160" s="191">
        <v>45899</v>
      </c>
    </row>
    <row r="1161" spans="1:34">
      <c r="A1161" s="143">
        <v>1163</v>
      </c>
      <c r="B1161" s="144">
        <v>45897</v>
      </c>
      <c r="C1161" s="169" t="s">
        <v>3646</v>
      </c>
      <c r="D1161" s="143" t="s">
        <v>41</v>
      </c>
      <c r="E1161" s="145">
        <v>5</v>
      </c>
      <c r="F1161" s="169" t="s">
        <v>3793</v>
      </c>
      <c r="G1161" s="169" t="s">
        <v>3697</v>
      </c>
      <c r="H1161" s="143" t="s">
        <v>3794</v>
      </c>
      <c r="I1161" s="143" t="s">
        <v>3418</v>
      </c>
      <c r="J1161" s="143" t="s">
        <v>1588</v>
      </c>
      <c r="K1161" s="143">
        <v>175</v>
      </c>
      <c r="L1161" s="143">
        <v>220</v>
      </c>
      <c r="Q1161" s="143" t="s">
        <v>3701</v>
      </c>
      <c r="W1161" s="169" t="s">
        <v>3147</v>
      </c>
      <c r="X1161" s="169" t="s">
        <v>3793</v>
      </c>
      <c r="Y1161" s="143" t="s">
        <v>3795</v>
      </c>
      <c r="Z1161" s="169" t="s">
        <v>3793</v>
      </c>
      <c r="AA1161" s="143">
        <v>28.8</v>
      </c>
      <c r="AB1161" s="191">
        <v>45899</v>
      </c>
    </row>
    <row r="1162" spans="1:34">
      <c r="A1162" s="143">
        <v>1164</v>
      </c>
      <c r="B1162" s="144">
        <v>45897</v>
      </c>
      <c r="C1162" s="169" t="s">
        <v>3646</v>
      </c>
      <c r="D1162" s="143" t="s">
        <v>41</v>
      </c>
      <c r="F1162" s="143" t="s">
        <v>3796</v>
      </c>
      <c r="G1162" s="169" t="s">
        <v>3697</v>
      </c>
      <c r="H1162" s="143" t="s">
        <v>3797</v>
      </c>
      <c r="I1162" s="143" t="s">
        <v>3798</v>
      </c>
      <c r="J1162" s="143" t="s">
        <v>3799</v>
      </c>
      <c r="K1162" s="143">
        <v>175</v>
      </c>
      <c r="L1162" s="143">
        <v>260</v>
      </c>
      <c r="Q1162" s="143" t="s">
        <v>3800</v>
      </c>
      <c r="W1162" s="169" t="s">
        <v>3147</v>
      </c>
      <c r="X1162" s="143" t="s">
        <v>3796</v>
      </c>
      <c r="Y1162" s="169" t="s">
        <v>3801</v>
      </c>
      <c r="Z1162" s="143" t="s">
        <v>3796</v>
      </c>
      <c r="AA1162" s="143">
        <v>46.2</v>
      </c>
      <c r="AB1162" s="191">
        <v>45899</v>
      </c>
      <c r="AH1162" s="169" t="s">
        <v>3802</v>
      </c>
    </row>
    <row r="1163" spans="1:34">
      <c r="A1163" s="143">
        <v>1165</v>
      </c>
      <c r="B1163" s="144">
        <v>45897</v>
      </c>
      <c r="C1163" s="169" t="s">
        <v>3646</v>
      </c>
      <c r="D1163" s="143" t="s">
        <v>41</v>
      </c>
      <c r="E1163" s="145">
        <v>22</v>
      </c>
      <c r="F1163" s="143" t="s">
        <v>3803</v>
      </c>
      <c r="G1163" s="169"/>
      <c r="H1163" s="143" t="s">
        <v>2402</v>
      </c>
      <c r="I1163" s="143" t="s">
        <v>2397</v>
      </c>
      <c r="J1163" s="143" t="s">
        <v>3804</v>
      </c>
      <c r="K1163" s="143">
        <v>150</v>
      </c>
      <c r="L1163" s="143">
        <v>165</v>
      </c>
      <c r="W1163" s="169" t="s">
        <v>3147</v>
      </c>
      <c r="X1163" s="143" t="s">
        <v>3803</v>
      </c>
      <c r="Y1163" s="169" t="s">
        <v>3743</v>
      </c>
      <c r="Z1163" s="143" t="s">
        <v>3803</v>
      </c>
      <c r="AA1163" s="143">
        <v>9.8</v>
      </c>
      <c r="AB1163" s="191">
        <v>45899</v>
      </c>
    </row>
    <row r="1164" spans="1:34">
      <c r="A1164" s="143">
        <v>1166</v>
      </c>
      <c r="B1164" s="144">
        <v>45897</v>
      </c>
      <c r="C1164" s="169" t="s">
        <v>3646</v>
      </c>
      <c r="D1164" s="143" t="s">
        <v>41</v>
      </c>
      <c r="F1164" s="143" t="s">
        <v>3805</v>
      </c>
      <c r="H1164" s="143" t="s">
        <v>3806</v>
      </c>
      <c r="I1164" s="143" t="s">
        <v>3807</v>
      </c>
      <c r="J1164" s="143" t="s">
        <v>1395</v>
      </c>
      <c r="K1164" s="143">
        <v>150</v>
      </c>
      <c r="L1164" s="143">
        <v>155</v>
      </c>
      <c r="W1164" s="169" t="s">
        <v>3147</v>
      </c>
      <c r="X1164" s="143" t="s">
        <v>3808</v>
      </c>
      <c r="Y1164" s="143" t="s">
        <v>3809</v>
      </c>
      <c r="Z1164" s="143" t="s">
        <v>3808</v>
      </c>
      <c r="AA1164" s="143">
        <v>7.8</v>
      </c>
      <c r="AB1164" s="191">
        <v>45899</v>
      </c>
    </row>
    <row r="1165" spans="1:34">
      <c r="A1165" s="143">
        <v>1167</v>
      </c>
      <c r="B1165" s="144">
        <v>45897</v>
      </c>
      <c r="C1165" s="169" t="s">
        <v>3646</v>
      </c>
      <c r="D1165" s="143" t="s">
        <v>41</v>
      </c>
      <c r="E1165" s="145">
        <v>1</v>
      </c>
      <c r="F1165" s="169" t="s">
        <v>3810</v>
      </c>
      <c r="G1165" s="169" t="s">
        <v>3697</v>
      </c>
      <c r="H1165" s="143" t="s">
        <v>3811</v>
      </c>
      <c r="I1165" s="176" t="s">
        <v>3812</v>
      </c>
      <c r="J1165" s="143" t="s">
        <v>320</v>
      </c>
      <c r="K1165" s="143">
        <v>172</v>
      </c>
      <c r="L1165" s="143">
        <v>210</v>
      </c>
      <c r="Q1165" s="143" t="s">
        <v>3813</v>
      </c>
      <c r="W1165" s="169" t="s">
        <v>3147</v>
      </c>
      <c r="X1165" s="143" t="s">
        <v>3814</v>
      </c>
      <c r="Y1165" s="169" t="s">
        <v>3815</v>
      </c>
      <c r="Z1165" s="169" t="s">
        <v>3816</v>
      </c>
      <c r="AA1165" s="143">
        <v>19.8</v>
      </c>
      <c r="AB1165" s="191">
        <v>45899</v>
      </c>
    </row>
    <row r="1166" spans="1:34">
      <c r="A1166" s="143">
        <v>1168</v>
      </c>
      <c r="B1166" s="144">
        <v>45897</v>
      </c>
      <c r="C1166" s="169" t="s">
        <v>3646</v>
      </c>
      <c r="D1166" s="143" t="s">
        <v>41</v>
      </c>
      <c r="F1166" s="169" t="s">
        <v>3817</v>
      </c>
      <c r="G1166" s="169" t="s">
        <v>3697</v>
      </c>
      <c r="H1166" s="143" t="s">
        <v>3818</v>
      </c>
      <c r="I1166" s="176" t="s">
        <v>3812</v>
      </c>
      <c r="J1166" s="143" t="s">
        <v>320</v>
      </c>
      <c r="K1166" s="143">
        <v>172</v>
      </c>
      <c r="L1166" s="143">
        <v>230</v>
      </c>
      <c r="Q1166" s="143" t="s">
        <v>3701</v>
      </c>
      <c r="W1166" s="169" t="s">
        <v>3147</v>
      </c>
      <c r="X1166" s="143" t="s">
        <v>3819</v>
      </c>
      <c r="Y1166" s="169" t="s">
        <v>3815</v>
      </c>
      <c r="Z1166" s="169" t="s">
        <v>3820</v>
      </c>
      <c r="AA1166" s="143">
        <v>21.2</v>
      </c>
      <c r="AB1166" s="191">
        <v>45899</v>
      </c>
    </row>
    <row r="1167" spans="1:34">
      <c r="A1167" s="143">
        <v>1169</v>
      </c>
      <c r="B1167" s="144">
        <v>45897</v>
      </c>
      <c r="C1167" s="169" t="s">
        <v>3646</v>
      </c>
      <c r="D1167" s="143" t="s">
        <v>41</v>
      </c>
      <c r="F1167" s="169" t="s">
        <v>3821</v>
      </c>
      <c r="G1167" s="169" t="s">
        <v>3697</v>
      </c>
      <c r="H1167" s="143" t="s">
        <v>3822</v>
      </c>
      <c r="I1167" s="176" t="s">
        <v>3812</v>
      </c>
      <c r="J1167" s="143" t="s">
        <v>320</v>
      </c>
      <c r="K1167" s="143">
        <v>172</v>
      </c>
      <c r="L1167" s="143">
        <v>210</v>
      </c>
      <c r="Q1167" s="143" t="s">
        <v>3823</v>
      </c>
      <c r="W1167" s="169" t="s">
        <v>3147</v>
      </c>
      <c r="X1167" s="169" t="s">
        <v>3821</v>
      </c>
      <c r="Y1167" s="169" t="s">
        <v>3824</v>
      </c>
      <c r="Z1167" s="169" t="s">
        <v>3821</v>
      </c>
      <c r="AA1167" s="143">
        <v>19</v>
      </c>
      <c r="AB1167" s="191">
        <v>45899</v>
      </c>
      <c r="AH1167" s="143" t="s">
        <v>3825</v>
      </c>
    </row>
    <row r="1168" spans="1:34">
      <c r="A1168" s="143">
        <v>1170</v>
      </c>
      <c r="B1168" s="144">
        <v>45897</v>
      </c>
      <c r="C1168" s="169" t="s">
        <v>3646</v>
      </c>
      <c r="D1168" s="143" t="s">
        <v>41</v>
      </c>
      <c r="E1168" s="195" t="s">
        <v>3826</v>
      </c>
      <c r="F1168" s="143" t="s">
        <v>3827</v>
      </c>
      <c r="G1168" s="169" t="s">
        <v>3697</v>
      </c>
      <c r="H1168" s="143" t="s">
        <v>3828</v>
      </c>
      <c r="I1168" s="143" t="s">
        <v>45</v>
      </c>
      <c r="J1168" s="143" t="s">
        <v>46</v>
      </c>
      <c r="K1168" s="143">
        <v>190</v>
      </c>
      <c r="L1168" s="143">
        <v>180</v>
      </c>
      <c r="Q1168" s="143" t="s">
        <v>3829</v>
      </c>
      <c r="W1168" s="169" t="s">
        <v>3147</v>
      </c>
      <c r="X1168" s="143" t="s">
        <v>3827</v>
      </c>
      <c r="Y1168" s="169" t="s">
        <v>3607</v>
      </c>
      <c r="Z1168" s="143" t="s">
        <v>3827</v>
      </c>
      <c r="AA1168" s="143">
        <v>40.5</v>
      </c>
      <c r="AB1168" s="191">
        <v>45899</v>
      </c>
    </row>
    <row r="1169" spans="1:34">
      <c r="A1169" s="143">
        <v>1171</v>
      </c>
      <c r="B1169" s="144">
        <v>45897</v>
      </c>
      <c r="C1169" s="169" t="s">
        <v>3646</v>
      </c>
      <c r="D1169" s="143" t="s">
        <v>41</v>
      </c>
      <c r="F1169" s="143" t="s">
        <v>3830</v>
      </c>
      <c r="G1169" s="169" t="s">
        <v>3697</v>
      </c>
      <c r="H1169" s="143" t="s">
        <v>3831</v>
      </c>
      <c r="I1169" s="143" t="s">
        <v>45</v>
      </c>
      <c r="J1169" s="143" t="s">
        <v>46</v>
      </c>
      <c r="K1169" s="143">
        <v>190</v>
      </c>
      <c r="L1169" s="143">
        <v>160</v>
      </c>
      <c r="Q1169" s="143" t="s">
        <v>3832</v>
      </c>
      <c r="W1169" s="169" t="s">
        <v>3147</v>
      </c>
      <c r="X1169" s="143" t="s">
        <v>3830</v>
      </c>
      <c r="Y1169" s="169" t="s">
        <v>3607</v>
      </c>
      <c r="Z1169" s="143" t="s">
        <v>3830</v>
      </c>
      <c r="AA1169" s="143">
        <v>45.8</v>
      </c>
      <c r="AB1169" s="191">
        <v>45899</v>
      </c>
    </row>
    <row r="1170" spans="1:34">
      <c r="A1170" s="143">
        <v>1172</v>
      </c>
      <c r="B1170" s="144">
        <v>45897</v>
      </c>
      <c r="C1170" s="169" t="s">
        <v>3646</v>
      </c>
      <c r="D1170" s="143" t="s">
        <v>41</v>
      </c>
      <c r="F1170" s="143" t="s">
        <v>3833</v>
      </c>
      <c r="G1170" s="169" t="s">
        <v>3697</v>
      </c>
      <c r="H1170" s="143" t="s">
        <v>3834</v>
      </c>
      <c r="I1170" s="143" t="s">
        <v>45</v>
      </c>
      <c r="J1170" s="143" t="s">
        <v>46</v>
      </c>
      <c r="K1170" s="143">
        <v>185</v>
      </c>
      <c r="L1170" s="143">
        <v>180</v>
      </c>
      <c r="Q1170" s="143" t="s">
        <v>3767</v>
      </c>
      <c r="W1170" s="169" t="s">
        <v>3147</v>
      </c>
      <c r="X1170" s="143" t="s">
        <v>3833</v>
      </c>
      <c r="Y1170" s="169" t="s">
        <v>3835</v>
      </c>
      <c r="Z1170" s="143" t="s">
        <v>3833</v>
      </c>
      <c r="AA1170" s="143">
        <v>39.6</v>
      </c>
      <c r="AB1170" s="191">
        <v>45899</v>
      </c>
      <c r="AH1170" s="143" t="s">
        <v>3836</v>
      </c>
    </row>
    <row r="1171" spans="1:34">
      <c r="A1171" s="143">
        <v>1173</v>
      </c>
      <c r="B1171" s="144">
        <v>45903</v>
      </c>
      <c r="C1171" s="169" t="s">
        <v>3277</v>
      </c>
      <c r="D1171" s="143" t="s">
        <v>41</v>
      </c>
      <c r="E1171" s="145" t="s">
        <v>3837</v>
      </c>
      <c r="F1171" s="143" t="s">
        <v>3838</v>
      </c>
      <c r="G1171" s="169" t="s">
        <v>3697</v>
      </c>
      <c r="H1171" s="143" t="s">
        <v>3839</v>
      </c>
      <c r="I1171" s="143" t="s">
        <v>3737</v>
      </c>
      <c r="J1171" s="143" t="s">
        <v>127</v>
      </c>
      <c r="K1171" s="143">
        <v>175</v>
      </c>
      <c r="L1171" s="143">
        <v>180</v>
      </c>
      <c r="W1171" s="143" t="s">
        <v>3147</v>
      </c>
      <c r="X1171" s="143" t="s">
        <v>3838</v>
      </c>
      <c r="Y1171" s="169" t="s">
        <v>3840</v>
      </c>
      <c r="Z1171" s="143" t="s">
        <v>3838</v>
      </c>
      <c r="AA1171" s="143">
        <v>53.7</v>
      </c>
      <c r="AB1171" s="191">
        <v>45903</v>
      </c>
    </row>
    <row r="1172" spans="1:34">
      <c r="A1172" s="143">
        <v>1174</v>
      </c>
      <c r="B1172" s="144">
        <v>45903</v>
      </c>
      <c r="C1172" s="169" t="s">
        <v>3277</v>
      </c>
      <c r="D1172" s="143" t="s">
        <v>41</v>
      </c>
      <c r="E1172" s="145" t="s">
        <v>3837</v>
      </c>
      <c r="F1172" s="143" t="s">
        <v>3841</v>
      </c>
      <c r="G1172" s="169" t="s">
        <v>3697</v>
      </c>
      <c r="H1172" s="143" t="s">
        <v>3842</v>
      </c>
      <c r="I1172" s="143" t="s">
        <v>3737</v>
      </c>
      <c r="J1172" s="143" t="s">
        <v>127</v>
      </c>
      <c r="K1172" s="143">
        <v>175</v>
      </c>
      <c r="L1172" s="143">
        <v>180</v>
      </c>
      <c r="W1172" s="143" t="s">
        <v>3147</v>
      </c>
      <c r="X1172" s="143" t="s">
        <v>3841</v>
      </c>
      <c r="Y1172" s="169" t="s">
        <v>3840</v>
      </c>
      <c r="Z1172" s="143" t="s">
        <v>3841</v>
      </c>
      <c r="AA1172" s="143">
        <v>53.2</v>
      </c>
      <c r="AB1172" s="191">
        <v>45903</v>
      </c>
    </row>
    <row r="1173" spans="1:34">
      <c r="A1173" s="143">
        <v>1175</v>
      </c>
      <c r="B1173" s="144">
        <v>45903</v>
      </c>
      <c r="C1173" s="169" t="s">
        <v>3277</v>
      </c>
      <c r="D1173" s="143" t="s">
        <v>41</v>
      </c>
      <c r="E1173" s="145" t="s">
        <v>3837</v>
      </c>
      <c r="F1173" s="143" t="s">
        <v>3843</v>
      </c>
      <c r="G1173" s="169" t="s">
        <v>3697</v>
      </c>
      <c r="H1173" s="143" t="s">
        <v>3844</v>
      </c>
      <c r="I1173" s="143" t="s">
        <v>3157</v>
      </c>
      <c r="J1173" s="143" t="s">
        <v>46</v>
      </c>
      <c r="K1173" s="143">
        <v>185</v>
      </c>
      <c r="L1173" s="143">
        <v>220</v>
      </c>
      <c r="W1173" s="143" t="s">
        <v>3147</v>
      </c>
      <c r="X1173" s="143" t="s">
        <v>3843</v>
      </c>
      <c r="Y1173" s="169" t="s">
        <v>3840</v>
      </c>
      <c r="Z1173" s="143" t="s">
        <v>3843</v>
      </c>
      <c r="AA1173" s="143">
        <v>57</v>
      </c>
      <c r="AB1173" s="191">
        <v>45903</v>
      </c>
    </row>
    <row r="1174" spans="1:34">
      <c r="A1174" s="143">
        <v>1176</v>
      </c>
      <c r="B1174" s="144">
        <v>45903</v>
      </c>
      <c r="C1174" s="169" t="s">
        <v>3277</v>
      </c>
      <c r="D1174" s="143" t="s">
        <v>41</v>
      </c>
      <c r="E1174" s="145" t="s">
        <v>3837</v>
      </c>
      <c r="F1174" s="143" t="s">
        <v>3845</v>
      </c>
      <c r="G1174" s="169" t="s">
        <v>3697</v>
      </c>
      <c r="H1174" s="143" t="s">
        <v>3846</v>
      </c>
      <c r="I1174" s="143" t="s">
        <v>3737</v>
      </c>
      <c r="J1174" s="143" t="s">
        <v>127</v>
      </c>
      <c r="K1174" s="143">
        <v>175</v>
      </c>
      <c r="L1174" s="143">
        <v>170</v>
      </c>
      <c r="W1174" s="143" t="s">
        <v>3147</v>
      </c>
      <c r="X1174" s="143" t="s">
        <v>3845</v>
      </c>
      <c r="Y1174" s="169" t="s">
        <v>3840</v>
      </c>
      <c r="Z1174" s="143" t="s">
        <v>3845</v>
      </c>
      <c r="AA1174" s="143">
        <v>58.2</v>
      </c>
      <c r="AB1174" s="191">
        <v>45903</v>
      </c>
    </row>
    <row r="1175" spans="1:34">
      <c r="A1175" s="143">
        <v>1177</v>
      </c>
      <c r="B1175" s="144">
        <v>45903</v>
      </c>
      <c r="C1175" s="169" t="s">
        <v>3277</v>
      </c>
      <c r="D1175" s="143" t="s">
        <v>41</v>
      </c>
      <c r="E1175" s="145" t="s">
        <v>3847</v>
      </c>
      <c r="F1175" s="143" t="s">
        <v>3848</v>
      </c>
      <c r="H1175" s="143" t="s">
        <v>3849</v>
      </c>
      <c r="I1175" s="143" t="s">
        <v>3850</v>
      </c>
      <c r="J1175" s="143" t="s">
        <v>3851</v>
      </c>
      <c r="K1175" s="143">
        <v>138</v>
      </c>
      <c r="L1175" s="143">
        <v>175</v>
      </c>
      <c r="W1175" s="143" t="s">
        <v>3147</v>
      </c>
      <c r="X1175" s="143" t="s">
        <v>3848</v>
      </c>
      <c r="Y1175" s="169" t="s">
        <v>3852</v>
      </c>
      <c r="Z1175" s="143" t="s">
        <v>3848</v>
      </c>
      <c r="AA1175" s="143">
        <v>39.5</v>
      </c>
      <c r="AB1175" s="191">
        <v>45903</v>
      </c>
    </row>
    <row r="1176" spans="1:34">
      <c r="A1176" s="143">
        <v>1178</v>
      </c>
      <c r="B1176" s="144">
        <v>45903</v>
      </c>
      <c r="C1176" s="169" t="s">
        <v>3277</v>
      </c>
      <c r="D1176" s="143" t="s">
        <v>41</v>
      </c>
      <c r="E1176" s="145" t="s">
        <v>3847</v>
      </c>
      <c r="F1176" s="143" t="s">
        <v>3853</v>
      </c>
      <c r="H1176" s="143" t="s">
        <v>3854</v>
      </c>
      <c r="I1176" s="143" t="s">
        <v>3855</v>
      </c>
      <c r="J1176" s="143" t="s">
        <v>3856</v>
      </c>
      <c r="K1176" s="143">
        <v>140</v>
      </c>
      <c r="L1176" s="143">
        <v>150</v>
      </c>
      <c r="W1176" s="143" t="s">
        <v>3147</v>
      </c>
      <c r="X1176" s="143" t="s">
        <v>3853</v>
      </c>
      <c r="Y1176" s="169" t="s">
        <v>3852</v>
      </c>
      <c r="Z1176" s="143" t="s">
        <v>3853</v>
      </c>
      <c r="AA1176" s="143">
        <v>44.8</v>
      </c>
      <c r="AB1176" s="191">
        <v>45903</v>
      </c>
    </row>
    <row r="1177" spans="1:34">
      <c r="A1177" s="143">
        <v>1179</v>
      </c>
      <c r="B1177" s="144">
        <v>45909</v>
      </c>
      <c r="C1177" s="169" t="s">
        <v>3148</v>
      </c>
      <c r="D1177" s="143" t="s">
        <v>2338</v>
      </c>
      <c r="E1177" s="196" t="s">
        <v>3857</v>
      </c>
      <c r="F1177" s="169" t="s">
        <v>3858</v>
      </c>
      <c r="G1177" s="169"/>
      <c r="H1177" s="143" t="s">
        <v>3859</v>
      </c>
      <c r="I1177" s="143" t="s">
        <v>3860</v>
      </c>
      <c r="J1177" s="143" t="s">
        <v>3861</v>
      </c>
      <c r="K1177" s="143">
        <v>134</v>
      </c>
      <c r="L1177" s="143">
        <v>118</v>
      </c>
      <c r="W1177" s="169" t="s">
        <v>3862</v>
      </c>
      <c r="X1177" s="169" t="s">
        <v>3858</v>
      </c>
      <c r="Y1177" s="169" t="s">
        <v>3863</v>
      </c>
      <c r="Z1177" s="169" t="s">
        <v>3858</v>
      </c>
      <c r="AA1177" s="143" t="s">
        <v>3864</v>
      </c>
      <c r="AB1177" s="191">
        <v>45909</v>
      </c>
    </row>
    <row r="1178" ht="16.5" spans="1:34">
      <c r="A1178" s="143">
        <v>1180</v>
      </c>
      <c r="B1178" s="144">
        <v>45909</v>
      </c>
      <c r="C1178" s="169" t="s">
        <v>3865</v>
      </c>
      <c r="D1178" s="143" t="s">
        <v>2338</v>
      </c>
      <c r="E1178" s="196" t="s">
        <v>3866</v>
      </c>
      <c r="F1178" s="143" t="s">
        <v>3867</v>
      </c>
      <c r="H1178" s="143" t="s">
        <v>3868</v>
      </c>
      <c r="I1178" s="197" t="s">
        <v>3869</v>
      </c>
      <c r="J1178" s="143" t="s">
        <v>3870</v>
      </c>
      <c r="K1178" s="143">
        <v>150</v>
      </c>
      <c r="L1178" s="198">
        <v>258</v>
      </c>
      <c r="Q1178" s="169" t="s">
        <v>3871</v>
      </c>
      <c r="W1178" s="169" t="s">
        <v>3872</v>
      </c>
      <c r="X1178" s="143" t="s">
        <v>3867</v>
      </c>
      <c r="Y1178" s="169" t="s">
        <v>3872</v>
      </c>
      <c r="Z1178" s="143" t="s">
        <v>3867</v>
      </c>
      <c r="AA1178" s="143">
        <v>34.6</v>
      </c>
      <c r="AB1178" s="169" t="s">
        <v>3873</v>
      </c>
    </row>
    <row r="1179" ht="16.5" spans="1:34">
      <c r="A1179" s="143">
        <v>1181</v>
      </c>
      <c r="B1179" s="144">
        <v>45909</v>
      </c>
      <c r="D1179" s="143" t="s">
        <v>2338</v>
      </c>
      <c r="E1179" s="196" t="s">
        <v>3866</v>
      </c>
      <c r="F1179" s="143" t="s">
        <v>3874</v>
      </c>
      <c r="H1179" s="143" t="s">
        <v>3875</v>
      </c>
      <c r="I1179" s="197" t="s">
        <v>3218</v>
      </c>
      <c r="J1179" s="143" t="s">
        <v>330</v>
      </c>
      <c r="K1179" s="143">
        <v>150</v>
      </c>
      <c r="L1179" s="198">
        <v>194</v>
      </c>
      <c r="Q1179" s="169" t="s">
        <v>3871</v>
      </c>
      <c r="W1179" s="169" t="s">
        <v>3872</v>
      </c>
      <c r="X1179" s="143" t="s">
        <v>3874</v>
      </c>
      <c r="Y1179" s="169" t="s">
        <v>3872</v>
      </c>
      <c r="Z1179" s="143" t="s">
        <v>3874</v>
      </c>
      <c r="AA1179" s="143">
        <v>28.5</v>
      </c>
      <c r="AB1179" s="169" t="s">
        <v>3873</v>
      </c>
    </row>
    <row r="1180" ht="16.5" spans="1:34">
      <c r="A1180" s="143">
        <v>1182</v>
      </c>
      <c r="B1180" s="144">
        <v>45909</v>
      </c>
      <c r="D1180" s="143" t="s">
        <v>2338</v>
      </c>
      <c r="E1180" s="196" t="s">
        <v>3866</v>
      </c>
      <c r="F1180" s="143" t="s">
        <v>3876</v>
      </c>
      <c r="H1180" s="143" t="s">
        <v>3877</v>
      </c>
      <c r="I1180" s="197" t="s">
        <v>3869</v>
      </c>
      <c r="J1180" s="143" t="s">
        <v>3870</v>
      </c>
      <c r="K1180" s="143">
        <v>150</v>
      </c>
      <c r="L1180" s="198">
        <v>362</v>
      </c>
      <c r="Q1180" s="169" t="s">
        <v>3871</v>
      </c>
      <c r="W1180" s="169" t="s">
        <v>3872</v>
      </c>
      <c r="X1180" s="143" t="s">
        <v>3876</v>
      </c>
      <c r="Y1180" s="169" t="s">
        <v>3872</v>
      </c>
      <c r="Z1180" s="143" t="s">
        <v>3876</v>
      </c>
      <c r="AA1180" s="143">
        <v>38.6</v>
      </c>
      <c r="AB1180" s="169" t="s">
        <v>3873</v>
      </c>
    </row>
    <row r="1181" ht="16.5" spans="1:34">
      <c r="A1181" s="143">
        <v>1183</v>
      </c>
      <c r="B1181" s="144">
        <v>45909</v>
      </c>
      <c r="D1181" s="143" t="s">
        <v>2338</v>
      </c>
      <c r="E1181" s="196" t="s">
        <v>3866</v>
      </c>
      <c r="F1181" s="143" t="s">
        <v>3878</v>
      </c>
      <c r="H1181" s="143" t="s">
        <v>3879</v>
      </c>
      <c r="I1181" s="197" t="s">
        <v>3869</v>
      </c>
      <c r="J1181" s="143" t="s">
        <v>3870</v>
      </c>
      <c r="K1181" s="143">
        <v>150</v>
      </c>
      <c r="L1181" s="198">
        <v>340</v>
      </c>
      <c r="Q1181" s="169" t="s">
        <v>3871</v>
      </c>
      <c r="W1181" s="169" t="s">
        <v>3872</v>
      </c>
      <c r="X1181" s="143" t="s">
        <v>3878</v>
      </c>
      <c r="Y1181" s="169" t="s">
        <v>3872</v>
      </c>
      <c r="Z1181" s="143" t="s">
        <v>3878</v>
      </c>
      <c r="AA1181" s="143">
        <v>28</v>
      </c>
      <c r="AB1181" s="169" t="s">
        <v>3873</v>
      </c>
    </row>
    <row r="1182" ht="16.5" spans="1:34">
      <c r="A1182" s="143">
        <v>1184</v>
      </c>
      <c r="B1182" s="144">
        <v>45909</v>
      </c>
      <c r="D1182" s="143" t="s">
        <v>2338</v>
      </c>
      <c r="E1182" s="196" t="s">
        <v>3866</v>
      </c>
      <c r="F1182" s="143" t="s">
        <v>3880</v>
      </c>
      <c r="H1182" s="143" t="s">
        <v>3881</v>
      </c>
      <c r="I1182" s="197" t="s">
        <v>3869</v>
      </c>
      <c r="J1182" s="143" t="s">
        <v>3870</v>
      </c>
      <c r="K1182" s="143">
        <v>150</v>
      </c>
      <c r="L1182" s="198">
        <v>306</v>
      </c>
      <c r="Q1182" s="169" t="s">
        <v>3871</v>
      </c>
      <c r="W1182" s="169" t="s">
        <v>3872</v>
      </c>
      <c r="X1182" s="143" t="s">
        <v>3880</v>
      </c>
      <c r="Y1182" s="169" t="s">
        <v>3872</v>
      </c>
      <c r="Z1182" s="143" t="s">
        <v>3880</v>
      </c>
      <c r="AA1182" s="143">
        <v>28</v>
      </c>
      <c r="AB1182" s="169" t="s">
        <v>3873</v>
      </c>
    </row>
    <row r="1183" ht="16.5" spans="1:34">
      <c r="A1183" s="143">
        <v>1185</v>
      </c>
      <c r="B1183" s="144">
        <v>45909</v>
      </c>
      <c r="D1183" s="143" t="s">
        <v>2338</v>
      </c>
      <c r="E1183" s="196" t="s">
        <v>3866</v>
      </c>
      <c r="F1183" s="143" t="s">
        <v>3882</v>
      </c>
      <c r="H1183" s="143" t="s">
        <v>3883</v>
      </c>
      <c r="I1183" s="197" t="s">
        <v>3869</v>
      </c>
      <c r="J1183" s="143" t="s">
        <v>3870</v>
      </c>
      <c r="K1183" s="143">
        <v>150</v>
      </c>
      <c r="L1183" s="198">
        <v>289</v>
      </c>
      <c r="Q1183" s="169" t="s">
        <v>3871</v>
      </c>
      <c r="W1183" s="169" t="s">
        <v>3872</v>
      </c>
      <c r="X1183" s="143" t="s">
        <v>3882</v>
      </c>
      <c r="Y1183" s="169" t="s">
        <v>3872</v>
      </c>
      <c r="Z1183" s="143" t="s">
        <v>3882</v>
      </c>
      <c r="AA1183" s="143">
        <v>28</v>
      </c>
      <c r="AB1183" s="169" t="s">
        <v>3873</v>
      </c>
    </row>
    <row r="1184" ht="16.5" spans="1:34">
      <c r="A1184" s="143">
        <v>1186</v>
      </c>
      <c r="B1184" s="144">
        <v>45909</v>
      </c>
      <c r="D1184" s="143" t="s">
        <v>2338</v>
      </c>
      <c r="E1184" s="196" t="s">
        <v>3866</v>
      </c>
      <c r="F1184" s="143" t="s">
        <v>3884</v>
      </c>
      <c r="H1184" s="143" t="s">
        <v>3885</v>
      </c>
      <c r="I1184" s="197" t="s">
        <v>3869</v>
      </c>
      <c r="J1184" s="143" t="s">
        <v>3870</v>
      </c>
      <c r="K1184" s="143">
        <v>150</v>
      </c>
      <c r="L1184" s="198">
        <v>327</v>
      </c>
      <c r="Q1184" s="169" t="s">
        <v>3871</v>
      </c>
      <c r="W1184" s="169" t="s">
        <v>3872</v>
      </c>
      <c r="X1184" s="143" t="s">
        <v>3884</v>
      </c>
      <c r="Y1184" s="169" t="s">
        <v>3872</v>
      </c>
      <c r="Z1184" s="143" t="s">
        <v>3884</v>
      </c>
      <c r="AA1184" s="143">
        <v>28</v>
      </c>
      <c r="AB1184" s="169" t="s">
        <v>3873</v>
      </c>
    </row>
    <row r="1185" ht="16.5" spans="1:28">
      <c r="A1185" s="143">
        <v>1187</v>
      </c>
      <c r="B1185" s="144">
        <v>45909</v>
      </c>
      <c r="D1185" s="143" t="s">
        <v>2338</v>
      </c>
      <c r="E1185" s="196" t="s">
        <v>3866</v>
      </c>
      <c r="F1185" s="143" t="s">
        <v>3886</v>
      </c>
      <c r="H1185" s="143" t="s">
        <v>3887</v>
      </c>
      <c r="I1185" s="197" t="s">
        <v>3869</v>
      </c>
      <c r="J1185" s="143" t="s">
        <v>3870</v>
      </c>
      <c r="K1185" s="143">
        <v>150</v>
      </c>
      <c r="L1185" s="198">
        <v>334</v>
      </c>
      <c r="Q1185" s="169" t="s">
        <v>3871</v>
      </c>
      <c r="W1185" s="169" t="s">
        <v>3872</v>
      </c>
      <c r="X1185" s="143" t="s">
        <v>3886</v>
      </c>
      <c r="Y1185" s="169" t="s">
        <v>3872</v>
      </c>
      <c r="Z1185" s="143" t="s">
        <v>3886</v>
      </c>
      <c r="AA1185" s="143">
        <v>28</v>
      </c>
      <c r="AB1185" s="169" t="s">
        <v>3873</v>
      </c>
    </row>
    <row r="1186" ht="16.5" spans="1:28">
      <c r="A1186" s="143">
        <v>1188</v>
      </c>
      <c r="B1186" s="144">
        <v>45909</v>
      </c>
      <c r="D1186" s="143" t="s">
        <v>2338</v>
      </c>
      <c r="E1186" s="196" t="s">
        <v>3866</v>
      </c>
      <c r="F1186" s="143" t="s">
        <v>3888</v>
      </c>
      <c r="H1186" s="143" t="s">
        <v>3889</v>
      </c>
      <c r="I1186" s="197" t="s">
        <v>3869</v>
      </c>
      <c r="J1186" s="143" t="s">
        <v>3870</v>
      </c>
      <c r="K1186" s="143">
        <v>150</v>
      </c>
      <c r="L1186" s="198">
        <v>326</v>
      </c>
      <c r="Q1186" s="169" t="s">
        <v>3871</v>
      </c>
      <c r="W1186" s="169" t="s">
        <v>3872</v>
      </c>
      <c r="X1186" s="143" t="s">
        <v>3888</v>
      </c>
      <c r="Y1186" s="169" t="s">
        <v>3872</v>
      </c>
      <c r="Z1186" s="143" t="s">
        <v>3888</v>
      </c>
      <c r="AA1186" s="143">
        <v>28</v>
      </c>
      <c r="AB1186" s="169" t="s">
        <v>3873</v>
      </c>
    </row>
    <row r="1187" ht="16.5" spans="1:28">
      <c r="A1187" s="143">
        <v>1189</v>
      </c>
      <c r="B1187" s="144">
        <v>45909</v>
      </c>
      <c r="D1187" s="143" t="s">
        <v>2338</v>
      </c>
      <c r="E1187" s="196" t="s">
        <v>3866</v>
      </c>
      <c r="F1187" s="143" t="s">
        <v>3890</v>
      </c>
      <c r="H1187" s="143" t="s">
        <v>3891</v>
      </c>
      <c r="I1187" s="197" t="s">
        <v>3869</v>
      </c>
      <c r="J1187" s="143" t="s">
        <v>3870</v>
      </c>
      <c r="K1187" s="143">
        <v>150</v>
      </c>
      <c r="L1187" s="198">
        <v>302</v>
      </c>
      <c r="Q1187" s="169" t="s">
        <v>3871</v>
      </c>
      <c r="W1187" s="169" t="s">
        <v>3872</v>
      </c>
      <c r="X1187" s="143" t="s">
        <v>3890</v>
      </c>
      <c r="Y1187" s="169" t="s">
        <v>3872</v>
      </c>
      <c r="Z1187" s="143" t="s">
        <v>3890</v>
      </c>
      <c r="AA1187" s="143">
        <v>28.2</v>
      </c>
      <c r="AB1187" s="169" t="s">
        <v>3873</v>
      </c>
    </row>
    <row r="1188" ht="16.5" spans="1:28">
      <c r="A1188" s="143">
        <v>1190</v>
      </c>
      <c r="B1188" s="144">
        <v>45909</v>
      </c>
      <c r="D1188" s="143" t="s">
        <v>2338</v>
      </c>
      <c r="E1188" s="196" t="s">
        <v>3866</v>
      </c>
      <c r="F1188" s="143" t="s">
        <v>3892</v>
      </c>
      <c r="H1188" s="143" t="s">
        <v>3893</v>
      </c>
      <c r="I1188" s="197" t="s">
        <v>3218</v>
      </c>
      <c r="J1188" s="143" t="s">
        <v>330</v>
      </c>
      <c r="K1188" s="143">
        <v>150</v>
      </c>
      <c r="L1188" s="198">
        <v>203</v>
      </c>
      <c r="Q1188" s="169" t="s">
        <v>3871</v>
      </c>
      <c r="W1188" s="169" t="s">
        <v>3872</v>
      </c>
      <c r="X1188" s="143" t="s">
        <v>3892</v>
      </c>
      <c r="Y1188" s="169" t="s">
        <v>3872</v>
      </c>
      <c r="Z1188" s="143" t="s">
        <v>3892</v>
      </c>
      <c r="AA1188" s="143">
        <v>18</v>
      </c>
      <c r="AB1188" s="169" t="s">
        <v>3873</v>
      </c>
    </row>
    <row r="1189" ht="16.5" spans="1:28">
      <c r="A1189" s="143">
        <v>1191</v>
      </c>
      <c r="B1189" s="144">
        <v>45909</v>
      </c>
      <c r="D1189" s="143" t="s">
        <v>2338</v>
      </c>
      <c r="E1189" s="196" t="s">
        <v>3866</v>
      </c>
      <c r="F1189" s="143" t="s">
        <v>3894</v>
      </c>
      <c r="H1189" s="143" t="s">
        <v>3895</v>
      </c>
      <c r="I1189" s="197" t="s">
        <v>3869</v>
      </c>
      <c r="J1189" s="143" t="s">
        <v>3870</v>
      </c>
      <c r="K1189" s="143">
        <v>150</v>
      </c>
      <c r="L1189" s="198">
        <v>302</v>
      </c>
      <c r="Q1189" s="169" t="s">
        <v>3871</v>
      </c>
      <c r="W1189" s="169" t="s">
        <v>3872</v>
      </c>
      <c r="X1189" s="143" t="s">
        <v>3894</v>
      </c>
      <c r="Y1189" s="169" t="s">
        <v>3872</v>
      </c>
      <c r="Z1189" s="143" t="s">
        <v>3894</v>
      </c>
      <c r="AA1189" s="143">
        <v>28</v>
      </c>
      <c r="AB1189" s="169" t="s">
        <v>3873</v>
      </c>
    </row>
    <row r="1190" ht="16.5" spans="1:28">
      <c r="A1190" s="143">
        <v>1192</v>
      </c>
      <c r="B1190" s="144">
        <v>45909</v>
      </c>
      <c r="D1190" s="143" t="s">
        <v>2338</v>
      </c>
      <c r="E1190" s="196" t="s">
        <v>3866</v>
      </c>
      <c r="F1190" s="143" t="s">
        <v>3896</v>
      </c>
      <c r="H1190" s="143" t="s">
        <v>3897</v>
      </c>
      <c r="I1190" s="197" t="s">
        <v>3869</v>
      </c>
      <c r="J1190" s="143" t="s">
        <v>3870</v>
      </c>
      <c r="K1190" s="143">
        <v>150</v>
      </c>
      <c r="L1190" s="198">
        <v>313</v>
      </c>
      <c r="Q1190" s="169" t="s">
        <v>3871</v>
      </c>
      <c r="W1190" s="169" t="s">
        <v>3872</v>
      </c>
      <c r="X1190" s="143" t="s">
        <v>3896</v>
      </c>
      <c r="Y1190" s="169" t="s">
        <v>3872</v>
      </c>
      <c r="Z1190" s="143" t="s">
        <v>3896</v>
      </c>
      <c r="AA1190" s="143">
        <v>28</v>
      </c>
      <c r="AB1190" s="169" t="s">
        <v>3873</v>
      </c>
    </row>
    <row r="1191" ht="16.5" spans="1:28">
      <c r="A1191" s="143">
        <v>1193</v>
      </c>
      <c r="B1191" s="144">
        <v>45909</v>
      </c>
      <c r="D1191" s="143" t="s">
        <v>2338</v>
      </c>
      <c r="E1191" s="196" t="s">
        <v>3866</v>
      </c>
      <c r="F1191" s="143" t="s">
        <v>3898</v>
      </c>
      <c r="H1191" s="143" t="s">
        <v>3899</v>
      </c>
      <c r="I1191" s="197" t="s">
        <v>3869</v>
      </c>
      <c r="J1191" s="143" t="s">
        <v>3870</v>
      </c>
      <c r="K1191" s="143">
        <v>150</v>
      </c>
      <c r="L1191" s="198">
        <v>289</v>
      </c>
      <c r="Q1191" s="169" t="s">
        <v>3871</v>
      </c>
      <c r="W1191" s="169" t="s">
        <v>3872</v>
      </c>
      <c r="X1191" s="143" t="s">
        <v>3898</v>
      </c>
      <c r="Y1191" s="169" t="s">
        <v>3872</v>
      </c>
      <c r="Z1191" s="143" t="s">
        <v>3898</v>
      </c>
      <c r="AA1191" s="143">
        <v>25.8</v>
      </c>
      <c r="AB1191" s="169" t="s">
        <v>3873</v>
      </c>
    </row>
    <row r="1192" ht="16.5" spans="1:28">
      <c r="A1192" s="143">
        <v>1194</v>
      </c>
      <c r="B1192" s="144">
        <v>45909</v>
      </c>
      <c r="D1192" s="143" t="s">
        <v>2338</v>
      </c>
      <c r="E1192" s="196" t="s">
        <v>3866</v>
      </c>
      <c r="F1192" s="143" t="s">
        <v>3900</v>
      </c>
      <c r="H1192" s="143" t="s">
        <v>3901</v>
      </c>
      <c r="I1192" s="197" t="s">
        <v>3902</v>
      </c>
      <c r="J1192" s="143" t="s">
        <v>3903</v>
      </c>
      <c r="K1192" s="143">
        <v>150</v>
      </c>
      <c r="L1192" s="198">
        <v>389</v>
      </c>
      <c r="Q1192" s="169" t="s">
        <v>3871</v>
      </c>
      <c r="W1192" s="169" t="s">
        <v>3872</v>
      </c>
      <c r="X1192" s="143" t="s">
        <v>3900</v>
      </c>
      <c r="Y1192" s="169" t="s">
        <v>3872</v>
      </c>
      <c r="Z1192" s="143" t="s">
        <v>3900</v>
      </c>
      <c r="AA1192" s="143">
        <v>83.7</v>
      </c>
      <c r="AB1192" s="169" t="s">
        <v>3873</v>
      </c>
    </row>
    <row r="1193" ht="16.5" spans="1:28">
      <c r="A1193" s="143">
        <v>1195</v>
      </c>
      <c r="B1193" s="144">
        <v>45909</v>
      </c>
      <c r="D1193" s="143" t="s">
        <v>2338</v>
      </c>
      <c r="E1193" s="196" t="s">
        <v>3866</v>
      </c>
      <c r="F1193" s="143" t="s">
        <v>3904</v>
      </c>
      <c r="H1193" s="143" t="s">
        <v>3905</v>
      </c>
      <c r="I1193" s="197" t="s">
        <v>3906</v>
      </c>
      <c r="J1193" s="143" t="s">
        <v>3907</v>
      </c>
      <c r="K1193" s="143">
        <v>150</v>
      </c>
      <c r="L1193" s="198">
        <v>358</v>
      </c>
      <c r="Q1193" s="169" t="s">
        <v>3871</v>
      </c>
      <c r="W1193" s="169" t="s">
        <v>3872</v>
      </c>
      <c r="X1193" s="143" t="s">
        <v>3904</v>
      </c>
      <c r="Y1193" s="169" t="s">
        <v>3872</v>
      </c>
      <c r="Z1193" s="143" t="s">
        <v>3904</v>
      </c>
      <c r="AA1193" s="143">
        <v>79.6</v>
      </c>
      <c r="AB1193" s="169" t="s">
        <v>3873</v>
      </c>
    </row>
    <row r="1194" ht="16.5" spans="1:28">
      <c r="A1194" s="143">
        <v>1196</v>
      </c>
      <c r="B1194" s="144">
        <v>45909</v>
      </c>
      <c r="D1194" s="143" t="s">
        <v>2338</v>
      </c>
      <c r="E1194" s="196" t="s">
        <v>3866</v>
      </c>
      <c r="F1194" s="143" t="s">
        <v>3908</v>
      </c>
      <c r="H1194" s="143" t="s">
        <v>3909</v>
      </c>
      <c r="I1194" s="197" t="s">
        <v>3910</v>
      </c>
      <c r="J1194" s="143" t="s">
        <v>3911</v>
      </c>
      <c r="K1194" s="143">
        <v>162</v>
      </c>
      <c r="L1194" s="198">
        <v>238</v>
      </c>
      <c r="Q1194" s="169" t="s">
        <v>3871</v>
      </c>
      <c r="W1194" s="169" t="s">
        <v>3872</v>
      </c>
      <c r="X1194" s="143" t="s">
        <v>3908</v>
      </c>
      <c r="Y1194" s="169" t="s">
        <v>3872</v>
      </c>
      <c r="Z1194" s="143" t="s">
        <v>3908</v>
      </c>
      <c r="AA1194" s="143">
        <v>71.7</v>
      </c>
      <c r="AB1194" s="169" t="s">
        <v>3873</v>
      </c>
    </row>
    <row r="1195" ht="16.5" spans="1:28">
      <c r="A1195" s="143">
        <v>1197</v>
      </c>
      <c r="B1195" s="144">
        <v>45909</v>
      </c>
      <c r="D1195" s="143" t="s">
        <v>2338</v>
      </c>
      <c r="E1195" s="196" t="s">
        <v>3866</v>
      </c>
      <c r="F1195" s="143" t="s">
        <v>3912</v>
      </c>
      <c r="H1195" s="143" t="s">
        <v>3913</v>
      </c>
      <c r="I1195" s="197" t="s">
        <v>3914</v>
      </c>
      <c r="J1195" s="143" t="s">
        <v>3915</v>
      </c>
      <c r="K1195" s="143">
        <v>150</v>
      </c>
      <c r="L1195" s="198">
        <v>192</v>
      </c>
      <c r="Q1195" s="169" t="s">
        <v>3871</v>
      </c>
      <c r="W1195" s="169" t="s">
        <v>3872</v>
      </c>
      <c r="X1195" s="143" t="s">
        <v>3912</v>
      </c>
      <c r="Y1195" s="169" t="s">
        <v>3872</v>
      </c>
      <c r="Z1195" s="143" t="s">
        <v>3912</v>
      </c>
      <c r="AA1195" s="143">
        <v>14.8</v>
      </c>
      <c r="AB1195" s="169" t="s">
        <v>3873</v>
      </c>
    </row>
    <row r="1196" ht="16.5" spans="1:28">
      <c r="A1196" s="143">
        <v>1198</v>
      </c>
      <c r="B1196" s="144">
        <v>45909</v>
      </c>
      <c r="D1196" s="143" t="s">
        <v>2338</v>
      </c>
      <c r="E1196" s="196" t="s">
        <v>3866</v>
      </c>
      <c r="F1196" s="143" t="s">
        <v>3916</v>
      </c>
      <c r="H1196" s="143" t="s">
        <v>3917</v>
      </c>
      <c r="I1196" s="197" t="s">
        <v>3902</v>
      </c>
      <c r="J1196" s="143" t="s">
        <v>3903</v>
      </c>
      <c r="K1196" s="143">
        <v>150</v>
      </c>
      <c r="L1196" s="198">
        <v>283</v>
      </c>
      <c r="Q1196" s="169" t="s">
        <v>3871</v>
      </c>
      <c r="W1196" s="169" t="s">
        <v>3872</v>
      </c>
      <c r="X1196" s="143" t="s">
        <v>3916</v>
      </c>
      <c r="Y1196" s="169" t="s">
        <v>3872</v>
      </c>
      <c r="Z1196" s="143" t="s">
        <v>3916</v>
      </c>
      <c r="AA1196" s="143">
        <v>36.5</v>
      </c>
      <c r="AB1196" s="169" t="s">
        <v>3873</v>
      </c>
    </row>
    <row r="1197" ht="16.5" spans="1:28">
      <c r="A1197" s="143">
        <v>1199</v>
      </c>
      <c r="B1197" s="144">
        <v>45909</v>
      </c>
      <c r="D1197" s="143" t="s">
        <v>2338</v>
      </c>
      <c r="E1197" s="196" t="s">
        <v>3866</v>
      </c>
      <c r="F1197" s="143" t="s">
        <v>3918</v>
      </c>
      <c r="H1197" s="143" t="s">
        <v>3919</v>
      </c>
      <c r="I1197" s="197" t="s">
        <v>3218</v>
      </c>
      <c r="J1197" s="143" t="s">
        <v>330</v>
      </c>
      <c r="K1197" s="143">
        <v>150</v>
      </c>
      <c r="L1197" s="198">
        <v>225</v>
      </c>
      <c r="Q1197" s="169" t="s">
        <v>3871</v>
      </c>
      <c r="W1197" s="169" t="s">
        <v>3872</v>
      </c>
      <c r="X1197" s="143" t="s">
        <v>3918</v>
      </c>
      <c r="Y1197" s="169" t="s">
        <v>3872</v>
      </c>
      <c r="Z1197" s="143" t="s">
        <v>3918</v>
      </c>
      <c r="AA1197" s="143">
        <v>27.6</v>
      </c>
      <c r="AB1197" s="169" t="s">
        <v>3873</v>
      </c>
    </row>
    <row r="1198" ht="16.5" spans="1:28">
      <c r="A1198" s="143">
        <v>1200</v>
      </c>
      <c r="B1198" s="144">
        <v>45909</v>
      </c>
      <c r="D1198" s="143" t="s">
        <v>2338</v>
      </c>
      <c r="E1198" s="196" t="s">
        <v>3866</v>
      </c>
      <c r="F1198" s="143" t="s">
        <v>3920</v>
      </c>
      <c r="H1198" s="143" t="s">
        <v>3921</v>
      </c>
      <c r="I1198" s="197" t="s">
        <v>3218</v>
      </c>
      <c r="J1198" s="143" t="s">
        <v>330</v>
      </c>
      <c r="K1198" s="143">
        <v>150</v>
      </c>
      <c r="L1198" s="198">
        <v>199</v>
      </c>
      <c r="Q1198" s="169" t="s">
        <v>3871</v>
      </c>
      <c r="W1198" s="169" t="s">
        <v>3872</v>
      </c>
      <c r="X1198" s="143" t="s">
        <v>3920</v>
      </c>
      <c r="Y1198" s="169" t="s">
        <v>3872</v>
      </c>
      <c r="Z1198" s="143" t="s">
        <v>3920</v>
      </c>
      <c r="AA1198" s="143">
        <v>21.8</v>
      </c>
      <c r="AB1198" s="169" t="s">
        <v>3873</v>
      </c>
    </row>
    <row r="1199" ht="16.5" spans="1:28">
      <c r="A1199" s="143">
        <v>1201</v>
      </c>
      <c r="B1199" s="144">
        <v>45909</v>
      </c>
      <c r="D1199" s="143" t="s">
        <v>2338</v>
      </c>
      <c r="E1199" s="196" t="s">
        <v>3866</v>
      </c>
      <c r="F1199" s="143" t="s">
        <v>3922</v>
      </c>
      <c r="H1199" s="143" t="s">
        <v>3923</v>
      </c>
      <c r="I1199" s="197" t="s">
        <v>3218</v>
      </c>
      <c r="J1199" s="143" t="s">
        <v>330</v>
      </c>
      <c r="K1199" s="143">
        <v>150</v>
      </c>
      <c r="L1199" s="198">
        <v>273</v>
      </c>
      <c r="Q1199" s="169" t="s">
        <v>3871</v>
      </c>
      <c r="W1199" s="169" t="s">
        <v>3872</v>
      </c>
      <c r="X1199" s="143" t="s">
        <v>3922</v>
      </c>
      <c r="Y1199" s="169" t="s">
        <v>3872</v>
      </c>
      <c r="Z1199" s="143" t="s">
        <v>3922</v>
      </c>
      <c r="AA1199" s="143">
        <v>28.6</v>
      </c>
      <c r="AB1199" s="169" t="s">
        <v>3873</v>
      </c>
    </row>
    <row r="1200" ht="16.5" spans="1:28">
      <c r="A1200" s="143">
        <v>1202</v>
      </c>
      <c r="B1200" s="144">
        <v>45909</v>
      </c>
      <c r="D1200" s="143" t="s">
        <v>2338</v>
      </c>
      <c r="E1200" s="196" t="s">
        <v>3866</v>
      </c>
      <c r="F1200" s="143" t="s">
        <v>3924</v>
      </c>
      <c r="H1200" s="143" t="s">
        <v>3925</v>
      </c>
      <c r="I1200" s="197" t="s">
        <v>3218</v>
      </c>
      <c r="J1200" s="143" t="s">
        <v>330</v>
      </c>
      <c r="K1200" s="143">
        <v>150</v>
      </c>
      <c r="L1200" s="198">
        <v>315</v>
      </c>
      <c r="Q1200" s="169" t="s">
        <v>3871</v>
      </c>
      <c r="W1200" s="169" t="s">
        <v>3872</v>
      </c>
      <c r="X1200" s="143" t="s">
        <v>3924</v>
      </c>
      <c r="Y1200" s="169" t="s">
        <v>3872</v>
      </c>
      <c r="Z1200" s="143" t="s">
        <v>3924</v>
      </c>
      <c r="AA1200" s="143">
        <v>39.5</v>
      </c>
      <c r="AB1200" s="169" t="s">
        <v>3873</v>
      </c>
    </row>
    <row r="1201" ht="16.5" spans="1:28">
      <c r="A1201" s="143">
        <v>1203</v>
      </c>
      <c r="B1201" s="144">
        <v>45909</v>
      </c>
      <c r="D1201" s="143" t="s">
        <v>2338</v>
      </c>
      <c r="E1201" s="196" t="s">
        <v>3866</v>
      </c>
      <c r="F1201" s="143" t="s">
        <v>3926</v>
      </c>
      <c r="H1201" s="143" t="s">
        <v>3927</v>
      </c>
      <c r="I1201" s="197" t="s">
        <v>3218</v>
      </c>
      <c r="J1201" s="143" t="s">
        <v>330</v>
      </c>
      <c r="K1201" s="143">
        <v>150</v>
      </c>
      <c r="L1201" s="198">
        <v>282</v>
      </c>
      <c r="Q1201" s="169" t="s">
        <v>3871</v>
      </c>
      <c r="W1201" s="169" t="s">
        <v>3872</v>
      </c>
      <c r="X1201" s="143" t="s">
        <v>3926</v>
      </c>
      <c r="Y1201" s="169" t="s">
        <v>3872</v>
      </c>
      <c r="Z1201" s="143" t="s">
        <v>3926</v>
      </c>
      <c r="AA1201" s="143">
        <v>27.8</v>
      </c>
      <c r="AB1201" s="169" t="s">
        <v>3873</v>
      </c>
    </row>
    <row r="1202" ht="16.5" spans="1:28">
      <c r="A1202" s="143">
        <v>1204</v>
      </c>
      <c r="B1202" s="144">
        <v>45909</v>
      </c>
      <c r="D1202" s="143" t="s">
        <v>2338</v>
      </c>
      <c r="E1202" s="196" t="s">
        <v>3866</v>
      </c>
      <c r="F1202" s="143" t="s">
        <v>3928</v>
      </c>
      <c r="H1202" s="143" t="s">
        <v>3929</v>
      </c>
      <c r="I1202" s="197" t="s">
        <v>3218</v>
      </c>
      <c r="J1202" s="143" t="s">
        <v>330</v>
      </c>
      <c r="K1202" s="143">
        <v>150</v>
      </c>
      <c r="L1202" s="198">
        <v>235</v>
      </c>
      <c r="Q1202" s="169" t="s">
        <v>3871</v>
      </c>
      <c r="W1202" s="169" t="s">
        <v>3872</v>
      </c>
      <c r="X1202" s="143" t="s">
        <v>3928</v>
      </c>
      <c r="Y1202" s="169" t="s">
        <v>3872</v>
      </c>
      <c r="Z1202" s="143" t="s">
        <v>3928</v>
      </c>
      <c r="AA1202" s="143">
        <v>28.5</v>
      </c>
      <c r="AB1202" s="169" t="s">
        <v>3873</v>
      </c>
    </row>
    <row r="1203" ht="16.5" spans="1:28">
      <c r="A1203" s="143">
        <v>1205</v>
      </c>
      <c r="B1203" s="144">
        <v>45909</v>
      </c>
      <c r="D1203" s="143" t="s">
        <v>2338</v>
      </c>
      <c r="E1203" s="196" t="s">
        <v>3866</v>
      </c>
      <c r="F1203" s="143" t="s">
        <v>3930</v>
      </c>
      <c r="H1203" s="143" t="s">
        <v>3931</v>
      </c>
      <c r="I1203" s="197" t="s">
        <v>3218</v>
      </c>
      <c r="J1203" s="143" t="s">
        <v>330</v>
      </c>
      <c r="K1203" s="143">
        <v>150</v>
      </c>
      <c r="L1203" s="198">
        <v>251</v>
      </c>
      <c r="Q1203" s="169" t="s">
        <v>3871</v>
      </c>
      <c r="W1203" s="169" t="s">
        <v>3872</v>
      </c>
      <c r="X1203" s="143" t="s">
        <v>3930</v>
      </c>
      <c r="Y1203" s="169" t="s">
        <v>3872</v>
      </c>
      <c r="Z1203" s="143" t="s">
        <v>3930</v>
      </c>
      <c r="AA1203" s="143">
        <v>28.3</v>
      </c>
      <c r="AB1203" s="169" t="s">
        <v>3873</v>
      </c>
    </row>
    <row r="1204" ht="16.5" spans="1:28">
      <c r="A1204" s="143">
        <v>1206</v>
      </c>
      <c r="B1204" s="144">
        <v>45909</v>
      </c>
      <c r="D1204" s="143" t="s">
        <v>2338</v>
      </c>
      <c r="E1204" s="196" t="s">
        <v>3866</v>
      </c>
      <c r="F1204" s="143" t="s">
        <v>3932</v>
      </c>
      <c r="H1204" s="143" t="s">
        <v>3933</v>
      </c>
      <c r="I1204" s="197" t="s">
        <v>3218</v>
      </c>
      <c r="J1204" s="143" t="s">
        <v>330</v>
      </c>
      <c r="K1204" s="143">
        <v>150</v>
      </c>
      <c r="L1204" s="198">
        <v>202</v>
      </c>
      <c r="Q1204" s="169" t="s">
        <v>3871</v>
      </c>
      <c r="W1204" s="169" t="s">
        <v>3872</v>
      </c>
      <c r="X1204" s="143" t="s">
        <v>3932</v>
      </c>
      <c r="Y1204" s="169" t="s">
        <v>3872</v>
      </c>
      <c r="Z1204" s="143" t="s">
        <v>3932</v>
      </c>
      <c r="AA1204" s="143">
        <v>25.6</v>
      </c>
      <c r="AB1204" s="169" t="s">
        <v>3873</v>
      </c>
    </row>
    <row r="1205" ht="16.5" spans="1:28">
      <c r="A1205" s="143">
        <v>1207</v>
      </c>
      <c r="B1205" s="144">
        <v>45909</v>
      </c>
      <c r="D1205" s="143" t="s">
        <v>2338</v>
      </c>
      <c r="E1205" s="196" t="s">
        <v>3866</v>
      </c>
      <c r="F1205" s="143" t="s">
        <v>3934</v>
      </c>
      <c r="H1205" s="143" t="s">
        <v>3935</v>
      </c>
      <c r="I1205" s="197" t="s">
        <v>3218</v>
      </c>
      <c r="J1205" s="143" t="s">
        <v>330</v>
      </c>
      <c r="K1205" s="143">
        <v>150</v>
      </c>
      <c r="L1205" s="198">
        <v>211</v>
      </c>
      <c r="Q1205" s="169" t="s">
        <v>3871</v>
      </c>
      <c r="W1205" s="169" t="s">
        <v>3872</v>
      </c>
      <c r="X1205" s="143" t="s">
        <v>3934</v>
      </c>
      <c r="Y1205" s="169" t="s">
        <v>3872</v>
      </c>
      <c r="Z1205" s="143" t="s">
        <v>3934</v>
      </c>
      <c r="AA1205" s="143">
        <v>26</v>
      </c>
      <c r="AB1205" s="169" t="s">
        <v>3873</v>
      </c>
    </row>
    <row r="1206" ht="16.5" spans="1:28">
      <c r="A1206" s="143">
        <v>1208</v>
      </c>
      <c r="B1206" s="144">
        <v>45909</v>
      </c>
      <c r="D1206" s="143" t="s">
        <v>2338</v>
      </c>
      <c r="E1206" s="196" t="s">
        <v>3866</v>
      </c>
      <c r="F1206" s="143" t="s">
        <v>3936</v>
      </c>
      <c r="H1206" s="143" t="s">
        <v>3937</v>
      </c>
      <c r="I1206" s="197" t="s">
        <v>3218</v>
      </c>
      <c r="J1206" s="143" t="s">
        <v>330</v>
      </c>
      <c r="K1206" s="143">
        <v>150</v>
      </c>
      <c r="L1206" s="198">
        <v>197</v>
      </c>
      <c r="Q1206" s="169" t="s">
        <v>3871</v>
      </c>
      <c r="W1206" s="169" t="s">
        <v>3872</v>
      </c>
      <c r="X1206" s="143" t="s">
        <v>3936</v>
      </c>
      <c r="Y1206" s="169" t="s">
        <v>3872</v>
      </c>
      <c r="Z1206" s="143" t="s">
        <v>3936</v>
      </c>
      <c r="AA1206" s="143">
        <v>23.7</v>
      </c>
      <c r="AB1206" s="169" t="s">
        <v>3873</v>
      </c>
    </row>
    <row r="1207" ht="16.5" spans="1:28">
      <c r="A1207" s="143">
        <v>1209</v>
      </c>
      <c r="B1207" s="144">
        <v>45909</v>
      </c>
      <c r="D1207" s="143" t="s">
        <v>2338</v>
      </c>
      <c r="E1207" s="196" t="s">
        <v>3866</v>
      </c>
      <c r="F1207" s="143" t="s">
        <v>3938</v>
      </c>
      <c r="H1207" s="143" t="s">
        <v>3939</v>
      </c>
      <c r="I1207" s="197" t="s">
        <v>3218</v>
      </c>
      <c r="J1207" s="143" t="s">
        <v>330</v>
      </c>
      <c r="K1207" s="143">
        <v>150</v>
      </c>
      <c r="L1207" s="198">
        <v>195</v>
      </c>
      <c r="Q1207" s="169" t="s">
        <v>3871</v>
      </c>
      <c r="W1207" s="169" t="s">
        <v>3872</v>
      </c>
      <c r="X1207" s="143" t="s">
        <v>3938</v>
      </c>
      <c r="Y1207" s="169" t="s">
        <v>3872</v>
      </c>
      <c r="Z1207" s="143" t="s">
        <v>3938</v>
      </c>
      <c r="AA1207" s="143">
        <v>24.4</v>
      </c>
      <c r="AB1207" s="169" t="s">
        <v>3873</v>
      </c>
    </row>
    <row r="1208" ht="16.5" spans="1:28">
      <c r="A1208" s="143">
        <v>1210</v>
      </c>
      <c r="B1208" s="144">
        <v>45909</v>
      </c>
      <c r="D1208" s="143" t="s">
        <v>2338</v>
      </c>
      <c r="E1208" s="196" t="s">
        <v>3866</v>
      </c>
      <c r="F1208" s="143" t="s">
        <v>3940</v>
      </c>
      <c r="H1208" s="143" t="s">
        <v>3941</v>
      </c>
      <c r="I1208" s="197" t="s">
        <v>3218</v>
      </c>
      <c r="J1208" s="143" t="s">
        <v>330</v>
      </c>
      <c r="K1208" s="143">
        <v>150</v>
      </c>
      <c r="L1208" s="198">
        <v>256</v>
      </c>
      <c r="Q1208" s="169" t="s">
        <v>3871</v>
      </c>
      <c r="W1208" s="169" t="s">
        <v>3872</v>
      </c>
      <c r="X1208" s="143" t="s">
        <v>3940</v>
      </c>
      <c r="Y1208" s="169" t="s">
        <v>3872</v>
      </c>
      <c r="Z1208" s="143" t="s">
        <v>3940</v>
      </c>
      <c r="AA1208" s="143">
        <v>34.9</v>
      </c>
      <c r="AB1208" s="169" t="s">
        <v>3873</v>
      </c>
    </row>
    <row r="1209" ht="16.5" spans="1:28">
      <c r="A1209" s="143">
        <v>1211</v>
      </c>
      <c r="B1209" s="144">
        <v>45909</v>
      </c>
      <c r="D1209" s="143" t="s">
        <v>2338</v>
      </c>
      <c r="E1209" s="196" t="s">
        <v>3866</v>
      </c>
      <c r="F1209" s="177" t="s">
        <v>3942</v>
      </c>
      <c r="G1209" s="177"/>
      <c r="H1209" s="143" t="s">
        <v>3943</v>
      </c>
      <c r="I1209" s="197" t="s">
        <v>3218</v>
      </c>
      <c r="J1209" s="143" t="s">
        <v>330</v>
      </c>
      <c r="K1209" s="143">
        <v>150</v>
      </c>
      <c r="L1209" s="198">
        <v>190</v>
      </c>
      <c r="Q1209" s="169" t="s">
        <v>3871</v>
      </c>
      <c r="W1209" s="169" t="s">
        <v>3872</v>
      </c>
      <c r="X1209" s="143" t="s">
        <v>3942</v>
      </c>
      <c r="Y1209" s="169" t="s">
        <v>3872</v>
      </c>
      <c r="Z1209" s="143" t="s">
        <v>3942</v>
      </c>
      <c r="AA1209" s="143">
        <v>25</v>
      </c>
      <c r="AB1209" s="169" t="s">
        <v>3873</v>
      </c>
    </row>
    <row r="1210" ht="16.5" spans="1:28">
      <c r="A1210" s="143">
        <v>1212</v>
      </c>
      <c r="B1210" s="144">
        <v>45909</v>
      </c>
      <c r="D1210" s="143" t="s">
        <v>2338</v>
      </c>
      <c r="E1210" s="196" t="s">
        <v>3866</v>
      </c>
      <c r="F1210" s="177" t="s">
        <v>3944</v>
      </c>
      <c r="G1210" s="177"/>
      <c r="H1210" s="143" t="s">
        <v>3945</v>
      </c>
      <c r="I1210" s="197" t="s">
        <v>3218</v>
      </c>
      <c r="J1210" s="143" t="s">
        <v>330</v>
      </c>
      <c r="K1210" s="143">
        <v>150</v>
      </c>
      <c r="L1210" s="198">
        <v>190</v>
      </c>
      <c r="Q1210" s="169" t="s">
        <v>3871</v>
      </c>
      <c r="W1210" s="169" t="s">
        <v>3872</v>
      </c>
      <c r="X1210" s="143" t="s">
        <v>3944</v>
      </c>
      <c r="Y1210" s="169" t="s">
        <v>3872</v>
      </c>
      <c r="Z1210" s="143" t="s">
        <v>3944</v>
      </c>
      <c r="AA1210" s="143">
        <v>25</v>
      </c>
      <c r="AB1210" s="169" t="s">
        <v>3873</v>
      </c>
    </row>
    <row r="1211" ht="16.5" spans="1:28">
      <c r="A1211" s="143">
        <v>1213</v>
      </c>
      <c r="B1211" s="144">
        <v>45909</v>
      </c>
      <c r="D1211" s="143" t="s">
        <v>2338</v>
      </c>
      <c r="E1211" s="196" t="s">
        <v>3866</v>
      </c>
      <c r="F1211" s="143" t="s">
        <v>3946</v>
      </c>
      <c r="H1211" s="143" t="s">
        <v>3947</v>
      </c>
      <c r="I1211" s="197" t="s">
        <v>3218</v>
      </c>
      <c r="J1211" s="143" t="s">
        <v>330</v>
      </c>
      <c r="K1211" s="143">
        <v>150</v>
      </c>
      <c r="L1211" s="198">
        <v>233</v>
      </c>
      <c r="Q1211" s="169" t="s">
        <v>3871</v>
      </c>
      <c r="W1211" s="169" t="s">
        <v>3872</v>
      </c>
      <c r="X1211" s="143" t="s">
        <v>3946</v>
      </c>
      <c r="Y1211" s="169" t="s">
        <v>3872</v>
      </c>
      <c r="Z1211" s="143" t="s">
        <v>3946</v>
      </c>
      <c r="AA1211" s="143">
        <v>27</v>
      </c>
      <c r="AB1211" s="169" t="s">
        <v>3873</v>
      </c>
    </row>
    <row r="1212" ht="16.5" spans="1:28">
      <c r="A1212" s="143">
        <v>1214</v>
      </c>
      <c r="B1212" s="144">
        <v>45909</v>
      </c>
      <c r="D1212" s="143" t="s">
        <v>2338</v>
      </c>
      <c r="E1212" s="196" t="s">
        <v>3866</v>
      </c>
      <c r="F1212" s="143" t="s">
        <v>3948</v>
      </c>
      <c r="H1212" s="143" t="s">
        <v>3949</v>
      </c>
      <c r="I1212" s="197" t="s">
        <v>3218</v>
      </c>
      <c r="J1212" s="143" t="s">
        <v>330</v>
      </c>
      <c r="K1212" s="143">
        <v>150</v>
      </c>
      <c r="L1212" s="198">
        <v>244</v>
      </c>
      <c r="Q1212" s="169" t="s">
        <v>3871</v>
      </c>
      <c r="W1212" s="169" t="s">
        <v>3872</v>
      </c>
      <c r="X1212" s="143" t="s">
        <v>3948</v>
      </c>
      <c r="Y1212" s="169" t="s">
        <v>3872</v>
      </c>
      <c r="Z1212" s="143" t="s">
        <v>3948</v>
      </c>
      <c r="AA1212" s="143">
        <v>29.7</v>
      </c>
      <c r="AB1212" s="169" t="s">
        <v>3873</v>
      </c>
    </row>
    <row r="1213" ht="16.5" spans="1:28">
      <c r="A1213" s="143">
        <v>1215</v>
      </c>
      <c r="B1213" s="144">
        <v>45909</v>
      </c>
      <c r="D1213" s="143" t="s">
        <v>2338</v>
      </c>
      <c r="E1213" s="196" t="s">
        <v>3866</v>
      </c>
      <c r="F1213" s="143" t="s">
        <v>3950</v>
      </c>
      <c r="H1213" s="143" t="s">
        <v>3951</v>
      </c>
      <c r="I1213" s="197" t="s">
        <v>3218</v>
      </c>
      <c r="J1213" s="143" t="s">
        <v>330</v>
      </c>
      <c r="K1213" s="143">
        <v>150</v>
      </c>
      <c r="L1213" s="198">
        <v>236</v>
      </c>
      <c r="Q1213" s="169" t="s">
        <v>3871</v>
      </c>
      <c r="W1213" s="169" t="s">
        <v>3872</v>
      </c>
      <c r="X1213" s="143" t="s">
        <v>3950</v>
      </c>
      <c r="Y1213" s="169" t="s">
        <v>3872</v>
      </c>
      <c r="Z1213" s="143" t="s">
        <v>3950</v>
      </c>
      <c r="AA1213" s="143">
        <v>28.1</v>
      </c>
      <c r="AB1213" s="169" t="s">
        <v>3873</v>
      </c>
    </row>
    <row r="1214" ht="16.5" spans="1:28">
      <c r="A1214" s="143">
        <v>1216</v>
      </c>
      <c r="B1214" s="144">
        <v>45909</v>
      </c>
      <c r="D1214" s="143" t="s">
        <v>2338</v>
      </c>
      <c r="E1214" s="196" t="s">
        <v>3866</v>
      </c>
      <c r="F1214" s="143" t="s">
        <v>3952</v>
      </c>
      <c r="H1214" s="143" t="s">
        <v>3953</v>
      </c>
      <c r="I1214" s="197" t="s">
        <v>3218</v>
      </c>
      <c r="J1214" s="143" t="s">
        <v>330</v>
      </c>
      <c r="K1214" s="143">
        <v>150</v>
      </c>
      <c r="L1214" s="198">
        <v>239</v>
      </c>
      <c r="Q1214" s="169" t="s">
        <v>3871</v>
      </c>
      <c r="W1214" s="169" t="s">
        <v>3872</v>
      </c>
      <c r="X1214" s="143" t="s">
        <v>3952</v>
      </c>
      <c r="Y1214" s="169" t="s">
        <v>3872</v>
      </c>
      <c r="Z1214" s="143" t="s">
        <v>3952</v>
      </c>
      <c r="AA1214" s="143">
        <v>29</v>
      </c>
      <c r="AB1214" s="169" t="s">
        <v>3873</v>
      </c>
    </row>
    <row r="1215" ht="16.5" spans="1:28">
      <c r="A1215" s="143">
        <v>1217</v>
      </c>
      <c r="B1215" s="144">
        <v>45909</v>
      </c>
      <c r="D1215" s="143" t="s">
        <v>2338</v>
      </c>
      <c r="E1215" s="196" t="s">
        <v>3866</v>
      </c>
      <c r="F1215" s="143" t="s">
        <v>3954</v>
      </c>
      <c r="H1215" s="143" t="s">
        <v>3955</v>
      </c>
      <c r="I1215" s="197" t="s">
        <v>3218</v>
      </c>
      <c r="J1215" s="143" t="s">
        <v>330</v>
      </c>
      <c r="K1215" s="143">
        <v>150</v>
      </c>
      <c r="L1215" s="198">
        <v>300</v>
      </c>
      <c r="Q1215" s="169" t="s">
        <v>3871</v>
      </c>
      <c r="W1215" s="169" t="s">
        <v>3872</v>
      </c>
      <c r="X1215" s="143" t="s">
        <v>3954</v>
      </c>
      <c r="Y1215" s="169" t="s">
        <v>3872</v>
      </c>
      <c r="Z1215" s="143" t="s">
        <v>3954</v>
      </c>
      <c r="AA1215" s="143">
        <v>30.4</v>
      </c>
      <c r="AB1215" s="169" t="s">
        <v>3873</v>
      </c>
    </row>
    <row r="1216" ht="16.5" spans="1:28">
      <c r="A1216" s="143">
        <v>1218</v>
      </c>
      <c r="B1216" s="144">
        <v>45909</v>
      </c>
      <c r="D1216" s="143" t="s">
        <v>2338</v>
      </c>
      <c r="E1216" s="196" t="s">
        <v>3866</v>
      </c>
      <c r="F1216" s="143" t="s">
        <v>3956</v>
      </c>
      <c r="H1216" s="143" t="s">
        <v>3957</v>
      </c>
      <c r="I1216" s="197" t="s">
        <v>3218</v>
      </c>
      <c r="J1216" s="143" t="s">
        <v>330</v>
      </c>
      <c r="K1216" s="143">
        <v>150</v>
      </c>
      <c r="L1216" s="198">
        <v>265</v>
      </c>
      <c r="Q1216" s="169" t="s">
        <v>3871</v>
      </c>
      <c r="W1216" s="169" t="s">
        <v>3872</v>
      </c>
      <c r="X1216" s="143" t="s">
        <v>3956</v>
      </c>
      <c r="Y1216" s="169" t="s">
        <v>3872</v>
      </c>
      <c r="Z1216" s="143" t="s">
        <v>3956</v>
      </c>
      <c r="AA1216" s="143">
        <v>31.3</v>
      </c>
      <c r="AB1216" s="169" t="s">
        <v>3873</v>
      </c>
    </row>
    <row r="1217" ht="16.5" spans="1:28">
      <c r="A1217" s="143">
        <v>1219</v>
      </c>
      <c r="B1217" s="144">
        <v>45909</v>
      </c>
      <c r="D1217" s="143" t="s">
        <v>2338</v>
      </c>
      <c r="E1217" s="196" t="s">
        <v>3866</v>
      </c>
      <c r="F1217" s="143" t="s">
        <v>3958</v>
      </c>
      <c r="H1217" s="143" t="s">
        <v>3959</v>
      </c>
      <c r="I1217" s="197" t="s">
        <v>3218</v>
      </c>
      <c r="J1217" s="143" t="s">
        <v>330</v>
      </c>
      <c r="K1217" s="143">
        <v>150</v>
      </c>
      <c r="L1217" s="198">
        <v>267</v>
      </c>
      <c r="Q1217" s="169" t="s">
        <v>3871</v>
      </c>
      <c r="W1217" s="169" t="s">
        <v>3872</v>
      </c>
      <c r="X1217" s="143" t="s">
        <v>3958</v>
      </c>
      <c r="Y1217" s="169" t="s">
        <v>3872</v>
      </c>
      <c r="Z1217" s="143" t="s">
        <v>3958</v>
      </c>
      <c r="AA1217" s="143">
        <v>29.2</v>
      </c>
      <c r="AB1217" s="169" t="s">
        <v>3873</v>
      </c>
    </row>
    <row r="1218" ht="16.5" spans="1:28">
      <c r="A1218" s="143">
        <v>1220</v>
      </c>
      <c r="B1218" s="144">
        <v>45909</v>
      </c>
      <c r="D1218" s="143" t="s">
        <v>2338</v>
      </c>
      <c r="E1218" s="196" t="s">
        <v>3866</v>
      </c>
      <c r="F1218" s="143" t="s">
        <v>3960</v>
      </c>
      <c r="H1218" s="143" t="s">
        <v>3961</v>
      </c>
      <c r="I1218" s="197" t="s">
        <v>3218</v>
      </c>
      <c r="J1218" s="143" t="s">
        <v>330</v>
      </c>
      <c r="K1218" s="143">
        <v>150</v>
      </c>
      <c r="L1218" s="198">
        <v>270</v>
      </c>
      <c r="Q1218" s="169" t="s">
        <v>3871</v>
      </c>
      <c r="W1218" s="169" t="s">
        <v>3872</v>
      </c>
      <c r="X1218" s="143" t="s">
        <v>3960</v>
      </c>
      <c r="Y1218" s="169" t="s">
        <v>3872</v>
      </c>
      <c r="Z1218" s="143" t="s">
        <v>3960</v>
      </c>
      <c r="AA1218" s="143">
        <v>29.2</v>
      </c>
      <c r="AB1218" s="169" t="s">
        <v>3873</v>
      </c>
    </row>
    <row r="1219" ht="16.5" spans="1:28">
      <c r="A1219" s="143">
        <v>1221</v>
      </c>
      <c r="B1219" s="144">
        <v>45909</v>
      </c>
      <c r="D1219" s="143" t="s">
        <v>2338</v>
      </c>
      <c r="E1219" s="196" t="s">
        <v>3866</v>
      </c>
      <c r="F1219" s="143" t="s">
        <v>3962</v>
      </c>
      <c r="H1219" s="143" t="s">
        <v>3963</v>
      </c>
      <c r="I1219" s="197" t="s">
        <v>3218</v>
      </c>
      <c r="J1219" s="143" t="s">
        <v>330</v>
      </c>
      <c r="K1219" s="143">
        <v>150</v>
      </c>
      <c r="L1219" s="198">
        <v>362</v>
      </c>
      <c r="Q1219" s="169" t="s">
        <v>3871</v>
      </c>
      <c r="W1219" s="169" t="s">
        <v>3872</v>
      </c>
      <c r="X1219" s="143" t="s">
        <v>3962</v>
      </c>
      <c r="Y1219" s="169" t="s">
        <v>3872</v>
      </c>
      <c r="Z1219" s="143" t="s">
        <v>3962</v>
      </c>
      <c r="AA1219" s="143">
        <v>30.3</v>
      </c>
      <c r="AB1219" s="169" t="s">
        <v>3873</v>
      </c>
    </row>
    <row r="1220" ht="16.5" spans="1:28">
      <c r="A1220" s="143">
        <v>1222</v>
      </c>
      <c r="B1220" s="144">
        <v>45909</v>
      </c>
      <c r="D1220" s="143" t="s">
        <v>2338</v>
      </c>
      <c r="E1220" s="196" t="s">
        <v>3866</v>
      </c>
      <c r="F1220" s="143" t="s">
        <v>3964</v>
      </c>
      <c r="H1220" s="143" t="s">
        <v>3965</v>
      </c>
      <c r="I1220" s="197" t="s">
        <v>3218</v>
      </c>
      <c r="J1220" s="143" t="s">
        <v>330</v>
      </c>
      <c r="K1220" s="143">
        <v>150</v>
      </c>
      <c r="L1220" s="198">
        <v>267</v>
      </c>
      <c r="Q1220" s="169" t="s">
        <v>3871</v>
      </c>
      <c r="W1220" s="169" t="s">
        <v>3872</v>
      </c>
      <c r="X1220" s="143" t="s">
        <v>3964</v>
      </c>
      <c r="Y1220" s="169" t="s">
        <v>3872</v>
      </c>
      <c r="Z1220" s="143" t="s">
        <v>3964</v>
      </c>
      <c r="AA1220" s="143">
        <v>29.7</v>
      </c>
      <c r="AB1220" s="169" t="s">
        <v>3873</v>
      </c>
    </row>
    <row r="1221" ht="16.5" spans="1:28">
      <c r="A1221" s="143">
        <v>1223</v>
      </c>
      <c r="B1221" s="144">
        <v>45909</v>
      </c>
      <c r="D1221" s="143" t="s">
        <v>2338</v>
      </c>
      <c r="E1221" s="196" t="s">
        <v>3866</v>
      </c>
      <c r="F1221" s="143" t="s">
        <v>3966</v>
      </c>
      <c r="H1221" s="143" t="s">
        <v>3967</v>
      </c>
      <c r="I1221" s="197" t="s">
        <v>3218</v>
      </c>
      <c r="J1221" s="143" t="s">
        <v>330</v>
      </c>
      <c r="K1221" s="143">
        <v>150</v>
      </c>
      <c r="L1221" s="198">
        <v>288</v>
      </c>
      <c r="Q1221" s="169" t="s">
        <v>3871</v>
      </c>
      <c r="W1221" s="169" t="s">
        <v>3872</v>
      </c>
      <c r="X1221" s="143" t="s">
        <v>3966</v>
      </c>
      <c r="Y1221" s="169" t="s">
        <v>3872</v>
      </c>
      <c r="Z1221" s="143" t="s">
        <v>3966</v>
      </c>
      <c r="AA1221" s="143">
        <v>26</v>
      </c>
      <c r="AB1221" s="169" t="s">
        <v>3873</v>
      </c>
    </row>
    <row r="1222" ht="16.5" spans="1:28">
      <c r="A1222" s="143">
        <v>1224</v>
      </c>
      <c r="B1222" s="144">
        <v>45909</v>
      </c>
      <c r="D1222" s="143" t="s">
        <v>2338</v>
      </c>
      <c r="E1222" s="196" t="s">
        <v>3866</v>
      </c>
      <c r="F1222" s="143" t="s">
        <v>3968</v>
      </c>
      <c r="H1222" s="143" t="s">
        <v>3969</v>
      </c>
      <c r="I1222" s="197" t="s">
        <v>3970</v>
      </c>
      <c r="J1222" s="197" t="s">
        <v>3971</v>
      </c>
      <c r="K1222" s="143">
        <v>150</v>
      </c>
      <c r="L1222" s="198">
        <v>171</v>
      </c>
      <c r="Q1222" s="169" t="s">
        <v>3871</v>
      </c>
      <c r="W1222" s="169" t="s">
        <v>3872</v>
      </c>
      <c r="X1222" s="143" t="s">
        <v>3968</v>
      </c>
      <c r="Y1222" s="169" t="s">
        <v>3872</v>
      </c>
      <c r="Z1222" s="143" t="s">
        <v>3968</v>
      </c>
      <c r="AA1222" s="143">
        <v>24.8</v>
      </c>
      <c r="AB1222" s="169" t="s">
        <v>3873</v>
      </c>
    </row>
    <row r="1223" ht="16.5" spans="1:28">
      <c r="A1223" s="143">
        <v>1225</v>
      </c>
      <c r="B1223" s="144">
        <v>45909</v>
      </c>
      <c r="D1223" s="143" t="s">
        <v>2338</v>
      </c>
      <c r="E1223" s="196" t="s">
        <v>3866</v>
      </c>
      <c r="F1223" s="143" t="s">
        <v>3972</v>
      </c>
      <c r="H1223" s="143" t="s">
        <v>3973</v>
      </c>
      <c r="I1223" s="197" t="s">
        <v>3974</v>
      </c>
      <c r="J1223" s="197" t="s">
        <v>3975</v>
      </c>
      <c r="K1223" s="143">
        <v>150</v>
      </c>
      <c r="L1223" s="198">
        <v>300</v>
      </c>
      <c r="Q1223" s="169" t="s">
        <v>3871</v>
      </c>
      <c r="W1223" s="169" t="s">
        <v>3872</v>
      </c>
      <c r="X1223" s="143" t="s">
        <v>3972</v>
      </c>
      <c r="Y1223" s="169" t="s">
        <v>3872</v>
      </c>
      <c r="Z1223" s="143" t="s">
        <v>3972</v>
      </c>
      <c r="AA1223" s="143">
        <v>39.2</v>
      </c>
      <c r="AB1223" s="169" t="s">
        <v>3873</v>
      </c>
    </row>
    <row r="1224" ht="16.5" spans="1:28">
      <c r="A1224" s="143">
        <v>1226</v>
      </c>
      <c r="B1224" s="144">
        <v>45909</v>
      </c>
      <c r="D1224" s="143" t="s">
        <v>2338</v>
      </c>
      <c r="E1224" s="196" t="s">
        <v>3866</v>
      </c>
      <c r="F1224" s="143" t="s">
        <v>3976</v>
      </c>
      <c r="H1224" s="143" t="s">
        <v>3977</v>
      </c>
      <c r="I1224" s="197" t="s">
        <v>3218</v>
      </c>
      <c r="J1224" s="197" t="s">
        <v>325</v>
      </c>
      <c r="K1224" s="143">
        <v>150</v>
      </c>
      <c r="L1224" s="198">
        <v>209</v>
      </c>
      <c r="Q1224" s="169" t="s">
        <v>3871</v>
      </c>
      <c r="W1224" s="169" t="s">
        <v>3872</v>
      </c>
      <c r="X1224" s="143" t="s">
        <v>3976</v>
      </c>
      <c r="Y1224" s="169" t="s">
        <v>3872</v>
      </c>
      <c r="Z1224" s="143" t="s">
        <v>3976</v>
      </c>
      <c r="AA1224" s="143">
        <v>26.1</v>
      </c>
      <c r="AB1224" s="169" t="s">
        <v>3873</v>
      </c>
    </row>
    <row r="1225" ht="16.5" spans="1:28">
      <c r="A1225" s="143">
        <v>1227</v>
      </c>
      <c r="B1225" s="144">
        <v>45909</v>
      </c>
      <c r="D1225" s="143" t="s">
        <v>2338</v>
      </c>
      <c r="E1225" s="196" t="s">
        <v>3866</v>
      </c>
      <c r="F1225" s="143" t="s">
        <v>3978</v>
      </c>
      <c r="H1225" s="143" t="s">
        <v>3979</v>
      </c>
      <c r="I1225" s="197" t="s">
        <v>3980</v>
      </c>
      <c r="J1225" s="197" t="s">
        <v>3981</v>
      </c>
      <c r="K1225" s="143">
        <v>150</v>
      </c>
      <c r="L1225" s="198">
        <v>217</v>
      </c>
      <c r="Q1225" s="169" t="s">
        <v>3871</v>
      </c>
      <c r="W1225" s="169" t="s">
        <v>3872</v>
      </c>
      <c r="X1225" s="143" t="s">
        <v>3978</v>
      </c>
      <c r="Y1225" s="169" t="s">
        <v>3872</v>
      </c>
      <c r="Z1225" s="143" t="s">
        <v>3978</v>
      </c>
      <c r="AA1225" s="143">
        <v>32.2</v>
      </c>
      <c r="AB1225" s="169" t="s">
        <v>3873</v>
      </c>
    </row>
    <row r="1226" ht="16.5" spans="1:28">
      <c r="A1226" s="143">
        <v>1228</v>
      </c>
      <c r="B1226" s="144">
        <v>45909</v>
      </c>
      <c r="D1226" s="143" t="s">
        <v>2338</v>
      </c>
      <c r="E1226" s="196" t="s">
        <v>3866</v>
      </c>
      <c r="F1226" s="143" t="s">
        <v>3982</v>
      </c>
      <c r="H1226" s="143" t="s">
        <v>3983</v>
      </c>
      <c r="I1226" s="197" t="s">
        <v>3984</v>
      </c>
      <c r="J1226" s="197" t="s">
        <v>3985</v>
      </c>
      <c r="K1226" s="143">
        <v>150</v>
      </c>
      <c r="L1226" s="198">
        <v>253</v>
      </c>
      <c r="Q1226" s="169" t="s">
        <v>3871</v>
      </c>
      <c r="W1226" s="169" t="s">
        <v>3872</v>
      </c>
      <c r="X1226" s="143" t="s">
        <v>3982</v>
      </c>
      <c r="Y1226" s="169" t="s">
        <v>3872</v>
      </c>
      <c r="Z1226" s="143" t="s">
        <v>3982</v>
      </c>
      <c r="AA1226" s="143">
        <v>31.8</v>
      </c>
      <c r="AB1226" s="169" t="s">
        <v>3873</v>
      </c>
    </row>
    <row r="1227" ht="16.5" spans="1:28">
      <c r="A1227" s="143">
        <v>1229</v>
      </c>
      <c r="B1227" s="144">
        <v>45910</v>
      </c>
      <c r="D1227" s="143" t="s">
        <v>2338</v>
      </c>
      <c r="E1227" s="196" t="s">
        <v>3866</v>
      </c>
      <c r="F1227" s="143" t="s">
        <v>3986</v>
      </c>
      <c r="H1227" s="143" t="s">
        <v>3987</v>
      </c>
      <c r="I1227" s="197" t="s">
        <v>3218</v>
      </c>
      <c r="J1227" s="197" t="s">
        <v>325</v>
      </c>
      <c r="K1227" s="143">
        <v>150</v>
      </c>
      <c r="L1227" s="198">
        <v>208</v>
      </c>
      <c r="Q1227" s="169" t="s">
        <v>3871</v>
      </c>
      <c r="W1227" s="169" t="s">
        <v>3872</v>
      </c>
      <c r="X1227" s="143" t="s">
        <v>3986</v>
      </c>
      <c r="Y1227" s="169" t="s">
        <v>3872</v>
      </c>
      <c r="Z1227" s="143" t="s">
        <v>3986</v>
      </c>
      <c r="AA1227" s="143">
        <v>26.1</v>
      </c>
      <c r="AB1227" s="169" t="s">
        <v>3873</v>
      </c>
    </row>
    <row r="1228" ht="16.5" spans="1:28">
      <c r="A1228" s="143">
        <v>1230</v>
      </c>
      <c r="B1228" s="144">
        <v>45910</v>
      </c>
      <c r="D1228" s="143" t="s">
        <v>2338</v>
      </c>
      <c r="E1228" s="196" t="s">
        <v>3866</v>
      </c>
      <c r="F1228" s="143" t="s">
        <v>3988</v>
      </c>
      <c r="H1228" s="143" t="s">
        <v>3989</v>
      </c>
      <c r="I1228" s="197" t="s">
        <v>3218</v>
      </c>
      <c r="J1228" s="197" t="s">
        <v>325</v>
      </c>
      <c r="K1228" s="143">
        <v>150</v>
      </c>
      <c r="L1228" s="198">
        <v>231</v>
      </c>
      <c r="Q1228" s="169" t="s">
        <v>3871</v>
      </c>
      <c r="W1228" s="169" t="s">
        <v>3872</v>
      </c>
      <c r="X1228" s="143" t="s">
        <v>3988</v>
      </c>
      <c r="Y1228" s="169" t="s">
        <v>3872</v>
      </c>
      <c r="Z1228" s="143" t="s">
        <v>3988</v>
      </c>
      <c r="AA1228" s="143">
        <v>30.1</v>
      </c>
      <c r="AB1228" s="169" t="s">
        <v>3873</v>
      </c>
    </row>
    <row r="1229" ht="16.5" spans="1:28">
      <c r="A1229" s="143">
        <v>1231</v>
      </c>
      <c r="B1229" s="144">
        <v>45910</v>
      </c>
      <c r="D1229" s="143" t="s">
        <v>2338</v>
      </c>
      <c r="E1229" s="196" t="s">
        <v>3866</v>
      </c>
      <c r="F1229" s="143" t="s">
        <v>3990</v>
      </c>
      <c r="H1229" s="143" t="s">
        <v>3991</v>
      </c>
      <c r="I1229" s="197" t="s">
        <v>3218</v>
      </c>
      <c r="J1229" s="197" t="s">
        <v>325</v>
      </c>
      <c r="K1229" s="143">
        <v>150</v>
      </c>
      <c r="L1229" s="198">
        <v>195</v>
      </c>
      <c r="Q1229" s="169" t="s">
        <v>3871</v>
      </c>
      <c r="W1229" s="169" t="s">
        <v>3872</v>
      </c>
      <c r="X1229" s="143" t="s">
        <v>3990</v>
      </c>
      <c r="Y1229" s="169" t="s">
        <v>3872</v>
      </c>
      <c r="Z1229" s="143" t="s">
        <v>3990</v>
      </c>
      <c r="AA1229" s="143">
        <v>25.2</v>
      </c>
      <c r="AB1229" s="169" t="s">
        <v>3873</v>
      </c>
    </row>
    <row r="1230" ht="16.5" spans="1:28">
      <c r="A1230" s="143">
        <v>1232</v>
      </c>
      <c r="B1230" s="144">
        <v>45910</v>
      </c>
      <c r="D1230" s="143" t="s">
        <v>2338</v>
      </c>
      <c r="E1230" s="196" t="s">
        <v>3866</v>
      </c>
      <c r="F1230" s="143" t="s">
        <v>3992</v>
      </c>
      <c r="H1230" s="143" t="s">
        <v>3993</v>
      </c>
      <c r="I1230" s="197" t="s">
        <v>3994</v>
      </c>
      <c r="J1230" s="197" t="s">
        <v>3995</v>
      </c>
      <c r="K1230" s="143">
        <v>150</v>
      </c>
      <c r="L1230" s="198">
        <v>230</v>
      </c>
      <c r="Q1230" s="169" t="s">
        <v>3871</v>
      </c>
      <c r="W1230" s="169" t="s">
        <v>3872</v>
      </c>
      <c r="X1230" s="143" t="s">
        <v>3992</v>
      </c>
      <c r="Y1230" s="169" t="s">
        <v>3872</v>
      </c>
      <c r="Z1230" s="143" t="s">
        <v>3992</v>
      </c>
      <c r="AA1230" s="143">
        <v>32</v>
      </c>
      <c r="AB1230" s="169" t="s">
        <v>3873</v>
      </c>
    </row>
    <row r="1231" ht="16.5" spans="1:28">
      <c r="A1231" s="143">
        <v>1233</v>
      </c>
      <c r="B1231" s="144">
        <v>45910</v>
      </c>
      <c r="D1231" s="143" t="s">
        <v>2338</v>
      </c>
      <c r="E1231" s="196" t="s">
        <v>3866</v>
      </c>
      <c r="F1231" s="143" t="s">
        <v>3996</v>
      </c>
      <c r="H1231" s="143" t="s">
        <v>3997</v>
      </c>
      <c r="I1231" s="197" t="s">
        <v>3970</v>
      </c>
      <c r="J1231" s="197" t="s">
        <v>3971</v>
      </c>
      <c r="K1231" s="143">
        <v>150</v>
      </c>
      <c r="L1231" s="198">
        <v>170</v>
      </c>
      <c r="Q1231" s="169" t="s">
        <v>3871</v>
      </c>
      <c r="W1231" s="169" t="s">
        <v>3872</v>
      </c>
      <c r="X1231" s="143" t="s">
        <v>3996</v>
      </c>
      <c r="Y1231" s="169" t="s">
        <v>3872</v>
      </c>
      <c r="Z1231" s="143" t="s">
        <v>3996</v>
      </c>
      <c r="AA1231" s="143">
        <v>28</v>
      </c>
      <c r="AB1231" s="169" t="s">
        <v>3873</v>
      </c>
    </row>
    <row r="1232" ht="16.5" spans="1:28">
      <c r="A1232" s="143">
        <v>1234</v>
      </c>
      <c r="B1232" s="144">
        <v>45910</v>
      </c>
      <c r="D1232" s="143" t="s">
        <v>2338</v>
      </c>
      <c r="E1232" s="196" t="s">
        <v>3866</v>
      </c>
      <c r="F1232" s="143" t="s">
        <v>3998</v>
      </c>
      <c r="H1232" s="143" t="s">
        <v>3999</v>
      </c>
      <c r="I1232" s="197" t="s">
        <v>4000</v>
      </c>
      <c r="J1232" s="197" t="s">
        <v>4001</v>
      </c>
      <c r="K1232" s="143">
        <v>150</v>
      </c>
      <c r="L1232" s="198">
        <v>283</v>
      </c>
      <c r="Q1232" s="169" t="s">
        <v>3871</v>
      </c>
      <c r="W1232" s="169" t="s">
        <v>3872</v>
      </c>
      <c r="X1232" s="143" t="s">
        <v>3998</v>
      </c>
      <c r="Y1232" s="169" t="s">
        <v>3872</v>
      </c>
      <c r="Z1232" s="143" t="s">
        <v>3998</v>
      </c>
      <c r="AA1232" s="143">
        <v>38.5</v>
      </c>
      <c r="AB1232" s="169" t="s">
        <v>3873</v>
      </c>
    </row>
    <row r="1233" ht="16.5" spans="1:28">
      <c r="A1233" s="143">
        <v>1235</v>
      </c>
      <c r="B1233" s="144">
        <v>45910</v>
      </c>
      <c r="D1233" s="143" t="s">
        <v>2338</v>
      </c>
      <c r="E1233" s="196" t="s">
        <v>3866</v>
      </c>
      <c r="F1233" s="143" t="s">
        <v>4002</v>
      </c>
      <c r="H1233" s="143" t="s">
        <v>4003</v>
      </c>
      <c r="I1233" s="197" t="s">
        <v>3869</v>
      </c>
      <c r="J1233" s="197" t="s">
        <v>4004</v>
      </c>
      <c r="K1233" s="143">
        <v>150</v>
      </c>
      <c r="L1233" s="198">
        <v>279</v>
      </c>
      <c r="Q1233" s="169" t="s">
        <v>3871</v>
      </c>
      <c r="W1233" s="169" t="s">
        <v>3872</v>
      </c>
      <c r="X1233" s="143" t="s">
        <v>4002</v>
      </c>
      <c r="Y1233" s="169" t="s">
        <v>3872</v>
      </c>
      <c r="Z1233" s="143" t="s">
        <v>4002</v>
      </c>
      <c r="AA1233" s="143">
        <v>26.8</v>
      </c>
      <c r="AB1233" s="169" t="s">
        <v>3873</v>
      </c>
    </row>
    <row r="1234" ht="16.5" spans="1:28">
      <c r="A1234" s="143">
        <v>1236</v>
      </c>
      <c r="B1234" s="144">
        <v>45910</v>
      </c>
      <c r="D1234" s="143" t="s">
        <v>2338</v>
      </c>
      <c r="E1234" s="196" t="s">
        <v>3866</v>
      </c>
      <c r="F1234" s="143" t="s">
        <v>4005</v>
      </c>
      <c r="H1234" s="143" t="s">
        <v>4006</v>
      </c>
      <c r="I1234" s="197" t="s">
        <v>3218</v>
      </c>
      <c r="J1234" s="197" t="s">
        <v>325</v>
      </c>
      <c r="K1234" s="143">
        <v>150</v>
      </c>
      <c r="L1234" s="198">
        <v>260</v>
      </c>
      <c r="Q1234" s="169" t="s">
        <v>3871</v>
      </c>
      <c r="W1234" s="169" t="s">
        <v>3872</v>
      </c>
      <c r="X1234" s="143" t="s">
        <v>4005</v>
      </c>
      <c r="Y1234" s="169" t="s">
        <v>3872</v>
      </c>
      <c r="Z1234" s="143" t="s">
        <v>4005</v>
      </c>
      <c r="AA1234" s="143">
        <v>29.6</v>
      </c>
      <c r="AB1234" s="169" t="s">
        <v>3873</v>
      </c>
    </row>
    <row r="1235" ht="16.5" spans="1:28">
      <c r="A1235" s="143">
        <v>1237</v>
      </c>
      <c r="B1235" s="144">
        <v>45910</v>
      </c>
      <c r="D1235" s="143" t="s">
        <v>2338</v>
      </c>
      <c r="E1235" s="196" t="s">
        <v>3866</v>
      </c>
      <c r="F1235" s="143" t="s">
        <v>4007</v>
      </c>
      <c r="H1235" s="143" t="s">
        <v>4008</v>
      </c>
      <c r="I1235" s="197" t="s">
        <v>3869</v>
      </c>
      <c r="J1235" s="197" t="s">
        <v>4004</v>
      </c>
      <c r="K1235" s="143">
        <v>150</v>
      </c>
      <c r="L1235" s="198">
        <v>338</v>
      </c>
      <c r="Q1235" s="169" t="s">
        <v>3871</v>
      </c>
      <c r="W1235" s="169" t="s">
        <v>3872</v>
      </c>
      <c r="X1235" s="143" t="s">
        <v>4007</v>
      </c>
      <c r="Y1235" s="169" t="s">
        <v>3872</v>
      </c>
      <c r="Z1235" s="143" t="s">
        <v>4007</v>
      </c>
      <c r="AA1235" s="143">
        <v>33</v>
      </c>
      <c r="AB1235" s="169" t="s">
        <v>3873</v>
      </c>
    </row>
    <row r="1236" ht="16.5" spans="1:28">
      <c r="A1236" s="143">
        <v>1238</v>
      </c>
      <c r="B1236" s="144">
        <v>45910</v>
      </c>
      <c r="D1236" s="143" t="s">
        <v>2338</v>
      </c>
      <c r="E1236" s="196" t="s">
        <v>3866</v>
      </c>
      <c r="F1236" s="143" t="s">
        <v>4009</v>
      </c>
      <c r="H1236" s="143" t="s">
        <v>4010</v>
      </c>
      <c r="I1236" s="197" t="s">
        <v>3218</v>
      </c>
      <c r="J1236" s="197" t="s">
        <v>325</v>
      </c>
      <c r="K1236" s="143">
        <v>150</v>
      </c>
      <c r="L1236" s="198">
        <v>309</v>
      </c>
      <c r="Q1236" s="169" t="s">
        <v>3871</v>
      </c>
      <c r="W1236" s="169" t="s">
        <v>3872</v>
      </c>
      <c r="X1236" s="143" t="s">
        <v>4009</v>
      </c>
      <c r="Y1236" s="169" t="s">
        <v>3872</v>
      </c>
      <c r="Z1236" s="143" t="s">
        <v>4009</v>
      </c>
      <c r="AA1236" s="143">
        <v>29.8</v>
      </c>
      <c r="AB1236" s="169" t="s">
        <v>3873</v>
      </c>
    </row>
    <row r="1237" ht="16.5" spans="1:28">
      <c r="A1237" s="143">
        <v>1239</v>
      </c>
      <c r="B1237" s="144">
        <v>45910</v>
      </c>
      <c r="D1237" s="143" t="s">
        <v>2338</v>
      </c>
      <c r="E1237" s="196" t="s">
        <v>3866</v>
      </c>
      <c r="F1237" s="143" t="s">
        <v>4011</v>
      </c>
      <c r="H1237" s="143" t="s">
        <v>4012</v>
      </c>
      <c r="I1237" s="197" t="s">
        <v>3218</v>
      </c>
      <c r="J1237" s="197" t="s">
        <v>325</v>
      </c>
      <c r="K1237" s="143">
        <v>150</v>
      </c>
      <c r="L1237" s="198">
        <v>217</v>
      </c>
      <c r="Q1237" s="169" t="s">
        <v>3871</v>
      </c>
      <c r="W1237" s="169" t="s">
        <v>3872</v>
      </c>
      <c r="X1237" s="143" t="s">
        <v>4011</v>
      </c>
      <c r="Y1237" s="169" t="s">
        <v>3872</v>
      </c>
      <c r="Z1237" s="143" t="s">
        <v>4011</v>
      </c>
      <c r="AA1237" s="143">
        <v>25.9</v>
      </c>
      <c r="AB1237" s="169" t="s">
        <v>3873</v>
      </c>
    </row>
    <row r="1238" ht="16.5" spans="1:28">
      <c r="A1238" s="143">
        <v>1240</v>
      </c>
      <c r="B1238" s="144">
        <v>45910</v>
      </c>
      <c r="D1238" s="143" t="s">
        <v>2338</v>
      </c>
      <c r="E1238" s="196" t="s">
        <v>3866</v>
      </c>
      <c r="F1238" s="143" t="s">
        <v>4013</v>
      </c>
      <c r="H1238" s="143" t="s">
        <v>4014</v>
      </c>
      <c r="I1238" s="197" t="s">
        <v>3218</v>
      </c>
      <c r="J1238" s="197" t="s">
        <v>325</v>
      </c>
      <c r="K1238" s="143">
        <v>150</v>
      </c>
      <c r="L1238" s="198">
        <v>280</v>
      </c>
      <c r="Q1238" s="169" t="s">
        <v>3871</v>
      </c>
      <c r="W1238" s="169" t="s">
        <v>3872</v>
      </c>
      <c r="X1238" s="143" t="s">
        <v>4013</v>
      </c>
      <c r="Y1238" s="169" t="s">
        <v>3872</v>
      </c>
      <c r="Z1238" s="143" t="s">
        <v>4013</v>
      </c>
      <c r="AA1238" s="143">
        <v>27.5</v>
      </c>
      <c r="AB1238" s="169" t="s">
        <v>3873</v>
      </c>
    </row>
    <row r="1239" ht="16.5" spans="1:28">
      <c r="A1239" s="143">
        <v>1241</v>
      </c>
      <c r="B1239" s="144">
        <v>45910</v>
      </c>
      <c r="D1239" s="143" t="s">
        <v>2338</v>
      </c>
      <c r="E1239" s="196" t="s">
        <v>3866</v>
      </c>
      <c r="F1239" s="143" t="s">
        <v>4015</v>
      </c>
      <c r="H1239" s="143" t="s">
        <v>4016</v>
      </c>
      <c r="I1239" s="197" t="s">
        <v>3218</v>
      </c>
      <c r="J1239" s="197" t="s">
        <v>325</v>
      </c>
      <c r="K1239" s="143">
        <v>150</v>
      </c>
      <c r="L1239" s="198">
        <v>280</v>
      </c>
      <c r="Q1239" s="169" t="s">
        <v>3871</v>
      </c>
      <c r="W1239" s="169" t="s">
        <v>3872</v>
      </c>
      <c r="X1239" s="143" t="s">
        <v>4015</v>
      </c>
      <c r="Y1239" s="169" t="s">
        <v>3872</v>
      </c>
      <c r="Z1239" s="143" t="s">
        <v>4015</v>
      </c>
      <c r="AA1239" s="143">
        <v>27.5</v>
      </c>
      <c r="AB1239" s="169" t="s">
        <v>3873</v>
      </c>
    </row>
    <row r="1240" ht="16.5" spans="1:28">
      <c r="A1240" s="143">
        <v>1242</v>
      </c>
      <c r="B1240" s="144">
        <v>45910</v>
      </c>
      <c r="D1240" s="143" t="s">
        <v>2338</v>
      </c>
      <c r="E1240" s="196" t="s">
        <v>3866</v>
      </c>
      <c r="F1240" s="143" t="s">
        <v>4017</v>
      </c>
      <c r="H1240" s="143" t="s">
        <v>4018</v>
      </c>
      <c r="I1240" s="197" t="s">
        <v>3218</v>
      </c>
      <c r="J1240" s="197" t="s">
        <v>325</v>
      </c>
      <c r="K1240" s="143">
        <v>150</v>
      </c>
      <c r="L1240" s="198">
        <v>201</v>
      </c>
      <c r="Q1240" s="169" t="s">
        <v>3871</v>
      </c>
      <c r="W1240" s="169" t="s">
        <v>3872</v>
      </c>
      <c r="X1240" s="143" t="s">
        <v>4017</v>
      </c>
      <c r="Y1240" s="169" t="s">
        <v>3872</v>
      </c>
      <c r="Z1240" s="143" t="s">
        <v>4017</v>
      </c>
      <c r="AA1240" s="143">
        <v>22.5</v>
      </c>
      <c r="AB1240" s="169" t="s">
        <v>3873</v>
      </c>
    </row>
    <row r="1241" ht="16.5" spans="1:28">
      <c r="A1241" s="143">
        <v>1243</v>
      </c>
      <c r="B1241" s="144">
        <v>45910</v>
      </c>
      <c r="D1241" s="143" t="s">
        <v>2338</v>
      </c>
      <c r="E1241" s="196" t="s">
        <v>3866</v>
      </c>
      <c r="F1241" s="143" t="s">
        <v>4019</v>
      </c>
      <c r="H1241" s="143" t="s">
        <v>4020</v>
      </c>
      <c r="I1241" s="197" t="s">
        <v>3869</v>
      </c>
      <c r="J1241" s="197" t="s">
        <v>4004</v>
      </c>
      <c r="K1241" s="143">
        <v>150</v>
      </c>
      <c r="L1241" s="198">
        <v>274</v>
      </c>
      <c r="Q1241" s="169" t="s">
        <v>3871</v>
      </c>
      <c r="W1241" s="169" t="s">
        <v>3872</v>
      </c>
      <c r="X1241" s="143" t="s">
        <v>4019</v>
      </c>
      <c r="Y1241" s="169" t="s">
        <v>3872</v>
      </c>
      <c r="Z1241" s="143" t="s">
        <v>4019</v>
      </c>
      <c r="AA1241" s="143">
        <v>29.5</v>
      </c>
      <c r="AB1241" s="169" t="s">
        <v>3873</v>
      </c>
    </row>
    <row r="1242" ht="16.5" spans="1:28">
      <c r="A1242" s="143">
        <v>1244</v>
      </c>
      <c r="B1242" s="144">
        <v>45910</v>
      </c>
      <c r="D1242" s="143" t="s">
        <v>2338</v>
      </c>
      <c r="E1242" s="196" t="s">
        <v>3866</v>
      </c>
      <c r="F1242" s="143" t="s">
        <v>4021</v>
      </c>
      <c r="H1242" s="143" t="s">
        <v>4022</v>
      </c>
      <c r="I1242" s="197" t="s">
        <v>3218</v>
      </c>
      <c r="J1242" s="197" t="s">
        <v>325</v>
      </c>
      <c r="K1242" s="143">
        <v>150</v>
      </c>
      <c r="L1242" s="198">
        <v>221</v>
      </c>
      <c r="Q1242" s="169" t="s">
        <v>3871</v>
      </c>
      <c r="W1242" s="169" t="s">
        <v>3872</v>
      </c>
      <c r="X1242" s="143" t="s">
        <v>4021</v>
      </c>
      <c r="Y1242" s="169" t="s">
        <v>3872</v>
      </c>
      <c r="Z1242" s="143" t="s">
        <v>4021</v>
      </c>
      <c r="AA1242" s="143">
        <v>22.9</v>
      </c>
      <c r="AB1242" s="169" t="s">
        <v>3873</v>
      </c>
    </row>
    <row r="1243" ht="16.5" spans="1:28">
      <c r="A1243" s="143">
        <v>1245</v>
      </c>
      <c r="B1243" s="144">
        <v>45910</v>
      </c>
      <c r="D1243" s="143" t="s">
        <v>2338</v>
      </c>
      <c r="E1243" s="196" t="s">
        <v>3866</v>
      </c>
      <c r="F1243" s="143" t="s">
        <v>4023</v>
      </c>
      <c r="H1243" s="143" t="s">
        <v>4024</v>
      </c>
      <c r="I1243" s="197" t="s">
        <v>3218</v>
      </c>
      <c r="J1243" s="197" t="s">
        <v>325</v>
      </c>
      <c r="K1243" s="143">
        <v>150</v>
      </c>
      <c r="L1243" s="198">
        <v>236</v>
      </c>
      <c r="Q1243" s="169" t="s">
        <v>3871</v>
      </c>
      <c r="W1243" s="169" t="s">
        <v>3872</v>
      </c>
      <c r="X1243" s="143" t="s">
        <v>4023</v>
      </c>
      <c r="Y1243" s="169" t="s">
        <v>3872</v>
      </c>
      <c r="Z1243" s="143" t="s">
        <v>4023</v>
      </c>
      <c r="AA1243" s="143">
        <v>33.9</v>
      </c>
      <c r="AB1243" s="169" t="s">
        <v>3873</v>
      </c>
    </row>
    <row r="1244" ht="16.5" spans="1:28">
      <c r="A1244" s="143">
        <v>1246</v>
      </c>
      <c r="B1244" s="144">
        <v>45910</v>
      </c>
      <c r="D1244" s="143" t="s">
        <v>2338</v>
      </c>
      <c r="E1244" s="196" t="s">
        <v>3866</v>
      </c>
      <c r="F1244" s="143" t="s">
        <v>4025</v>
      </c>
      <c r="H1244" s="143" t="s">
        <v>4026</v>
      </c>
      <c r="I1244" s="197" t="s">
        <v>3218</v>
      </c>
      <c r="J1244" s="197" t="s">
        <v>325</v>
      </c>
      <c r="K1244" s="143">
        <v>150</v>
      </c>
      <c r="L1244" s="198">
        <v>364</v>
      </c>
      <c r="Q1244" s="169" t="s">
        <v>3871</v>
      </c>
      <c r="W1244" s="169" t="s">
        <v>3872</v>
      </c>
      <c r="X1244" s="143" t="s">
        <v>4025</v>
      </c>
      <c r="Y1244" s="169" t="s">
        <v>3872</v>
      </c>
      <c r="Z1244" s="143" t="s">
        <v>4025</v>
      </c>
      <c r="AA1244" s="143">
        <v>32.1</v>
      </c>
      <c r="AB1244" s="169" t="s">
        <v>3873</v>
      </c>
    </row>
    <row r="1245" ht="16.5" spans="1:28">
      <c r="A1245" s="143">
        <v>1247</v>
      </c>
      <c r="B1245" s="144">
        <v>45910</v>
      </c>
      <c r="D1245" s="143" t="s">
        <v>2338</v>
      </c>
      <c r="E1245" s="196" t="s">
        <v>3866</v>
      </c>
      <c r="F1245" s="143" t="s">
        <v>4027</v>
      </c>
      <c r="H1245" s="143" t="s">
        <v>4028</v>
      </c>
      <c r="I1245" s="197" t="s">
        <v>3869</v>
      </c>
      <c r="J1245" s="197" t="s">
        <v>4004</v>
      </c>
      <c r="K1245" s="143">
        <v>150</v>
      </c>
      <c r="L1245" s="198">
        <v>320</v>
      </c>
      <c r="Q1245" s="169" t="s">
        <v>3871</v>
      </c>
      <c r="W1245" s="169" t="s">
        <v>3872</v>
      </c>
      <c r="X1245" s="143" t="s">
        <v>4027</v>
      </c>
      <c r="Y1245" s="169" t="s">
        <v>3872</v>
      </c>
      <c r="Z1245" s="143" t="s">
        <v>4027</v>
      </c>
      <c r="AA1245" s="143">
        <v>38.3</v>
      </c>
      <c r="AB1245" s="169" t="s">
        <v>3873</v>
      </c>
    </row>
    <row r="1246" ht="16.5" spans="1:28">
      <c r="A1246" s="143">
        <v>1248</v>
      </c>
      <c r="B1246" s="144">
        <v>45910</v>
      </c>
      <c r="D1246" s="143" t="s">
        <v>2338</v>
      </c>
      <c r="E1246" s="196" t="s">
        <v>3866</v>
      </c>
      <c r="F1246" s="143" t="s">
        <v>4029</v>
      </c>
      <c r="H1246" s="143" t="s">
        <v>4030</v>
      </c>
      <c r="I1246" s="197" t="s">
        <v>3218</v>
      </c>
      <c r="J1246" s="197" t="s">
        <v>325</v>
      </c>
      <c r="K1246" s="143">
        <v>150</v>
      </c>
      <c r="L1246" s="198">
        <v>248</v>
      </c>
      <c r="Q1246" s="169" t="s">
        <v>3871</v>
      </c>
      <c r="W1246" s="169" t="s">
        <v>3872</v>
      </c>
      <c r="X1246" s="143" t="s">
        <v>4029</v>
      </c>
      <c r="Y1246" s="169" t="s">
        <v>3872</v>
      </c>
      <c r="Z1246" s="143" t="s">
        <v>4029</v>
      </c>
      <c r="AA1246" s="143">
        <v>31.4</v>
      </c>
      <c r="AB1246" s="169" t="s">
        <v>3873</v>
      </c>
    </row>
    <row r="1247" ht="16.5" spans="1:28">
      <c r="A1247" s="143">
        <v>1249</v>
      </c>
      <c r="B1247" s="144">
        <v>45910</v>
      </c>
      <c r="D1247" s="143" t="s">
        <v>2338</v>
      </c>
      <c r="E1247" s="196" t="s">
        <v>3866</v>
      </c>
      <c r="F1247" s="143" t="s">
        <v>4031</v>
      </c>
      <c r="H1247" s="143" t="s">
        <v>4032</v>
      </c>
      <c r="I1247" s="197" t="s">
        <v>3218</v>
      </c>
      <c r="J1247" s="197" t="s">
        <v>325</v>
      </c>
      <c r="K1247" s="143">
        <v>150</v>
      </c>
      <c r="L1247" s="198">
        <v>237</v>
      </c>
      <c r="Q1247" s="169" t="s">
        <v>3871</v>
      </c>
      <c r="W1247" s="169" t="s">
        <v>3872</v>
      </c>
      <c r="X1247" s="143" t="s">
        <v>4031</v>
      </c>
      <c r="Y1247" s="169" t="s">
        <v>3872</v>
      </c>
      <c r="Z1247" s="143" t="s">
        <v>4031</v>
      </c>
      <c r="AA1247" s="143">
        <v>30.1</v>
      </c>
      <c r="AB1247" s="169" t="s">
        <v>3873</v>
      </c>
    </row>
    <row r="1248" ht="16.5" spans="1:28">
      <c r="A1248" s="143">
        <v>1250</v>
      </c>
      <c r="B1248" s="144">
        <v>45910</v>
      </c>
      <c r="D1248" s="143" t="s">
        <v>2338</v>
      </c>
      <c r="E1248" s="196" t="s">
        <v>3866</v>
      </c>
      <c r="F1248" s="143" t="s">
        <v>4033</v>
      </c>
      <c r="H1248" s="143" t="s">
        <v>4034</v>
      </c>
      <c r="I1248" s="197" t="s">
        <v>3218</v>
      </c>
      <c r="J1248" s="197" t="s">
        <v>325</v>
      </c>
      <c r="K1248" s="143">
        <v>150</v>
      </c>
      <c r="L1248" s="198">
        <v>260</v>
      </c>
      <c r="Q1248" s="169" t="s">
        <v>3871</v>
      </c>
      <c r="W1248" s="169" t="s">
        <v>3872</v>
      </c>
      <c r="X1248" s="143" t="s">
        <v>4033</v>
      </c>
      <c r="Y1248" s="169" t="s">
        <v>3872</v>
      </c>
      <c r="Z1248" s="143" t="s">
        <v>4033</v>
      </c>
      <c r="AA1248" s="143">
        <v>31.5</v>
      </c>
      <c r="AB1248" s="169" t="s">
        <v>3873</v>
      </c>
    </row>
    <row r="1249" ht="16.5" spans="1:28">
      <c r="A1249" s="143">
        <v>1251</v>
      </c>
      <c r="B1249" s="144">
        <v>45910</v>
      </c>
      <c r="D1249" s="143" t="s">
        <v>2338</v>
      </c>
      <c r="E1249" s="196" t="s">
        <v>3866</v>
      </c>
      <c r="F1249" s="143" t="s">
        <v>4035</v>
      </c>
      <c r="H1249" s="143" t="s">
        <v>4036</v>
      </c>
      <c r="I1249" s="197" t="s">
        <v>3218</v>
      </c>
      <c r="J1249" s="197" t="s">
        <v>325</v>
      </c>
      <c r="K1249" s="143">
        <v>150</v>
      </c>
      <c r="L1249" s="198">
        <v>269</v>
      </c>
      <c r="Q1249" s="169" t="s">
        <v>3871</v>
      </c>
      <c r="W1249" s="169" t="s">
        <v>3872</v>
      </c>
      <c r="X1249" s="143" t="s">
        <v>4035</v>
      </c>
      <c r="Y1249" s="169" t="s">
        <v>3872</v>
      </c>
      <c r="Z1249" s="143" t="s">
        <v>4035</v>
      </c>
      <c r="AA1249" s="143">
        <v>31.4</v>
      </c>
      <c r="AB1249" s="169" t="s">
        <v>3873</v>
      </c>
    </row>
    <row r="1250" ht="16.5" spans="1:28">
      <c r="A1250" s="143">
        <v>1252</v>
      </c>
      <c r="B1250" s="144">
        <v>45910</v>
      </c>
      <c r="D1250" s="143" t="s">
        <v>2338</v>
      </c>
      <c r="E1250" s="196" t="s">
        <v>3866</v>
      </c>
      <c r="F1250" s="143" t="s">
        <v>4037</v>
      </c>
      <c r="H1250" s="143" t="s">
        <v>4038</v>
      </c>
      <c r="I1250" s="197" t="s">
        <v>3869</v>
      </c>
      <c r="J1250" s="197" t="s">
        <v>4004</v>
      </c>
      <c r="K1250" s="143">
        <v>150</v>
      </c>
      <c r="L1250" s="198">
        <v>259</v>
      </c>
      <c r="Q1250" s="169" t="s">
        <v>3871</v>
      </c>
      <c r="W1250" s="169" t="s">
        <v>3872</v>
      </c>
      <c r="X1250" s="143" t="s">
        <v>4037</v>
      </c>
      <c r="Y1250" s="169" t="s">
        <v>3872</v>
      </c>
      <c r="Z1250" s="143" t="s">
        <v>4037</v>
      </c>
      <c r="AA1250" s="143">
        <v>30.1</v>
      </c>
      <c r="AB1250" s="169" t="s">
        <v>3873</v>
      </c>
    </row>
    <row r="1251" ht="16.5" spans="1:28">
      <c r="A1251" s="143">
        <v>1253</v>
      </c>
      <c r="B1251" s="144">
        <v>45910</v>
      </c>
      <c r="D1251" s="143" t="s">
        <v>2338</v>
      </c>
      <c r="E1251" s="196" t="s">
        <v>3866</v>
      </c>
      <c r="F1251" s="143" t="s">
        <v>4039</v>
      </c>
      <c r="H1251" s="143" t="s">
        <v>4040</v>
      </c>
      <c r="I1251" s="197" t="s">
        <v>3869</v>
      </c>
      <c r="J1251" s="197" t="s">
        <v>4004</v>
      </c>
      <c r="K1251" s="143">
        <v>150</v>
      </c>
      <c r="L1251" s="198">
        <v>268</v>
      </c>
      <c r="Q1251" s="169" t="s">
        <v>3871</v>
      </c>
      <c r="W1251" s="169" t="s">
        <v>3872</v>
      </c>
      <c r="X1251" s="143" t="s">
        <v>4039</v>
      </c>
      <c r="Y1251" s="169" t="s">
        <v>3872</v>
      </c>
      <c r="Z1251" s="143" t="s">
        <v>4039</v>
      </c>
      <c r="AA1251" s="143">
        <v>30.9</v>
      </c>
      <c r="AB1251" s="169" t="s">
        <v>3873</v>
      </c>
    </row>
    <row r="1252" ht="16.5" spans="1:28">
      <c r="A1252" s="143">
        <v>1254</v>
      </c>
      <c r="B1252" s="144">
        <v>45910</v>
      </c>
      <c r="D1252" s="143" t="s">
        <v>2338</v>
      </c>
      <c r="E1252" s="196" t="s">
        <v>3866</v>
      </c>
      <c r="F1252" s="143" t="s">
        <v>4041</v>
      </c>
      <c r="H1252" s="143" t="s">
        <v>4042</v>
      </c>
      <c r="I1252" s="197" t="s">
        <v>3869</v>
      </c>
      <c r="J1252" s="197" t="s">
        <v>4004</v>
      </c>
      <c r="K1252" s="143">
        <v>150</v>
      </c>
      <c r="L1252" s="198">
        <v>267</v>
      </c>
      <c r="Q1252" s="169" t="s">
        <v>3871</v>
      </c>
      <c r="W1252" s="169" t="s">
        <v>3872</v>
      </c>
      <c r="X1252" s="143" t="s">
        <v>4041</v>
      </c>
      <c r="Y1252" s="169" t="s">
        <v>3872</v>
      </c>
      <c r="Z1252" s="143" t="s">
        <v>4041</v>
      </c>
      <c r="AA1252" s="143">
        <v>30.9</v>
      </c>
      <c r="AB1252" s="169" t="s">
        <v>3873</v>
      </c>
    </row>
    <row r="1253" ht="16.5" spans="1:28">
      <c r="A1253" s="143">
        <v>1255</v>
      </c>
      <c r="B1253" s="144">
        <v>45910</v>
      </c>
      <c r="D1253" s="143" t="s">
        <v>2338</v>
      </c>
      <c r="E1253" s="196" t="s">
        <v>3866</v>
      </c>
      <c r="F1253" s="143" t="s">
        <v>4043</v>
      </c>
      <c r="H1253" s="143" t="s">
        <v>4044</v>
      </c>
      <c r="I1253" s="197" t="s">
        <v>3869</v>
      </c>
      <c r="J1253" s="197" t="s">
        <v>4004</v>
      </c>
      <c r="K1253" s="143">
        <v>150</v>
      </c>
      <c r="L1253" s="198">
        <v>267</v>
      </c>
      <c r="Q1253" s="169" t="s">
        <v>3871</v>
      </c>
      <c r="W1253" s="169" t="s">
        <v>3872</v>
      </c>
      <c r="X1253" s="143" t="s">
        <v>4043</v>
      </c>
      <c r="Y1253" s="169" t="s">
        <v>3872</v>
      </c>
      <c r="Z1253" s="143" t="s">
        <v>4043</v>
      </c>
      <c r="AA1253" s="143">
        <v>30.9</v>
      </c>
      <c r="AB1253" s="169" t="s">
        <v>3873</v>
      </c>
    </row>
    <row r="1254" ht="16.5" spans="1:28">
      <c r="A1254" s="143">
        <v>1256</v>
      </c>
      <c r="B1254" s="144">
        <v>45910</v>
      </c>
      <c r="D1254" s="143" t="s">
        <v>2338</v>
      </c>
      <c r="E1254" s="196" t="s">
        <v>3866</v>
      </c>
      <c r="F1254" s="143" t="s">
        <v>3867</v>
      </c>
      <c r="H1254" s="143" t="s">
        <v>4045</v>
      </c>
      <c r="I1254" s="197" t="s">
        <v>3869</v>
      </c>
      <c r="J1254" s="197" t="s">
        <v>4004</v>
      </c>
      <c r="K1254" s="143">
        <v>150</v>
      </c>
      <c r="L1254" s="198">
        <v>258</v>
      </c>
      <c r="Q1254" s="169" t="s">
        <v>3871</v>
      </c>
      <c r="W1254" s="169" t="s">
        <v>3872</v>
      </c>
      <c r="X1254" s="143" t="s">
        <v>3867</v>
      </c>
      <c r="Y1254" s="169" t="s">
        <v>3872</v>
      </c>
      <c r="Z1254" s="143" t="s">
        <v>3867</v>
      </c>
      <c r="AA1254" s="143">
        <v>34.6</v>
      </c>
      <c r="AB1254" s="169" t="s">
        <v>3873</v>
      </c>
    </row>
    <row r="1255" ht="16.5" spans="1:28">
      <c r="A1255" s="143">
        <v>1257</v>
      </c>
      <c r="B1255" s="144">
        <v>45910</v>
      </c>
      <c r="D1255" s="143" t="s">
        <v>2338</v>
      </c>
      <c r="E1255" s="196" t="s">
        <v>3866</v>
      </c>
      <c r="F1255" s="143" t="s">
        <v>4046</v>
      </c>
      <c r="H1255" s="143" t="s">
        <v>4047</v>
      </c>
      <c r="I1255" s="197" t="s">
        <v>3218</v>
      </c>
      <c r="J1255" s="197" t="s">
        <v>325</v>
      </c>
      <c r="K1255" s="143">
        <v>150</v>
      </c>
      <c r="L1255" s="198">
        <v>327</v>
      </c>
      <c r="Q1255" s="169" t="s">
        <v>3871</v>
      </c>
      <c r="W1255" s="169" t="s">
        <v>3872</v>
      </c>
      <c r="X1255" s="143" t="s">
        <v>4046</v>
      </c>
      <c r="Y1255" s="169" t="s">
        <v>3872</v>
      </c>
      <c r="Z1255" s="143" t="s">
        <v>4046</v>
      </c>
      <c r="AA1255" s="143">
        <v>32.9</v>
      </c>
      <c r="AB1255" s="169" t="s">
        <v>3873</v>
      </c>
    </row>
    <row r="1256" ht="16.5" spans="1:28">
      <c r="A1256" s="143">
        <v>1258</v>
      </c>
      <c r="B1256" s="144">
        <v>45910</v>
      </c>
      <c r="D1256" s="143" t="s">
        <v>2338</v>
      </c>
      <c r="E1256" s="196" t="s">
        <v>3866</v>
      </c>
      <c r="F1256" s="143" t="s">
        <v>4048</v>
      </c>
      <c r="H1256" s="143" t="s">
        <v>4049</v>
      </c>
      <c r="I1256" s="197" t="s">
        <v>3218</v>
      </c>
      <c r="J1256" s="197" t="s">
        <v>325</v>
      </c>
      <c r="K1256" s="143">
        <v>150</v>
      </c>
      <c r="L1256" s="198">
        <v>255</v>
      </c>
      <c r="Q1256" s="169" t="s">
        <v>3871</v>
      </c>
      <c r="W1256" s="169" t="s">
        <v>3872</v>
      </c>
      <c r="X1256" s="143" t="s">
        <v>4048</v>
      </c>
      <c r="Y1256" s="169" t="s">
        <v>3872</v>
      </c>
      <c r="Z1256" s="143" t="s">
        <v>4048</v>
      </c>
      <c r="AA1256" s="143">
        <v>24</v>
      </c>
      <c r="AB1256" s="169" t="s">
        <v>3873</v>
      </c>
    </row>
    <row r="1257" ht="16.5" spans="1:28">
      <c r="A1257" s="143">
        <v>1259</v>
      </c>
      <c r="B1257" s="144">
        <v>45910</v>
      </c>
      <c r="D1257" s="143" t="s">
        <v>2338</v>
      </c>
      <c r="E1257" s="196" t="s">
        <v>3866</v>
      </c>
      <c r="F1257" s="143" t="s">
        <v>4050</v>
      </c>
      <c r="H1257" s="143" t="s">
        <v>4051</v>
      </c>
      <c r="I1257" s="197" t="s">
        <v>3869</v>
      </c>
      <c r="J1257" s="197" t="s">
        <v>4004</v>
      </c>
      <c r="K1257" s="143">
        <v>150</v>
      </c>
      <c r="L1257" s="198">
        <v>304</v>
      </c>
      <c r="Q1257" s="169" t="s">
        <v>3871</v>
      </c>
      <c r="W1257" s="169" t="s">
        <v>3872</v>
      </c>
      <c r="X1257" s="143" t="s">
        <v>4050</v>
      </c>
      <c r="Y1257" s="169" t="s">
        <v>3872</v>
      </c>
      <c r="Z1257" s="143" t="s">
        <v>4050</v>
      </c>
      <c r="AA1257" s="143">
        <v>28</v>
      </c>
      <c r="AB1257" s="169" t="s">
        <v>3873</v>
      </c>
    </row>
    <row r="1258" ht="16.5" spans="1:28">
      <c r="A1258" s="143">
        <v>1260</v>
      </c>
      <c r="B1258" s="144">
        <v>45910</v>
      </c>
      <c r="D1258" s="143" t="s">
        <v>2338</v>
      </c>
      <c r="E1258" s="196" t="s">
        <v>3866</v>
      </c>
      <c r="F1258" s="143" t="s">
        <v>4052</v>
      </c>
      <c r="H1258" s="143" t="s">
        <v>4053</v>
      </c>
      <c r="I1258" s="197" t="s">
        <v>3218</v>
      </c>
      <c r="J1258" s="197" t="s">
        <v>325</v>
      </c>
      <c r="K1258" s="143">
        <v>150</v>
      </c>
      <c r="L1258" s="198">
        <v>297</v>
      </c>
      <c r="Q1258" s="169" t="s">
        <v>3871</v>
      </c>
      <c r="W1258" s="169" t="s">
        <v>3872</v>
      </c>
      <c r="X1258" s="143" t="s">
        <v>4052</v>
      </c>
      <c r="Y1258" s="169" t="s">
        <v>3872</v>
      </c>
      <c r="Z1258" s="143" t="s">
        <v>4052</v>
      </c>
      <c r="AA1258" s="143">
        <v>30</v>
      </c>
      <c r="AB1258" s="169" t="s">
        <v>3873</v>
      </c>
    </row>
    <row r="1259" ht="16.5" spans="1:28">
      <c r="A1259" s="143">
        <v>1261</v>
      </c>
      <c r="B1259" s="144">
        <v>45910</v>
      </c>
      <c r="D1259" s="143" t="s">
        <v>2338</v>
      </c>
      <c r="E1259" s="196" t="s">
        <v>3866</v>
      </c>
      <c r="F1259" s="143" t="s">
        <v>4054</v>
      </c>
      <c r="H1259" s="143" t="s">
        <v>4055</v>
      </c>
      <c r="I1259" s="197" t="s">
        <v>3218</v>
      </c>
      <c r="J1259" s="197" t="s">
        <v>325</v>
      </c>
      <c r="K1259" s="143">
        <v>150</v>
      </c>
      <c r="L1259" s="198">
        <v>272</v>
      </c>
      <c r="Q1259" s="169" t="s">
        <v>3871</v>
      </c>
      <c r="W1259" s="169" t="s">
        <v>3872</v>
      </c>
      <c r="X1259" s="143" t="s">
        <v>4054</v>
      </c>
      <c r="Y1259" s="169" t="s">
        <v>3872</v>
      </c>
      <c r="Z1259" s="143" t="s">
        <v>4054</v>
      </c>
      <c r="AA1259" s="143">
        <v>28.2</v>
      </c>
      <c r="AB1259" s="169" t="s">
        <v>3873</v>
      </c>
    </row>
    <row r="1260" ht="16.5" spans="1:28">
      <c r="A1260" s="143">
        <v>1262</v>
      </c>
      <c r="B1260" s="144">
        <v>45910</v>
      </c>
      <c r="D1260" s="143" t="s">
        <v>2338</v>
      </c>
      <c r="E1260" s="196" t="s">
        <v>3866</v>
      </c>
      <c r="F1260" s="143" t="s">
        <v>4056</v>
      </c>
      <c r="H1260" s="143" t="s">
        <v>4057</v>
      </c>
      <c r="I1260" s="197" t="s">
        <v>3218</v>
      </c>
      <c r="J1260" s="197" t="s">
        <v>325</v>
      </c>
      <c r="K1260" s="143">
        <v>150</v>
      </c>
      <c r="L1260" s="198">
        <v>266</v>
      </c>
      <c r="Q1260" s="169" t="s">
        <v>3871</v>
      </c>
      <c r="W1260" s="169" t="s">
        <v>3872</v>
      </c>
      <c r="X1260" s="143" t="s">
        <v>4056</v>
      </c>
      <c r="Y1260" s="169" t="s">
        <v>3872</v>
      </c>
      <c r="Z1260" s="143" t="s">
        <v>4056</v>
      </c>
      <c r="AA1260" s="143">
        <v>29.2</v>
      </c>
      <c r="AB1260" s="169" t="s">
        <v>3873</v>
      </c>
    </row>
    <row r="1261" ht="16.5" spans="1:28">
      <c r="A1261" s="143">
        <v>1263</v>
      </c>
      <c r="B1261" s="144">
        <v>45910</v>
      </c>
      <c r="D1261" s="143" t="s">
        <v>2338</v>
      </c>
      <c r="E1261" s="196" t="s">
        <v>3866</v>
      </c>
      <c r="F1261" s="143" t="s">
        <v>4058</v>
      </c>
      <c r="H1261" s="143" t="s">
        <v>4059</v>
      </c>
      <c r="I1261" s="197" t="s">
        <v>3218</v>
      </c>
      <c r="J1261" s="197" t="s">
        <v>325</v>
      </c>
      <c r="K1261" s="143">
        <v>150</v>
      </c>
      <c r="L1261" s="198">
        <v>232</v>
      </c>
      <c r="Q1261" s="169" t="s">
        <v>3871</v>
      </c>
      <c r="W1261" s="169" t="s">
        <v>3872</v>
      </c>
      <c r="X1261" s="143" t="s">
        <v>4058</v>
      </c>
      <c r="Y1261" s="169" t="s">
        <v>3872</v>
      </c>
      <c r="Z1261" s="143" t="s">
        <v>4058</v>
      </c>
      <c r="AA1261" s="143">
        <v>26.5</v>
      </c>
      <c r="AB1261" s="169" t="s">
        <v>3873</v>
      </c>
    </row>
    <row r="1262" ht="16.5" spans="1:28">
      <c r="A1262" s="143">
        <v>1264</v>
      </c>
      <c r="B1262" s="144">
        <v>45910</v>
      </c>
      <c r="D1262" s="143" t="s">
        <v>2338</v>
      </c>
      <c r="E1262" s="196" t="s">
        <v>3866</v>
      </c>
      <c r="F1262" s="143" t="s">
        <v>4060</v>
      </c>
      <c r="H1262" s="143" t="s">
        <v>4061</v>
      </c>
      <c r="I1262" s="197" t="s">
        <v>3869</v>
      </c>
      <c r="J1262" s="197" t="s">
        <v>4004</v>
      </c>
      <c r="K1262" s="143">
        <v>150</v>
      </c>
      <c r="L1262" s="198">
        <v>335</v>
      </c>
      <c r="Q1262" s="169" t="s">
        <v>3871</v>
      </c>
      <c r="W1262" s="169" t="s">
        <v>3872</v>
      </c>
      <c r="X1262" s="143" t="s">
        <v>4060</v>
      </c>
      <c r="Y1262" s="169" t="s">
        <v>3872</v>
      </c>
      <c r="Z1262" s="143" t="s">
        <v>4060</v>
      </c>
      <c r="AA1262" s="143">
        <v>35.9</v>
      </c>
      <c r="AB1262" s="169" t="s">
        <v>3873</v>
      </c>
    </row>
    <row r="1263" ht="16.5" spans="1:28">
      <c r="A1263" s="143">
        <v>1265</v>
      </c>
      <c r="B1263" s="144">
        <v>45910</v>
      </c>
      <c r="D1263" s="143" t="s">
        <v>2338</v>
      </c>
      <c r="E1263" s="196" t="s">
        <v>3866</v>
      </c>
      <c r="F1263" s="143" t="s">
        <v>4062</v>
      </c>
      <c r="H1263" s="143" t="s">
        <v>4063</v>
      </c>
      <c r="I1263" s="197" t="s">
        <v>3218</v>
      </c>
      <c r="J1263" s="197" t="s">
        <v>325</v>
      </c>
      <c r="K1263" s="143">
        <v>150</v>
      </c>
      <c r="L1263" s="198">
        <v>299</v>
      </c>
      <c r="Q1263" s="169" t="s">
        <v>3871</v>
      </c>
      <c r="W1263" s="169" t="s">
        <v>3872</v>
      </c>
      <c r="X1263" s="143" t="s">
        <v>4062</v>
      </c>
      <c r="Y1263" s="169" t="s">
        <v>3872</v>
      </c>
      <c r="Z1263" s="143" t="s">
        <v>4062</v>
      </c>
      <c r="AA1263" s="143">
        <v>29.5</v>
      </c>
      <c r="AB1263" s="169" t="s">
        <v>3873</v>
      </c>
    </row>
    <row r="1264" ht="16.5" spans="1:28">
      <c r="A1264" s="143">
        <v>1266</v>
      </c>
      <c r="B1264" s="144">
        <v>45910</v>
      </c>
      <c r="D1264" s="143" t="s">
        <v>2338</v>
      </c>
      <c r="E1264" s="196" t="s">
        <v>3866</v>
      </c>
      <c r="F1264" s="143" t="s">
        <v>4064</v>
      </c>
      <c r="H1264" s="143" t="s">
        <v>4065</v>
      </c>
      <c r="I1264" s="197" t="s">
        <v>3218</v>
      </c>
      <c r="J1264" s="197" t="s">
        <v>325</v>
      </c>
      <c r="K1264" s="143">
        <v>150</v>
      </c>
      <c r="L1264" s="198">
        <v>226</v>
      </c>
      <c r="Q1264" s="169" t="s">
        <v>3871</v>
      </c>
      <c r="W1264" s="169" t="s">
        <v>3872</v>
      </c>
      <c r="X1264" s="143" t="s">
        <v>4064</v>
      </c>
      <c r="Y1264" s="169" t="s">
        <v>3872</v>
      </c>
      <c r="Z1264" s="143" t="s">
        <v>4064</v>
      </c>
      <c r="AA1264" s="143">
        <v>25.9</v>
      </c>
      <c r="AB1264" s="169" t="s">
        <v>3873</v>
      </c>
    </row>
    <row r="1265" ht="16.5" spans="1:28">
      <c r="A1265" s="143">
        <v>1267</v>
      </c>
      <c r="B1265" s="144">
        <v>45910</v>
      </c>
      <c r="D1265" s="143" t="s">
        <v>2338</v>
      </c>
      <c r="E1265" s="196" t="s">
        <v>3866</v>
      </c>
      <c r="F1265" s="143" t="s">
        <v>4066</v>
      </c>
      <c r="H1265" s="143" t="s">
        <v>4067</v>
      </c>
      <c r="I1265" s="197" t="s">
        <v>3218</v>
      </c>
      <c r="J1265" s="197" t="s">
        <v>325</v>
      </c>
      <c r="K1265" s="143">
        <v>150</v>
      </c>
      <c r="L1265" s="198">
        <v>271</v>
      </c>
      <c r="Q1265" s="169" t="s">
        <v>3871</v>
      </c>
      <c r="W1265" s="169" t="s">
        <v>3872</v>
      </c>
      <c r="X1265" s="143" t="s">
        <v>4066</v>
      </c>
      <c r="Y1265" s="169" t="s">
        <v>3872</v>
      </c>
      <c r="Z1265" s="143" t="s">
        <v>4066</v>
      </c>
      <c r="AA1265" s="143">
        <v>28.3</v>
      </c>
      <c r="AB1265" s="169" t="s">
        <v>3873</v>
      </c>
    </row>
    <row r="1266" ht="16.5" spans="1:28">
      <c r="A1266" s="143">
        <v>1268</v>
      </c>
      <c r="B1266" s="144">
        <v>45910</v>
      </c>
      <c r="D1266" s="143" t="s">
        <v>2338</v>
      </c>
      <c r="E1266" s="196" t="s">
        <v>3866</v>
      </c>
      <c r="F1266" s="143" t="s">
        <v>4068</v>
      </c>
      <c r="H1266" s="143" t="s">
        <v>4069</v>
      </c>
      <c r="I1266" s="197" t="s">
        <v>3218</v>
      </c>
      <c r="J1266" s="197" t="s">
        <v>325</v>
      </c>
      <c r="K1266" s="143">
        <v>150</v>
      </c>
      <c r="L1266" s="198">
        <v>275</v>
      </c>
      <c r="Q1266" s="169" t="s">
        <v>3871</v>
      </c>
      <c r="W1266" s="169" t="s">
        <v>3872</v>
      </c>
      <c r="X1266" s="143" t="s">
        <v>4068</v>
      </c>
      <c r="Y1266" s="169" t="s">
        <v>3872</v>
      </c>
      <c r="Z1266" s="143" t="s">
        <v>4068</v>
      </c>
      <c r="AA1266" s="143">
        <v>30.2</v>
      </c>
      <c r="AB1266" s="169" t="s">
        <v>3873</v>
      </c>
    </row>
    <row r="1267" ht="16.5" spans="1:28">
      <c r="A1267" s="143">
        <v>1269</v>
      </c>
      <c r="B1267" s="144">
        <v>45910</v>
      </c>
      <c r="D1267" s="143" t="s">
        <v>2338</v>
      </c>
      <c r="E1267" s="196" t="s">
        <v>3866</v>
      </c>
      <c r="F1267" s="143" t="s">
        <v>4070</v>
      </c>
      <c r="H1267" s="143" t="s">
        <v>4071</v>
      </c>
      <c r="I1267" s="197" t="s">
        <v>3869</v>
      </c>
      <c r="J1267" s="197" t="s">
        <v>4004</v>
      </c>
      <c r="K1267" s="143">
        <v>150</v>
      </c>
      <c r="L1267" s="198">
        <v>187</v>
      </c>
      <c r="Q1267" s="169" t="s">
        <v>3871</v>
      </c>
      <c r="W1267" s="169" t="s">
        <v>3872</v>
      </c>
      <c r="X1267" s="143" t="s">
        <v>4070</v>
      </c>
      <c r="Y1267" s="169" t="s">
        <v>3872</v>
      </c>
      <c r="Z1267" s="143" t="s">
        <v>4070</v>
      </c>
      <c r="AA1267" s="143">
        <v>20.8</v>
      </c>
      <c r="AB1267" s="169" t="s">
        <v>3873</v>
      </c>
    </row>
    <row r="1268" ht="16.5" spans="1:28">
      <c r="A1268" s="143">
        <v>1270</v>
      </c>
      <c r="B1268" s="144">
        <v>45910</v>
      </c>
      <c r="D1268" s="143" t="s">
        <v>2338</v>
      </c>
      <c r="E1268" s="196" t="s">
        <v>3866</v>
      </c>
      <c r="F1268" s="143" t="s">
        <v>4072</v>
      </c>
      <c r="H1268" s="143" t="s">
        <v>4073</v>
      </c>
      <c r="I1268" s="197" t="s">
        <v>4074</v>
      </c>
      <c r="J1268" s="197" t="s">
        <v>4075</v>
      </c>
      <c r="K1268" s="143">
        <v>150</v>
      </c>
      <c r="L1268" s="198">
        <v>279</v>
      </c>
      <c r="Q1268" s="169" t="s">
        <v>3871</v>
      </c>
      <c r="W1268" s="169" t="s">
        <v>3872</v>
      </c>
      <c r="X1268" s="143" t="s">
        <v>4072</v>
      </c>
      <c r="Y1268" s="169" t="s">
        <v>3872</v>
      </c>
      <c r="Z1268" s="143" t="s">
        <v>4072</v>
      </c>
      <c r="AA1268" s="143">
        <v>25.5</v>
      </c>
      <c r="AB1268" s="169" t="s">
        <v>3873</v>
      </c>
    </row>
    <row r="1269" ht="16.5" spans="1:28">
      <c r="A1269" s="143">
        <v>1271</v>
      </c>
      <c r="B1269" s="144">
        <v>45910</v>
      </c>
      <c r="D1269" s="143" t="s">
        <v>2338</v>
      </c>
      <c r="E1269" s="196" t="s">
        <v>3866</v>
      </c>
      <c r="F1269" s="143" t="s">
        <v>4076</v>
      </c>
      <c r="H1269" s="143" t="s">
        <v>4077</v>
      </c>
      <c r="I1269" s="197" t="s">
        <v>3994</v>
      </c>
      <c r="J1269" s="197" t="s">
        <v>3995</v>
      </c>
      <c r="K1269" s="143">
        <v>150</v>
      </c>
      <c r="L1269" s="198">
        <v>235</v>
      </c>
      <c r="Q1269" s="169" t="s">
        <v>3871</v>
      </c>
      <c r="W1269" s="169" t="s">
        <v>3872</v>
      </c>
      <c r="X1269" s="143" t="s">
        <v>4076</v>
      </c>
      <c r="Y1269" s="169" t="s">
        <v>3872</v>
      </c>
      <c r="Z1269" s="143" t="s">
        <v>4076</v>
      </c>
      <c r="AA1269" s="143">
        <v>29.1</v>
      </c>
      <c r="AB1269" s="169" t="s">
        <v>3873</v>
      </c>
    </row>
    <row r="1270" ht="16.5" spans="1:28">
      <c r="A1270" s="143">
        <v>1272</v>
      </c>
      <c r="B1270" s="144">
        <v>45910</v>
      </c>
      <c r="D1270" s="143" t="s">
        <v>2338</v>
      </c>
      <c r="E1270" s="196" t="s">
        <v>3866</v>
      </c>
      <c r="F1270" s="143" t="s">
        <v>4078</v>
      </c>
      <c r="H1270" s="143" t="s">
        <v>4079</v>
      </c>
      <c r="I1270" s="197" t="s">
        <v>3218</v>
      </c>
      <c r="J1270" s="197" t="s">
        <v>325</v>
      </c>
      <c r="K1270" s="143">
        <v>150</v>
      </c>
      <c r="L1270" s="198">
        <v>201</v>
      </c>
      <c r="Q1270" s="169" t="s">
        <v>3871</v>
      </c>
      <c r="W1270" s="169" t="s">
        <v>3872</v>
      </c>
      <c r="X1270" s="143" t="s">
        <v>4078</v>
      </c>
      <c r="Y1270" s="169" t="s">
        <v>3872</v>
      </c>
      <c r="Z1270" s="143" t="s">
        <v>4078</v>
      </c>
      <c r="AA1270" s="143">
        <v>25.2</v>
      </c>
      <c r="AB1270" s="169" t="s">
        <v>3873</v>
      </c>
    </row>
    <row r="1271" ht="16.5" spans="1:28">
      <c r="A1271" s="143">
        <v>1273</v>
      </c>
      <c r="B1271" s="144">
        <v>45910</v>
      </c>
      <c r="D1271" s="143" t="s">
        <v>2338</v>
      </c>
      <c r="E1271" s="196" t="s">
        <v>3866</v>
      </c>
      <c r="F1271" s="143" t="s">
        <v>4080</v>
      </c>
      <c r="H1271" s="143" t="s">
        <v>4081</v>
      </c>
      <c r="I1271" s="197" t="s">
        <v>3980</v>
      </c>
      <c r="J1271" s="197" t="s">
        <v>4082</v>
      </c>
      <c r="K1271" s="143">
        <v>150</v>
      </c>
      <c r="L1271" s="198">
        <v>214</v>
      </c>
      <c r="Q1271" s="169" t="s">
        <v>3871</v>
      </c>
      <c r="W1271" s="169" t="s">
        <v>3872</v>
      </c>
      <c r="X1271" s="143" t="s">
        <v>4080</v>
      </c>
      <c r="Y1271" s="169" t="s">
        <v>3872</v>
      </c>
      <c r="Z1271" s="143" t="s">
        <v>4080</v>
      </c>
      <c r="AA1271" s="143">
        <v>31.5</v>
      </c>
      <c r="AB1271" s="169" t="s">
        <v>3873</v>
      </c>
    </row>
    <row r="1272" ht="16.5" spans="1:28">
      <c r="A1272" s="143">
        <v>1274</v>
      </c>
      <c r="B1272" s="144">
        <v>45910</v>
      </c>
      <c r="D1272" s="143" t="s">
        <v>2338</v>
      </c>
      <c r="E1272" s="196" t="s">
        <v>3866</v>
      </c>
      <c r="F1272" s="143" t="s">
        <v>4083</v>
      </c>
      <c r="H1272" s="143" t="s">
        <v>4084</v>
      </c>
      <c r="I1272" s="197" t="s">
        <v>4085</v>
      </c>
      <c r="J1272" s="197" t="s">
        <v>4086</v>
      </c>
      <c r="K1272" s="143">
        <v>150</v>
      </c>
      <c r="L1272" s="199">
        <v>197</v>
      </c>
      <c r="Q1272" s="169" t="s">
        <v>3871</v>
      </c>
      <c r="W1272" s="169" t="s">
        <v>3872</v>
      </c>
      <c r="X1272" s="143" t="s">
        <v>4083</v>
      </c>
      <c r="Y1272" s="169" t="s">
        <v>3872</v>
      </c>
      <c r="Z1272" s="143" t="s">
        <v>4083</v>
      </c>
      <c r="AA1272" s="143">
        <v>24.9</v>
      </c>
      <c r="AB1272" s="169" t="s">
        <v>3873</v>
      </c>
    </row>
    <row r="1273" ht="16.5" spans="1:28">
      <c r="A1273" s="143">
        <v>1275</v>
      </c>
      <c r="B1273" s="144">
        <v>45910</v>
      </c>
      <c r="D1273" s="143" t="s">
        <v>2338</v>
      </c>
      <c r="E1273" s="196" t="s">
        <v>3866</v>
      </c>
      <c r="F1273" s="143" t="s">
        <v>4087</v>
      </c>
      <c r="H1273" s="143" t="s">
        <v>4088</v>
      </c>
      <c r="I1273" s="197" t="s">
        <v>3218</v>
      </c>
      <c r="J1273" s="197" t="s">
        <v>325</v>
      </c>
      <c r="K1273" s="143">
        <v>150</v>
      </c>
      <c r="L1273" s="198">
        <v>272</v>
      </c>
      <c r="Q1273" s="169" t="s">
        <v>3871</v>
      </c>
      <c r="W1273" s="169" t="s">
        <v>3872</v>
      </c>
      <c r="X1273" s="143" t="s">
        <v>4087</v>
      </c>
      <c r="Y1273" s="169" t="s">
        <v>3872</v>
      </c>
      <c r="Z1273" s="143" t="s">
        <v>4087</v>
      </c>
      <c r="AA1273" s="143">
        <v>61.4</v>
      </c>
      <c r="AB1273" s="169" t="s">
        <v>3873</v>
      </c>
    </row>
    <row r="1274" ht="16.5" spans="1:28">
      <c r="A1274" s="143">
        <v>1276</v>
      </c>
      <c r="B1274" s="144">
        <v>45910</v>
      </c>
      <c r="D1274" s="143" t="s">
        <v>2338</v>
      </c>
      <c r="E1274" s="196" t="s">
        <v>3866</v>
      </c>
      <c r="F1274" s="143" t="s">
        <v>4089</v>
      </c>
      <c r="H1274" s="143" t="s">
        <v>4090</v>
      </c>
      <c r="I1274" s="197" t="s">
        <v>3218</v>
      </c>
      <c r="J1274" s="197" t="s">
        <v>325</v>
      </c>
      <c r="K1274" s="143">
        <v>150</v>
      </c>
      <c r="L1274" s="198">
        <v>271</v>
      </c>
      <c r="Q1274" s="169" t="s">
        <v>3871</v>
      </c>
      <c r="W1274" s="169" t="s">
        <v>3872</v>
      </c>
      <c r="X1274" s="143" t="s">
        <v>4089</v>
      </c>
      <c r="Y1274" s="169" t="s">
        <v>3872</v>
      </c>
      <c r="Z1274" s="143" t="s">
        <v>4089</v>
      </c>
      <c r="AA1274" s="143">
        <v>59.1</v>
      </c>
      <c r="AB1274" s="169" t="s">
        <v>3873</v>
      </c>
    </row>
    <row r="1275" ht="16.5" spans="1:28">
      <c r="A1275" s="143">
        <v>1277</v>
      </c>
      <c r="B1275" s="144">
        <v>45910</v>
      </c>
      <c r="D1275" s="143" t="s">
        <v>2338</v>
      </c>
      <c r="E1275" s="196" t="s">
        <v>3866</v>
      </c>
      <c r="F1275" s="143" t="s">
        <v>4091</v>
      </c>
      <c r="H1275" s="143" t="s">
        <v>4092</v>
      </c>
      <c r="I1275" s="197" t="s">
        <v>3869</v>
      </c>
      <c r="J1275" s="197" t="s">
        <v>4004</v>
      </c>
      <c r="K1275" s="143">
        <v>150</v>
      </c>
      <c r="L1275" s="199">
        <v>369</v>
      </c>
      <c r="Q1275" s="169" t="s">
        <v>3871</v>
      </c>
      <c r="W1275" s="169" t="s">
        <v>3872</v>
      </c>
      <c r="X1275" s="143" t="s">
        <v>4091</v>
      </c>
      <c r="Y1275" s="169" t="s">
        <v>3872</v>
      </c>
      <c r="Z1275" s="143" t="s">
        <v>4091</v>
      </c>
      <c r="AA1275" s="143">
        <v>36.9</v>
      </c>
      <c r="AB1275" s="169" t="s">
        <v>3873</v>
      </c>
    </row>
    <row r="1276" ht="16.5" spans="1:28">
      <c r="A1276" s="143">
        <v>1278</v>
      </c>
      <c r="B1276" s="144">
        <v>45910</v>
      </c>
      <c r="D1276" s="143" t="s">
        <v>2338</v>
      </c>
      <c r="E1276" s="196" t="s">
        <v>3866</v>
      </c>
      <c r="F1276" s="143" t="s">
        <v>4093</v>
      </c>
      <c r="H1276" s="143" t="s">
        <v>4094</v>
      </c>
      <c r="I1276" s="197" t="s">
        <v>3869</v>
      </c>
      <c r="J1276" s="197" t="s">
        <v>4004</v>
      </c>
      <c r="K1276" s="143">
        <v>150</v>
      </c>
      <c r="L1276" s="198">
        <v>222</v>
      </c>
      <c r="Q1276" s="169" t="s">
        <v>3871</v>
      </c>
      <c r="W1276" s="169" t="s">
        <v>3872</v>
      </c>
      <c r="X1276" s="143" t="s">
        <v>4093</v>
      </c>
      <c r="Y1276" s="169" t="s">
        <v>3872</v>
      </c>
      <c r="Z1276" s="143" t="s">
        <v>4093</v>
      </c>
      <c r="AA1276" s="143">
        <v>38.8</v>
      </c>
      <c r="AB1276" s="169" t="s">
        <v>3873</v>
      </c>
    </row>
    <row r="1277" ht="16.5" spans="1:28">
      <c r="A1277" s="143">
        <v>1279</v>
      </c>
      <c r="B1277" s="144">
        <v>45910</v>
      </c>
      <c r="D1277" s="143" t="s">
        <v>2338</v>
      </c>
      <c r="E1277" s="196" t="s">
        <v>3866</v>
      </c>
      <c r="F1277" s="143" t="s">
        <v>4095</v>
      </c>
      <c r="H1277" s="143" t="s">
        <v>4096</v>
      </c>
      <c r="I1277" s="197" t="s">
        <v>3869</v>
      </c>
      <c r="J1277" s="197" t="s">
        <v>4004</v>
      </c>
      <c r="K1277" s="143">
        <v>150</v>
      </c>
      <c r="L1277" s="198">
        <v>366</v>
      </c>
      <c r="Q1277" s="169" t="s">
        <v>3871</v>
      </c>
      <c r="W1277" s="169" t="s">
        <v>3872</v>
      </c>
      <c r="X1277" s="143" t="s">
        <v>4095</v>
      </c>
      <c r="Y1277" s="169" t="s">
        <v>3872</v>
      </c>
      <c r="Z1277" s="143" t="s">
        <v>4095</v>
      </c>
      <c r="AA1277" s="143">
        <v>37.2</v>
      </c>
      <c r="AB1277" s="169" t="s">
        <v>3873</v>
      </c>
    </row>
    <row r="1278" ht="16.5" spans="1:28">
      <c r="A1278" s="143">
        <v>1280</v>
      </c>
      <c r="B1278" s="144">
        <v>45910</v>
      </c>
      <c r="D1278" s="143" t="s">
        <v>2338</v>
      </c>
      <c r="E1278" s="196" t="s">
        <v>3866</v>
      </c>
      <c r="F1278" s="143" t="s">
        <v>4097</v>
      </c>
      <c r="H1278" s="143" t="s">
        <v>4098</v>
      </c>
      <c r="I1278" s="197" t="s">
        <v>4099</v>
      </c>
      <c r="J1278" s="197" t="s">
        <v>4100</v>
      </c>
      <c r="K1278" s="143">
        <v>150</v>
      </c>
      <c r="L1278" s="198">
        <v>310</v>
      </c>
      <c r="Q1278" s="169" t="s">
        <v>3871</v>
      </c>
      <c r="W1278" s="169" t="s">
        <v>3872</v>
      </c>
      <c r="X1278" s="143" t="s">
        <v>4097</v>
      </c>
      <c r="Y1278" s="169" t="s">
        <v>3872</v>
      </c>
      <c r="Z1278" s="143" t="s">
        <v>4097</v>
      </c>
      <c r="AA1278" s="143">
        <v>35.4</v>
      </c>
      <c r="AB1278" s="169" t="s">
        <v>3873</v>
      </c>
    </row>
    <row r="1279" ht="16.5" spans="1:28">
      <c r="A1279" s="143">
        <v>1281</v>
      </c>
      <c r="B1279" s="144">
        <v>45910</v>
      </c>
      <c r="D1279" s="143" t="s">
        <v>2338</v>
      </c>
      <c r="E1279" s="196" t="s">
        <v>3866</v>
      </c>
      <c r="F1279" s="143" t="s">
        <v>4101</v>
      </c>
      <c r="H1279" s="143" t="s">
        <v>4102</v>
      </c>
      <c r="I1279" s="197" t="s">
        <v>3869</v>
      </c>
      <c r="J1279" s="197" t="s">
        <v>4004</v>
      </c>
      <c r="K1279" s="143">
        <v>150</v>
      </c>
      <c r="L1279" s="198">
        <v>233</v>
      </c>
      <c r="Q1279" s="169" t="s">
        <v>3871</v>
      </c>
      <c r="W1279" s="169" t="s">
        <v>3872</v>
      </c>
      <c r="X1279" s="143" t="s">
        <v>4101</v>
      </c>
      <c r="Y1279" s="169" t="s">
        <v>3872</v>
      </c>
      <c r="Z1279" s="143" t="s">
        <v>4101</v>
      </c>
      <c r="AA1279" s="143">
        <v>32.7</v>
      </c>
      <c r="AB1279" s="169" t="s">
        <v>3873</v>
      </c>
    </row>
    <row r="1280" ht="16.5" spans="1:28">
      <c r="A1280" s="143">
        <v>1282</v>
      </c>
      <c r="B1280" s="144">
        <v>45910</v>
      </c>
      <c r="D1280" s="143" t="s">
        <v>2338</v>
      </c>
      <c r="E1280" s="196" t="s">
        <v>3866</v>
      </c>
      <c r="F1280" s="143" t="s">
        <v>4103</v>
      </c>
      <c r="H1280" s="143" t="s">
        <v>4104</v>
      </c>
      <c r="I1280" s="197" t="s">
        <v>3869</v>
      </c>
      <c r="J1280" s="197" t="s">
        <v>4004</v>
      </c>
      <c r="K1280" s="143">
        <v>150</v>
      </c>
      <c r="L1280" s="198">
        <v>236</v>
      </c>
      <c r="Q1280" s="169" t="s">
        <v>3871</v>
      </c>
      <c r="W1280" s="169" t="s">
        <v>3872</v>
      </c>
      <c r="X1280" s="143" t="s">
        <v>4103</v>
      </c>
      <c r="Y1280" s="169" t="s">
        <v>3872</v>
      </c>
      <c r="Z1280" s="143" t="s">
        <v>4103</v>
      </c>
      <c r="AA1280" s="143">
        <v>30.7</v>
      </c>
      <c r="AB1280" s="169" t="s">
        <v>3873</v>
      </c>
    </row>
    <row r="1281" ht="16.5" spans="1:28">
      <c r="A1281" s="143">
        <v>1283</v>
      </c>
      <c r="B1281" s="144">
        <v>45910</v>
      </c>
      <c r="D1281" s="143" t="s">
        <v>2338</v>
      </c>
      <c r="E1281" s="196" t="s">
        <v>3866</v>
      </c>
      <c r="F1281" s="143" t="s">
        <v>4105</v>
      </c>
      <c r="H1281" s="143" t="s">
        <v>4106</v>
      </c>
      <c r="I1281" s="197" t="s">
        <v>3869</v>
      </c>
      <c r="J1281" s="197" t="s">
        <v>4004</v>
      </c>
      <c r="K1281" s="143">
        <v>150</v>
      </c>
      <c r="L1281" s="198">
        <v>236</v>
      </c>
      <c r="Q1281" s="169" t="s">
        <v>3871</v>
      </c>
      <c r="W1281" s="169" t="s">
        <v>3872</v>
      </c>
      <c r="X1281" s="143" t="s">
        <v>4105</v>
      </c>
      <c r="Y1281" s="169" t="s">
        <v>3872</v>
      </c>
      <c r="Z1281" s="143" t="s">
        <v>4105</v>
      </c>
      <c r="AA1281" s="143">
        <v>30.7</v>
      </c>
      <c r="AB1281" s="169" t="s">
        <v>3873</v>
      </c>
    </row>
    <row r="1282" ht="16.5" spans="1:28">
      <c r="A1282" s="143">
        <v>1284</v>
      </c>
      <c r="B1282" s="144">
        <v>45910</v>
      </c>
      <c r="D1282" s="143" t="s">
        <v>2338</v>
      </c>
      <c r="E1282" s="196" t="s">
        <v>3866</v>
      </c>
      <c r="F1282" s="143" t="s">
        <v>4107</v>
      </c>
      <c r="H1282" s="143" t="s">
        <v>4108</v>
      </c>
      <c r="I1282" s="197" t="s">
        <v>4085</v>
      </c>
      <c r="J1282" s="197" t="s">
        <v>4086</v>
      </c>
      <c r="K1282" s="143">
        <v>150</v>
      </c>
      <c r="L1282" s="198">
        <v>263</v>
      </c>
      <c r="Q1282" s="169" t="s">
        <v>3871</v>
      </c>
      <c r="W1282" s="169" t="s">
        <v>3872</v>
      </c>
      <c r="X1282" s="143" t="s">
        <v>4107</v>
      </c>
      <c r="Y1282" s="169" t="s">
        <v>3872</v>
      </c>
      <c r="Z1282" s="143" t="s">
        <v>4107</v>
      </c>
      <c r="AA1282" s="143">
        <v>41.1</v>
      </c>
      <c r="AB1282" s="169" t="s">
        <v>3873</v>
      </c>
    </row>
    <row r="1283" ht="16.5" spans="1:28">
      <c r="A1283" s="143">
        <v>1285</v>
      </c>
      <c r="B1283" s="144">
        <v>45910</v>
      </c>
      <c r="D1283" s="143" t="s">
        <v>2338</v>
      </c>
      <c r="E1283" s="196" t="s">
        <v>3866</v>
      </c>
      <c r="F1283" s="143" t="s">
        <v>4109</v>
      </c>
      <c r="H1283" s="143" t="s">
        <v>4110</v>
      </c>
      <c r="I1283" s="197" t="s">
        <v>3218</v>
      </c>
      <c r="J1283" s="197" t="s">
        <v>325</v>
      </c>
      <c r="K1283" s="143">
        <v>150</v>
      </c>
      <c r="L1283" s="198">
        <v>221</v>
      </c>
      <c r="Q1283" s="169" t="s">
        <v>3871</v>
      </c>
      <c r="W1283" s="169" t="s">
        <v>3872</v>
      </c>
      <c r="X1283" s="143" t="s">
        <v>4109</v>
      </c>
      <c r="Y1283" s="169" t="s">
        <v>3872</v>
      </c>
      <c r="Z1283" s="143" t="s">
        <v>4109</v>
      </c>
      <c r="AA1283" s="143">
        <v>32.4</v>
      </c>
      <c r="AB1283" s="169" t="s">
        <v>3873</v>
      </c>
    </row>
    <row r="1284" ht="16.5" spans="1:28">
      <c r="A1284" s="143">
        <v>1286</v>
      </c>
      <c r="B1284" s="144">
        <v>45910</v>
      </c>
      <c r="D1284" s="143" t="s">
        <v>2338</v>
      </c>
      <c r="E1284" s="196" t="s">
        <v>3866</v>
      </c>
      <c r="F1284" s="143" t="s">
        <v>4111</v>
      </c>
      <c r="H1284" s="143" t="s">
        <v>4112</v>
      </c>
      <c r="I1284" s="197" t="s">
        <v>4113</v>
      </c>
      <c r="J1284" s="197" t="s">
        <v>4114</v>
      </c>
      <c r="K1284" s="143">
        <v>150</v>
      </c>
      <c r="L1284" s="198">
        <v>304</v>
      </c>
      <c r="Q1284" s="169" t="s">
        <v>3871</v>
      </c>
      <c r="W1284" s="169" t="s">
        <v>3872</v>
      </c>
      <c r="X1284" s="143" t="s">
        <v>4111</v>
      </c>
      <c r="Y1284" s="169" t="s">
        <v>3872</v>
      </c>
      <c r="Z1284" s="143" t="s">
        <v>4111</v>
      </c>
      <c r="AA1284" s="143">
        <v>37.8</v>
      </c>
      <c r="AB1284" s="169" t="s">
        <v>3873</v>
      </c>
    </row>
    <row r="1285" ht="16.5" spans="1:28">
      <c r="A1285" s="143">
        <v>1287</v>
      </c>
      <c r="B1285" s="144">
        <v>45910</v>
      </c>
      <c r="D1285" s="143" t="s">
        <v>2338</v>
      </c>
      <c r="E1285" s="196" t="s">
        <v>3866</v>
      </c>
      <c r="F1285" s="143" t="s">
        <v>4115</v>
      </c>
      <c r="H1285" s="143" t="s">
        <v>4116</v>
      </c>
      <c r="I1285" s="200" t="s">
        <v>4117</v>
      </c>
      <c r="J1285" s="200" t="s">
        <v>4118</v>
      </c>
      <c r="K1285" s="143">
        <v>150</v>
      </c>
      <c r="L1285" s="198">
        <v>198</v>
      </c>
      <c r="Q1285" s="169" t="s">
        <v>3871</v>
      </c>
      <c r="W1285" s="169" t="s">
        <v>3872</v>
      </c>
      <c r="X1285" s="143" t="s">
        <v>4115</v>
      </c>
      <c r="Y1285" s="169" t="s">
        <v>3872</v>
      </c>
      <c r="Z1285" s="143" t="s">
        <v>4115</v>
      </c>
      <c r="AA1285" s="143">
        <v>31.3</v>
      </c>
      <c r="AB1285" s="169" t="s">
        <v>3873</v>
      </c>
    </row>
    <row r="1286" ht="16.5" spans="1:28">
      <c r="A1286" s="143">
        <v>1288</v>
      </c>
      <c r="B1286" s="144">
        <v>45910</v>
      </c>
      <c r="D1286" s="143" t="s">
        <v>2338</v>
      </c>
      <c r="E1286" s="196" t="s">
        <v>3866</v>
      </c>
      <c r="F1286" s="143" t="s">
        <v>4119</v>
      </c>
      <c r="H1286" s="143" t="s">
        <v>4120</v>
      </c>
      <c r="I1286" s="197" t="s">
        <v>3218</v>
      </c>
      <c r="J1286" s="197" t="s">
        <v>325</v>
      </c>
      <c r="K1286" s="143">
        <v>150</v>
      </c>
      <c r="L1286" s="198">
        <v>253</v>
      </c>
      <c r="Q1286" s="169" t="s">
        <v>3871</v>
      </c>
      <c r="W1286" s="169" t="s">
        <v>3872</v>
      </c>
      <c r="X1286" s="143" t="s">
        <v>4119</v>
      </c>
      <c r="Y1286" s="169" t="s">
        <v>3872</v>
      </c>
      <c r="Z1286" s="143" t="s">
        <v>4119</v>
      </c>
      <c r="AA1286" s="143">
        <v>54.8</v>
      </c>
      <c r="AB1286" s="169" t="s">
        <v>3873</v>
      </c>
    </row>
    <row r="1287" ht="16.5" spans="1:28">
      <c r="A1287" s="143">
        <v>1289</v>
      </c>
      <c r="B1287" s="144">
        <v>45910</v>
      </c>
      <c r="D1287" s="143" t="s">
        <v>2338</v>
      </c>
      <c r="E1287" s="196" t="s">
        <v>3866</v>
      </c>
      <c r="F1287" s="143" t="s">
        <v>4121</v>
      </c>
      <c r="H1287" s="143" t="s">
        <v>4122</v>
      </c>
      <c r="I1287" s="197" t="s">
        <v>4123</v>
      </c>
      <c r="J1287" s="197" t="s">
        <v>4124</v>
      </c>
      <c r="K1287" s="143">
        <v>150</v>
      </c>
      <c r="L1287" s="198">
        <v>263</v>
      </c>
      <c r="Q1287" s="169" t="s">
        <v>3871</v>
      </c>
      <c r="W1287" s="169" t="s">
        <v>3872</v>
      </c>
      <c r="X1287" s="143" t="s">
        <v>4121</v>
      </c>
      <c r="Y1287" s="169" t="s">
        <v>3872</v>
      </c>
      <c r="Z1287" s="143" t="s">
        <v>4121</v>
      </c>
      <c r="AA1287" s="143">
        <v>29.8</v>
      </c>
      <c r="AB1287" s="169" t="s">
        <v>3873</v>
      </c>
    </row>
    <row r="1288" ht="16.5" spans="1:28">
      <c r="A1288" s="143">
        <v>1290</v>
      </c>
      <c r="B1288" s="144">
        <v>45910</v>
      </c>
      <c r="D1288" s="143" t="s">
        <v>2338</v>
      </c>
      <c r="E1288" s="196" t="s">
        <v>3866</v>
      </c>
      <c r="F1288" s="143" t="s">
        <v>4125</v>
      </c>
      <c r="H1288" s="143" t="s">
        <v>4126</v>
      </c>
      <c r="I1288" s="197" t="s">
        <v>3218</v>
      </c>
      <c r="J1288" s="197" t="s">
        <v>325</v>
      </c>
      <c r="K1288" s="143">
        <v>150</v>
      </c>
      <c r="L1288" s="198">
        <v>244</v>
      </c>
      <c r="Q1288" s="169" t="s">
        <v>3871</v>
      </c>
      <c r="W1288" s="169" t="s">
        <v>3872</v>
      </c>
      <c r="X1288" s="143" t="s">
        <v>4125</v>
      </c>
      <c r="Y1288" s="169" t="s">
        <v>3872</v>
      </c>
      <c r="Z1288" s="143" t="s">
        <v>4125</v>
      </c>
      <c r="AA1288" s="143">
        <v>23.1</v>
      </c>
      <c r="AB1288" s="169" t="s">
        <v>3873</v>
      </c>
    </row>
    <row r="1289" ht="16.5" spans="1:28">
      <c r="A1289" s="143">
        <v>1291</v>
      </c>
      <c r="B1289" s="144">
        <v>45910</v>
      </c>
      <c r="D1289" s="143" t="s">
        <v>2338</v>
      </c>
      <c r="E1289" s="196" t="s">
        <v>3866</v>
      </c>
      <c r="F1289" s="143" t="s">
        <v>4127</v>
      </c>
      <c r="H1289" s="143" t="s">
        <v>4128</v>
      </c>
      <c r="I1289" s="197" t="s">
        <v>3218</v>
      </c>
      <c r="J1289" s="197" t="s">
        <v>325</v>
      </c>
      <c r="K1289" s="143">
        <v>150</v>
      </c>
      <c r="L1289" s="198">
        <v>256</v>
      </c>
      <c r="Q1289" s="169" t="s">
        <v>3871</v>
      </c>
      <c r="W1289" s="169" t="s">
        <v>3872</v>
      </c>
      <c r="X1289" s="143" t="s">
        <v>4127</v>
      </c>
      <c r="Y1289" s="169" t="s">
        <v>3872</v>
      </c>
      <c r="Z1289" s="143" t="s">
        <v>4127</v>
      </c>
      <c r="AA1289" s="143">
        <v>26.8</v>
      </c>
      <c r="AB1289" s="169" t="s">
        <v>3873</v>
      </c>
    </row>
    <row r="1290" ht="16.5" spans="1:28">
      <c r="A1290" s="143">
        <v>1292</v>
      </c>
      <c r="B1290" s="144">
        <v>45910</v>
      </c>
      <c r="D1290" s="143" t="s">
        <v>2338</v>
      </c>
      <c r="E1290" s="196" t="s">
        <v>3866</v>
      </c>
      <c r="F1290" s="143" t="s">
        <v>4129</v>
      </c>
      <c r="H1290" s="143" t="s">
        <v>4130</v>
      </c>
      <c r="I1290" s="197" t="s">
        <v>3218</v>
      </c>
      <c r="J1290" s="197" t="s">
        <v>325</v>
      </c>
      <c r="K1290" s="143">
        <v>150</v>
      </c>
      <c r="L1290" s="198">
        <v>313</v>
      </c>
      <c r="Q1290" s="169" t="s">
        <v>3871</v>
      </c>
      <c r="W1290" s="169" t="s">
        <v>3872</v>
      </c>
      <c r="X1290" s="143" t="s">
        <v>4129</v>
      </c>
      <c r="Y1290" s="169" t="s">
        <v>3872</v>
      </c>
      <c r="Z1290" s="143" t="s">
        <v>4129</v>
      </c>
      <c r="AA1290" s="143">
        <v>37</v>
      </c>
      <c r="AB1290" s="169" t="s">
        <v>3873</v>
      </c>
    </row>
    <row r="1291" ht="16.5" spans="1:28">
      <c r="A1291" s="143">
        <v>1293</v>
      </c>
      <c r="B1291" s="144">
        <v>45910</v>
      </c>
      <c r="D1291" s="143" t="s">
        <v>2338</v>
      </c>
      <c r="E1291" s="196" t="s">
        <v>3866</v>
      </c>
      <c r="F1291" s="143" t="s">
        <v>4131</v>
      </c>
      <c r="H1291" s="143" t="s">
        <v>4132</v>
      </c>
      <c r="I1291" s="197" t="s">
        <v>3218</v>
      </c>
      <c r="J1291" s="197" t="s">
        <v>325</v>
      </c>
      <c r="K1291" s="143">
        <v>150</v>
      </c>
      <c r="L1291" s="198">
        <v>353</v>
      </c>
      <c r="Q1291" s="169" t="s">
        <v>3871</v>
      </c>
      <c r="W1291" s="169" t="s">
        <v>3872</v>
      </c>
      <c r="X1291" s="143" t="s">
        <v>4131</v>
      </c>
      <c r="Y1291" s="169" t="s">
        <v>3872</v>
      </c>
      <c r="Z1291" s="143" t="s">
        <v>4131</v>
      </c>
      <c r="AA1291" s="143">
        <v>40</v>
      </c>
      <c r="AB1291" s="169" t="s">
        <v>3873</v>
      </c>
    </row>
    <row r="1292" ht="16.5" spans="1:28">
      <c r="A1292" s="143">
        <v>1294</v>
      </c>
      <c r="B1292" s="144">
        <v>45910</v>
      </c>
      <c r="D1292" s="143" t="s">
        <v>2338</v>
      </c>
      <c r="E1292" s="196" t="s">
        <v>3866</v>
      </c>
      <c r="F1292" s="143" t="s">
        <v>4133</v>
      </c>
      <c r="H1292" s="143" t="s">
        <v>4134</v>
      </c>
      <c r="I1292" s="197" t="s">
        <v>3218</v>
      </c>
      <c r="J1292" s="197" t="s">
        <v>325</v>
      </c>
      <c r="K1292" s="143">
        <v>150</v>
      </c>
      <c r="L1292" s="198">
        <v>250</v>
      </c>
      <c r="Q1292" s="169" t="s">
        <v>3871</v>
      </c>
      <c r="W1292" s="169" t="s">
        <v>3872</v>
      </c>
      <c r="X1292" s="143" t="s">
        <v>4133</v>
      </c>
      <c r="Y1292" s="169" t="s">
        <v>3872</v>
      </c>
      <c r="Z1292" s="143" t="s">
        <v>4133</v>
      </c>
      <c r="AA1292" s="143">
        <v>29.4</v>
      </c>
      <c r="AB1292" s="169" t="s">
        <v>3873</v>
      </c>
    </row>
    <row r="1293" spans="1:28">
      <c r="A1293" s="143">
        <v>1295</v>
      </c>
      <c r="B1293" s="144">
        <v>45912</v>
      </c>
      <c r="C1293" s="169" t="s">
        <v>3277</v>
      </c>
      <c r="D1293" s="143" t="s">
        <v>41</v>
      </c>
      <c r="E1293" s="145" t="s">
        <v>4135</v>
      </c>
      <c r="F1293" s="143" t="s">
        <v>4136</v>
      </c>
      <c r="H1293" s="143" t="s">
        <v>4137</v>
      </c>
      <c r="I1293" s="143" t="s">
        <v>4138</v>
      </c>
      <c r="J1293" s="143" t="s">
        <v>1626</v>
      </c>
      <c r="K1293" s="143">
        <v>150</v>
      </c>
      <c r="L1293" s="143">
        <v>200</v>
      </c>
      <c r="W1293" s="143" t="s">
        <v>3147</v>
      </c>
      <c r="X1293" s="143" t="s">
        <v>4136</v>
      </c>
      <c r="Y1293" s="169" t="s">
        <v>4139</v>
      </c>
      <c r="Z1293" s="143" t="s">
        <v>4136</v>
      </c>
      <c r="AA1293" s="143">
        <v>11.5</v>
      </c>
      <c r="AB1293" s="191">
        <v>45912</v>
      </c>
    </row>
    <row r="1294" spans="1:28">
      <c r="A1294" s="143">
        <v>1296</v>
      </c>
      <c r="B1294" s="144">
        <v>45912</v>
      </c>
      <c r="C1294" s="169" t="s">
        <v>3277</v>
      </c>
      <c r="D1294" s="143" t="s">
        <v>41</v>
      </c>
      <c r="E1294" s="145" t="s">
        <v>4135</v>
      </c>
      <c r="F1294" s="183" t="s">
        <v>4140</v>
      </c>
      <c r="G1294" s="183"/>
      <c r="H1294" s="143" t="s">
        <v>4141</v>
      </c>
      <c r="I1294" s="143" t="s">
        <v>3218</v>
      </c>
      <c r="J1294" s="143" t="s">
        <v>1577</v>
      </c>
      <c r="K1294" s="143">
        <v>150</v>
      </c>
      <c r="L1294" s="143">
        <v>185</v>
      </c>
      <c r="W1294" s="143" t="s">
        <v>3147</v>
      </c>
      <c r="X1294" s="183" t="s">
        <v>4140</v>
      </c>
      <c r="Y1294" s="169" t="s">
        <v>1594</v>
      </c>
      <c r="Z1294" s="183" t="s">
        <v>4140</v>
      </c>
      <c r="AA1294" s="143">
        <v>10.9</v>
      </c>
      <c r="AB1294" s="191">
        <v>45912</v>
      </c>
    </row>
    <row r="1295" spans="1:28">
      <c r="A1295" s="143">
        <v>1297</v>
      </c>
      <c r="B1295" s="144">
        <v>45912</v>
      </c>
      <c r="C1295" s="169" t="s">
        <v>3277</v>
      </c>
      <c r="D1295" s="143" t="s">
        <v>41</v>
      </c>
      <c r="E1295" s="145" t="s">
        <v>4135</v>
      </c>
      <c r="F1295" s="143" t="s">
        <v>4142</v>
      </c>
      <c r="H1295" s="143" t="s">
        <v>4143</v>
      </c>
      <c r="I1295" s="143" t="s">
        <v>3390</v>
      </c>
      <c r="J1295" s="143" t="s">
        <v>4144</v>
      </c>
      <c r="K1295" s="143">
        <v>150</v>
      </c>
      <c r="L1295" s="143">
        <v>250</v>
      </c>
      <c r="W1295" s="143" t="s">
        <v>3147</v>
      </c>
      <c r="X1295" s="143" t="s">
        <v>4142</v>
      </c>
      <c r="Y1295" s="169" t="s">
        <v>2107</v>
      </c>
      <c r="Z1295" s="143" t="s">
        <v>4142</v>
      </c>
      <c r="AA1295" s="143">
        <v>10.8</v>
      </c>
      <c r="AB1295" s="191">
        <v>45912</v>
      </c>
    </row>
    <row r="1296" spans="1:28">
      <c r="A1296" s="143">
        <v>1298</v>
      </c>
      <c r="B1296" s="144">
        <v>45912</v>
      </c>
      <c r="C1296" s="169" t="s">
        <v>3277</v>
      </c>
      <c r="D1296" s="143" t="s">
        <v>41</v>
      </c>
      <c r="E1296" s="145" t="s">
        <v>4135</v>
      </c>
      <c r="F1296" s="143" t="s">
        <v>4145</v>
      </c>
      <c r="H1296" s="143" t="s">
        <v>4146</v>
      </c>
      <c r="I1296" s="143" t="s">
        <v>3218</v>
      </c>
      <c r="J1296" s="143" t="s">
        <v>1577</v>
      </c>
      <c r="K1296" s="143">
        <v>150</v>
      </c>
      <c r="L1296" s="143">
        <v>190</v>
      </c>
      <c r="W1296" s="143" t="s">
        <v>3147</v>
      </c>
      <c r="X1296" s="143" t="s">
        <v>4145</v>
      </c>
      <c r="Y1296" s="169" t="s">
        <v>2107</v>
      </c>
      <c r="Z1296" s="143" t="s">
        <v>4145</v>
      </c>
      <c r="AA1296" s="143">
        <v>11.2</v>
      </c>
      <c r="AB1296" s="191">
        <v>45912</v>
      </c>
    </row>
    <row r="1297" spans="1:39">
      <c r="A1297" s="143">
        <v>1299</v>
      </c>
      <c r="B1297" s="144">
        <v>45912</v>
      </c>
      <c r="C1297" s="169" t="s">
        <v>3277</v>
      </c>
      <c r="D1297" s="143" t="s">
        <v>41</v>
      </c>
      <c r="E1297" s="145" t="s">
        <v>2907</v>
      </c>
      <c r="F1297" s="143" t="s">
        <v>4147</v>
      </c>
      <c r="H1297" s="143" t="s">
        <v>4148</v>
      </c>
      <c r="I1297" s="143" t="s">
        <v>3157</v>
      </c>
      <c r="J1297" s="143" t="s">
        <v>3684</v>
      </c>
      <c r="K1297" s="143">
        <v>190</v>
      </c>
      <c r="L1297" s="143">
        <v>160</v>
      </c>
      <c r="Q1297" s="169" t="s">
        <v>4149</v>
      </c>
      <c r="W1297" s="143" t="s">
        <v>3147</v>
      </c>
      <c r="X1297" s="143" t="s">
        <v>4150</v>
      </c>
      <c r="Y1297" s="169" t="s">
        <v>3607</v>
      </c>
      <c r="Z1297" s="143" t="s">
        <v>4150</v>
      </c>
      <c r="AA1297" s="143">
        <v>46.4</v>
      </c>
      <c r="AB1297" s="191">
        <v>45912</v>
      </c>
    </row>
    <row r="1298" spans="1:39">
      <c r="A1298" s="143">
        <v>1300</v>
      </c>
      <c r="B1298" s="144">
        <v>45912</v>
      </c>
      <c r="C1298" s="169" t="s">
        <v>3277</v>
      </c>
      <c r="D1298" s="143" t="s">
        <v>41</v>
      </c>
      <c r="E1298" s="145" t="s">
        <v>4151</v>
      </c>
      <c r="F1298" s="169" t="s">
        <v>4152</v>
      </c>
      <c r="G1298" s="169"/>
      <c r="H1298" s="143" t="s">
        <v>4153</v>
      </c>
      <c r="I1298" s="143" t="s">
        <v>4154</v>
      </c>
      <c r="J1298" s="143" t="s">
        <v>316</v>
      </c>
      <c r="K1298" s="143">
        <v>170</v>
      </c>
      <c r="L1298" s="143">
        <v>170</v>
      </c>
      <c r="Q1298" s="169" t="s">
        <v>4155</v>
      </c>
      <c r="W1298" s="143" t="s">
        <v>3147</v>
      </c>
      <c r="X1298" s="143" t="s">
        <v>4156</v>
      </c>
      <c r="Y1298" s="169" t="s">
        <v>3749</v>
      </c>
      <c r="Z1298" s="143" t="s">
        <v>4156</v>
      </c>
      <c r="AA1298" s="143">
        <v>33.4</v>
      </c>
      <c r="AB1298" s="191">
        <v>45912</v>
      </c>
    </row>
    <row r="1299" spans="1:39">
      <c r="A1299" s="143">
        <v>1301</v>
      </c>
      <c r="B1299" s="144">
        <v>45912</v>
      </c>
      <c r="C1299" s="169" t="s">
        <v>3277</v>
      </c>
      <c r="D1299" s="143" t="s">
        <v>41</v>
      </c>
      <c r="E1299" s="145" t="s">
        <v>4151</v>
      </c>
      <c r="F1299" s="143" t="s">
        <v>4157</v>
      </c>
      <c r="H1299" s="143" t="s">
        <v>4158</v>
      </c>
      <c r="I1299" s="143" t="s">
        <v>3157</v>
      </c>
      <c r="J1299" s="143" t="s">
        <v>3684</v>
      </c>
      <c r="K1299" s="143">
        <v>185</v>
      </c>
      <c r="L1299" s="143">
        <v>200</v>
      </c>
      <c r="Q1299" s="143" t="s">
        <v>4159</v>
      </c>
      <c r="W1299" s="143" t="s">
        <v>3147</v>
      </c>
      <c r="X1299" s="143" t="s">
        <v>4157</v>
      </c>
      <c r="Y1299" s="169" t="s">
        <v>3835</v>
      </c>
      <c r="Z1299" s="143" t="s">
        <v>4157</v>
      </c>
      <c r="AA1299" s="143">
        <v>42.6</v>
      </c>
      <c r="AB1299" s="191">
        <v>45912</v>
      </c>
    </row>
    <row r="1300" spans="1:39">
      <c r="A1300" s="143">
        <v>1302</v>
      </c>
      <c r="B1300" s="144">
        <v>45917</v>
      </c>
      <c r="C1300" s="169" t="s">
        <v>3646</v>
      </c>
      <c r="D1300" s="143" t="s">
        <v>2338</v>
      </c>
      <c r="E1300" s="196" t="s">
        <v>4160</v>
      </c>
      <c r="F1300" s="143" t="s">
        <v>4161</v>
      </c>
      <c r="H1300" s="143" t="s">
        <v>4162</v>
      </c>
      <c r="I1300" s="143" t="s">
        <v>4163</v>
      </c>
      <c r="J1300" s="143" t="s">
        <v>4164</v>
      </c>
      <c r="K1300" s="143">
        <v>150</v>
      </c>
      <c r="L1300" s="143">
        <v>220</v>
      </c>
      <c r="W1300" s="169" t="s">
        <v>3872</v>
      </c>
      <c r="X1300" s="143" t="s">
        <v>4161</v>
      </c>
      <c r="Y1300" s="169" t="s">
        <v>3872</v>
      </c>
      <c r="AA1300" s="143">
        <v>25.7</v>
      </c>
      <c r="AB1300" s="169" t="s">
        <v>3873</v>
      </c>
    </row>
    <row r="1301" spans="1:39">
      <c r="A1301" s="143">
        <v>1303</v>
      </c>
      <c r="B1301" s="144">
        <v>45917</v>
      </c>
      <c r="C1301" s="169" t="s">
        <v>3646</v>
      </c>
      <c r="D1301" s="143" t="s">
        <v>2338</v>
      </c>
      <c r="E1301" s="196" t="s">
        <v>4160</v>
      </c>
      <c r="F1301" s="143" t="s">
        <v>4165</v>
      </c>
      <c r="H1301" s="143" t="s">
        <v>4166</v>
      </c>
      <c r="I1301" s="143" t="s">
        <v>4167</v>
      </c>
      <c r="J1301" s="143" t="s">
        <v>4168</v>
      </c>
      <c r="K1301" s="143">
        <v>150</v>
      </c>
      <c r="L1301" s="143">
        <v>210</v>
      </c>
      <c r="W1301" s="169" t="s">
        <v>3872</v>
      </c>
      <c r="X1301" s="143" t="s">
        <v>4165</v>
      </c>
      <c r="Y1301" s="169" t="s">
        <v>3872</v>
      </c>
      <c r="AA1301" s="143">
        <v>24.3</v>
      </c>
      <c r="AB1301" s="169" t="s">
        <v>3873</v>
      </c>
    </row>
    <row r="1302" spans="1:39">
      <c r="A1302" s="143">
        <v>1304</v>
      </c>
      <c r="B1302" s="144">
        <v>45917</v>
      </c>
      <c r="C1302" s="169" t="s">
        <v>3646</v>
      </c>
      <c r="D1302" s="143" t="s">
        <v>2338</v>
      </c>
      <c r="E1302" s="196" t="s">
        <v>4160</v>
      </c>
      <c r="F1302" s="143" t="s">
        <v>4169</v>
      </c>
      <c r="H1302" s="143" t="s">
        <v>4170</v>
      </c>
      <c r="I1302" s="143" t="s">
        <v>4167</v>
      </c>
      <c r="J1302" s="143" t="s">
        <v>4168</v>
      </c>
      <c r="K1302" s="143">
        <v>150</v>
      </c>
      <c r="L1302" s="143">
        <v>220</v>
      </c>
      <c r="W1302" s="169" t="s">
        <v>3872</v>
      </c>
      <c r="X1302" s="143" t="s">
        <v>4169</v>
      </c>
      <c r="Y1302" s="169" t="s">
        <v>3872</v>
      </c>
      <c r="AA1302" s="143">
        <v>25.7</v>
      </c>
      <c r="AB1302" s="169" t="s">
        <v>3873</v>
      </c>
    </row>
    <row r="1303" spans="1:39">
      <c r="A1303" s="143">
        <v>1305</v>
      </c>
      <c r="B1303" s="144">
        <v>45917</v>
      </c>
      <c r="C1303" s="169" t="s">
        <v>3646</v>
      </c>
      <c r="D1303" s="143" t="s">
        <v>2338</v>
      </c>
      <c r="E1303" s="196" t="s">
        <v>4160</v>
      </c>
      <c r="F1303" s="143" t="s">
        <v>4171</v>
      </c>
      <c r="H1303" s="143" t="s">
        <v>4172</v>
      </c>
      <c r="I1303" s="143" t="s">
        <v>4163</v>
      </c>
      <c r="J1303" s="143" t="s">
        <v>4164</v>
      </c>
      <c r="K1303" s="143">
        <v>150</v>
      </c>
      <c r="L1303" s="143">
        <v>220</v>
      </c>
      <c r="W1303" s="169" t="s">
        <v>3872</v>
      </c>
      <c r="X1303" s="143" t="s">
        <v>4171</v>
      </c>
      <c r="Y1303" s="169" t="s">
        <v>3872</v>
      </c>
      <c r="AA1303" s="143">
        <v>25.7</v>
      </c>
      <c r="AB1303" s="169" t="s">
        <v>3873</v>
      </c>
    </row>
    <row r="1304" spans="1:39">
      <c r="A1304" s="143">
        <v>1306</v>
      </c>
      <c r="B1304" s="144">
        <v>45917</v>
      </c>
      <c r="C1304" s="169" t="s">
        <v>3646</v>
      </c>
      <c r="D1304" s="143" t="s">
        <v>2338</v>
      </c>
      <c r="E1304" s="196" t="s">
        <v>4160</v>
      </c>
      <c r="F1304" s="143" t="s">
        <v>4173</v>
      </c>
      <c r="H1304" s="143" t="s">
        <v>4174</v>
      </c>
      <c r="I1304" s="143" t="s">
        <v>4163</v>
      </c>
      <c r="J1304" s="143" t="s">
        <v>4164</v>
      </c>
      <c r="K1304" s="143">
        <v>150</v>
      </c>
      <c r="L1304" s="143">
        <v>220</v>
      </c>
      <c r="W1304" s="169" t="s">
        <v>3872</v>
      </c>
      <c r="X1304" s="143" t="s">
        <v>4173</v>
      </c>
      <c r="Y1304" s="169" t="s">
        <v>3872</v>
      </c>
      <c r="AA1304" s="143">
        <v>25.7</v>
      </c>
      <c r="AB1304" s="169" t="s">
        <v>3873</v>
      </c>
    </row>
    <row r="1305" spans="1:39">
      <c r="A1305" s="143">
        <v>1307</v>
      </c>
      <c r="B1305" s="144">
        <v>45917</v>
      </c>
      <c r="C1305" s="169" t="s">
        <v>3646</v>
      </c>
      <c r="D1305" s="143" t="s">
        <v>2338</v>
      </c>
      <c r="E1305" s="196" t="s">
        <v>4160</v>
      </c>
      <c r="F1305" s="143" t="s">
        <v>4175</v>
      </c>
      <c r="H1305" s="143" t="s">
        <v>4176</v>
      </c>
      <c r="I1305" s="143" t="s">
        <v>4163</v>
      </c>
      <c r="J1305" s="143" t="s">
        <v>4164</v>
      </c>
      <c r="K1305" s="143">
        <v>150</v>
      </c>
      <c r="L1305" s="143">
        <v>220</v>
      </c>
      <c r="W1305" s="169" t="s">
        <v>3872</v>
      </c>
      <c r="X1305" s="143" t="s">
        <v>4175</v>
      </c>
      <c r="Y1305" s="169" t="s">
        <v>3872</v>
      </c>
      <c r="AA1305" s="143">
        <v>25.7</v>
      </c>
      <c r="AB1305" s="169" t="s">
        <v>3873</v>
      </c>
    </row>
    <row r="1306" customFormat="1" ht="14.25" spans="1:39">
      <c r="A1306" s="143">
        <v>1308</v>
      </c>
      <c r="B1306" s="144">
        <v>45918</v>
      </c>
      <c r="C1306" s="169" t="s">
        <v>4177</v>
      </c>
      <c r="D1306" s="143" t="s">
        <v>41</v>
      </c>
      <c r="E1306" s="196" t="s">
        <v>4178</v>
      </c>
      <c r="F1306" s="143" t="s">
        <v>4179</v>
      </c>
      <c r="G1306" s="143"/>
      <c r="H1306" s="143" t="s">
        <v>4180</v>
      </c>
      <c r="I1306" s="143" t="s">
        <v>4181</v>
      </c>
      <c r="J1306" s="143" t="s">
        <v>4182</v>
      </c>
      <c r="K1306" s="143">
        <v>150</v>
      </c>
      <c r="L1306" s="143">
        <v>400</v>
      </c>
      <c r="M1306" s="143"/>
      <c r="N1306" s="143"/>
      <c r="O1306" s="143"/>
      <c r="P1306" s="143"/>
      <c r="Q1306" s="143"/>
      <c r="R1306" s="143"/>
      <c r="S1306" s="146"/>
      <c r="T1306" s="146"/>
      <c r="U1306" s="146"/>
      <c r="V1306" s="147"/>
      <c r="W1306" s="143" t="s">
        <v>3147</v>
      </c>
      <c r="X1306" s="143" t="s">
        <v>4179</v>
      </c>
      <c r="Y1306" s="169" t="s">
        <v>4183</v>
      </c>
      <c r="Z1306" s="143" t="s">
        <v>4179</v>
      </c>
      <c r="AA1306" s="143">
        <v>23.5</v>
      </c>
      <c r="AB1306" s="191">
        <v>45920</v>
      </c>
      <c r="AC1306" s="143"/>
      <c r="AD1306" s="143"/>
      <c r="AE1306" s="143"/>
      <c r="AF1306" s="143"/>
      <c r="AG1306" s="143"/>
      <c r="AH1306" s="143"/>
      <c r="AI1306" s="201"/>
      <c r="AJ1306" s="201"/>
      <c r="AK1306" s="201"/>
      <c r="AL1306" s="201"/>
      <c r="AM1306" s="201"/>
    </row>
    <row r="1307" customFormat="1" ht="14.25" spans="1:39">
      <c r="A1307" s="143">
        <v>1309</v>
      </c>
      <c r="B1307" s="144">
        <v>45918</v>
      </c>
      <c r="C1307" s="169" t="s">
        <v>4177</v>
      </c>
      <c r="D1307" s="143" t="s">
        <v>41</v>
      </c>
      <c r="E1307" s="196" t="s">
        <v>4178</v>
      </c>
      <c r="F1307" s="143" t="s">
        <v>4184</v>
      </c>
      <c r="G1307" s="143"/>
      <c r="H1307" s="143" t="s">
        <v>4185</v>
      </c>
      <c r="I1307" s="143" t="s">
        <v>4186</v>
      </c>
      <c r="J1307" s="143" t="s">
        <v>4187</v>
      </c>
      <c r="K1307" s="143">
        <v>150</v>
      </c>
      <c r="L1307" s="143">
        <v>140</v>
      </c>
      <c r="M1307" s="143"/>
      <c r="N1307" s="143"/>
      <c r="O1307" s="143"/>
      <c r="P1307" s="143"/>
      <c r="Q1307" s="143"/>
      <c r="R1307" s="143"/>
      <c r="S1307" s="146"/>
      <c r="T1307" s="146"/>
      <c r="U1307" s="146"/>
      <c r="V1307" s="147"/>
      <c r="W1307" s="143" t="s">
        <v>3147</v>
      </c>
      <c r="X1307" s="143" t="s">
        <v>4184</v>
      </c>
      <c r="Y1307" s="169" t="s">
        <v>4183</v>
      </c>
      <c r="Z1307" s="143" t="s">
        <v>4184</v>
      </c>
      <c r="AA1307" s="143">
        <v>21.5</v>
      </c>
      <c r="AB1307" s="191">
        <v>45920</v>
      </c>
      <c r="AC1307" s="143"/>
      <c r="AD1307" s="143"/>
      <c r="AE1307" s="143"/>
      <c r="AF1307" s="143"/>
      <c r="AG1307" s="143"/>
      <c r="AH1307" s="143"/>
      <c r="AI1307" s="201"/>
      <c r="AJ1307" s="201"/>
      <c r="AK1307" s="201"/>
      <c r="AL1307" s="201"/>
      <c r="AM1307" s="201"/>
    </row>
    <row r="1308" customFormat="1" ht="14.25" spans="1:39">
      <c r="A1308" s="143">
        <v>1310</v>
      </c>
      <c r="B1308" s="144">
        <v>45918</v>
      </c>
      <c r="C1308" s="169" t="s">
        <v>4177</v>
      </c>
      <c r="D1308" s="143" t="s">
        <v>41</v>
      </c>
      <c r="E1308" s="196" t="s">
        <v>4178</v>
      </c>
      <c r="F1308" s="143" t="s">
        <v>4188</v>
      </c>
      <c r="G1308" s="143"/>
      <c r="H1308" s="143" t="s">
        <v>4189</v>
      </c>
      <c r="I1308" s="143" t="s">
        <v>4190</v>
      </c>
      <c r="J1308" s="143" t="s">
        <v>4191</v>
      </c>
      <c r="K1308" s="143">
        <v>150</v>
      </c>
      <c r="L1308" s="143">
        <v>200</v>
      </c>
      <c r="M1308" s="143"/>
      <c r="N1308" s="143"/>
      <c r="O1308" s="143"/>
      <c r="P1308" s="143"/>
      <c r="Q1308" s="143"/>
      <c r="R1308" s="143"/>
      <c r="S1308" s="146"/>
      <c r="T1308" s="146"/>
      <c r="U1308" s="146"/>
      <c r="V1308" s="147"/>
      <c r="W1308" s="143" t="s">
        <v>3147</v>
      </c>
      <c r="X1308" s="143" t="s">
        <v>4188</v>
      </c>
      <c r="Y1308" s="169" t="s">
        <v>4183</v>
      </c>
      <c r="Z1308" s="143" t="s">
        <v>4188</v>
      </c>
      <c r="AA1308" s="143">
        <v>23.5</v>
      </c>
      <c r="AB1308" s="191">
        <v>45920</v>
      </c>
      <c r="AC1308" s="143"/>
      <c r="AD1308" s="143"/>
      <c r="AE1308" s="143"/>
      <c r="AF1308" s="143"/>
      <c r="AG1308" s="143"/>
      <c r="AH1308" s="143"/>
      <c r="AI1308" s="201"/>
      <c r="AJ1308" s="201"/>
      <c r="AK1308" s="201"/>
      <c r="AL1308" s="201"/>
      <c r="AM1308" s="201"/>
    </row>
    <row r="1309" customFormat="1" ht="14.25" spans="1:39">
      <c r="A1309" s="143">
        <v>1311</v>
      </c>
      <c r="B1309" s="144">
        <v>45918</v>
      </c>
      <c r="C1309" s="169" t="s">
        <v>4177</v>
      </c>
      <c r="D1309" s="143" t="s">
        <v>41</v>
      </c>
      <c r="E1309" s="196" t="s">
        <v>4178</v>
      </c>
      <c r="F1309" s="143" t="s">
        <v>4192</v>
      </c>
      <c r="G1309" s="143"/>
      <c r="H1309" s="143" t="s">
        <v>4193</v>
      </c>
      <c r="I1309" s="143" t="s">
        <v>3218</v>
      </c>
      <c r="J1309" s="143" t="s">
        <v>1577</v>
      </c>
      <c r="K1309" s="143">
        <v>150</v>
      </c>
      <c r="L1309" s="143">
        <v>240</v>
      </c>
      <c r="M1309" s="143"/>
      <c r="N1309" s="143"/>
      <c r="O1309" s="143"/>
      <c r="P1309" s="143"/>
      <c r="Q1309" s="143"/>
      <c r="R1309" s="143"/>
      <c r="S1309" s="146"/>
      <c r="T1309" s="146"/>
      <c r="U1309" s="146"/>
      <c r="V1309" s="147"/>
      <c r="W1309" s="143" t="s">
        <v>3147</v>
      </c>
      <c r="X1309" s="143" t="s">
        <v>4192</v>
      </c>
      <c r="Y1309" s="169" t="s">
        <v>4183</v>
      </c>
      <c r="Z1309" s="143" t="s">
        <v>4192</v>
      </c>
      <c r="AA1309" s="143">
        <v>13.5</v>
      </c>
      <c r="AB1309" s="191">
        <v>45920</v>
      </c>
      <c r="AC1309" s="143"/>
      <c r="AD1309" s="143"/>
      <c r="AE1309" s="143"/>
      <c r="AF1309" s="143"/>
      <c r="AG1309" s="143"/>
      <c r="AH1309" s="143"/>
      <c r="AI1309" s="201"/>
      <c r="AJ1309" s="201"/>
      <c r="AK1309" s="201"/>
      <c r="AL1309" s="201"/>
      <c r="AM1309" s="201"/>
    </row>
    <row r="1310" customFormat="1" ht="14.25" spans="1:39">
      <c r="A1310" s="143">
        <v>1312</v>
      </c>
      <c r="B1310" s="144">
        <v>45918</v>
      </c>
      <c r="C1310" s="169" t="s">
        <v>4177</v>
      </c>
      <c r="D1310" s="143" t="s">
        <v>41</v>
      </c>
      <c r="E1310" s="196" t="s">
        <v>4178</v>
      </c>
      <c r="F1310" s="143">
        <v>62715</v>
      </c>
      <c r="G1310" s="143"/>
      <c r="H1310" s="143" t="s">
        <v>4194</v>
      </c>
      <c r="I1310" s="143" t="s">
        <v>4195</v>
      </c>
      <c r="J1310" s="143" t="s">
        <v>4196</v>
      </c>
      <c r="K1310" s="143">
        <v>150</v>
      </c>
      <c r="L1310" s="143">
        <v>350</v>
      </c>
      <c r="M1310" s="143"/>
      <c r="N1310" s="143"/>
      <c r="O1310" s="143"/>
      <c r="P1310" s="143"/>
      <c r="Q1310" s="143"/>
      <c r="R1310" s="143"/>
      <c r="S1310" s="146"/>
      <c r="T1310" s="146"/>
      <c r="U1310" s="146"/>
      <c r="V1310" s="147"/>
      <c r="W1310" s="143" t="s">
        <v>3147</v>
      </c>
      <c r="X1310" s="143">
        <v>62715</v>
      </c>
      <c r="Y1310" s="169" t="s">
        <v>4197</v>
      </c>
      <c r="Z1310" s="143">
        <v>62715</v>
      </c>
      <c r="AA1310" s="143">
        <v>21.5</v>
      </c>
      <c r="AB1310" s="191">
        <v>45920</v>
      </c>
      <c r="AC1310" s="143"/>
      <c r="AD1310" s="143"/>
      <c r="AE1310" s="143"/>
      <c r="AF1310" s="143"/>
      <c r="AG1310" s="143"/>
      <c r="AH1310" s="143"/>
      <c r="AI1310" s="201"/>
      <c r="AJ1310" s="201"/>
      <c r="AK1310" s="201"/>
      <c r="AL1310" s="201"/>
      <c r="AM1310" s="201"/>
    </row>
    <row r="1311" customFormat="1" ht="14.25" spans="1:39">
      <c r="A1311" s="143">
        <v>1313</v>
      </c>
      <c r="B1311" s="144">
        <v>45918</v>
      </c>
      <c r="C1311" s="169" t="s">
        <v>4177</v>
      </c>
      <c r="D1311" s="143" t="s">
        <v>41</v>
      </c>
      <c r="E1311" s="196" t="s">
        <v>4178</v>
      </c>
      <c r="F1311" s="143">
        <v>12196</v>
      </c>
      <c r="G1311" s="143"/>
      <c r="H1311" s="143" t="s">
        <v>4198</v>
      </c>
      <c r="I1311" s="143" t="s">
        <v>3218</v>
      </c>
      <c r="J1311" s="143" t="s">
        <v>1577</v>
      </c>
      <c r="K1311" s="143">
        <v>150</v>
      </c>
      <c r="L1311" s="143">
        <v>180</v>
      </c>
      <c r="M1311" s="143"/>
      <c r="N1311" s="143"/>
      <c r="O1311" s="143"/>
      <c r="P1311" s="143"/>
      <c r="Q1311" s="143"/>
      <c r="R1311" s="143"/>
      <c r="S1311" s="146"/>
      <c r="T1311" s="146"/>
      <c r="U1311" s="146"/>
      <c r="V1311" s="147"/>
      <c r="W1311" s="143" t="s">
        <v>3147</v>
      </c>
      <c r="X1311" s="143">
        <v>12196</v>
      </c>
      <c r="Y1311" s="169" t="s">
        <v>4197</v>
      </c>
      <c r="Z1311" s="143">
        <v>12196</v>
      </c>
      <c r="AA1311" s="143">
        <v>12.3</v>
      </c>
      <c r="AB1311" s="191">
        <v>45920</v>
      </c>
      <c r="AC1311" s="143"/>
      <c r="AD1311" s="143"/>
      <c r="AE1311" s="143"/>
      <c r="AF1311" s="143"/>
      <c r="AG1311" s="143"/>
      <c r="AH1311" s="143"/>
      <c r="AI1311" s="201"/>
      <c r="AJ1311" s="201"/>
      <c r="AK1311" s="201"/>
      <c r="AL1311" s="201"/>
      <c r="AM1311" s="201"/>
    </row>
    <row r="1312" customFormat="1" ht="14.25" spans="1:39">
      <c r="A1312" s="143">
        <v>1314</v>
      </c>
      <c r="B1312" s="144">
        <v>45918</v>
      </c>
      <c r="C1312" s="169" t="s">
        <v>4177</v>
      </c>
      <c r="D1312" s="143" t="s">
        <v>41</v>
      </c>
      <c r="E1312" s="196" t="s">
        <v>4178</v>
      </c>
      <c r="F1312" s="143">
        <v>63029</v>
      </c>
      <c r="G1312" s="143"/>
      <c r="H1312" s="143" t="s">
        <v>4199</v>
      </c>
      <c r="I1312" s="143" t="s">
        <v>4195</v>
      </c>
      <c r="J1312" s="143" t="s">
        <v>4196</v>
      </c>
      <c r="K1312" s="143">
        <v>150</v>
      </c>
      <c r="L1312" s="143">
        <v>150</v>
      </c>
      <c r="M1312" s="143"/>
      <c r="N1312" s="143"/>
      <c r="O1312" s="143"/>
      <c r="P1312" s="143"/>
      <c r="Q1312" s="143"/>
      <c r="R1312" s="143"/>
      <c r="S1312" s="146"/>
      <c r="T1312" s="146"/>
      <c r="U1312" s="146"/>
      <c r="V1312" s="147"/>
      <c r="W1312" s="143" t="s">
        <v>3147</v>
      </c>
      <c r="X1312" s="143">
        <v>63029</v>
      </c>
      <c r="Y1312" s="169" t="s">
        <v>4197</v>
      </c>
      <c r="Z1312" s="143">
        <v>63029</v>
      </c>
      <c r="AA1312" s="143">
        <v>21</v>
      </c>
      <c r="AB1312" s="191">
        <v>45920</v>
      </c>
      <c r="AC1312" s="143"/>
      <c r="AD1312" s="143"/>
      <c r="AE1312" s="143"/>
      <c r="AF1312" s="143"/>
      <c r="AG1312" s="143"/>
      <c r="AH1312" s="143"/>
      <c r="AI1312" s="201"/>
      <c r="AJ1312" s="201"/>
      <c r="AK1312" s="201"/>
      <c r="AL1312" s="201"/>
      <c r="AM1312" s="201"/>
    </row>
    <row r="1313" customFormat="1" ht="14.25" spans="1:39">
      <c r="A1313" s="143">
        <v>1315</v>
      </c>
      <c r="B1313" s="144">
        <v>45918</v>
      </c>
      <c r="C1313" s="169" t="s">
        <v>4177</v>
      </c>
      <c r="D1313" s="143" t="s">
        <v>41</v>
      </c>
      <c r="E1313" s="196" t="s">
        <v>4178</v>
      </c>
      <c r="F1313" s="143">
        <v>12852</v>
      </c>
      <c r="G1313" s="143"/>
      <c r="H1313" s="143" t="s">
        <v>4200</v>
      </c>
      <c r="I1313" s="143" t="s">
        <v>4195</v>
      </c>
      <c r="J1313" s="143" t="s">
        <v>4196</v>
      </c>
      <c r="K1313" s="143">
        <v>150</v>
      </c>
      <c r="L1313" s="143">
        <v>200</v>
      </c>
      <c r="M1313" s="143"/>
      <c r="N1313" s="143"/>
      <c r="O1313" s="143"/>
      <c r="P1313" s="143"/>
      <c r="Q1313" s="143"/>
      <c r="R1313" s="143"/>
      <c r="S1313" s="146"/>
      <c r="T1313" s="146"/>
      <c r="U1313" s="146"/>
      <c r="V1313" s="147"/>
      <c r="W1313" s="143" t="s">
        <v>3147</v>
      </c>
      <c r="X1313" s="143">
        <v>12852</v>
      </c>
      <c r="Y1313" s="169" t="s">
        <v>4197</v>
      </c>
      <c r="Z1313" s="143">
        <v>12852</v>
      </c>
      <c r="AA1313" s="143">
        <v>20.5</v>
      </c>
      <c r="AB1313" s="191">
        <v>45920</v>
      </c>
      <c r="AC1313" s="143"/>
      <c r="AD1313" s="143"/>
      <c r="AE1313" s="143"/>
      <c r="AF1313" s="143"/>
      <c r="AG1313" s="143"/>
      <c r="AH1313" s="143"/>
      <c r="AI1313" s="201"/>
      <c r="AJ1313" s="201"/>
      <c r="AK1313" s="201"/>
      <c r="AL1313" s="201"/>
      <c r="AM1313" s="201"/>
    </row>
    <row r="1314" customFormat="1" ht="14.25" spans="1:39">
      <c r="A1314" s="143">
        <v>1316</v>
      </c>
      <c r="B1314" s="144">
        <v>45918</v>
      </c>
      <c r="C1314" s="169" t="s">
        <v>4177</v>
      </c>
      <c r="D1314" s="143" t="s">
        <v>41</v>
      </c>
      <c r="E1314" s="196" t="s">
        <v>4178</v>
      </c>
      <c r="F1314" s="143">
        <v>62930</v>
      </c>
      <c r="G1314" s="143"/>
      <c r="H1314" s="143" t="s">
        <v>4201</v>
      </c>
      <c r="I1314" s="143" t="s">
        <v>4195</v>
      </c>
      <c r="J1314" s="143" t="s">
        <v>4196</v>
      </c>
      <c r="K1314" s="143">
        <v>150</v>
      </c>
      <c r="L1314" s="143">
        <v>220</v>
      </c>
      <c r="M1314" s="143"/>
      <c r="N1314" s="143"/>
      <c r="O1314" s="143"/>
      <c r="P1314" s="143"/>
      <c r="Q1314" s="143"/>
      <c r="R1314" s="143"/>
      <c r="S1314" s="146"/>
      <c r="T1314" s="146"/>
      <c r="U1314" s="146"/>
      <c r="V1314" s="147"/>
      <c r="W1314" s="143" t="s">
        <v>3147</v>
      </c>
      <c r="X1314" s="143">
        <v>62930</v>
      </c>
      <c r="Y1314" s="169" t="s">
        <v>4197</v>
      </c>
      <c r="Z1314" s="143">
        <v>62930</v>
      </c>
      <c r="AA1314" s="143">
        <v>20.5</v>
      </c>
      <c r="AB1314" s="191">
        <v>45920</v>
      </c>
      <c r="AC1314" s="143"/>
      <c r="AD1314" s="143"/>
      <c r="AE1314" s="143"/>
      <c r="AF1314" s="143"/>
      <c r="AG1314" s="143"/>
      <c r="AH1314" s="143"/>
      <c r="AI1314" s="201"/>
      <c r="AJ1314" s="201"/>
      <c r="AK1314" s="201"/>
      <c r="AL1314" s="201"/>
      <c r="AM1314" s="201"/>
    </row>
    <row r="1315" customFormat="1" ht="14.25" spans="1:39">
      <c r="A1315" s="143">
        <v>1317</v>
      </c>
      <c r="B1315" s="144">
        <v>45918</v>
      </c>
      <c r="C1315" s="169" t="s">
        <v>4177</v>
      </c>
      <c r="D1315" s="143" t="s">
        <v>41</v>
      </c>
      <c r="E1315" s="196" t="s">
        <v>4178</v>
      </c>
      <c r="F1315" s="143">
        <v>63020</v>
      </c>
      <c r="G1315" s="143"/>
      <c r="H1315" s="143" t="s">
        <v>4202</v>
      </c>
      <c r="I1315" s="143" t="s">
        <v>4195</v>
      </c>
      <c r="J1315" s="143" t="s">
        <v>4196</v>
      </c>
      <c r="K1315" s="143">
        <v>150</v>
      </c>
      <c r="L1315" s="143">
        <v>240</v>
      </c>
      <c r="M1315" s="143"/>
      <c r="N1315" s="143"/>
      <c r="O1315" s="143"/>
      <c r="P1315" s="143"/>
      <c r="Q1315" s="143"/>
      <c r="R1315" s="143"/>
      <c r="S1315" s="146"/>
      <c r="T1315" s="146"/>
      <c r="U1315" s="146"/>
      <c r="V1315" s="147"/>
      <c r="W1315" s="143" t="s">
        <v>3147</v>
      </c>
      <c r="X1315" s="143">
        <v>63020</v>
      </c>
      <c r="Y1315" s="169" t="s">
        <v>4197</v>
      </c>
      <c r="Z1315" s="143">
        <v>63020</v>
      </c>
      <c r="AA1315" s="143">
        <v>21.5</v>
      </c>
      <c r="AB1315" s="191">
        <v>45920</v>
      </c>
      <c r="AC1315" s="143"/>
      <c r="AD1315" s="143"/>
      <c r="AE1315" s="143"/>
      <c r="AF1315" s="143"/>
      <c r="AG1315" s="143"/>
      <c r="AH1315" s="143"/>
      <c r="AI1315" s="201"/>
      <c r="AJ1315" s="201"/>
      <c r="AK1315" s="201"/>
      <c r="AL1315" s="201"/>
      <c r="AM1315" s="201"/>
    </row>
    <row r="1316" customFormat="1" ht="14.25" spans="1:39">
      <c r="A1316" s="143">
        <v>1318</v>
      </c>
      <c r="B1316" s="144">
        <v>45918</v>
      </c>
      <c r="C1316" s="169" t="s">
        <v>4177</v>
      </c>
      <c r="D1316" s="143" t="s">
        <v>41</v>
      </c>
      <c r="E1316" s="196" t="s">
        <v>4178</v>
      </c>
      <c r="F1316" s="143">
        <v>63023</v>
      </c>
      <c r="G1316" s="143"/>
      <c r="H1316" s="143" t="s">
        <v>4203</v>
      </c>
      <c r="I1316" s="143" t="s">
        <v>4195</v>
      </c>
      <c r="J1316" s="143" t="s">
        <v>4196</v>
      </c>
      <c r="K1316" s="143">
        <v>150</v>
      </c>
      <c r="L1316" s="143">
        <v>300</v>
      </c>
      <c r="M1316" s="143"/>
      <c r="N1316" s="143"/>
      <c r="O1316" s="143"/>
      <c r="P1316" s="143"/>
      <c r="Q1316" s="143"/>
      <c r="R1316" s="143"/>
      <c r="S1316" s="146"/>
      <c r="T1316" s="146"/>
      <c r="U1316" s="146"/>
      <c r="V1316" s="147"/>
      <c r="W1316" s="143" t="s">
        <v>3147</v>
      </c>
      <c r="X1316" s="143">
        <v>63023</v>
      </c>
      <c r="Y1316" s="169" t="s">
        <v>4197</v>
      </c>
      <c r="Z1316" s="143">
        <v>63023</v>
      </c>
      <c r="AA1316" s="143">
        <v>22</v>
      </c>
      <c r="AB1316" s="191">
        <v>45920</v>
      </c>
      <c r="AC1316" s="143"/>
      <c r="AD1316" s="143"/>
      <c r="AE1316" s="143"/>
      <c r="AF1316" s="143"/>
      <c r="AG1316" s="143"/>
      <c r="AH1316" s="143"/>
      <c r="AI1316" s="201"/>
      <c r="AJ1316" s="201"/>
      <c r="AK1316" s="201"/>
      <c r="AL1316" s="201"/>
      <c r="AM1316" s="201"/>
    </row>
    <row r="1317" customFormat="1" ht="14.25" spans="1:39">
      <c r="A1317" s="143">
        <v>1319</v>
      </c>
      <c r="B1317" s="144">
        <v>45918</v>
      </c>
      <c r="C1317" s="169" t="s">
        <v>4177</v>
      </c>
      <c r="D1317" s="143" t="s">
        <v>41</v>
      </c>
      <c r="E1317" s="196" t="s">
        <v>4178</v>
      </c>
      <c r="F1317" s="143">
        <v>81190</v>
      </c>
      <c r="G1317" s="143"/>
      <c r="H1317" s="143" t="s">
        <v>4204</v>
      </c>
      <c r="I1317" s="143"/>
      <c r="J1317" s="143"/>
      <c r="K1317" s="143">
        <v>150</v>
      </c>
      <c r="L1317" s="143">
        <v>300</v>
      </c>
      <c r="M1317" s="143"/>
      <c r="N1317" s="143"/>
      <c r="O1317" s="143"/>
      <c r="P1317" s="143"/>
      <c r="Q1317" s="143"/>
      <c r="R1317" s="143"/>
      <c r="S1317" s="146"/>
      <c r="T1317" s="146"/>
      <c r="U1317" s="146"/>
      <c r="V1317" s="147"/>
      <c r="W1317" s="143" t="s">
        <v>3147</v>
      </c>
      <c r="X1317" s="143">
        <v>81190</v>
      </c>
      <c r="Y1317" s="169" t="s">
        <v>4205</v>
      </c>
      <c r="Z1317" s="143">
        <v>81190</v>
      </c>
      <c r="AA1317" s="143"/>
      <c r="AB1317" s="191"/>
      <c r="AC1317" s="143"/>
      <c r="AD1317" s="143"/>
      <c r="AE1317" s="143"/>
      <c r="AF1317" s="143"/>
      <c r="AG1317" s="143"/>
      <c r="AH1317" s="143"/>
      <c r="AI1317" s="201"/>
      <c r="AJ1317" s="201"/>
      <c r="AK1317" s="201"/>
      <c r="AL1317" s="201"/>
      <c r="AM1317" s="201"/>
    </row>
    <row r="1318" customFormat="1" ht="14.25" spans="1:39">
      <c r="A1318" s="143">
        <v>1320</v>
      </c>
      <c r="B1318" s="144">
        <v>45918</v>
      </c>
      <c r="C1318" s="169" t="s">
        <v>4177</v>
      </c>
      <c r="D1318" s="143" t="s">
        <v>41</v>
      </c>
      <c r="E1318" s="196" t="s">
        <v>4178</v>
      </c>
      <c r="F1318" s="143" t="s">
        <v>4206</v>
      </c>
      <c r="G1318" s="143"/>
      <c r="H1318" s="143" t="s">
        <v>4207</v>
      </c>
      <c r="I1318" s="143" t="s">
        <v>3157</v>
      </c>
      <c r="J1318" s="143" t="s">
        <v>3684</v>
      </c>
      <c r="K1318" s="143">
        <v>148</v>
      </c>
      <c r="L1318" s="143">
        <v>300</v>
      </c>
      <c r="M1318" s="143"/>
      <c r="N1318" s="143"/>
      <c r="O1318" s="143"/>
      <c r="P1318" s="143"/>
      <c r="Q1318" s="143"/>
      <c r="R1318" s="143"/>
      <c r="S1318" s="146"/>
      <c r="T1318" s="146"/>
      <c r="U1318" s="146"/>
      <c r="V1318" s="147"/>
      <c r="W1318" s="143" t="s">
        <v>3147</v>
      </c>
      <c r="X1318" s="143" t="s">
        <v>4206</v>
      </c>
      <c r="Y1318" s="169" t="s">
        <v>4208</v>
      </c>
      <c r="Z1318" s="143" t="s">
        <v>4206</v>
      </c>
      <c r="AA1318" s="143">
        <v>24.5</v>
      </c>
      <c r="AB1318" s="191">
        <v>45920</v>
      </c>
      <c r="AC1318" s="143"/>
      <c r="AD1318" s="143"/>
      <c r="AE1318" s="143"/>
      <c r="AF1318" s="143"/>
      <c r="AG1318" s="143"/>
      <c r="AH1318" s="143"/>
      <c r="AI1318" s="201"/>
      <c r="AJ1318" s="201"/>
      <c r="AK1318" s="201"/>
      <c r="AL1318" s="201"/>
      <c r="AM1318" s="201"/>
    </row>
    <row r="1319" customFormat="1" ht="14.25" spans="1:39">
      <c r="A1319" s="143">
        <v>1321</v>
      </c>
      <c r="B1319" s="144">
        <v>45918</v>
      </c>
      <c r="C1319" s="169" t="s">
        <v>4177</v>
      </c>
      <c r="D1319" s="143" t="s">
        <v>41</v>
      </c>
      <c r="E1319" s="196" t="s">
        <v>4178</v>
      </c>
      <c r="F1319" s="270" t="s">
        <v>4209</v>
      </c>
      <c r="G1319" s="143"/>
      <c r="H1319" s="143" t="s">
        <v>4210</v>
      </c>
      <c r="I1319" s="169" t="s">
        <v>4211</v>
      </c>
      <c r="J1319" s="143" t="s">
        <v>4212</v>
      </c>
      <c r="K1319" s="143">
        <v>150</v>
      </c>
      <c r="L1319" s="143">
        <v>300</v>
      </c>
      <c r="M1319" s="143"/>
      <c r="N1319" s="143"/>
      <c r="O1319" s="143"/>
      <c r="P1319" s="143"/>
      <c r="Q1319" s="143"/>
      <c r="R1319" s="143"/>
      <c r="S1319" s="146"/>
      <c r="T1319" s="146"/>
      <c r="U1319" s="146"/>
      <c r="V1319" s="147"/>
      <c r="W1319" s="143" t="s">
        <v>3147</v>
      </c>
      <c r="X1319" s="270" t="s">
        <v>4209</v>
      </c>
      <c r="Y1319" s="169" t="s">
        <v>4213</v>
      </c>
      <c r="Z1319" s="270" t="s">
        <v>4209</v>
      </c>
      <c r="AA1319" s="143">
        <v>36.9</v>
      </c>
      <c r="AB1319" s="191">
        <v>45920</v>
      </c>
      <c r="AC1319" s="143"/>
      <c r="AD1319" s="143"/>
      <c r="AE1319" s="143"/>
      <c r="AF1319" s="143"/>
      <c r="AG1319" s="143"/>
      <c r="AH1319" s="143"/>
      <c r="AI1319" s="201"/>
      <c r="AJ1319" s="201"/>
      <c r="AK1319" s="201"/>
      <c r="AL1319" s="201"/>
      <c r="AM1319" s="201"/>
    </row>
    <row r="1320" customFormat="1" ht="14.25" spans="1:39">
      <c r="A1320" s="143">
        <v>1322</v>
      </c>
      <c r="B1320" s="144">
        <v>45918</v>
      </c>
      <c r="C1320" s="169" t="s">
        <v>4177</v>
      </c>
      <c r="D1320" s="143" t="s">
        <v>41</v>
      </c>
      <c r="E1320" s="196" t="s">
        <v>4214</v>
      </c>
      <c r="F1320" s="143">
        <v>81215</v>
      </c>
      <c r="G1320" s="143"/>
      <c r="H1320" s="143" t="s">
        <v>4215</v>
      </c>
      <c r="I1320" s="143"/>
      <c r="J1320" s="143"/>
      <c r="K1320" s="143"/>
      <c r="L1320" s="143">
        <v>500</v>
      </c>
      <c r="M1320" s="143"/>
      <c r="N1320" s="143"/>
      <c r="O1320" s="143"/>
      <c r="P1320" s="143"/>
      <c r="Q1320" s="143"/>
      <c r="R1320" s="143"/>
      <c r="S1320" s="146"/>
      <c r="T1320" s="146"/>
      <c r="U1320" s="146"/>
      <c r="V1320" s="147"/>
      <c r="W1320" s="143" t="s">
        <v>3147</v>
      </c>
      <c r="X1320" s="143">
        <v>81215</v>
      </c>
      <c r="Y1320" s="169" t="s">
        <v>4205</v>
      </c>
      <c r="Z1320" s="143">
        <v>81215</v>
      </c>
      <c r="AA1320" s="143"/>
      <c r="AB1320" s="191"/>
      <c r="AC1320" s="143"/>
      <c r="AD1320" s="143"/>
      <c r="AE1320" s="143"/>
      <c r="AF1320" s="143"/>
      <c r="AG1320" s="143"/>
      <c r="AH1320" s="143"/>
      <c r="AI1320" s="201"/>
      <c r="AJ1320" s="201"/>
      <c r="AK1320" s="201"/>
      <c r="AL1320" s="201"/>
      <c r="AM1320" s="201"/>
    </row>
    <row r="1321" customFormat="1" ht="14.25" spans="1:39">
      <c r="A1321" s="143">
        <v>1323</v>
      </c>
      <c r="B1321" s="144">
        <v>45918</v>
      </c>
      <c r="C1321" s="169" t="s">
        <v>4177</v>
      </c>
      <c r="D1321" s="143" t="s">
        <v>41</v>
      </c>
      <c r="E1321" s="196" t="s">
        <v>4214</v>
      </c>
      <c r="F1321" s="143" t="s">
        <v>4216</v>
      </c>
      <c r="G1321" s="143"/>
      <c r="H1321" s="143" t="s">
        <v>4217</v>
      </c>
      <c r="I1321" s="169" t="s">
        <v>3218</v>
      </c>
      <c r="J1321" s="143" t="s">
        <v>1577</v>
      </c>
      <c r="K1321" s="143">
        <v>150</v>
      </c>
      <c r="L1321" s="143">
        <v>380</v>
      </c>
      <c r="M1321" s="143"/>
      <c r="N1321" s="143"/>
      <c r="O1321" s="143"/>
      <c r="P1321" s="143"/>
      <c r="Q1321" s="143"/>
      <c r="R1321" s="143"/>
      <c r="S1321" s="146"/>
      <c r="T1321" s="146"/>
      <c r="U1321" s="146"/>
      <c r="V1321" s="147"/>
      <c r="W1321" s="143" t="s">
        <v>3147</v>
      </c>
      <c r="X1321" s="143" t="s">
        <v>4216</v>
      </c>
      <c r="Y1321" s="169" t="s">
        <v>4218</v>
      </c>
      <c r="Z1321" s="143" t="s">
        <v>4216</v>
      </c>
      <c r="AA1321" s="143">
        <v>13.2</v>
      </c>
      <c r="AB1321" s="191">
        <v>45920</v>
      </c>
      <c r="AC1321" s="143"/>
      <c r="AD1321" s="143"/>
      <c r="AE1321" s="143"/>
      <c r="AF1321" s="143"/>
      <c r="AG1321" s="143"/>
      <c r="AH1321" s="143"/>
      <c r="AI1321" s="201"/>
      <c r="AJ1321" s="201"/>
      <c r="AK1321" s="201"/>
      <c r="AL1321" s="201"/>
      <c r="AM1321" s="201"/>
    </row>
    <row r="1322" customFormat="1" ht="14.25" spans="1:39">
      <c r="A1322" s="143">
        <v>1324</v>
      </c>
      <c r="B1322" s="144">
        <v>45918</v>
      </c>
      <c r="C1322" s="169" t="s">
        <v>4177</v>
      </c>
      <c r="D1322" s="143" t="s">
        <v>41</v>
      </c>
      <c r="E1322" s="196" t="s">
        <v>4214</v>
      </c>
      <c r="F1322" s="143">
        <v>901</v>
      </c>
      <c r="G1322" s="143"/>
      <c r="H1322" s="143" t="s">
        <v>4219</v>
      </c>
      <c r="I1322" s="169" t="s">
        <v>3218</v>
      </c>
      <c r="J1322" s="143" t="s">
        <v>1577</v>
      </c>
      <c r="K1322" s="143">
        <v>150</v>
      </c>
      <c r="L1322" s="143">
        <v>400</v>
      </c>
      <c r="M1322" s="143"/>
      <c r="N1322" s="143"/>
      <c r="O1322" s="143"/>
      <c r="P1322" s="143"/>
      <c r="Q1322" s="143"/>
      <c r="R1322" s="143"/>
      <c r="S1322" s="146"/>
      <c r="T1322" s="146"/>
      <c r="U1322" s="146"/>
      <c r="V1322" s="147"/>
      <c r="W1322" s="143" t="s">
        <v>3147</v>
      </c>
      <c r="X1322" s="143">
        <v>901</v>
      </c>
      <c r="Y1322" s="169" t="s">
        <v>4220</v>
      </c>
      <c r="Z1322" s="143">
        <v>901</v>
      </c>
      <c r="AA1322" s="143">
        <v>14.8</v>
      </c>
      <c r="AB1322" s="191">
        <v>45920</v>
      </c>
      <c r="AC1322" s="143"/>
      <c r="AD1322" s="143"/>
      <c r="AE1322" s="143"/>
      <c r="AF1322" s="143"/>
      <c r="AG1322" s="143"/>
      <c r="AH1322" s="143"/>
      <c r="AI1322" s="201"/>
      <c r="AJ1322" s="201"/>
      <c r="AK1322" s="201"/>
      <c r="AL1322" s="201"/>
      <c r="AM1322" s="201"/>
    </row>
    <row r="1323" customFormat="1" ht="14.25" spans="1:39">
      <c r="A1323" s="143">
        <v>1325</v>
      </c>
      <c r="B1323" s="144">
        <v>45918</v>
      </c>
      <c r="C1323" s="169" t="s">
        <v>4177</v>
      </c>
      <c r="D1323" s="143" t="s">
        <v>41</v>
      </c>
      <c r="E1323" s="196" t="s">
        <v>4214</v>
      </c>
      <c r="F1323" s="143">
        <v>18017</v>
      </c>
      <c r="G1323" s="143"/>
      <c r="H1323" s="143" t="s">
        <v>4221</v>
      </c>
      <c r="I1323" s="169" t="s">
        <v>3218</v>
      </c>
      <c r="J1323" s="143" t="s">
        <v>1577</v>
      </c>
      <c r="K1323" s="143">
        <v>150</v>
      </c>
      <c r="L1323" s="143">
        <v>310</v>
      </c>
      <c r="M1323" s="143"/>
      <c r="N1323" s="143"/>
      <c r="O1323" s="143"/>
      <c r="P1323" s="143"/>
      <c r="Q1323" s="143"/>
      <c r="R1323" s="143"/>
      <c r="S1323" s="146"/>
      <c r="T1323" s="146"/>
      <c r="U1323" s="146"/>
      <c r="V1323" s="147"/>
      <c r="W1323" s="143" t="s">
        <v>3147</v>
      </c>
      <c r="X1323" s="143">
        <v>18017</v>
      </c>
      <c r="Y1323" s="169" t="s">
        <v>4220</v>
      </c>
      <c r="Z1323" s="143">
        <v>18017</v>
      </c>
      <c r="AA1323" s="143">
        <v>15.2</v>
      </c>
      <c r="AB1323" s="191">
        <v>45920</v>
      </c>
      <c r="AC1323" s="143"/>
      <c r="AD1323" s="143"/>
      <c r="AE1323" s="143"/>
      <c r="AF1323" s="143"/>
      <c r="AG1323" s="143"/>
      <c r="AH1323" s="143"/>
      <c r="AI1323" s="201"/>
      <c r="AJ1323" s="201"/>
      <c r="AK1323" s="201"/>
      <c r="AL1323" s="201"/>
      <c r="AM1323" s="201"/>
    </row>
    <row r="1324" customFormat="1" ht="14.25" spans="1:39">
      <c r="A1324" s="143">
        <v>1326</v>
      </c>
      <c r="B1324" s="144">
        <v>45918</v>
      </c>
      <c r="C1324" s="169" t="s">
        <v>4177</v>
      </c>
      <c r="D1324" s="143" t="s">
        <v>41</v>
      </c>
      <c r="E1324" s="196" t="s">
        <v>4214</v>
      </c>
      <c r="F1324" s="169" t="s">
        <v>4222</v>
      </c>
      <c r="G1324" s="169"/>
      <c r="H1324" s="143" t="s">
        <v>4223</v>
      </c>
      <c r="I1324" s="169" t="s">
        <v>3218</v>
      </c>
      <c r="J1324" s="143" t="s">
        <v>1577</v>
      </c>
      <c r="K1324" s="143">
        <v>150</v>
      </c>
      <c r="L1324" s="143">
        <v>300</v>
      </c>
      <c r="M1324" s="143"/>
      <c r="N1324" s="143"/>
      <c r="O1324" s="143"/>
      <c r="P1324" s="143"/>
      <c r="Q1324" s="143"/>
      <c r="R1324" s="143"/>
      <c r="S1324" s="146"/>
      <c r="T1324" s="146"/>
      <c r="U1324" s="146"/>
      <c r="V1324" s="147"/>
      <c r="W1324" s="143" t="s">
        <v>3147</v>
      </c>
      <c r="X1324" s="169" t="s">
        <v>4222</v>
      </c>
      <c r="Y1324" s="169" t="s">
        <v>4220</v>
      </c>
      <c r="Z1324" s="169" t="s">
        <v>4222</v>
      </c>
      <c r="AA1324" s="143">
        <v>15.5</v>
      </c>
      <c r="AB1324" s="191">
        <v>45920</v>
      </c>
      <c r="AC1324" s="143"/>
      <c r="AD1324" s="143"/>
      <c r="AE1324" s="143"/>
      <c r="AF1324" s="143"/>
      <c r="AG1324" s="143"/>
      <c r="AH1324" s="143"/>
      <c r="AI1324" s="201"/>
      <c r="AJ1324" s="201"/>
      <c r="AK1324" s="201"/>
      <c r="AL1324" s="201"/>
      <c r="AM1324" s="201"/>
    </row>
    <row r="1325" customFormat="1" ht="14.25" spans="1:39">
      <c r="A1325" s="143">
        <v>1327</v>
      </c>
      <c r="B1325" s="144">
        <v>45918</v>
      </c>
      <c r="C1325" s="169" t="s">
        <v>4177</v>
      </c>
      <c r="D1325" s="143" t="s">
        <v>41</v>
      </c>
      <c r="E1325" s="196" t="s">
        <v>4214</v>
      </c>
      <c r="F1325" s="143">
        <v>81225</v>
      </c>
      <c r="G1325" s="143"/>
      <c r="H1325" s="143" t="s">
        <v>4224</v>
      </c>
      <c r="I1325" s="143"/>
      <c r="J1325" s="143"/>
      <c r="K1325" s="143"/>
      <c r="L1325" s="143">
        <v>350</v>
      </c>
      <c r="M1325" s="143"/>
      <c r="N1325" s="143"/>
      <c r="O1325" s="143"/>
      <c r="P1325" s="143"/>
      <c r="Q1325" s="143"/>
      <c r="R1325" s="143"/>
      <c r="S1325" s="146"/>
      <c r="T1325" s="146"/>
      <c r="U1325" s="146"/>
      <c r="V1325" s="147"/>
      <c r="W1325" s="143" t="s">
        <v>3147</v>
      </c>
      <c r="X1325" s="143">
        <v>81225</v>
      </c>
      <c r="Y1325" s="169" t="s">
        <v>4205</v>
      </c>
      <c r="Z1325" s="143">
        <v>81225</v>
      </c>
      <c r="AA1325" s="143"/>
      <c r="AB1325" s="191"/>
      <c r="AC1325" s="143"/>
      <c r="AD1325" s="143"/>
      <c r="AE1325" s="143"/>
      <c r="AF1325" s="143"/>
      <c r="AG1325" s="143"/>
      <c r="AH1325" s="143"/>
      <c r="AI1325" s="201"/>
      <c r="AJ1325" s="201"/>
      <c r="AK1325" s="201"/>
      <c r="AL1325" s="201"/>
      <c r="AM1325" s="201"/>
    </row>
    <row r="1326" customFormat="1" ht="14.25" spans="1:39">
      <c r="A1326" s="143">
        <v>1328</v>
      </c>
      <c r="B1326" s="144">
        <v>45918</v>
      </c>
      <c r="C1326" s="169" t="s">
        <v>4177</v>
      </c>
      <c r="D1326" s="143" t="s">
        <v>41</v>
      </c>
      <c r="E1326" s="196" t="s">
        <v>4214</v>
      </c>
      <c r="F1326" s="143" t="s">
        <v>4225</v>
      </c>
      <c r="G1326" s="143"/>
      <c r="H1326" s="143" t="s">
        <v>4226</v>
      </c>
      <c r="I1326" s="143" t="s">
        <v>3224</v>
      </c>
      <c r="J1326" s="143" t="s">
        <v>1577</v>
      </c>
      <c r="K1326" s="143">
        <v>150</v>
      </c>
      <c r="L1326" s="143">
        <v>300</v>
      </c>
      <c r="M1326" s="143"/>
      <c r="N1326" s="143"/>
      <c r="O1326" s="143"/>
      <c r="P1326" s="143"/>
      <c r="Q1326" s="143"/>
      <c r="R1326" s="143"/>
      <c r="S1326" s="146"/>
      <c r="T1326" s="146"/>
      <c r="U1326" s="146"/>
      <c r="V1326" s="147"/>
      <c r="W1326" s="143" t="s">
        <v>3147</v>
      </c>
      <c r="X1326" s="143" t="s">
        <v>4225</v>
      </c>
      <c r="Y1326" s="169" t="s">
        <v>4183</v>
      </c>
      <c r="Z1326" s="143" t="s">
        <v>4225</v>
      </c>
      <c r="AA1326" s="143">
        <v>13.5</v>
      </c>
      <c r="AB1326" s="191">
        <v>45920</v>
      </c>
      <c r="AC1326" s="143"/>
      <c r="AD1326" s="143"/>
      <c r="AE1326" s="143"/>
      <c r="AF1326" s="143"/>
      <c r="AG1326" s="143"/>
      <c r="AH1326" s="143"/>
      <c r="AI1326" s="201"/>
      <c r="AJ1326" s="201"/>
      <c r="AK1326" s="201"/>
      <c r="AL1326" s="201"/>
      <c r="AM1326" s="201"/>
    </row>
    <row r="1327" customFormat="1" ht="14.25" spans="1:39">
      <c r="A1327" s="143">
        <v>1329</v>
      </c>
      <c r="B1327" s="144">
        <v>45918</v>
      </c>
      <c r="C1327" s="169" t="s">
        <v>4177</v>
      </c>
      <c r="D1327" s="143" t="s">
        <v>41</v>
      </c>
      <c r="E1327" s="196" t="s">
        <v>4227</v>
      </c>
      <c r="F1327" s="143">
        <v>63301</v>
      </c>
      <c r="G1327" s="143"/>
      <c r="H1327" s="143" t="s">
        <v>4228</v>
      </c>
      <c r="I1327" s="143" t="s">
        <v>4195</v>
      </c>
      <c r="J1327" s="143" t="s">
        <v>4196</v>
      </c>
      <c r="K1327" s="143"/>
      <c r="L1327" s="143">
        <v>365</v>
      </c>
      <c r="M1327" s="143"/>
      <c r="N1327" s="143"/>
      <c r="O1327" s="143"/>
      <c r="P1327" s="143"/>
      <c r="Q1327" s="143"/>
      <c r="R1327" s="143"/>
      <c r="S1327" s="146"/>
      <c r="T1327" s="146"/>
      <c r="U1327" s="146"/>
      <c r="V1327" s="147"/>
      <c r="W1327" s="143" t="s">
        <v>3147</v>
      </c>
      <c r="X1327" s="143">
        <v>63301</v>
      </c>
      <c r="Y1327" s="169" t="s">
        <v>4197</v>
      </c>
      <c r="Z1327" s="143">
        <v>63301</v>
      </c>
      <c r="AA1327" s="143">
        <v>22.5</v>
      </c>
      <c r="AB1327" s="191">
        <v>45920</v>
      </c>
      <c r="AC1327" s="143"/>
      <c r="AD1327" s="143"/>
      <c r="AE1327" s="143"/>
      <c r="AF1327" s="143"/>
      <c r="AG1327" s="143"/>
      <c r="AH1327" s="143"/>
      <c r="AI1327" s="201"/>
      <c r="AJ1327" s="201"/>
      <c r="AK1327" s="201"/>
      <c r="AL1327" s="201"/>
      <c r="AM1327" s="201"/>
    </row>
    <row r="1328" customFormat="1" ht="14.25" spans="1:39">
      <c r="A1328" s="143">
        <v>1330</v>
      </c>
      <c r="B1328" s="144">
        <v>45918</v>
      </c>
      <c r="C1328" s="169" t="s">
        <v>4177</v>
      </c>
      <c r="D1328" s="143" t="s">
        <v>41</v>
      </c>
      <c r="E1328" s="196" t="s">
        <v>4227</v>
      </c>
      <c r="F1328" s="143">
        <v>82926</v>
      </c>
      <c r="G1328" s="143"/>
      <c r="H1328" s="143" t="s">
        <v>4229</v>
      </c>
      <c r="I1328" s="143" t="s">
        <v>4195</v>
      </c>
      <c r="J1328" s="143" t="s">
        <v>4196</v>
      </c>
      <c r="K1328" s="143"/>
      <c r="L1328" s="143">
        <v>370</v>
      </c>
      <c r="M1328" s="143"/>
      <c r="N1328" s="143"/>
      <c r="O1328" s="143"/>
      <c r="P1328" s="143"/>
      <c r="Q1328" s="143"/>
      <c r="R1328" s="143"/>
      <c r="S1328" s="146"/>
      <c r="T1328" s="146"/>
      <c r="U1328" s="146"/>
      <c r="V1328" s="147"/>
      <c r="W1328" s="143" t="s">
        <v>3147</v>
      </c>
      <c r="X1328" s="143">
        <v>82926</v>
      </c>
      <c r="Y1328" s="169" t="s">
        <v>4197</v>
      </c>
      <c r="Z1328" s="143">
        <v>82926</v>
      </c>
      <c r="AA1328" s="143">
        <v>24.5</v>
      </c>
      <c r="AB1328" s="191">
        <v>45920</v>
      </c>
      <c r="AC1328" s="143"/>
      <c r="AD1328" s="143"/>
      <c r="AE1328" s="143"/>
      <c r="AF1328" s="143"/>
      <c r="AG1328" s="143"/>
      <c r="AH1328" s="143"/>
      <c r="AI1328" s="201"/>
      <c r="AJ1328" s="201"/>
      <c r="AK1328" s="201"/>
      <c r="AL1328" s="201"/>
      <c r="AM1328" s="201"/>
    </row>
    <row r="1329" customFormat="1" ht="14.25" spans="1:39">
      <c r="A1329" s="143">
        <v>1331</v>
      </c>
      <c r="B1329" s="144">
        <v>45918</v>
      </c>
      <c r="C1329" s="169" t="s">
        <v>4177</v>
      </c>
      <c r="D1329" s="143" t="s">
        <v>41</v>
      </c>
      <c r="E1329" s="196" t="s">
        <v>4227</v>
      </c>
      <c r="F1329" s="143" t="s">
        <v>4230</v>
      </c>
      <c r="G1329" s="143"/>
      <c r="H1329" s="143" t="s">
        <v>4231</v>
      </c>
      <c r="I1329" s="143" t="s">
        <v>4232</v>
      </c>
      <c r="J1329" s="143" t="s">
        <v>4233</v>
      </c>
      <c r="K1329" s="143">
        <v>150</v>
      </c>
      <c r="L1329" s="143">
        <v>315</v>
      </c>
      <c r="M1329" s="143"/>
      <c r="N1329" s="143"/>
      <c r="O1329" s="143"/>
      <c r="P1329" s="143"/>
      <c r="Q1329" s="143"/>
      <c r="R1329" s="143"/>
      <c r="S1329" s="146"/>
      <c r="T1329" s="146"/>
      <c r="U1329" s="146"/>
      <c r="V1329" s="147"/>
      <c r="W1329" s="143" t="s">
        <v>3147</v>
      </c>
      <c r="X1329" s="143" t="s">
        <v>4230</v>
      </c>
      <c r="Y1329" s="169" t="s">
        <v>4218</v>
      </c>
      <c r="Z1329" s="143" t="s">
        <v>4230</v>
      </c>
      <c r="AA1329" s="143"/>
      <c r="AB1329" s="191"/>
      <c r="AC1329" s="143"/>
      <c r="AD1329" s="143"/>
      <c r="AE1329" s="143"/>
      <c r="AF1329" s="143"/>
      <c r="AG1329" s="143"/>
      <c r="AH1329" s="143"/>
      <c r="AI1329" s="201"/>
      <c r="AJ1329" s="201"/>
      <c r="AK1329" s="201"/>
      <c r="AL1329" s="201"/>
      <c r="AM1329" s="201"/>
    </row>
    <row r="1330" customFormat="1" ht="14.25" spans="1:39">
      <c r="A1330" s="143">
        <v>1332</v>
      </c>
      <c r="B1330" s="144">
        <v>45918</v>
      </c>
      <c r="C1330" s="169" t="s">
        <v>4177</v>
      </c>
      <c r="D1330" s="143" t="s">
        <v>41</v>
      </c>
      <c r="E1330" s="196" t="s">
        <v>4227</v>
      </c>
      <c r="F1330" s="143">
        <v>16523</v>
      </c>
      <c r="G1330" s="143"/>
      <c r="H1330" s="143" t="s">
        <v>4234</v>
      </c>
      <c r="I1330" s="143" t="s">
        <v>4235</v>
      </c>
      <c r="J1330" s="143" t="s">
        <v>3385</v>
      </c>
      <c r="K1330" s="143"/>
      <c r="L1330" s="143">
        <v>320</v>
      </c>
      <c r="M1330" s="143"/>
      <c r="N1330" s="143"/>
      <c r="O1330" s="143"/>
      <c r="P1330" s="143"/>
      <c r="Q1330" s="143"/>
      <c r="R1330" s="143"/>
      <c r="S1330" s="146"/>
      <c r="T1330" s="146"/>
      <c r="U1330" s="146"/>
      <c r="V1330" s="147"/>
      <c r="W1330" s="143" t="s">
        <v>3147</v>
      </c>
      <c r="X1330" s="143">
        <v>16523</v>
      </c>
      <c r="Y1330" s="169" t="s">
        <v>4213</v>
      </c>
      <c r="Z1330" s="143">
        <v>16523</v>
      </c>
      <c r="AA1330" s="143">
        <v>16.8</v>
      </c>
      <c r="AB1330" s="191">
        <v>45920</v>
      </c>
      <c r="AC1330" s="143"/>
      <c r="AD1330" s="143"/>
      <c r="AE1330" s="143"/>
      <c r="AF1330" s="143"/>
      <c r="AG1330" s="143"/>
      <c r="AH1330" s="143"/>
      <c r="AI1330" s="201"/>
      <c r="AJ1330" s="201"/>
      <c r="AK1330" s="201"/>
      <c r="AL1330" s="201"/>
      <c r="AM1330" s="201"/>
    </row>
    <row r="1331" customFormat="1" ht="14.25" spans="1:39">
      <c r="A1331" s="143">
        <v>1333</v>
      </c>
      <c r="B1331" s="144">
        <v>45918</v>
      </c>
      <c r="C1331" s="169" t="s">
        <v>4177</v>
      </c>
      <c r="D1331" s="143" t="s">
        <v>41</v>
      </c>
      <c r="E1331" s="196" t="s">
        <v>4227</v>
      </c>
      <c r="F1331" s="143" t="s">
        <v>4236</v>
      </c>
      <c r="G1331" s="143"/>
      <c r="H1331" s="143" t="s">
        <v>4237</v>
      </c>
      <c r="I1331" s="143" t="s">
        <v>4238</v>
      </c>
      <c r="J1331" s="143" t="s">
        <v>4239</v>
      </c>
      <c r="K1331" s="143">
        <v>150</v>
      </c>
      <c r="L1331" s="143">
        <v>300</v>
      </c>
      <c r="M1331" s="143"/>
      <c r="N1331" s="143"/>
      <c r="O1331" s="143"/>
      <c r="P1331" s="143"/>
      <c r="Q1331" s="143"/>
      <c r="R1331" s="143"/>
      <c r="S1331" s="146"/>
      <c r="T1331" s="146"/>
      <c r="U1331" s="146"/>
      <c r="V1331" s="147"/>
      <c r="W1331" s="143" t="s">
        <v>3147</v>
      </c>
      <c r="X1331" s="143" t="s">
        <v>4236</v>
      </c>
      <c r="Y1331" s="169" t="s">
        <v>4220</v>
      </c>
      <c r="Z1331" s="143" t="s">
        <v>4236</v>
      </c>
      <c r="AA1331" s="143">
        <v>15</v>
      </c>
      <c r="AB1331" s="191">
        <v>45920</v>
      </c>
      <c r="AC1331" s="143"/>
      <c r="AD1331" s="143"/>
      <c r="AE1331" s="143"/>
      <c r="AF1331" s="143"/>
      <c r="AG1331" s="143"/>
      <c r="AH1331" s="143"/>
      <c r="AI1331" s="201"/>
      <c r="AJ1331" s="201"/>
      <c r="AK1331" s="201"/>
      <c r="AL1331" s="201"/>
      <c r="AM1331" s="201"/>
    </row>
    <row r="1332" customFormat="1" ht="14.25" spans="1:39">
      <c r="A1332" s="143">
        <v>1334</v>
      </c>
      <c r="B1332" s="144">
        <v>45918</v>
      </c>
      <c r="C1332" s="169" t="s">
        <v>4177</v>
      </c>
      <c r="D1332" s="143" t="s">
        <v>41</v>
      </c>
      <c r="E1332" s="196" t="s">
        <v>4240</v>
      </c>
      <c r="F1332" s="143" t="s">
        <v>4241</v>
      </c>
      <c r="G1332" s="143"/>
      <c r="H1332" s="143" t="s">
        <v>4242</v>
      </c>
      <c r="I1332" s="143" t="s">
        <v>4238</v>
      </c>
      <c r="J1332" s="143" t="s">
        <v>4239</v>
      </c>
      <c r="K1332" s="143">
        <v>150</v>
      </c>
      <c r="L1332" s="143">
        <v>305</v>
      </c>
      <c r="M1332" s="143"/>
      <c r="N1332" s="143"/>
      <c r="O1332" s="143"/>
      <c r="P1332" s="143"/>
      <c r="Q1332" s="143"/>
      <c r="R1332" s="143"/>
      <c r="S1332" s="146"/>
      <c r="T1332" s="146"/>
      <c r="U1332" s="146"/>
      <c r="V1332" s="147"/>
      <c r="W1332" s="143" t="s">
        <v>3147</v>
      </c>
      <c r="X1332" s="143" t="s">
        <v>4241</v>
      </c>
      <c r="Y1332" s="169" t="s">
        <v>4220</v>
      </c>
      <c r="Z1332" s="143" t="s">
        <v>4241</v>
      </c>
      <c r="AA1332" s="143">
        <v>15</v>
      </c>
      <c r="AB1332" s="191">
        <v>45920</v>
      </c>
      <c r="AC1332" s="143"/>
      <c r="AD1332" s="143"/>
      <c r="AE1332" s="143"/>
      <c r="AF1332" s="143"/>
      <c r="AG1332" s="143"/>
      <c r="AH1332" s="143"/>
      <c r="AI1332" s="201"/>
      <c r="AJ1332" s="201"/>
      <c r="AK1332" s="201"/>
      <c r="AL1332" s="201"/>
      <c r="AM1332" s="201"/>
    </row>
    <row r="1333" customFormat="1" ht="14.25" spans="1:39">
      <c r="A1333" s="143">
        <v>1335</v>
      </c>
      <c r="B1333" s="144">
        <v>45918</v>
      </c>
      <c r="C1333" s="169" t="s">
        <v>4177</v>
      </c>
      <c r="D1333" s="143" t="s">
        <v>41</v>
      </c>
      <c r="E1333" s="196" t="s">
        <v>4240</v>
      </c>
      <c r="F1333" s="271" t="s">
        <v>4243</v>
      </c>
      <c r="G1333" s="191"/>
      <c r="H1333" s="143" t="s">
        <v>4244</v>
      </c>
      <c r="I1333" s="143" t="s">
        <v>4238</v>
      </c>
      <c r="J1333" s="143" t="s">
        <v>4239</v>
      </c>
      <c r="K1333" s="143">
        <v>145</v>
      </c>
      <c r="L1333" s="143">
        <v>280</v>
      </c>
      <c r="M1333" s="143"/>
      <c r="N1333" s="143"/>
      <c r="O1333" s="143"/>
      <c r="P1333" s="143"/>
      <c r="Q1333" s="143"/>
      <c r="R1333" s="143"/>
      <c r="S1333" s="146"/>
      <c r="T1333" s="146"/>
      <c r="U1333" s="146"/>
      <c r="V1333" s="147"/>
      <c r="W1333" s="143" t="s">
        <v>3147</v>
      </c>
      <c r="X1333" s="271" t="s">
        <v>4243</v>
      </c>
      <c r="Y1333" s="169" t="s">
        <v>4220</v>
      </c>
      <c r="Z1333" s="271" t="s">
        <v>4243</v>
      </c>
      <c r="AA1333" s="143">
        <v>15</v>
      </c>
      <c r="AB1333" s="191">
        <v>45920</v>
      </c>
      <c r="AC1333" s="143"/>
      <c r="AD1333" s="143"/>
      <c r="AE1333" s="143"/>
      <c r="AF1333" s="143"/>
      <c r="AG1333" s="143"/>
      <c r="AH1333" s="143"/>
      <c r="AI1333" s="201"/>
      <c r="AJ1333" s="201"/>
      <c r="AK1333" s="201"/>
      <c r="AL1333" s="201"/>
      <c r="AM1333" s="201"/>
    </row>
    <row r="1334" customFormat="1" ht="14.25" spans="1:39">
      <c r="A1334" s="143">
        <v>1336</v>
      </c>
      <c r="B1334" s="144">
        <v>45918</v>
      </c>
      <c r="C1334" s="169" t="s">
        <v>4177</v>
      </c>
      <c r="D1334" s="143" t="s">
        <v>41</v>
      </c>
      <c r="E1334" s="196" t="s">
        <v>4240</v>
      </c>
      <c r="F1334" s="143" t="s">
        <v>4245</v>
      </c>
      <c r="G1334" s="143"/>
      <c r="H1334" s="143" t="s">
        <v>4246</v>
      </c>
      <c r="I1334" s="143" t="s">
        <v>4238</v>
      </c>
      <c r="J1334" s="143" t="s">
        <v>4239</v>
      </c>
      <c r="K1334" s="143">
        <v>150</v>
      </c>
      <c r="L1334" s="143">
        <v>290</v>
      </c>
      <c r="M1334" s="143"/>
      <c r="N1334" s="143"/>
      <c r="O1334" s="143"/>
      <c r="P1334" s="143"/>
      <c r="Q1334" s="143"/>
      <c r="R1334" s="143"/>
      <c r="S1334" s="146"/>
      <c r="T1334" s="146"/>
      <c r="U1334" s="146"/>
      <c r="V1334" s="147"/>
      <c r="W1334" s="143" t="s">
        <v>3147</v>
      </c>
      <c r="X1334" s="143" t="s">
        <v>4245</v>
      </c>
      <c r="Y1334" s="169" t="s">
        <v>4220</v>
      </c>
      <c r="Z1334" s="143" t="s">
        <v>4245</v>
      </c>
      <c r="AA1334" s="143">
        <v>15</v>
      </c>
      <c r="AB1334" s="191">
        <v>45920</v>
      </c>
      <c r="AC1334" s="143"/>
      <c r="AD1334" s="143"/>
      <c r="AE1334" s="143"/>
      <c r="AF1334" s="143"/>
      <c r="AG1334" s="143"/>
      <c r="AH1334" s="143"/>
      <c r="AI1334" s="201"/>
      <c r="AJ1334" s="201"/>
      <c r="AK1334" s="201"/>
      <c r="AL1334" s="201"/>
      <c r="AM1334" s="201"/>
    </row>
    <row r="1335" customFormat="1" ht="14.25" spans="1:39">
      <c r="A1335" s="143">
        <v>1337</v>
      </c>
      <c r="B1335" s="144">
        <v>45918</v>
      </c>
      <c r="C1335" s="169" t="s">
        <v>4177</v>
      </c>
      <c r="D1335" s="143" t="s">
        <v>41</v>
      </c>
      <c r="E1335" s="196" t="s">
        <v>4240</v>
      </c>
      <c r="F1335" s="143" t="s">
        <v>4247</v>
      </c>
      <c r="G1335" s="143"/>
      <c r="H1335" s="143" t="s">
        <v>4248</v>
      </c>
      <c r="I1335" s="143" t="s">
        <v>4238</v>
      </c>
      <c r="J1335" s="143" t="s">
        <v>4239</v>
      </c>
      <c r="K1335" s="143">
        <v>150</v>
      </c>
      <c r="L1335" s="143">
        <v>300</v>
      </c>
      <c r="M1335" s="143"/>
      <c r="N1335" s="143"/>
      <c r="O1335" s="143"/>
      <c r="P1335" s="143"/>
      <c r="Q1335" s="143"/>
      <c r="R1335" s="143"/>
      <c r="S1335" s="146"/>
      <c r="T1335" s="146"/>
      <c r="U1335" s="146"/>
      <c r="V1335" s="147"/>
      <c r="W1335" s="143" t="s">
        <v>3147</v>
      </c>
      <c r="X1335" s="143" t="s">
        <v>4247</v>
      </c>
      <c r="Y1335" s="169" t="s">
        <v>4220</v>
      </c>
      <c r="Z1335" s="143" t="s">
        <v>4247</v>
      </c>
      <c r="AA1335" s="143">
        <v>20.5</v>
      </c>
      <c r="AB1335" s="191">
        <v>45920</v>
      </c>
      <c r="AC1335" s="143"/>
      <c r="AD1335" s="143"/>
      <c r="AE1335" s="143"/>
      <c r="AF1335" s="143"/>
      <c r="AG1335" s="143"/>
      <c r="AH1335" s="143"/>
      <c r="AI1335" s="201"/>
      <c r="AJ1335" s="201"/>
      <c r="AK1335" s="201"/>
      <c r="AL1335" s="201"/>
      <c r="AM1335" s="201"/>
    </row>
    <row r="1336" customFormat="1" ht="14.25" spans="1:39">
      <c r="A1336" s="143">
        <v>1338</v>
      </c>
      <c r="B1336" s="144">
        <v>45918</v>
      </c>
      <c r="C1336" s="169" t="s">
        <v>4177</v>
      </c>
      <c r="D1336" s="143" t="s">
        <v>41</v>
      </c>
      <c r="E1336" s="196" t="s">
        <v>4240</v>
      </c>
      <c r="F1336" s="143" t="s">
        <v>4249</v>
      </c>
      <c r="G1336" s="143"/>
      <c r="H1336" s="143" t="s">
        <v>4250</v>
      </c>
      <c r="I1336" s="143" t="s">
        <v>4238</v>
      </c>
      <c r="J1336" s="143" t="s">
        <v>4239</v>
      </c>
      <c r="K1336" s="143">
        <v>150</v>
      </c>
      <c r="L1336" s="143">
        <v>280</v>
      </c>
      <c r="M1336" s="143"/>
      <c r="N1336" s="143"/>
      <c r="O1336" s="143"/>
      <c r="P1336" s="143"/>
      <c r="Q1336" s="143"/>
      <c r="R1336" s="143"/>
      <c r="S1336" s="146"/>
      <c r="T1336" s="146"/>
      <c r="U1336" s="146"/>
      <c r="V1336" s="147"/>
      <c r="W1336" s="143" t="s">
        <v>3147</v>
      </c>
      <c r="X1336" s="143" t="s">
        <v>4249</v>
      </c>
      <c r="Y1336" s="169" t="s">
        <v>4220</v>
      </c>
      <c r="Z1336" s="143" t="s">
        <v>4249</v>
      </c>
      <c r="AA1336" s="143">
        <v>15</v>
      </c>
      <c r="AB1336" s="191">
        <v>45920</v>
      </c>
      <c r="AC1336" s="143"/>
      <c r="AD1336" s="143"/>
      <c r="AE1336" s="143"/>
      <c r="AF1336" s="143"/>
      <c r="AG1336" s="143"/>
      <c r="AH1336" s="143"/>
      <c r="AI1336" s="201"/>
      <c r="AJ1336" s="201"/>
      <c r="AK1336" s="201"/>
      <c r="AL1336" s="201"/>
      <c r="AM1336" s="201"/>
    </row>
    <row r="1337" customFormat="1" ht="14.25" spans="1:39">
      <c r="A1337" s="143">
        <v>1339</v>
      </c>
      <c r="B1337" s="144">
        <v>45918</v>
      </c>
      <c r="C1337" s="169" t="s">
        <v>4177</v>
      </c>
      <c r="D1337" s="143" t="s">
        <v>41</v>
      </c>
      <c r="E1337" s="196" t="s">
        <v>4240</v>
      </c>
      <c r="F1337" s="143" t="s">
        <v>4251</v>
      </c>
      <c r="G1337" s="143"/>
      <c r="H1337" s="143" t="s">
        <v>4252</v>
      </c>
      <c r="I1337" s="143" t="s">
        <v>3157</v>
      </c>
      <c r="J1337" s="143" t="s">
        <v>46</v>
      </c>
      <c r="K1337" s="143">
        <v>150</v>
      </c>
      <c r="L1337" s="143">
        <v>320</v>
      </c>
      <c r="M1337" s="143"/>
      <c r="N1337" s="143"/>
      <c r="O1337" s="143"/>
      <c r="P1337" s="143"/>
      <c r="Q1337" s="143"/>
      <c r="R1337" s="143"/>
      <c r="S1337" s="146"/>
      <c r="T1337" s="146"/>
      <c r="U1337" s="146"/>
      <c r="V1337" s="147"/>
      <c r="W1337" s="143" t="s">
        <v>3147</v>
      </c>
      <c r="X1337" s="143" t="s">
        <v>4251</v>
      </c>
      <c r="Y1337" s="169" t="s">
        <v>4208</v>
      </c>
      <c r="Z1337" s="143" t="s">
        <v>4251</v>
      </c>
      <c r="AA1337" s="143">
        <v>19.5</v>
      </c>
      <c r="AB1337" s="191">
        <v>45920</v>
      </c>
      <c r="AC1337" s="143"/>
      <c r="AD1337" s="143"/>
      <c r="AE1337" s="143"/>
      <c r="AF1337" s="143"/>
      <c r="AG1337" s="143"/>
      <c r="AH1337" s="143"/>
      <c r="AI1337" s="201"/>
      <c r="AJ1337" s="201"/>
      <c r="AK1337" s="201"/>
      <c r="AL1337" s="201"/>
      <c r="AM1337" s="201"/>
    </row>
    <row r="1338" customFormat="1" ht="14.25" spans="1:39">
      <c r="A1338" s="143">
        <v>1340</v>
      </c>
      <c r="B1338" s="144">
        <v>45918</v>
      </c>
      <c r="C1338" s="169" t="s">
        <v>4177</v>
      </c>
      <c r="D1338" s="143" t="s">
        <v>41</v>
      </c>
      <c r="E1338" s="196" t="s">
        <v>4240</v>
      </c>
      <c r="F1338" s="143" t="s">
        <v>4253</v>
      </c>
      <c r="G1338" s="143"/>
      <c r="H1338" s="143" t="s">
        <v>4254</v>
      </c>
      <c r="I1338" s="143" t="s">
        <v>3157</v>
      </c>
      <c r="J1338" s="143" t="s">
        <v>46</v>
      </c>
      <c r="K1338" s="143">
        <v>150</v>
      </c>
      <c r="L1338" s="143">
        <v>315</v>
      </c>
      <c r="M1338" s="143"/>
      <c r="N1338" s="143"/>
      <c r="O1338" s="143"/>
      <c r="P1338" s="143"/>
      <c r="Q1338" s="143"/>
      <c r="R1338" s="143"/>
      <c r="S1338" s="146"/>
      <c r="T1338" s="146"/>
      <c r="U1338" s="146"/>
      <c r="V1338" s="147"/>
      <c r="W1338" s="143" t="s">
        <v>3147</v>
      </c>
      <c r="X1338" s="143" t="s">
        <v>4253</v>
      </c>
      <c r="Y1338" s="169" t="s">
        <v>4208</v>
      </c>
      <c r="Z1338" s="143" t="s">
        <v>4253</v>
      </c>
      <c r="AA1338" s="143">
        <v>22.5</v>
      </c>
      <c r="AB1338" s="191">
        <v>45920</v>
      </c>
      <c r="AC1338" s="143"/>
      <c r="AD1338" s="143"/>
      <c r="AE1338" s="143"/>
      <c r="AF1338" s="143"/>
      <c r="AG1338" s="143"/>
      <c r="AH1338" s="143"/>
      <c r="AI1338" s="201"/>
      <c r="AJ1338" s="201"/>
      <c r="AK1338" s="201"/>
      <c r="AL1338" s="201"/>
      <c r="AM1338" s="201"/>
    </row>
    <row r="1339" customFormat="1" ht="14.25" spans="1:39">
      <c r="A1339" s="143">
        <v>1341</v>
      </c>
      <c r="B1339" s="144">
        <v>45918</v>
      </c>
      <c r="C1339" s="169" t="s">
        <v>4177</v>
      </c>
      <c r="D1339" s="143" t="s">
        <v>41</v>
      </c>
      <c r="E1339" s="196" t="s">
        <v>4240</v>
      </c>
      <c r="F1339" s="143" t="s">
        <v>4255</v>
      </c>
      <c r="G1339" s="143"/>
      <c r="H1339" s="143" t="s">
        <v>4256</v>
      </c>
      <c r="I1339" s="143" t="s">
        <v>3157</v>
      </c>
      <c r="J1339" s="143" t="s">
        <v>46</v>
      </c>
      <c r="K1339" s="143">
        <v>150</v>
      </c>
      <c r="L1339" s="143">
        <v>230</v>
      </c>
      <c r="M1339" s="143"/>
      <c r="N1339" s="143"/>
      <c r="O1339" s="143"/>
      <c r="P1339" s="143"/>
      <c r="Q1339" s="143"/>
      <c r="R1339" s="143"/>
      <c r="S1339" s="146"/>
      <c r="T1339" s="146"/>
      <c r="U1339" s="146"/>
      <c r="V1339" s="147"/>
      <c r="W1339" s="143" t="s">
        <v>3147</v>
      </c>
      <c r="X1339" s="143" t="s">
        <v>4255</v>
      </c>
      <c r="Y1339" s="169" t="s">
        <v>4208</v>
      </c>
      <c r="Z1339" s="143" t="s">
        <v>4255</v>
      </c>
      <c r="AA1339" s="143">
        <v>22.5</v>
      </c>
      <c r="AB1339" s="191">
        <v>45920</v>
      </c>
      <c r="AC1339" s="143"/>
      <c r="AD1339" s="143"/>
      <c r="AE1339" s="143"/>
      <c r="AF1339" s="143"/>
      <c r="AG1339" s="143"/>
      <c r="AH1339" s="143"/>
      <c r="AI1339" s="201"/>
      <c r="AJ1339" s="201"/>
      <c r="AK1339" s="201"/>
      <c r="AL1339" s="201"/>
      <c r="AM1339" s="201"/>
    </row>
    <row r="1340" customFormat="1" ht="14.25" spans="1:39">
      <c r="A1340" s="143">
        <v>1342</v>
      </c>
      <c r="B1340" s="144">
        <v>45918</v>
      </c>
      <c r="C1340" s="169" t="s">
        <v>4177</v>
      </c>
      <c r="D1340" s="143" t="s">
        <v>41</v>
      </c>
      <c r="E1340" s="196" t="s">
        <v>4240</v>
      </c>
      <c r="F1340" s="143" t="s">
        <v>4257</v>
      </c>
      <c r="G1340" s="143"/>
      <c r="H1340" s="143" t="s">
        <v>4258</v>
      </c>
      <c r="I1340" s="143" t="s">
        <v>3157</v>
      </c>
      <c r="J1340" s="143" t="s">
        <v>46</v>
      </c>
      <c r="K1340" s="143">
        <v>150</v>
      </c>
      <c r="L1340" s="143">
        <v>300</v>
      </c>
      <c r="M1340" s="143"/>
      <c r="N1340" s="143"/>
      <c r="O1340" s="143"/>
      <c r="P1340" s="143"/>
      <c r="Q1340" s="143"/>
      <c r="R1340" s="143"/>
      <c r="S1340" s="146"/>
      <c r="T1340" s="146"/>
      <c r="U1340" s="146"/>
      <c r="V1340" s="147"/>
      <c r="W1340" s="143" t="s">
        <v>3147</v>
      </c>
      <c r="X1340" s="143" t="s">
        <v>4257</v>
      </c>
      <c r="Y1340" s="169" t="s">
        <v>4208</v>
      </c>
      <c r="Z1340" s="143" t="s">
        <v>4257</v>
      </c>
      <c r="AA1340" s="143">
        <v>26.8</v>
      </c>
      <c r="AB1340" s="191">
        <v>45920</v>
      </c>
      <c r="AC1340" s="143"/>
      <c r="AD1340" s="143"/>
      <c r="AE1340" s="143"/>
      <c r="AF1340" s="143"/>
      <c r="AG1340" s="143"/>
      <c r="AH1340" s="143"/>
      <c r="AI1340" s="201"/>
      <c r="AJ1340" s="201"/>
      <c r="AK1340" s="201"/>
      <c r="AL1340" s="201"/>
      <c r="AM1340" s="201"/>
    </row>
    <row r="1341" customFormat="1" ht="14.25" spans="1:39">
      <c r="A1341" s="143">
        <v>1343</v>
      </c>
      <c r="B1341" s="144">
        <v>45918</v>
      </c>
      <c r="C1341" s="169" t="s">
        <v>4177</v>
      </c>
      <c r="D1341" s="143" t="s">
        <v>41</v>
      </c>
      <c r="E1341" s="196" t="s">
        <v>4240</v>
      </c>
      <c r="F1341" s="143" t="s">
        <v>4259</v>
      </c>
      <c r="G1341" s="143"/>
      <c r="H1341" s="143" t="s">
        <v>4260</v>
      </c>
      <c r="I1341" s="143" t="s">
        <v>3157</v>
      </c>
      <c r="J1341" s="143" t="s">
        <v>46</v>
      </c>
      <c r="K1341" s="143">
        <v>150</v>
      </c>
      <c r="L1341" s="143">
        <v>180</v>
      </c>
      <c r="M1341" s="143"/>
      <c r="N1341" s="143"/>
      <c r="O1341" s="143"/>
      <c r="P1341" s="143"/>
      <c r="Q1341" s="143"/>
      <c r="R1341" s="143"/>
      <c r="S1341" s="146"/>
      <c r="T1341" s="146"/>
      <c r="U1341" s="146"/>
      <c r="V1341" s="147"/>
      <c r="W1341" s="143" t="s">
        <v>3147</v>
      </c>
      <c r="X1341" s="143" t="s">
        <v>4259</v>
      </c>
      <c r="Y1341" s="169" t="s">
        <v>4208</v>
      </c>
      <c r="Z1341" s="143" t="s">
        <v>4259</v>
      </c>
      <c r="AA1341" s="143">
        <v>24.5</v>
      </c>
      <c r="AB1341" s="191">
        <v>45920</v>
      </c>
      <c r="AC1341" s="143"/>
      <c r="AD1341" s="143"/>
      <c r="AE1341" s="143"/>
      <c r="AF1341" s="143"/>
      <c r="AG1341" s="143"/>
      <c r="AH1341" s="143"/>
      <c r="AI1341" s="201"/>
      <c r="AJ1341" s="201"/>
      <c r="AK1341" s="201"/>
      <c r="AL1341" s="201"/>
      <c r="AM1341" s="201"/>
    </row>
    <row r="1342" customFormat="1" ht="14.25" spans="1:39">
      <c r="A1342" s="143">
        <v>1344</v>
      </c>
      <c r="B1342" s="144">
        <v>45918</v>
      </c>
      <c r="C1342" s="169" t="s">
        <v>4177</v>
      </c>
      <c r="D1342" s="143" t="s">
        <v>41</v>
      </c>
      <c r="E1342" s="196" t="s">
        <v>4240</v>
      </c>
      <c r="F1342" s="143" t="s">
        <v>4261</v>
      </c>
      <c r="G1342" s="143"/>
      <c r="H1342" s="143" t="s">
        <v>4262</v>
      </c>
      <c r="I1342" s="143" t="s">
        <v>3157</v>
      </c>
      <c r="J1342" s="143" t="s">
        <v>46</v>
      </c>
      <c r="K1342" s="143">
        <v>150</v>
      </c>
      <c r="L1342" s="143">
        <v>320</v>
      </c>
      <c r="M1342" s="143"/>
      <c r="N1342" s="143"/>
      <c r="O1342" s="143"/>
      <c r="P1342" s="143"/>
      <c r="Q1342" s="143"/>
      <c r="R1342" s="143"/>
      <c r="S1342" s="146"/>
      <c r="T1342" s="146"/>
      <c r="U1342" s="146"/>
      <c r="V1342" s="147"/>
      <c r="W1342" s="143" t="s">
        <v>3147</v>
      </c>
      <c r="X1342" s="143" t="s">
        <v>4261</v>
      </c>
      <c r="Y1342" s="169" t="s">
        <v>4208</v>
      </c>
      <c r="Z1342" s="143" t="s">
        <v>4261</v>
      </c>
      <c r="AA1342" s="143">
        <v>20.8</v>
      </c>
      <c r="AB1342" s="191">
        <v>45920</v>
      </c>
      <c r="AC1342" s="143"/>
      <c r="AD1342" s="143"/>
      <c r="AE1342" s="143"/>
      <c r="AF1342" s="143"/>
      <c r="AG1342" s="143"/>
      <c r="AH1342" s="143"/>
      <c r="AI1342" s="201"/>
      <c r="AJ1342" s="201"/>
      <c r="AK1342" s="201"/>
      <c r="AL1342" s="201"/>
      <c r="AM1342" s="201"/>
    </row>
    <row r="1343" customFormat="1" ht="14.25" spans="1:39">
      <c r="A1343" s="143">
        <v>1345</v>
      </c>
      <c r="B1343" s="144">
        <v>45918</v>
      </c>
      <c r="C1343" s="169" t="s">
        <v>4177</v>
      </c>
      <c r="D1343" s="143" t="s">
        <v>41</v>
      </c>
      <c r="E1343" s="196" t="s">
        <v>4240</v>
      </c>
      <c r="F1343" s="143" t="s">
        <v>4263</v>
      </c>
      <c r="G1343" s="143"/>
      <c r="H1343" s="143" t="s">
        <v>4264</v>
      </c>
      <c r="I1343" s="143" t="s">
        <v>3157</v>
      </c>
      <c r="J1343" s="143" t="s">
        <v>46</v>
      </c>
      <c r="K1343" s="143">
        <v>150</v>
      </c>
      <c r="L1343" s="143">
        <v>180</v>
      </c>
      <c r="M1343" s="143"/>
      <c r="N1343" s="143"/>
      <c r="O1343" s="143"/>
      <c r="P1343" s="143"/>
      <c r="Q1343" s="143"/>
      <c r="R1343" s="143"/>
      <c r="S1343" s="146"/>
      <c r="T1343" s="146"/>
      <c r="U1343" s="146"/>
      <c r="V1343" s="147"/>
      <c r="W1343" s="143" t="s">
        <v>3147</v>
      </c>
      <c r="X1343" s="143" t="s">
        <v>4263</v>
      </c>
      <c r="Y1343" s="169" t="s">
        <v>4208</v>
      </c>
      <c r="Z1343" s="143" t="s">
        <v>4263</v>
      </c>
      <c r="AA1343" s="143">
        <v>19.6</v>
      </c>
      <c r="AB1343" s="191">
        <v>45920</v>
      </c>
      <c r="AC1343" s="143"/>
      <c r="AD1343" s="143"/>
      <c r="AE1343" s="143"/>
      <c r="AF1343" s="143"/>
      <c r="AG1343" s="143"/>
      <c r="AH1343" s="143"/>
      <c r="AI1343" s="201"/>
      <c r="AJ1343" s="201"/>
      <c r="AK1343" s="201"/>
      <c r="AL1343" s="201"/>
      <c r="AM1343" s="201"/>
    </row>
    <row r="1344" customFormat="1" ht="14.25" spans="1:39">
      <c r="A1344" s="143">
        <v>1346</v>
      </c>
      <c r="B1344" s="144">
        <v>45918</v>
      </c>
      <c r="C1344" s="169" t="s">
        <v>4177</v>
      </c>
      <c r="D1344" s="143" t="s">
        <v>41</v>
      </c>
      <c r="E1344" s="196" t="s">
        <v>4240</v>
      </c>
      <c r="F1344" s="143">
        <v>2226</v>
      </c>
      <c r="G1344" s="143"/>
      <c r="H1344" s="143" t="s">
        <v>4265</v>
      </c>
      <c r="I1344" s="143" t="s">
        <v>4266</v>
      </c>
      <c r="J1344" s="143" t="s">
        <v>4267</v>
      </c>
      <c r="K1344" s="143">
        <v>150</v>
      </c>
      <c r="L1344" s="143">
        <v>370</v>
      </c>
      <c r="M1344" s="143"/>
      <c r="N1344" s="143"/>
      <c r="O1344" s="143"/>
      <c r="P1344" s="143"/>
      <c r="Q1344" s="143"/>
      <c r="R1344" s="143"/>
      <c r="S1344" s="146"/>
      <c r="T1344" s="146"/>
      <c r="U1344" s="146"/>
      <c r="V1344" s="147"/>
      <c r="W1344" s="143" t="s">
        <v>3147</v>
      </c>
      <c r="X1344" s="143">
        <v>2226</v>
      </c>
      <c r="Y1344" s="169" t="s">
        <v>4213</v>
      </c>
      <c r="Z1344" s="143">
        <v>2226</v>
      </c>
      <c r="AA1344" s="143">
        <v>28.5</v>
      </c>
      <c r="AB1344" s="191">
        <v>45920</v>
      </c>
      <c r="AC1344" s="143"/>
      <c r="AD1344" s="143"/>
      <c r="AE1344" s="143"/>
      <c r="AF1344" s="143"/>
      <c r="AG1344" s="143"/>
      <c r="AH1344" s="143"/>
      <c r="AI1344" s="201"/>
      <c r="AJ1344" s="201"/>
      <c r="AK1344" s="201"/>
      <c r="AL1344" s="201"/>
      <c r="AM1344" s="201"/>
    </row>
    <row r="1345" customFormat="1" ht="14.25" spans="1:39">
      <c r="A1345" s="143">
        <v>1347</v>
      </c>
      <c r="B1345" s="144">
        <v>45918</v>
      </c>
      <c r="C1345" s="169" t="s">
        <v>4177</v>
      </c>
      <c r="D1345" s="143" t="s">
        <v>41</v>
      </c>
      <c r="E1345" s="196" t="s">
        <v>4240</v>
      </c>
      <c r="F1345" s="143">
        <v>8211</v>
      </c>
      <c r="G1345" s="143"/>
      <c r="H1345" s="143" t="s">
        <v>4268</v>
      </c>
      <c r="I1345" s="143" t="s">
        <v>4266</v>
      </c>
      <c r="J1345" s="143" t="s">
        <v>4267</v>
      </c>
      <c r="K1345" s="143">
        <v>150</v>
      </c>
      <c r="L1345" s="143">
        <v>340</v>
      </c>
      <c r="M1345" s="143"/>
      <c r="N1345" s="143"/>
      <c r="O1345" s="143"/>
      <c r="P1345" s="143"/>
      <c r="Q1345" s="143"/>
      <c r="R1345" s="143"/>
      <c r="S1345" s="146"/>
      <c r="T1345" s="146"/>
      <c r="U1345" s="146"/>
      <c r="V1345" s="147"/>
      <c r="W1345" s="169" t="s">
        <v>3147</v>
      </c>
      <c r="X1345" s="143">
        <v>8211</v>
      </c>
      <c r="Y1345" s="169" t="s">
        <v>4213</v>
      </c>
      <c r="Z1345" s="143">
        <v>8211</v>
      </c>
      <c r="AA1345" s="143">
        <v>28.5</v>
      </c>
      <c r="AB1345" s="191">
        <v>45920</v>
      </c>
      <c r="AC1345" s="143"/>
      <c r="AD1345" s="143"/>
      <c r="AE1345" s="143"/>
      <c r="AF1345" s="143"/>
      <c r="AG1345" s="143"/>
      <c r="AH1345" s="143"/>
      <c r="AI1345" s="201"/>
      <c r="AJ1345" s="201"/>
      <c r="AK1345" s="201"/>
      <c r="AL1345" s="201"/>
      <c r="AM1345" s="201"/>
    </row>
    <row r="1346" customFormat="1" ht="14.25" spans="1:39">
      <c r="A1346" s="143">
        <v>1348</v>
      </c>
      <c r="B1346" s="144">
        <v>45918</v>
      </c>
      <c r="C1346" s="169" t="s">
        <v>4177</v>
      </c>
      <c r="D1346" s="143" t="s">
        <v>41</v>
      </c>
      <c r="E1346" s="196" t="s">
        <v>4240</v>
      </c>
      <c r="F1346" s="143">
        <v>2315</v>
      </c>
      <c r="G1346" s="143"/>
      <c r="H1346" s="143" t="s">
        <v>4269</v>
      </c>
      <c r="I1346" s="143" t="s">
        <v>4266</v>
      </c>
      <c r="J1346" s="143" t="s">
        <v>4267</v>
      </c>
      <c r="K1346" s="143">
        <v>150</v>
      </c>
      <c r="L1346" s="143">
        <v>200</v>
      </c>
      <c r="M1346" s="143"/>
      <c r="N1346" s="143"/>
      <c r="O1346" s="143"/>
      <c r="P1346" s="143"/>
      <c r="Q1346" s="143"/>
      <c r="R1346" s="143"/>
      <c r="S1346" s="146"/>
      <c r="T1346" s="146"/>
      <c r="U1346" s="146"/>
      <c r="V1346" s="147"/>
      <c r="W1346" s="169" t="s">
        <v>3147</v>
      </c>
      <c r="X1346" s="143">
        <v>2315</v>
      </c>
      <c r="Y1346" s="169" t="s">
        <v>4213</v>
      </c>
      <c r="Z1346" s="143">
        <v>2315</v>
      </c>
      <c r="AA1346" s="143">
        <v>29.6</v>
      </c>
      <c r="AB1346" s="191">
        <v>45920</v>
      </c>
      <c r="AC1346" s="143"/>
      <c r="AD1346" s="143"/>
      <c r="AE1346" s="143"/>
      <c r="AF1346" s="143"/>
      <c r="AG1346" s="143"/>
      <c r="AH1346" s="143"/>
      <c r="AI1346" s="201"/>
      <c r="AJ1346" s="201"/>
      <c r="AK1346" s="201"/>
      <c r="AL1346" s="201"/>
      <c r="AM1346" s="201"/>
    </row>
    <row r="1347" customFormat="1" ht="14.25" spans="1:39">
      <c r="A1347" s="143">
        <v>1349</v>
      </c>
      <c r="B1347" s="144">
        <v>45918</v>
      </c>
      <c r="C1347" s="169" t="s">
        <v>4177</v>
      </c>
      <c r="D1347" s="143" t="s">
        <v>41</v>
      </c>
      <c r="E1347" s="196" t="s">
        <v>4240</v>
      </c>
      <c r="F1347" s="143">
        <v>2206</v>
      </c>
      <c r="G1347" s="143"/>
      <c r="H1347" s="143" t="s">
        <v>4270</v>
      </c>
      <c r="I1347" s="143" t="s">
        <v>4266</v>
      </c>
      <c r="J1347" s="143" t="s">
        <v>4267</v>
      </c>
      <c r="K1347" s="143">
        <v>150</v>
      </c>
      <c r="L1347" s="143">
        <v>350</v>
      </c>
      <c r="M1347" s="143"/>
      <c r="N1347" s="143"/>
      <c r="O1347" s="143"/>
      <c r="P1347" s="143"/>
      <c r="Q1347" s="143"/>
      <c r="R1347" s="143"/>
      <c r="S1347" s="146"/>
      <c r="T1347" s="146"/>
      <c r="U1347" s="146"/>
      <c r="V1347" s="147"/>
      <c r="W1347" s="169" t="s">
        <v>3147</v>
      </c>
      <c r="X1347" s="143">
        <v>2206</v>
      </c>
      <c r="Y1347" s="169" t="s">
        <v>4213</v>
      </c>
      <c r="Z1347" s="143">
        <v>2206</v>
      </c>
      <c r="AA1347" s="143">
        <v>30.2</v>
      </c>
      <c r="AB1347" s="191">
        <v>45920</v>
      </c>
      <c r="AC1347" s="143"/>
      <c r="AD1347" s="143"/>
      <c r="AE1347" s="143"/>
      <c r="AF1347" s="143"/>
      <c r="AG1347" s="143"/>
      <c r="AH1347" s="143"/>
      <c r="AI1347" s="201"/>
      <c r="AJ1347" s="201"/>
      <c r="AK1347" s="201"/>
      <c r="AL1347" s="201"/>
      <c r="AM1347" s="201"/>
    </row>
    <row r="1348" customFormat="1" ht="14.25" spans="1:39">
      <c r="A1348" s="143">
        <v>1350</v>
      </c>
      <c r="B1348" s="144">
        <v>45918</v>
      </c>
      <c r="C1348" s="169" t="s">
        <v>4177</v>
      </c>
      <c r="D1348" s="143" t="s">
        <v>41</v>
      </c>
      <c r="E1348" s="196" t="s">
        <v>4271</v>
      </c>
      <c r="F1348" s="143">
        <v>12913</v>
      </c>
      <c r="G1348" s="143"/>
      <c r="H1348" s="143" t="s">
        <v>4272</v>
      </c>
      <c r="I1348" s="143" t="s">
        <v>3390</v>
      </c>
      <c r="J1348" s="143" t="s">
        <v>4144</v>
      </c>
      <c r="K1348" s="143">
        <v>150</v>
      </c>
      <c r="L1348" s="143">
        <v>315</v>
      </c>
      <c r="M1348" s="143"/>
      <c r="N1348" s="143"/>
      <c r="O1348" s="143"/>
      <c r="P1348" s="143"/>
      <c r="Q1348" s="143"/>
      <c r="R1348" s="143"/>
      <c r="S1348" s="146"/>
      <c r="T1348" s="146"/>
      <c r="U1348" s="146"/>
      <c r="V1348" s="147"/>
      <c r="W1348" s="169" t="s">
        <v>3147</v>
      </c>
      <c r="X1348" s="143">
        <v>12913</v>
      </c>
      <c r="Y1348" s="169" t="s">
        <v>4213</v>
      </c>
      <c r="Z1348" s="143">
        <v>12913</v>
      </c>
      <c r="AA1348" s="143">
        <v>15.5</v>
      </c>
      <c r="AB1348" s="191">
        <v>45920</v>
      </c>
      <c r="AC1348" s="143"/>
      <c r="AD1348" s="143"/>
      <c r="AE1348" s="143"/>
      <c r="AF1348" s="143"/>
      <c r="AG1348" s="143"/>
      <c r="AH1348" s="143"/>
      <c r="AI1348" s="201"/>
      <c r="AJ1348" s="201"/>
      <c r="AK1348" s="201"/>
      <c r="AL1348" s="201"/>
      <c r="AM1348" s="201"/>
    </row>
    <row r="1349" customFormat="1" ht="14.25" spans="1:39">
      <c r="A1349" s="143">
        <v>1351</v>
      </c>
      <c r="B1349" s="144">
        <v>45918</v>
      </c>
      <c r="C1349" s="169" t="s">
        <v>4177</v>
      </c>
      <c r="D1349" s="143" t="s">
        <v>41</v>
      </c>
      <c r="E1349" s="196" t="s">
        <v>4271</v>
      </c>
      <c r="F1349" s="143" t="s">
        <v>4273</v>
      </c>
      <c r="G1349" s="143"/>
      <c r="H1349" s="143" t="s">
        <v>4274</v>
      </c>
      <c r="I1349" s="143" t="s">
        <v>3157</v>
      </c>
      <c r="J1349" s="143" t="s">
        <v>3684</v>
      </c>
      <c r="K1349" s="143">
        <v>150</v>
      </c>
      <c r="L1349" s="143">
        <v>250</v>
      </c>
      <c r="M1349" s="143"/>
      <c r="N1349" s="143"/>
      <c r="O1349" s="143"/>
      <c r="P1349" s="143"/>
      <c r="Q1349" s="143"/>
      <c r="R1349" s="143"/>
      <c r="S1349" s="146"/>
      <c r="T1349" s="146"/>
      <c r="U1349" s="146"/>
      <c r="V1349" s="147"/>
      <c r="W1349" s="169" t="s">
        <v>3147</v>
      </c>
      <c r="X1349" s="143" t="s">
        <v>4273</v>
      </c>
      <c r="Y1349" s="169" t="s">
        <v>4208</v>
      </c>
      <c r="Z1349" s="143" t="s">
        <v>4273</v>
      </c>
      <c r="AA1349" s="143">
        <v>20.2</v>
      </c>
      <c r="AB1349" s="191">
        <v>45920</v>
      </c>
      <c r="AC1349" s="143"/>
      <c r="AD1349" s="143"/>
      <c r="AE1349" s="143"/>
      <c r="AF1349" s="143"/>
      <c r="AG1349" s="143"/>
      <c r="AH1349" s="143"/>
      <c r="AI1349" s="201"/>
      <c r="AJ1349" s="201"/>
      <c r="AK1349" s="201"/>
      <c r="AL1349" s="201"/>
      <c r="AM1349" s="201"/>
    </row>
    <row r="1350" customFormat="1" ht="14.25" spans="1:39">
      <c r="A1350" s="143">
        <v>1352</v>
      </c>
      <c r="B1350" s="144">
        <v>45918</v>
      </c>
      <c r="C1350" s="169" t="s">
        <v>4177</v>
      </c>
      <c r="D1350" s="143" t="s">
        <v>41</v>
      </c>
      <c r="E1350" s="196" t="s">
        <v>4275</v>
      </c>
      <c r="F1350" s="143">
        <v>8988</v>
      </c>
      <c r="G1350" s="143"/>
      <c r="H1350" s="143" t="s">
        <v>4276</v>
      </c>
      <c r="I1350" s="143"/>
      <c r="J1350" s="143"/>
      <c r="K1350" s="143">
        <v>150</v>
      </c>
      <c r="L1350" s="143">
        <v>400</v>
      </c>
      <c r="M1350" s="143"/>
      <c r="N1350" s="143"/>
      <c r="O1350" s="143"/>
      <c r="P1350" s="143"/>
      <c r="Q1350" s="143"/>
      <c r="R1350" s="143"/>
      <c r="S1350" s="146"/>
      <c r="T1350" s="146"/>
      <c r="U1350" s="146"/>
      <c r="V1350" s="147"/>
      <c r="W1350" s="169" t="s">
        <v>3147</v>
      </c>
      <c r="X1350" s="143">
        <v>8988</v>
      </c>
      <c r="Y1350" s="169" t="s">
        <v>4205</v>
      </c>
      <c r="Z1350" s="143">
        <v>8988</v>
      </c>
      <c r="AA1350" s="143"/>
      <c r="AB1350" s="191"/>
      <c r="AC1350" s="143"/>
      <c r="AD1350" s="143"/>
      <c r="AE1350" s="143"/>
      <c r="AF1350" s="143"/>
      <c r="AG1350" s="143"/>
      <c r="AH1350" s="143"/>
      <c r="AI1350" s="201"/>
      <c r="AJ1350" s="201"/>
      <c r="AK1350" s="201"/>
      <c r="AL1350" s="201"/>
      <c r="AM1350" s="201"/>
    </row>
    <row r="1351" customFormat="1" ht="14.25" spans="1:39">
      <c r="A1351" s="143">
        <v>1353</v>
      </c>
      <c r="B1351" s="144">
        <v>45918</v>
      </c>
      <c r="C1351" s="169" t="s">
        <v>4177</v>
      </c>
      <c r="D1351" s="143" t="s">
        <v>41</v>
      </c>
      <c r="E1351" s="196" t="s">
        <v>4275</v>
      </c>
      <c r="F1351" s="143">
        <v>81028</v>
      </c>
      <c r="G1351" s="143"/>
      <c r="H1351" s="143" t="s">
        <v>4277</v>
      </c>
      <c r="I1351" s="143"/>
      <c r="J1351" s="143"/>
      <c r="K1351" s="143">
        <v>150</v>
      </c>
      <c r="L1351" s="143">
        <v>380</v>
      </c>
      <c r="M1351" s="143"/>
      <c r="N1351" s="143"/>
      <c r="O1351" s="143"/>
      <c r="P1351" s="143"/>
      <c r="Q1351" s="143"/>
      <c r="R1351" s="143"/>
      <c r="S1351" s="146"/>
      <c r="T1351" s="146"/>
      <c r="U1351" s="146"/>
      <c r="V1351" s="147"/>
      <c r="W1351" s="169" t="s">
        <v>3147</v>
      </c>
      <c r="X1351" s="143">
        <v>81028</v>
      </c>
      <c r="Y1351" s="169" t="s">
        <v>4205</v>
      </c>
      <c r="Z1351" s="143">
        <v>81028</v>
      </c>
      <c r="AA1351" s="143"/>
      <c r="AB1351" s="191"/>
      <c r="AC1351" s="143"/>
      <c r="AD1351" s="143"/>
      <c r="AE1351" s="143"/>
      <c r="AF1351" s="143"/>
      <c r="AG1351" s="143"/>
      <c r="AH1351" s="143"/>
      <c r="AI1351" s="201"/>
      <c r="AJ1351" s="201"/>
      <c r="AK1351" s="201"/>
      <c r="AL1351" s="201"/>
      <c r="AM1351" s="201"/>
    </row>
    <row r="1352" spans="1:39">
      <c r="A1352" s="143">
        <v>1308</v>
      </c>
      <c r="B1352" s="144">
        <v>45918</v>
      </c>
      <c r="C1352" s="169" t="s">
        <v>3277</v>
      </c>
      <c r="D1352" s="143" t="s">
        <v>41</v>
      </c>
      <c r="E1352" s="196" t="s">
        <v>4278</v>
      </c>
      <c r="F1352" s="143" t="s">
        <v>4279</v>
      </c>
      <c r="H1352" s="143" t="s">
        <v>4280</v>
      </c>
      <c r="I1352" s="143" t="s">
        <v>4281</v>
      </c>
      <c r="J1352" s="143" t="s">
        <v>4282</v>
      </c>
      <c r="K1352" s="143">
        <v>150</v>
      </c>
      <c r="L1352" s="143">
        <v>300</v>
      </c>
      <c r="W1352" s="143" t="s">
        <v>3147</v>
      </c>
      <c r="X1352" s="143" t="s">
        <v>4279</v>
      </c>
      <c r="Y1352" s="169" t="s">
        <v>4218</v>
      </c>
      <c r="Z1352" s="143" t="s">
        <v>4279</v>
      </c>
      <c r="AA1352" s="143">
        <v>15.8</v>
      </c>
      <c r="AB1352" s="191">
        <v>45920</v>
      </c>
    </row>
    <row r="1353" spans="1:39">
      <c r="A1353" s="143">
        <v>1309</v>
      </c>
      <c r="B1353" s="144">
        <v>45918</v>
      </c>
      <c r="C1353" s="169" t="s">
        <v>3277</v>
      </c>
      <c r="D1353" s="143" t="s">
        <v>41</v>
      </c>
      <c r="E1353" s="196" t="s">
        <v>4278</v>
      </c>
      <c r="F1353" s="143" t="s">
        <v>4283</v>
      </c>
      <c r="H1353" s="143" t="s">
        <v>4284</v>
      </c>
      <c r="I1353" s="143" t="s">
        <v>3218</v>
      </c>
      <c r="J1353" s="143" t="s">
        <v>1577</v>
      </c>
      <c r="K1353" s="143">
        <v>150</v>
      </c>
      <c r="L1353" s="143">
        <v>250</v>
      </c>
      <c r="W1353" s="143" t="s">
        <v>3147</v>
      </c>
      <c r="X1353" s="143" t="s">
        <v>4283</v>
      </c>
      <c r="Y1353" s="169" t="s">
        <v>4218</v>
      </c>
      <c r="Z1353" s="143" t="s">
        <v>4283</v>
      </c>
      <c r="AA1353" s="143">
        <v>14.5</v>
      </c>
      <c r="AB1353" s="191">
        <v>45920</v>
      </c>
    </row>
    <row r="1354" spans="1:39">
      <c r="A1354" s="143">
        <v>1310</v>
      </c>
      <c r="B1354" s="144">
        <v>45918</v>
      </c>
      <c r="C1354" s="169" t="s">
        <v>3277</v>
      </c>
      <c r="D1354" s="143" t="s">
        <v>41</v>
      </c>
      <c r="E1354" s="196" t="s">
        <v>4278</v>
      </c>
      <c r="F1354" s="143" t="s">
        <v>4285</v>
      </c>
      <c r="H1354" s="143" t="s">
        <v>4286</v>
      </c>
      <c r="I1354" s="143" t="s">
        <v>4287</v>
      </c>
      <c r="J1354" s="143" t="s">
        <v>4288</v>
      </c>
      <c r="K1354" s="143">
        <v>150</v>
      </c>
      <c r="L1354" s="143">
        <v>330</v>
      </c>
      <c r="W1354" s="143" t="s">
        <v>3147</v>
      </c>
      <c r="X1354" s="143" t="s">
        <v>4285</v>
      </c>
      <c r="Y1354" s="169" t="s">
        <v>4208</v>
      </c>
      <c r="Z1354" s="143" t="s">
        <v>4285</v>
      </c>
      <c r="AA1354" s="143">
        <v>18.8</v>
      </c>
      <c r="AB1354" s="191">
        <v>45920</v>
      </c>
    </row>
    <row r="1355" spans="1:39">
      <c r="A1355" s="143">
        <v>1311</v>
      </c>
      <c r="B1355" s="144">
        <v>45918</v>
      </c>
      <c r="C1355" s="169" t="s">
        <v>3277</v>
      </c>
      <c r="D1355" s="143" t="s">
        <v>41</v>
      </c>
      <c r="E1355" s="196" t="s">
        <v>4278</v>
      </c>
      <c r="F1355" s="143" t="s">
        <v>4289</v>
      </c>
      <c r="H1355" s="143" t="s">
        <v>4290</v>
      </c>
      <c r="I1355" s="143" t="s">
        <v>3170</v>
      </c>
      <c r="J1355" s="143" t="s">
        <v>432</v>
      </c>
      <c r="K1355" s="143">
        <v>150</v>
      </c>
      <c r="L1355" s="143">
        <v>340</v>
      </c>
      <c r="W1355" s="143" t="s">
        <v>3147</v>
      </c>
      <c r="X1355" s="143" t="s">
        <v>4289</v>
      </c>
      <c r="Y1355" s="169" t="s">
        <v>4208</v>
      </c>
      <c r="Z1355" s="143" t="s">
        <v>4289</v>
      </c>
      <c r="AA1355" s="143">
        <v>18.5</v>
      </c>
      <c r="AB1355" s="191">
        <v>45920</v>
      </c>
    </row>
    <row r="1356" spans="1:39">
      <c r="A1356" s="143">
        <v>1312</v>
      </c>
      <c r="B1356" s="144">
        <v>45918</v>
      </c>
      <c r="C1356" s="169" t="s">
        <v>3277</v>
      </c>
      <c r="D1356" s="143" t="s">
        <v>41</v>
      </c>
      <c r="E1356" s="196" t="s">
        <v>4278</v>
      </c>
      <c r="F1356" s="143" t="s">
        <v>4291</v>
      </c>
      <c r="H1356" s="143" t="s">
        <v>4292</v>
      </c>
      <c r="I1356" s="143" t="s">
        <v>4190</v>
      </c>
      <c r="J1356" s="143" t="s">
        <v>630</v>
      </c>
      <c r="K1356" s="143">
        <v>150</v>
      </c>
      <c r="L1356" s="143">
        <v>380</v>
      </c>
      <c r="W1356" s="143" t="s">
        <v>3147</v>
      </c>
      <c r="X1356" s="143" t="s">
        <v>4291</v>
      </c>
      <c r="Y1356" s="169" t="s">
        <v>4208</v>
      </c>
      <c r="Z1356" s="143" t="s">
        <v>4291</v>
      </c>
      <c r="AA1356" s="143">
        <v>27.6</v>
      </c>
      <c r="AB1356" s="191">
        <v>45920</v>
      </c>
    </row>
    <row r="1357" spans="1:39">
      <c r="A1357" s="143">
        <v>1313</v>
      </c>
      <c r="B1357" s="144">
        <v>45918</v>
      </c>
      <c r="C1357" s="169" t="s">
        <v>3277</v>
      </c>
      <c r="D1357" s="143" t="s">
        <v>41</v>
      </c>
      <c r="E1357" s="196" t="s">
        <v>4278</v>
      </c>
      <c r="F1357" s="143" t="s">
        <v>4293</v>
      </c>
      <c r="H1357" s="143" t="s">
        <v>4294</v>
      </c>
      <c r="I1357" s="143" t="s">
        <v>4295</v>
      </c>
      <c r="J1357" s="143" t="s">
        <v>4296</v>
      </c>
      <c r="K1357" s="143">
        <v>150</v>
      </c>
      <c r="L1357" s="143">
        <v>330</v>
      </c>
      <c r="W1357" s="143" t="s">
        <v>3147</v>
      </c>
      <c r="X1357" s="143" t="s">
        <v>4293</v>
      </c>
      <c r="Y1357" s="169" t="s">
        <v>4208</v>
      </c>
      <c r="Z1357" s="143" t="s">
        <v>4293</v>
      </c>
      <c r="AA1357" s="143">
        <v>27</v>
      </c>
      <c r="AB1357" s="191">
        <v>45920</v>
      </c>
    </row>
    <row r="1358" spans="1:39">
      <c r="A1358" s="143">
        <v>1314</v>
      </c>
      <c r="B1358" s="144">
        <v>45918</v>
      </c>
      <c r="C1358" s="169" t="s">
        <v>3277</v>
      </c>
      <c r="D1358" s="143" t="s">
        <v>41</v>
      </c>
      <c r="E1358" s="196" t="s">
        <v>4278</v>
      </c>
      <c r="F1358" s="143" t="s">
        <v>4297</v>
      </c>
      <c r="H1358" s="143" t="s">
        <v>4298</v>
      </c>
      <c r="I1358" s="143" t="s">
        <v>4299</v>
      </c>
      <c r="J1358" s="143" t="s">
        <v>1835</v>
      </c>
      <c r="K1358" s="143">
        <v>150</v>
      </c>
      <c r="L1358" s="143">
        <v>340</v>
      </c>
      <c r="W1358" s="143" t="s">
        <v>3147</v>
      </c>
      <c r="X1358" s="143" t="s">
        <v>4297</v>
      </c>
      <c r="Y1358" s="169" t="s">
        <v>4208</v>
      </c>
      <c r="Z1358" s="143" t="s">
        <v>4297</v>
      </c>
      <c r="AA1358" s="143">
        <v>26.8</v>
      </c>
      <c r="AB1358" s="191">
        <v>45920</v>
      </c>
    </row>
    <row r="1359" spans="1:39">
      <c r="A1359" s="143">
        <v>1315</v>
      </c>
      <c r="B1359" s="144">
        <v>45918</v>
      </c>
      <c r="C1359" s="169" t="s">
        <v>3277</v>
      </c>
      <c r="D1359" s="143" t="s">
        <v>41</v>
      </c>
      <c r="E1359" s="196" t="s">
        <v>4278</v>
      </c>
      <c r="F1359" s="143" t="s">
        <v>4300</v>
      </c>
      <c r="H1359" s="143" t="s">
        <v>4301</v>
      </c>
      <c r="I1359" s="143" t="s">
        <v>4302</v>
      </c>
      <c r="J1359" s="143" t="s">
        <v>4303</v>
      </c>
      <c r="K1359" s="143">
        <v>150</v>
      </c>
      <c r="L1359" s="143">
        <v>580</v>
      </c>
      <c r="W1359" s="143" t="s">
        <v>3147</v>
      </c>
      <c r="X1359" s="143" t="s">
        <v>4300</v>
      </c>
      <c r="Y1359" s="169" t="s">
        <v>4208</v>
      </c>
      <c r="Z1359" s="143" t="s">
        <v>4300</v>
      </c>
      <c r="AA1359" s="143">
        <v>26.5</v>
      </c>
      <c r="AB1359" s="191">
        <v>45920</v>
      </c>
    </row>
    <row r="1360" spans="1:39">
      <c r="A1360" s="143">
        <v>1316</v>
      </c>
      <c r="B1360" s="144">
        <v>45918</v>
      </c>
      <c r="C1360" s="169" t="s">
        <v>3277</v>
      </c>
      <c r="D1360" s="143" t="s">
        <v>41</v>
      </c>
      <c r="E1360" s="196" t="s">
        <v>4278</v>
      </c>
      <c r="F1360" s="143" t="s">
        <v>4304</v>
      </c>
      <c r="H1360" s="143" t="s">
        <v>4305</v>
      </c>
      <c r="I1360" s="143" t="s">
        <v>4306</v>
      </c>
      <c r="J1360" s="143" t="s">
        <v>4307</v>
      </c>
      <c r="K1360" s="143">
        <v>150</v>
      </c>
      <c r="L1360" s="143">
        <v>460</v>
      </c>
      <c r="W1360" s="143" t="s">
        <v>3147</v>
      </c>
      <c r="X1360" s="143" t="s">
        <v>4304</v>
      </c>
      <c r="Y1360" s="169" t="s">
        <v>4208</v>
      </c>
      <c r="Z1360" s="143" t="s">
        <v>4304</v>
      </c>
      <c r="AA1360" s="143">
        <v>29</v>
      </c>
      <c r="AB1360" s="191">
        <v>45920</v>
      </c>
    </row>
    <row r="1361" spans="1:28">
      <c r="A1361" s="143">
        <v>1317</v>
      </c>
      <c r="B1361" s="144">
        <v>45918</v>
      </c>
      <c r="C1361" s="169" t="s">
        <v>3277</v>
      </c>
      <c r="D1361" s="143" t="s">
        <v>41</v>
      </c>
      <c r="E1361" s="196" t="s">
        <v>4278</v>
      </c>
      <c r="F1361" s="143" t="s">
        <v>4308</v>
      </c>
      <c r="H1361" s="143" t="s">
        <v>4309</v>
      </c>
      <c r="I1361" s="143" t="s">
        <v>4310</v>
      </c>
      <c r="J1361" s="143" t="s">
        <v>2081</v>
      </c>
      <c r="K1361" s="143">
        <v>150</v>
      </c>
      <c r="L1361" s="143">
        <v>460</v>
      </c>
      <c r="W1361" s="143" t="s">
        <v>3147</v>
      </c>
      <c r="X1361" s="143" t="s">
        <v>4308</v>
      </c>
      <c r="Y1361" s="169" t="s">
        <v>4208</v>
      </c>
      <c r="Z1361" s="143" t="s">
        <v>4308</v>
      </c>
      <c r="AA1361" s="143">
        <v>29</v>
      </c>
      <c r="AB1361" s="191">
        <v>45920</v>
      </c>
    </row>
    <row r="1362" spans="1:28">
      <c r="A1362" s="143">
        <v>1318</v>
      </c>
      <c r="B1362" s="144">
        <v>45918</v>
      </c>
      <c r="C1362" s="169" t="s">
        <v>3277</v>
      </c>
      <c r="D1362" s="143" t="s">
        <v>41</v>
      </c>
      <c r="E1362" s="196" t="s">
        <v>4278</v>
      </c>
      <c r="F1362" s="143">
        <v>527</v>
      </c>
      <c r="H1362" s="143" t="s">
        <v>4311</v>
      </c>
      <c r="I1362" s="143" t="s">
        <v>4312</v>
      </c>
      <c r="J1362" s="143" t="s">
        <v>4313</v>
      </c>
      <c r="K1362" s="143">
        <v>150</v>
      </c>
      <c r="L1362" s="143">
        <v>150</v>
      </c>
      <c r="W1362" s="143" t="s">
        <v>3147</v>
      </c>
      <c r="X1362" s="143">
        <v>527</v>
      </c>
      <c r="Y1362" s="169" t="s">
        <v>4213</v>
      </c>
      <c r="Z1362" s="143">
        <v>527</v>
      </c>
      <c r="AA1362" s="143">
        <v>15.8</v>
      </c>
      <c r="AB1362" s="191">
        <v>45920</v>
      </c>
    </row>
    <row r="1363" spans="1:28">
      <c r="A1363" s="143">
        <v>1319</v>
      </c>
      <c r="B1363" s="144">
        <v>45918</v>
      </c>
      <c r="C1363" s="169" t="s">
        <v>3277</v>
      </c>
      <c r="D1363" s="143" t="s">
        <v>41</v>
      </c>
      <c r="E1363" s="196" t="s">
        <v>4278</v>
      </c>
      <c r="F1363" s="143">
        <v>512</v>
      </c>
      <c r="H1363" s="143" t="s">
        <v>4314</v>
      </c>
      <c r="I1363" s="143" t="s">
        <v>4315</v>
      </c>
      <c r="J1363" s="143" t="s">
        <v>4316</v>
      </c>
      <c r="K1363" s="143">
        <v>150</v>
      </c>
      <c r="L1363" s="143">
        <v>150</v>
      </c>
      <c r="W1363" s="143" t="s">
        <v>3147</v>
      </c>
      <c r="X1363" s="143">
        <v>512</v>
      </c>
      <c r="Y1363" s="169" t="s">
        <v>4213</v>
      </c>
      <c r="Z1363" s="143">
        <v>512</v>
      </c>
      <c r="AA1363" s="143">
        <v>14</v>
      </c>
      <c r="AB1363" s="191">
        <v>45920</v>
      </c>
    </row>
    <row r="1364" spans="1:28">
      <c r="A1364" s="143">
        <v>1320</v>
      </c>
      <c r="B1364" s="144">
        <v>45918</v>
      </c>
      <c r="C1364" s="169" t="s">
        <v>3277</v>
      </c>
      <c r="D1364" s="143" t="s">
        <v>41</v>
      </c>
      <c r="E1364" s="196" t="s">
        <v>4278</v>
      </c>
      <c r="F1364" s="143">
        <v>523</v>
      </c>
      <c r="H1364" s="143" t="s">
        <v>4317</v>
      </c>
      <c r="I1364" s="143" t="s">
        <v>4312</v>
      </c>
      <c r="J1364" s="143" t="s">
        <v>4313</v>
      </c>
      <c r="K1364" s="143">
        <v>150</v>
      </c>
      <c r="L1364" s="143">
        <v>145</v>
      </c>
      <c r="W1364" s="143" t="s">
        <v>3147</v>
      </c>
      <c r="X1364" s="143">
        <v>523</v>
      </c>
      <c r="Y1364" s="169" t="s">
        <v>4213</v>
      </c>
      <c r="Z1364" s="143">
        <v>523</v>
      </c>
      <c r="AA1364" s="143">
        <v>15.2</v>
      </c>
      <c r="AB1364" s="191">
        <v>45920</v>
      </c>
    </row>
    <row r="1365" spans="1:28">
      <c r="A1365" s="143">
        <v>1321</v>
      </c>
      <c r="B1365" s="144">
        <v>45918</v>
      </c>
      <c r="C1365" s="169" t="s">
        <v>3277</v>
      </c>
      <c r="D1365" s="143" t="s">
        <v>41</v>
      </c>
      <c r="E1365" s="196" t="s">
        <v>4278</v>
      </c>
      <c r="F1365" s="143">
        <v>879</v>
      </c>
      <c r="H1365" s="143" t="s">
        <v>4318</v>
      </c>
      <c r="I1365" s="143" t="s">
        <v>4319</v>
      </c>
      <c r="J1365" s="143" t="s">
        <v>4320</v>
      </c>
      <c r="K1365" s="143">
        <v>150</v>
      </c>
      <c r="L1365" s="143">
        <v>160</v>
      </c>
      <c r="W1365" s="143" t="s">
        <v>3147</v>
      </c>
      <c r="X1365" s="143">
        <v>879</v>
      </c>
      <c r="Y1365" s="169" t="s">
        <v>4213</v>
      </c>
      <c r="Z1365" s="143">
        <v>879</v>
      </c>
      <c r="AA1365" s="143">
        <v>17.3</v>
      </c>
      <c r="AB1365" s="191">
        <v>45920</v>
      </c>
    </row>
    <row r="1366" spans="1:28">
      <c r="A1366" s="143">
        <v>1322</v>
      </c>
      <c r="B1366" s="144">
        <v>45918</v>
      </c>
      <c r="C1366" s="169" t="s">
        <v>3277</v>
      </c>
      <c r="D1366" s="143" t="s">
        <v>41</v>
      </c>
      <c r="E1366" s="196" t="s">
        <v>4278</v>
      </c>
      <c r="F1366" s="143">
        <v>517</v>
      </c>
      <c r="H1366" s="143" t="s">
        <v>4321</v>
      </c>
      <c r="I1366" s="143" t="s">
        <v>4322</v>
      </c>
      <c r="J1366" s="143" t="s">
        <v>1588</v>
      </c>
      <c r="K1366" s="143">
        <v>150</v>
      </c>
      <c r="L1366" s="143">
        <v>160</v>
      </c>
      <c r="W1366" s="143" t="s">
        <v>3147</v>
      </c>
      <c r="X1366" s="143">
        <v>517</v>
      </c>
      <c r="Y1366" s="169" t="s">
        <v>4213</v>
      </c>
      <c r="Z1366" s="143">
        <v>517</v>
      </c>
      <c r="AA1366" s="143">
        <v>13.5</v>
      </c>
      <c r="AB1366" s="191">
        <v>45920</v>
      </c>
    </row>
    <row r="1367" spans="1:28">
      <c r="A1367" s="143">
        <v>1323</v>
      </c>
      <c r="B1367" s="144">
        <v>45918</v>
      </c>
      <c r="C1367" s="169" t="s">
        <v>3277</v>
      </c>
      <c r="D1367" s="143" t="s">
        <v>41</v>
      </c>
      <c r="E1367" s="196" t="s">
        <v>4323</v>
      </c>
      <c r="F1367" s="143" t="s">
        <v>4324</v>
      </c>
      <c r="H1367" s="143" t="s">
        <v>4325</v>
      </c>
      <c r="I1367" s="143" t="s">
        <v>3157</v>
      </c>
      <c r="J1367" s="143" t="s">
        <v>3684</v>
      </c>
      <c r="K1367" s="143">
        <v>148</v>
      </c>
      <c r="L1367" s="143">
        <v>375</v>
      </c>
      <c r="W1367" s="143" t="s">
        <v>3147</v>
      </c>
      <c r="X1367" s="143" t="s">
        <v>4324</v>
      </c>
      <c r="Y1367" s="169" t="s">
        <v>4326</v>
      </c>
      <c r="Z1367" s="143" t="s">
        <v>4324</v>
      </c>
      <c r="AA1367" s="143">
        <v>16.5</v>
      </c>
      <c r="AB1367" s="191">
        <v>45920</v>
      </c>
    </row>
    <row r="1368" spans="1:28">
      <c r="A1368" s="143">
        <v>1324</v>
      </c>
      <c r="B1368" s="144">
        <v>45918</v>
      </c>
      <c r="C1368" s="169" t="s">
        <v>3277</v>
      </c>
      <c r="D1368" s="143" t="s">
        <v>41</v>
      </c>
      <c r="E1368" s="196" t="s">
        <v>4323</v>
      </c>
      <c r="F1368" s="143" t="s">
        <v>4327</v>
      </c>
      <c r="H1368" s="143" t="s">
        <v>4328</v>
      </c>
      <c r="I1368" s="143" t="s">
        <v>3157</v>
      </c>
      <c r="J1368" s="143" t="s">
        <v>3684</v>
      </c>
      <c r="K1368" s="143">
        <v>148</v>
      </c>
      <c r="L1368" s="143">
        <v>460</v>
      </c>
      <c r="W1368" s="143" t="s">
        <v>3147</v>
      </c>
      <c r="X1368" s="143" t="s">
        <v>4327</v>
      </c>
      <c r="Y1368" s="169" t="s">
        <v>4326</v>
      </c>
      <c r="Z1368" s="143" t="s">
        <v>4327</v>
      </c>
      <c r="AA1368" s="143">
        <v>28</v>
      </c>
      <c r="AB1368" s="191">
        <v>45920</v>
      </c>
    </row>
    <row r="1369" spans="1:28">
      <c r="A1369" s="143">
        <v>1325</v>
      </c>
      <c r="B1369" s="144">
        <v>45918</v>
      </c>
      <c r="C1369" s="169" t="s">
        <v>3277</v>
      </c>
      <c r="D1369" s="143" t="s">
        <v>41</v>
      </c>
      <c r="E1369" s="196" t="s">
        <v>4323</v>
      </c>
      <c r="F1369" s="143" t="s">
        <v>4329</v>
      </c>
      <c r="H1369" s="143" t="s">
        <v>4330</v>
      </c>
      <c r="I1369" s="143" t="s">
        <v>3157</v>
      </c>
      <c r="J1369" s="143" t="s">
        <v>3684</v>
      </c>
      <c r="K1369" s="143">
        <v>148</v>
      </c>
      <c r="L1369" s="143">
        <v>580</v>
      </c>
      <c r="W1369" s="143" t="s">
        <v>3147</v>
      </c>
      <c r="X1369" s="143" t="s">
        <v>4329</v>
      </c>
      <c r="Y1369" s="169" t="s">
        <v>4326</v>
      </c>
      <c r="Z1369" s="143" t="s">
        <v>4329</v>
      </c>
      <c r="AA1369" s="143">
        <v>23.4</v>
      </c>
      <c r="AB1369" s="191">
        <v>45920</v>
      </c>
    </row>
    <row r="1370" spans="1:28">
      <c r="A1370" s="143">
        <v>1326</v>
      </c>
      <c r="B1370" s="144">
        <v>45918</v>
      </c>
      <c r="C1370" s="169" t="s">
        <v>3277</v>
      </c>
      <c r="D1370" s="143" t="s">
        <v>41</v>
      </c>
      <c r="E1370" s="196" t="s">
        <v>4323</v>
      </c>
      <c r="F1370" s="143" t="s">
        <v>4331</v>
      </c>
      <c r="H1370" s="143" t="s">
        <v>4332</v>
      </c>
      <c r="I1370" s="143" t="s">
        <v>3157</v>
      </c>
      <c r="J1370" s="143" t="s">
        <v>3684</v>
      </c>
      <c r="K1370" s="143">
        <v>148</v>
      </c>
      <c r="L1370" s="143">
        <v>500</v>
      </c>
      <c r="W1370" s="143" t="s">
        <v>3147</v>
      </c>
      <c r="X1370" s="143" t="s">
        <v>4331</v>
      </c>
      <c r="Y1370" s="169" t="s">
        <v>4326</v>
      </c>
      <c r="Z1370" s="143" t="s">
        <v>4331</v>
      </c>
      <c r="AA1370" s="143">
        <v>18.2</v>
      </c>
      <c r="AB1370" s="191">
        <v>45920</v>
      </c>
    </row>
    <row r="1371" spans="1:28">
      <c r="A1371" s="143">
        <v>1327</v>
      </c>
      <c r="B1371" s="144">
        <v>45918</v>
      </c>
      <c r="C1371" s="169" t="s">
        <v>3277</v>
      </c>
      <c r="D1371" s="143" t="s">
        <v>41</v>
      </c>
      <c r="E1371" s="196" t="s">
        <v>4323</v>
      </c>
      <c r="F1371" s="143" t="s">
        <v>4333</v>
      </c>
      <c r="H1371" s="143" t="s">
        <v>4334</v>
      </c>
      <c r="I1371" s="143" t="s">
        <v>3157</v>
      </c>
      <c r="J1371" s="143" t="s">
        <v>3684</v>
      </c>
      <c r="K1371" s="143">
        <v>148</v>
      </c>
      <c r="L1371" s="143">
        <v>400</v>
      </c>
      <c r="W1371" s="143" t="s">
        <v>3147</v>
      </c>
      <c r="X1371" s="143" t="s">
        <v>4333</v>
      </c>
      <c r="Y1371" s="169" t="s">
        <v>4326</v>
      </c>
      <c r="Z1371" s="143" t="s">
        <v>4333</v>
      </c>
      <c r="AA1371" s="143">
        <v>23</v>
      </c>
      <c r="AB1371" s="191">
        <v>45920</v>
      </c>
    </row>
    <row r="1372" spans="1:28">
      <c r="A1372" s="143">
        <v>1328</v>
      </c>
      <c r="B1372" s="144">
        <v>45918</v>
      </c>
      <c r="C1372" s="169" t="s">
        <v>3277</v>
      </c>
      <c r="D1372" s="143" t="s">
        <v>41</v>
      </c>
      <c r="E1372" s="196" t="s">
        <v>4323</v>
      </c>
      <c r="F1372" s="143" t="s">
        <v>4335</v>
      </c>
      <c r="H1372" s="143" t="s">
        <v>4336</v>
      </c>
      <c r="I1372" s="143" t="s">
        <v>3157</v>
      </c>
      <c r="J1372" s="143" t="s">
        <v>3684</v>
      </c>
      <c r="K1372" s="143">
        <v>148</v>
      </c>
      <c r="L1372" s="143">
        <v>500</v>
      </c>
      <c r="W1372" s="143" t="s">
        <v>3147</v>
      </c>
      <c r="X1372" s="143" t="s">
        <v>4335</v>
      </c>
      <c r="Y1372" s="169" t="s">
        <v>4326</v>
      </c>
      <c r="Z1372" s="143" t="s">
        <v>4335</v>
      </c>
      <c r="AA1372" s="143">
        <v>23</v>
      </c>
      <c r="AB1372" s="191">
        <v>45920</v>
      </c>
    </row>
    <row r="1373" spans="1:28">
      <c r="A1373" s="143">
        <v>1329</v>
      </c>
      <c r="B1373" s="144">
        <v>45918</v>
      </c>
      <c r="C1373" s="169" t="s">
        <v>3277</v>
      </c>
      <c r="D1373" s="143" t="s">
        <v>41</v>
      </c>
      <c r="E1373" s="196" t="s">
        <v>4323</v>
      </c>
      <c r="F1373" s="143" t="s">
        <v>4337</v>
      </c>
      <c r="H1373" s="143" t="s">
        <v>4338</v>
      </c>
      <c r="I1373" s="143" t="s">
        <v>3157</v>
      </c>
      <c r="J1373" s="143" t="s">
        <v>3684</v>
      </c>
      <c r="K1373" s="143">
        <v>148</v>
      </c>
      <c r="L1373" s="143">
        <v>460</v>
      </c>
      <c r="W1373" s="143" t="s">
        <v>3147</v>
      </c>
      <c r="X1373" s="143" t="s">
        <v>4337</v>
      </c>
      <c r="Y1373" s="169" t="s">
        <v>4326</v>
      </c>
      <c r="Z1373" s="143" t="s">
        <v>4337</v>
      </c>
      <c r="AA1373" s="143">
        <v>21.3</v>
      </c>
      <c r="AB1373" s="191">
        <v>45920</v>
      </c>
    </row>
    <row r="1374" spans="1:28">
      <c r="A1374" s="143">
        <v>1330</v>
      </c>
      <c r="B1374" s="144">
        <v>45918</v>
      </c>
      <c r="C1374" s="169" t="s">
        <v>3277</v>
      </c>
      <c r="D1374" s="143" t="s">
        <v>41</v>
      </c>
      <c r="E1374" s="196" t="s">
        <v>4323</v>
      </c>
      <c r="F1374" s="143" t="s">
        <v>4339</v>
      </c>
      <c r="H1374" s="143" t="s">
        <v>4340</v>
      </c>
      <c r="I1374" s="143" t="s">
        <v>3157</v>
      </c>
      <c r="J1374" s="143" t="s">
        <v>3684</v>
      </c>
      <c r="K1374" s="143">
        <v>148</v>
      </c>
      <c r="L1374" s="143">
        <v>300</v>
      </c>
      <c r="W1374" s="143" t="s">
        <v>3147</v>
      </c>
      <c r="X1374" s="143" t="s">
        <v>4339</v>
      </c>
      <c r="Y1374" s="169" t="s">
        <v>4326</v>
      </c>
      <c r="Z1374" s="143" t="s">
        <v>4339</v>
      </c>
      <c r="AA1374" s="143">
        <v>23.5</v>
      </c>
      <c r="AB1374" s="191">
        <v>45920</v>
      </c>
    </row>
    <row r="1375" spans="1:28">
      <c r="A1375" s="143">
        <v>1331</v>
      </c>
      <c r="B1375" s="144">
        <v>45918</v>
      </c>
      <c r="C1375" s="169" t="s">
        <v>3277</v>
      </c>
      <c r="D1375" s="143" t="s">
        <v>41</v>
      </c>
      <c r="E1375" s="196" t="s">
        <v>4323</v>
      </c>
      <c r="F1375" s="143" t="s">
        <v>4341</v>
      </c>
      <c r="H1375" s="143" t="s">
        <v>4342</v>
      </c>
      <c r="I1375" s="143" t="s">
        <v>3157</v>
      </c>
      <c r="J1375" s="143" t="s">
        <v>3684</v>
      </c>
      <c r="K1375" s="143">
        <v>148</v>
      </c>
      <c r="L1375" s="143">
        <v>250</v>
      </c>
      <c r="W1375" s="143" t="s">
        <v>3147</v>
      </c>
      <c r="X1375" s="143" t="s">
        <v>4341</v>
      </c>
      <c r="Y1375" s="169" t="s">
        <v>4326</v>
      </c>
      <c r="Z1375" s="143" t="s">
        <v>4341</v>
      </c>
      <c r="AA1375" s="143">
        <v>23.5</v>
      </c>
      <c r="AB1375" s="191">
        <v>45920</v>
      </c>
    </row>
    <row r="1376" spans="1:28">
      <c r="A1376" s="143">
        <v>1332</v>
      </c>
      <c r="B1376" s="144">
        <v>45918</v>
      </c>
      <c r="C1376" s="169" t="s">
        <v>3277</v>
      </c>
      <c r="D1376" s="143" t="s">
        <v>41</v>
      </c>
      <c r="E1376" s="196" t="s">
        <v>4323</v>
      </c>
      <c r="F1376" s="143" t="s">
        <v>4343</v>
      </c>
      <c r="H1376" s="143" t="s">
        <v>4344</v>
      </c>
      <c r="I1376" s="143" t="s">
        <v>3157</v>
      </c>
      <c r="J1376" s="143" t="s">
        <v>3684</v>
      </c>
      <c r="K1376" s="143">
        <v>148</v>
      </c>
      <c r="L1376" s="143">
        <v>340</v>
      </c>
      <c r="W1376" s="143" t="s">
        <v>3147</v>
      </c>
      <c r="X1376" s="143" t="s">
        <v>4343</v>
      </c>
      <c r="Y1376" s="169" t="s">
        <v>4326</v>
      </c>
      <c r="Z1376" s="143" t="s">
        <v>4343</v>
      </c>
      <c r="AA1376" s="143">
        <v>23.5</v>
      </c>
      <c r="AB1376" s="191">
        <v>45920</v>
      </c>
    </row>
    <row r="1377" customFormat="1" ht="14.25" spans="1:39">
      <c r="A1377" s="143">
        <v>1333</v>
      </c>
      <c r="B1377" s="144">
        <v>45926</v>
      </c>
      <c r="C1377" s="169" t="s">
        <v>3646</v>
      </c>
      <c r="D1377" s="143" t="s">
        <v>41</v>
      </c>
      <c r="E1377" s="196" t="s">
        <v>4345</v>
      </c>
      <c r="F1377" s="143" t="s">
        <v>4346</v>
      </c>
      <c r="G1377" s="169" t="s">
        <v>3697</v>
      </c>
      <c r="H1377" s="143" t="s">
        <v>4347</v>
      </c>
      <c r="I1377" s="143" t="s">
        <v>4348</v>
      </c>
      <c r="J1377" s="143" t="s">
        <v>4349</v>
      </c>
      <c r="K1377" s="143">
        <v>175</v>
      </c>
      <c r="L1377" s="143">
        <v>180</v>
      </c>
      <c r="M1377" s="143"/>
      <c r="N1377" s="143"/>
      <c r="O1377" s="143"/>
      <c r="P1377" s="143"/>
      <c r="Q1377" s="143"/>
      <c r="R1377" s="143"/>
      <c r="S1377" s="146"/>
      <c r="T1377" s="146"/>
      <c r="U1377" s="146"/>
      <c r="V1377" s="147"/>
      <c r="W1377" s="143" t="s">
        <v>3147</v>
      </c>
      <c r="X1377" s="143" t="s">
        <v>4346</v>
      </c>
      <c r="Y1377" s="169" t="s">
        <v>3776</v>
      </c>
      <c r="Z1377" s="143" t="s">
        <v>4346</v>
      </c>
      <c r="AA1377" s="143" t="s">
        <v>4350</v>
      </c>
      <c r="AB1377" s="191">
        <v>45926</v>
      </c>
      <c r="AC1377" s="143"/>
      <c r="AD1377" s="143"/>
      <c r="AE1377" s="143"/>
      <c r="AF1377" s="143"/>
      <c r="AG1377" s="143"/>
      <c r="AH1377" s="143"/>
      <c r="AI1377" s="201"/>
      <c r="AJ1377" s="201"/>
      <c r="AK1377" s="201"/>
      <c r="AL1377" s="201"/>
      <c r="AM1377" s="201"/>
    </row>
    <row r="1378" customFormat="1" ht="14.25" spans="1:39">
      <c r="A1378" s="143">
        <v>1334</v>
      </c>
      <c r="B1378" s="144">
        <v>45926</v>
      </c>
      <c r="C1378" s="169" t="s">
        <v>3646</v>
      </c>
      <c r="D1378" s="143" t="s">
        <v>41</v>
      </c>
      <c r="E1378" s="196" t="s">
        <v>4345</v>
      </c>
      <c r="F1378" s="143" t="s">
        <v>4351</v>
      </c>
      <c r="G1378" s="169" t="s">
        <v>3697</v>
      </c>
      <c r="H1378" s="143" t="s">
        <v>4352</v>
      </c>
      <c r="I1378" s="143" t="s">
        <v>4322</v>
      </c>
      <c r="J1378" s="143" t="s">
        <v>479</v>
      </c>
      <c r="K1378" s="143">
        <v>175</v>
      </c>
      <c r="L1378" s="143">
        <v>230</v>
      </c>
      <c r="M1378" s="143"/>
      <c r="N1378" s="143"/>
      <c r="O1378" s="143"/>
      <c r="P1378" s="143"/>
      <c r="Q1378" s="143"/>
      <c r="R1378" s="143"/>
      <c r="S1378" s="146"/>
      <c r="T1378" s="146"/>
      <c r="U1378" s="146"/>
      <c r="V1378" s="147"/>
      <c r="W1378" s="143" t="s">
        <v>3147</v>
      </c>
      <c r="X1378" s="143" t="s">
        <v>4353</v>
      </c>
      <c r="Y1378" s="169" t="s">
        <v>4354</v>
      </c>
      <c r="Z1378" s="143" t="s">
        <v>4353</v>
      </c>
      <c r="AA1378" s="143" t="s">
        <v>4355</v>
      </c>
      <c r="AB1378" s="191">
        <v>45926</v>
      </c>
      <c r="AC1378" s="143"/>
      <c r="AD1378" s="143"/>
      <c r="AE1378" s="143"/>
      <c r="AF1378" s="143"/>
      <c r="AG1378" s="143"/>
      <c r="AH1378" s="143"/>
      <c r="AI1378" s="201"/>
      <c r="AJ1378" s="201"/>
      <c r="AK1378" s="201"/>
      <c r="AL1378" s="201"/>
      <c r="AM1378" s="201"/>
    </row>
    <row r="1379" customFormat="1" ht="14.25" spans="1:39">
      <c r="A1379" s="143">
        <v>1335</v>
      </c>
      <c r="B1379" s="144">
        <v>45926</v>
      </c>
      <c r="C1379" s="169" t="s">
        <v>3646</v>
      </c>
      <c r="D1379" s="143" t="s">
        <v>41</v>
      </c>
      <c r="E1379" s="196" t="s">
        <v>4345</v>
      </c>
      <c r="F1379" s="143" t="s">
        <v>4356</v>
      </c>
      <c r="G1379" s="169" t="s">
        <v>3697</v>
      </c>
      <c r="H1379" s="143" t="s">
        <v>4357</v>
      </c>
      <c r="I1379" s="143" t="s">
        <v>4322</v>
      </c>
      <c r="J1379" s="143" t="s">
        <v>479</v>
      </c>
      <c r="K1379" s="143">
        <v>175</v>
      </c>
      <c r="L1379" s="143">
        <v>240</v>
      </c>
      <c r="M1379" s="143"/>
      <c r="N1379" s="143"/>
      <c r="O1379" s="143"/>
      <c r="P1379" s="143"/>
      <c r="Q1379" s="143"/>
      <c r="R1379" s="143"/>
      <c r="S1379" s="146"/>
      <c r="T1379" s="146"/>
      <c r="U1379" s="146"/>
      <c r="V1379" s="147"/>
      <c r="W1379" s="143" t="s">
        <v>3147</v>
      </c>
      <c r="X1379" s="143" t="s">
        <v>4358</v>
      </c>
      <c r="Y1379" s="169" t="s">
        <v>4354</v>
      </c>
      <c r="Z1379" s="143" t="s">
        <v>4358</v>
      </c>
      <c r="AA1379" s="143" t="s">
        <v>4359</v>
      </c>
      <c r="AB1379" s="191">
        <v>45926</v>
      </c>
      <c r="AC1379" s="143"/>
      <c r="AD1379" s="143"/>
      <c r="AE1379" s="143"/>
      <c r="AF1379" s="143"/>
      <c r="AG1379" s="143"/>
      <c r="AH1379" s="143"/>
      <c r="AI1379" s="201"/>
      <c r="AJ1379" s="201"/>
      <c r="AK1379" s="201"/>
      <c r="AL1379" s="201"/>
      <c r="AM1379" s="201"/>
    </row>
    <row r="1380" customFormat="1" ht="14.25" spans="1:39">
      <c r="A1380" s="143">
        <v>1336</v>
      </c>
      <c r="B1380" s="144">
        <v>45926</v>
      </c>
      <c r="C1380" s="169" t="s">
        <v>3646</v>
      </c>
      <c r="D1380" s="143" t="s">
        <v>41</v>
      </c>
      <c r="E1380" s="196" t="s">
        <v>4345</v>
      </c>
      <c r="F1380" s="143" t="s">
        <v>4360</v>
      </c>
      <c r="G1380" s="169" t="s">
        <v>3697</v>
      </c>
      <c r="H1380" s="143" t="s">
        <v>4361</v>
      </c>
      <c r="I1380" s="143" t="s">
        <v>4362</v>
      </c>
      <c r="J1380" s="143" t="s">
        <v>4363</v>
      </c>
      <c r="K1380" s="143">
        <v>185</v>
      </c>
      <c r="L1380" s="143">
        <v>200</v>
      </c>
      <c r="M1380" s="143"/>
      <c r="N1380" s="143"/>
      <c r="O1380" s="143"/>
      <c r="P1380" s="143"/>
      <c r="Q1380" s="143"/>
      <c r="R1380" s="143"/>
      <c r="S1380" s="146"/>
      <c r="T1380" s="146"/>
      <c r="U1380" s="146"/>
      <c r="V1380" s="147"/>
      <c r="W1380" s="143" t="s">
        <v>3147</v>
      </c>
      <c r="X1380" s="143" t="s">
        <v>4364</v>
      </c>
      <c r="Y1380" s="169" t="s">
        <v>4354</v>
      </c>
      <c r="Z1380" s="143" t="s">
        <v>4364</v>
      </c>
      <c r="AA1380" s="143" t="s">
        <v>4365</v>
      </c>
      <c r="AB1380" s="191">
        <v>45926</v>
      </c>
      <c r="AC1380" s="143"/>
      <c r="AD1380" s="143"/>
      <c r="AE1380" s="143"/>
      <c r="AF1380" s="143"/>
      <c r="AG1380" s="143"/>
      <c r="AH1380" s="143"/>
      <c r="AI1380" s="201"/>
      <c r="AJ1380" s="201"/>
      <c r="AK1380" s="201"/>
      <c r="AL1380" s="201"/>
      <c r="AM1380" s="201"/>
    </row>
    <row r="1381" customFormat="1" ht="14.25" spans="1:39">
      <c r="A1381" s="143">
        <v>1337</v>
      </c>
      <c r="B1381" s="144">
        <v>45926</v>
      </c>
      <c r="C1381" s="169" t="s">
        <v>3646</v>
      </c>
      <c r="D1381" s="143" t="s">
        <v>41</v>
      </c>
      <c r="E1381" s="145"/>
      <c r="F1381" s="169" t="s">
        <v>4366</v>
      </c>
      <c r="G1381" s="169"/>
      <c r="H1381" s="143" t="s">
        <v>4367</v>
      </c>
      <c r="I1381" s="143" t="s">
        <v>4368</v>
      </c>
      <c r="J1381" s="143" t="s">
        <v>4369</v>
      </c>
      <c r="K1381" s="143">
        <v>138</v>
      </c>
      <c r="L1381" s="143">
        <v>120</v>
      </c>
      <c r="M1381" s="143"/>
      <c r="N1381" s="143"/>
      <c r="O1381" s="143"/>
      <c r="P1381" s="143"/>
      <c r="Q1381" s="143"/>
      <c r="R1381" s="143"/>
      <c r="S1381" s="146"/>
      <c r="T1381" s="146"/>
      <c r="U1381" s="146"/>
      <c r="V1381" s="147"/>
      <c r="W1381" s="143" t="s">
        <v>3147</v>
      </c>
      <c r="X1381" s="143" t="s">
        <v>4370</v>
      </c>
      <c r="Y1381" s="169" t="s">
        <v>4371</v>
      </c>
      <c r="Z1381" s="143" t="s">
        <v>4370</v>
      </c>
      <c r="AA1381" s="143">
        <v>14.5</v>
      </c>
      <c r="AB1381" s="191">
        <v>45926</v>
      </c>
      <c r="AC1381" s="143"/>
      <c r="AD1381" s="143"/>
      <c r="AE1381" s="143"/>
      <c r="AF1381" s="143"/>
      <c r="AG1381" s="143"/>
      <c r="AH1381" s="143"/>
      <c r="AI1381" s="201"/>
      <c r="AJ1381" s="201"/>
      <c r="AK1381" s="201"/>
      <c r="AL1381" s="201"/>
      <c r="AM1381" s="201"/>
    </row>
    <row r="1382" customFormat="1" ht="14.25" spans="1:39">
      <c r="A1382" s="143">
        <v>1338</v>
      </c>
      <c r="B1382" s="144">
        <v>45926</v>
      </c>
      <c r="C1382" s="169" t="s">
        <v>3646</v>
      </c>
      <c r="D1382" s="143" t="s">
        <v>41</v>
      </c>
      <c r="E1382" s="145"/>
      <c r="F1382" s="169" t="s">
        <v>4372</v>
      </c>
      <c r="G1382" s="169"/>
      <c r="H1382" s="143" t="s">
        <v>4373</v>
      </c>
      <c r="I1382" s="143" t="s">
        <v>45</v>
      </c>
      <c r="J1382" s="143" t="s">
        <v>46</v>
      </c>
      <c r="K1382" s="143">
        <v>150</v>
      </c>
      <c r="L1382" s="143">
        <v>135</v>
      </c>
      <c r="M1382" s="143"/>
      <c r="N1382" s="143"/>
      <c r="O1382" s="143"/>
      <c r="P1382" s="143"/>
      <c r="Q1382" s="143"/>
      <c r="R1382" s="143"/>
      <c r="S1382" s="146"/>
      <c r="T1382" s="146"/>
      <c r="U1382" s="146"/>
      <c r="V1382" s="147"/>
      <c r="W1382" s="143" t="s">
        <v>3147</v>
      </c>
      <c r="X1382" s="143">
        <v>5012</v>
      </c>
      <c r="Y1382" s="169" t="s">
        <v>4371</v>
      </c>
      <c r="Z1382" s="143">
        <v>5012</v>
      </c>
      <c r="AA1382" s="143">
        <v>15.8</v>
      </c>
      <c r="AB1382" s="191">
        <v>45926</v>
      </c>
      <c r="AC1382" s="143"/>
      <c r="AD1382" s="143"/>
      <c r="AE1382" s="143"/>
      <c r="AF1382" s="143"/>
      <c r="AG1382" s="143"/>
      <c r="AH1382" s="143"/>
      <c r="AI1382" s="201"/>
      <c r="AJ1382" s="201"/>
      <c r="AK1382" s="201"/>
      <c r="AL1382" s="201"/>
      <c r="AM1382" s="201"/>
    </row>
    <row r="1383" customFormat="1" ht="14.25" spans="1:39">
      <c r="A1383" s="143">
        <v>1339</v>
      </c>
      <c r="B1383" s="144">
        <v>45926</v>
      </c>
      <c r="C1383" s="169" t="s">
        <v>3646</v>
      </c>
      <c r="D1383" s="143" t="s">
        <v>41</v>
      </c>
      <c r="E1383" s="145"/>
      <c r="F1383" s="169" t="s">
        <v>4374</v>
      </c>
      <c r="G1383" s="169"/>
      <c r="H1383" s="143" t="s">
        <v>4375</v>
      </c>
      <c r="I1383" s="143" t="s">
        <v>45</v>
      </c>
      <c r="J1383" s="143" t="s">
        <v>46</v>
      </c>
      <c r="K1383" s="143">
        <v>150</v>
      </c>
      <c r="L1383" s="143">
        <v>160</v>
      </c>
      <c r="M1383" s="143"/>
      <c r="N1383" s="143"/>
      <c r="O1383" s="143"/>
      <c r="P1383" s="143"/>
      <c r="Q1383" s="143"/>
      <c r="R1383" s="143"/>
      <c r="S1383" s="146"/>
      <c r="T1383" s="146"/>
      <c r="U1383" s="146"/>
      <c r="V1383" s="147"/>
      <c r="W1383" s="143" t="s">
        <v>3147</v>
      </c>
      <c r="X1383" s="143">
        <v>5015</v>
      </c>
      <c r="Y1383" s="169" t="s">
        <v>4371</v>
      </c>
      <c r="Z1383" s="143">
        <v>5015</v>
      </c>
      <c r="AA1383" s="143">
        <v>14.9</v>
      </c>
      <c r="AB1383" s="191">
        <v>45926</v>
      </c>
      <c r="AC1383" s="143"/>
      <c r="AD1383" s="143"/>
      <c r="AE1383" s="143"/>
      <c r="AF1383" s="143"/>
      <c r="AG1383" s="143"/>
      <c r="AH1383" s="143"/>
      <c r="AI1383" s="201"/>
      <c r="AJ1383" s="201"/>
      <c r="AK1383" s="201"/>
      <c r="AL1383" s="201"/>
      <c r="AM1383" s="201"/>
    </row>
    <row r="1384" customFormat="1" ht="14.25" spans="1:39">
      <c r="A1384" s="143">
        <v>1340</v>
      </c>
      <c r="B1384" s="144">
        <v>45926</v>
      </c>
      <c r="C1384" s="169" t="s">
        <v>3646</v>
      </c>
      <c r="D1384" s="143" t="s">
        <v>41</v>
      </c>
      <c r="E1384" s="145"/>
      <c r="F1384" s="143" t="s">
        <v>4376</v>
      </c>
      <c r="G1384" s="143"/>
      <c r="H1384" s="143" t="s">
        <v>4377</v>
      </c>
      <c r="I1384" s="143" t="s">
        <v>45</v>
      </c>
      <c r="J1384" s="143" t="s">
        <v>46</v>
      </c>
      <c r="K1384" s="143">
        <v>150</v>
      </c>
      <c r="L1384" s="143" t="s">
        <v>4378</v>
      </c>
      <c r="M1384" s="143"/>
      <c r="N1384" s="143"/>
      <c r="O1384" s="143"/>
      <c r="P1384" s="143"/>
      <c r="Q1384" s="143"/>
      <c r="R1384" s="143"/>
      <c r="S1384" s="146"/>
      <c r="T1384" s="146"/>
      <c r="U1384" s="146"/>
      <c r="V1384" s="147"/>
      <c r="W1384" s="143" t="s">
        <v>3147</v>
      </c>
      <c r="X1384" s="143">
        <v>5016</v>
      </c>
      <c r="Y1384" s="169" t="s">
        <v>4371</v>
      </c>
      <c r="Z1384" s="143">
        <v>5016</v>
      </c>
      <c r="AA1384" s="143">
        <v>15.8</v>
      </c>
      <c r="AB1384" s="191">
        <v>45926</v>
      </c>
      <c r="AC1384" s="143"/>
      <c r="AD1384" s="143"/>
      <c r="AE1384" s="143"/>
      <c r="AF1384" s="143"/>
      <c r="AG1384" s="143"/>
      <c r="AH1384" s="143"/>
      <c r="AI1384" s="201"/>
      <c r="AJ1384" s="201"/>
      <c r="AK1384" s="201"/>
      <c r="AL1384" s="201"/>
      <c r="AM1384" s="201"/>
    </row>
    <row r="1385" customFormat="1" ht="14.25" spans="1:39">
      <c r="A1385" s="143">
        <v>1341</v>
      </c>
      <c r="B1385" s="144">
        <v>45926</v>
      </c>
      <c r="C1385" s="169" t="s">
        <v>3646</v>
      </c>
      <c r="D1385" s="143" t="s">
        <v>41</v>
      </c>
      <c r="E1385" s="145"/>
      <c r="F1385" s="169" t="s">
        <v>4379</v>
      </c>
      <c r="G1385" s="169"/>
      <c r="H1385" s="143" t="s">
        <v>4380</v>
      </c>
      <c r="I1385" s="143" t="s">
        <v>4381</v>
      </c>
      <c r="J1385" s="143" t="s">
        <v>4382</v>
      </c>
      <c r="K1385" s="143">
        <v>150</v>
      </c>
      <c r="L1385" s="143">
        <v>125</v>
      </c>
      <c r="M1385" s="143"/>
      <c r="N1385" s="143"/>
      <c r="O1385" s="143"/>
      <c r="P1385" s="143"/>
      <c r="Q1385" s="143"/>
      <c r="R1385" s="143"/>
      <c r="S1385" s="146"/>
      <c r="T1385" s="146"/>
      <c r="U1385" s="146"/>
      <c r="V1385" s="147"/>
      <c r="W1385" s="143" t="s">
        <v>3147</v>
      </c>
      <c r="X1385" s="143">
        <v>2004</v>
      </c>
      <c r="Y1385" s="169" t="s">
        <v>4371</v>
      </c>
      <c r="Z1385" s="143">
        <v>2004</v>
      </c>
      <c r="AA1385" s="143">
        <v>8.5</v>
      </c>
      <c r="AB1385" s="191">
        <v>45926</v>
      </c>
      <c r="AC1385" s="143"/>
      <c r="AD1385" s="143"/>
      <c r="AE1385" s="143"/>
      <c r="AF1385" s="143"/>
      <c r="AG1385" s="143"/>
      <c r="AH1385" s="143"/>
      <c r="AI1385" s="201"/>
      <c r="AJ1385" s="201"/>
      <c r="AK1385" s="201"/>
      <c r="AL1385" s="201"/>
      <c r="AM1385" s="201"/>
    </row>
    <row r="1386" spans="1:39">
      <c r="A1386" s="143">
        <v>1342</v>
      </c>
      <c r="B1386" s="144">
        <v>45926</v>
      </c>
      <c r="C1386" s="169" t="s">
        <v>3646</v>
      </c>
      <c r="D1386" s="143" t="s">
        <v>41</v>
      </c>
      <c r="F1386" s="143" t="s">
        <v>4383</v>
      </c>
      <c r="H1386" s="143" t="s">
        <v>4384</v>
      </c>
      <c r="I1386" s="143" t="s">
        <v>4368</v>
      </c>
      <c r="J1386" s="143" t="s">
        <v>4369</v>
      </c>
      <c r="K1386" s="143">
        <v>148</v>
      </c>
      <c r="L1386" s="143">
        <v>125</v>
      </c>
      <c r="W1386" s="143" t="s">
        <v>3147</v>
      </c>
      <c r="X1386" s="143">
        <v>3008</v>
      </c>
      <c r="Y1386" s="169" t="s">
        <v>4371</v>
      </c>
      <c r="Z1386" s="143">
        <v>3008</v>
      </c>
      <c r="AA1386" s="143">
        <v>9.2</v>
      </c>
      <c r="AB1386" s="191">
        <v>45926</v>
      </c>
    </row>
    <row r="1387" spans="1:39">
      <c r="A1387" s="143">
        <v>1343</v>
      </c>
      <c r="B1387" s="144">
        <v>45926</v>
      </c>
      <c r="C1387" s="169" t="s">
        <v>3646</v>
      </c>
      <c r="D1387" s="143" t="s">
        <v>41</v>
      </c>
      <c r="F1387" s="143">
        <v>5242</v>
      </c>
      <c r="H1387" s="143" t="s">
        <v>4385</v>
      </c>
      <c r="I1387" s="143" t="s">
        <v>45</v>
      </c>
      <c r="J1387" s="143" t="s">
        <v>46</v>
      </c>
      <c r="K1387" s="143">
        <v>145</v>
      </c>
      <c r="L1387" s="143">
        <v>156</v>
      </c>
      <c r="W1387" s="143" t="s">
        <v>3147</v>
      </c>
      <c r="X1387" s="143">
        <v>5242</v>
      </c>
      <c r="Y1387" s="169" t="s">
        <v>4386</v>
      </c>
      <c r="Z1387" s="143">
        <v>5242</v>
      </c>
      <c r="AA1387" s="143">
        <v>18.6</v>
      </c>
      <c r="AB1387" s="191">
        <v>45926</v>
      </c>
    </row>
    <row r="1388" spans="1:39">
      <c r="A1388" s="143">
        <v>1344</v>
      </c>
      <c r="B1388" s="144">
        <v>45926</v>
      </c>
      <c r="C1388" s="169" t="s">
        <v>3646</v>
      </c>
      <c r="D1388" s="143" t="s">
        <v>41</v>
      </c>
      <c r="F1388" s="143">
        <v>5082</v>
      </c>
      <c r="H1388" s="143" t="s">
        <v>4387</v>
      </c>
      <c r="I1388" s="143" t="s">
        <v>4388</v>
      </c>
      <c r="J1388" s="143" t="s">
        <v>4389</v>
      </c>
      <c r="K1388" s="143">
        <v>145</v>
      </c>
      <c r="L1388" s="143">
        <v>159</v>
      </c>
      <c r="W1388" s="143" t="s">
        <v>3147</v>
      </c>
      <c r="X1388" s="143">
        <v>5082</v>
      </c>
      <c r="Y1388" s="169" t="s">
        <v>4386</v>
      </c>
      <c r="Z1388" s="143">
        <v>5082</v>
      </c>
      <c r="AA1388" s="143">
        <v>12.5</v>
      </c>
      <c r="AB1388" s="191">
        <v>45926</v>
      </c>
    </row>
    <row r="1389" spans="1:39">
      <c r="A1389" s="143">
        <v>1345</v>
      </c>
      <c r="B1389" s="144">
        <v>45926</v>
      </c>
      <c r="C1389" s="169" t="s">
        <v>3646</v>
      </c>
      <c r="D1389" s="143" t="s">
        <v>41</v>
      </c>
      <c r="F1389" s="143">
        <v>5175</v>
      </c>
      <c r="H1389" s="143" t="s">
        <v>4390</v>
      </c>
      <c r="I1389" s="143" t="s">
        <v>4391</v>
      </c>
      <c r="J1389" s="143" t="s">
        <v>4392</v>
      </c>
      <c r="K1389" s="143">
        <v>145</v>
      </c>
      <c r="L1389" s="143">
        <v>123</v>
      </c>
      <c r="W1389" s="143" t="s">
        <v>3147</v>
      </c>
      <c r="X1389" s="143">
        <v>5175</v>
      </c>
      <c r="Y1389" s="169" t="s">
        <v>4386</v>
      </c>
      <c r="Z1389" s="143">
        <v>5175</v>
      </c>
      <c r="AA1389" s="143">
        <v>15</v>
      </c>
      <c r="AB1389" s="191">
        <v>45926</v>
      </c>
    </row>
    <row r="1390" spans="1:39">
      <c r="A1390" s="143">
        <v>1346</v>
      </c>
      <c r="B1390" s="144">
        <v>45926</v>
      </c>
      <c r="C1390" s="169" t="s">
        <v>3646</v>
      </c>
      <c r="D1390" s="143" t="s">
        <v>41</v>
      </c>
      <c r="F1390" s="143">
        <v>5213</v>
      </c>
      <c r="H1390" s="143" t="s">
        <v>4393</v>
      </c>
      <c r="I1390" s="143" t="s">
        <v>45</v>
      </c>
      <c r="J1390" s="143" t="s">
        <v>46</v>
      </c>
      <c r="K1390" s="143">
        <v>145</v>
      </c>
      <c r="L1390" s="143">
        <v>140</v>
      </c>
      <c r="W1390" s="143" t="s">
        <v>3147</v>
      </c>
      <c r="X1390" s="143">
        <v>5213</v>
      </c>
      <c r="Y1390" s="169" t="s">
        <v>4386</v>
      </c>
      <c r="Z1390" s="143">
        <v>5213</v>
      </c>
      <c r="AA1390" s="143">
        <v>16.8</v>
      </c>
      <c r="AB1390" s="191">
        <v>45926</v>
      </c>
    </row>
    <row r="1391" spans="1:39">
      <c r="A1391" s="143">
        <v>1347</v>
      </c>
      <c r="B1391" s="144">
        <v>45926</v>
      </c>
      <c r="C1391" s="169" t="s">
        <v>3646</v>
      </c>
      <c r="D1391" s="143" t="s">
        <v>41</v>
      </c>
      <c r="F1391" s="169" t="s">
        <v>4394</v>
      </c>
      <c r="G1391" s="169"/>
      <c r="H1391" s="143" t="s">
        <v>4395</v>
      </c>
      <c r="I1391" s="143" t="s">
        <v>4368</v>
      </c>
      <c r="J1391" s="143" t="s">
        <v>4369</v>
      </c>
      <c r="K1391" s="143">
        <v>145</v>
      </c>
      <c r="L1391" s="143">
        <v>118</v>
      </c>
      <c r="W1391" s="143" t="s">
        <v>3147</v>
      </c>
      <c r="X1391" s="169" t="s">
        <v>4394</v>
      </c>
      <c r="Y1391" s="169" t="s">
        <v>4386</v>
      </c>
      <c r="Z1391" s="169" t="s">
        <v>4394</v>
      </c>
      <c r="AA1391" s="143">
        <v>8.8</v>
      </c>
      <c r="AB1391" s="191">
        <v>45926</v>
      </c>
    </row>
    <row r="1392" spans="1:39">
      <c r="A1392" s="143">
        <v>1348</v>
      </c>
      <c r="B1392" s="144">
        <v>45926</v>
      </c>
      <c r="C1392" s="169" t="s">
        <v>3646</v>
      </c>
      <c r="D1392" s="143" t="s">
        <v>41</v>
      </c>
      <c r="F1392" s="143">
        <v>5035</v>
      </c>
      <c r="H1392" s="143" t="s">
        <v>4396</v>
      </c>
      <c r="I1392" s="143" t="s">
        <v>45</v>
      </c>
      <c r="J1392" s="143" t="s">
        <v>46</v>
      </c>
      <c r="K1392" s="143">
        <v>145</v>
      </c>
      <c r="L1392" s="143">
        <v>133</v>
      </c>
      <c r="W1392" s="143" t="s">
        <v>3147</v>
      </c>
      <c r="X1392" s="143">
        <v>5035</v>
      </c>
      <c r="Y1392" s="169" t="s">
        <v>4386</v>
      </c>
      <c r="Z1392" s="143">
        <v>5035</v>
      </c>
      <c r="AA1392" s="143">
        <v>15.8</v>
      </c>
      <c r="AB1392" s="191">
        <v>45926</v>
      </c>
    </row>
    <row r="1393" spans="1:28">
      <c r="A1393" s="143">
        <v>1349</v>
      </c>
      <c r="B1393" s="144">
        <v>45926</v>
      </c>
      <c r="C1393" s="169" t="s">
        <v>3646</v>
      </c>
      <c r="D1393" s="143" t="s">
        <v>41</v>
      </c>
      <c r="F1393" s="177">
        <v>5075</v>
      </c>
      <c r="G1393" s="177"/>
      <c r="H1393" s="143" t="s">
        <v>4397</v>
      </c>
      <c r="I1393" s="143" t="s">
        <v>4388</v>
      </c>
      <c r="J1393" s="143" t="s">
        <v>4389</v>
      </c>
      <c r="K1393" s="143">
        <v>145</v>
      </c>
      <c r="L1393" s="143">
        <v>160</v>
      </c>
      <c r="W1393" s="143" t="s">
        <v>3147</v>
      </c>
      <c r="X1393" s="143">
        <v>5075</v>
      </c>
      <c r="Y1393" s="169" t="s">
        <v>4386</v>
      </c>
      <c r="Z1393" s="143">
        <v>5075</v>
      </c>
      <c r="AA1393" s="143">
        <v>13.1</v>
      </c>
      <c r="AB1393" s="191">
        <v>45926</v>
      </c>
    </row>
    <row r="1394" spans="1:28">
      <c r="A1394" s="143">
        <v>1350</v>
      </c>
      <c r="B1394" s="144">
        <v>45926</v>
      </c>
      <c r="C1394" s="169" t="s">
        <v>3646</v>
      </c>
      <c r="D1394" s="143" t="s">
        <v>41</v>
      </c>
      <c r="F1394" s="169" t="s">
        <v>4398</v>
      </c>
      <c r="G1394" s="169"/>
      <c r="H1394" s="143" t="s">
        <v>4399</v>
      </c>
      <c r="I1394" s="143" t="s">
        <v>45</v>
      </c>
      <c r="J1394" s="143" t="s">
        <v>46</v>
      </c>
      <c r="K1394" s="143">
        <v>145</v>
      </c>
      <c r="L1394" s="143">
        <v>90</v>
      </c>
      <c r="W1394" s="143" t="s">
        <v>3147</v>
      </c>
      <c r="X1394" s="169" t="s">
        <v>4398</v>
      </c>
      <c r="Y1394" s="169" t="s">
        <v>4386</v>
      </c>
      <c r="Z1394" s="169" t="s">
        <v>4398</v>
      </c>
      <c r="AA1394" s="143">
        <v>12.7</v>
      </c>
      <c r="AB1394" s="191">
        <v>45926</v>
      </c>
    </row>
    <row r="1395" spans="1:28">
      <c r="A1395" s="143">
        <v>1351</v>
      </c>
      <c r="B1395" s="144">
        <v>45926</v>
      </c>
      <c r="C1395" s="169" t="s">
        <v>3646</v>
      </c>
      <c r="D1395" s="143" t="s">
        <v>41</v>
      </c>
      <c r="F1395" s="143">
        <v>5224</v>
      </c>
      <c r="H1395" s="143" t="s">
        <v>4400</v>
      </c>
      <c r="I1395" s="143" t="s">
        <v>45</v>
      </c>
      <c r="J1395" s="143" t="s">
        <v>46</v>
      </c>
      <c r="K1395" s="143">
        <v>145</v>
      </c>
      <c r="L1395" s="143">
        <v>170</v>
      </c>
      <c r="W1395" s="143" t="s">
        <v>3147</v>
      </c>
      <c r="X1395" s="143">
        <v>5224</v>
      </c>
      <c r="Y1395" s="169" t="s">
        <v>4386</v>
      </c>
      <c r="Z1395" s="143">
        <v>5224</v>
      </c>
      <c r="AA1395" s="143">
        <v>16.5</v>
      </c>
      <c r="AB1395" s="191">
        <v>45926</v>
      </c>
    </row>
    <row r="1396" spans="1:28">
      <c r="A1396" s="143">
        <v>1352</v>
      </c>
      <c r="B1396" s="144">
        <v>45926</v>
      </c>
      <c r="C1396" s="169" t="s">
        <v>3646</v>
      </c>
      <c r="D1396" s="143" t="s">
        <v>41</v>
      </c>
      <c r="F1396" s="143">
        <v>5446</v>
      </c>
      <c r="H1396" s="143" t="s">
        <v>4401</v>
      </c>
      <c r="I1396" s="143" t="s">
        <v>45</v>
      </c>
      <c r="J1396" s="143" t="s">
        <v>46</v>
      </c>
      <c r="K1396" s="143">
        <v>145</v>
      </c>
      <c r="L1396" s="143">
        <v>135</v>
      </c>
      <c r="W1396" s="143" t="s">
        <v>3147</v>
      </c>
      <c r="X1396" s="143">
        <v>5446</v>
      </c>
      <c r="Y1396" s="169" t="s">
        <v>4386</v>
      </c>
      <c r="Z1396" s="143">
        <v>5446</v>
      </c>
      <c r="AA1396" s="143">
        <v>18.9</v>
      </c>
      <c r="AB1396" s="191">
        <v>45926</v>
      </c>
    </row>
    <row r="1397" spans="1:28">
      <c r="A1397" s="143">
        <v>1353</v>
      </c>
      <c r="B1397" s="144">
        <v>45926</v>
      </c>
      <c r="C1397" s="169" t="s">
        <v>3646</v>
      </c>
      <c r="D1397" s="143" t="s">
        <v>41</v>
      </c>
      <c r="F1397" s="143">
        <v>5322</v>
      </c>
      <c r="H1397" s="143" t="s">
        <v>4402</v>
      </c>
      <c r="I1397" s="143" t="s">
        <v>45</v>
      </c>
      <c r="J1397" s="143" t="s">
        <v>46</v>
      </c>
      <c r="K1397" s="143">
        <v>145</v>
      </c>
      <c r="L1397" s="143">
        <v>109</v>
      </c>
      <c r="W1397" s="143" t="s">
        <v>3147</v>
      </c>
      <c r="X1397" s="143">
        <v>5322</v>
      </c>
      <c r="Y1397" s="169" t="s">
        <v>4386</v>
      </c>
      <c r="Z1397" s="143">
        <v>5322</v>
      </c>
      <c r="AA1397" s="143">
        <v>16.1</v>
      </c>
      <c r="AB1397" s="191">
        <v>45926</v>
      </c>
    </row>
    <row r="1398" spans="1:28">
      <c r="A1398" s="143">
        <v>1354</v>
      </c>
      <c r="B1398" s="144">
        <v>45926</v>
      </c>
      <c r="C1398" s="169" t="s">
        <v>3646</v>
      </c>
      <c r="D1398" s="143" t="s">
        <v>41</v>
      </c>
      <c r="F1398" s="143">
        <v>5140</v>
      </c>
      <c r="H1398" s="143" t="s">
        <v>4403</v>
      </c>
      <c r="I1398" s="143" t="s">
        <v>4404</v>
      </c>
      <c r="J1398" s="143" t="s">
        <v>4405</v>
      </c>
      <c r="K1398" s="143">
        <v>145</v>
      </c>
      <c r="L1398" s="143">
        <v>160</v>
      </c>
      <c r="W1398" s="143" t="s">
        <v>3147</v>
      </c>
      <c r="X1398" s="143">
        <v>5140</v>
      </c>
      <c r="Y1398" s="169" t="s">
        <v>4386</v>
      </c>
      <c r="Z1398" s="143">
        <v>5140</v>
      </c>
      <c r="AA1398" s="143">
        <v>11.8</v>
      </c>
      <c r="AB1398" s="191">
        <v>45926</v>
      </c>
    </row>
    <row r="1399" spans="1:28">
      <c r="A1399" s="143">
        <v>1355</v>
      </c>
      <c r="B1399" s="144">
        <v>45926</v>
      </c>
      <c r="C1399" s="169" t="s">
        <v>3646</v>
      </c>
      <c r="D1399" s="143" t="s">
        <v>41</v>
      </c>
      <c r="F1399" s="143" t="s">
        <v>4406</v>
      </c>
      <c r="H1399" s="143" t="s">
        <v>4407</v>
      </c>
      <c r="I1399" s="143" t="s">
        <v>4408</v>
      </c>
      <c r="J1399" s="143" t="s">
        <v>4409</v>
      </c>
      <c r="K1399" s="143">
        <v>145</v>
      </c>
      <c r="L1399" s="143">
        <v>154</v>
      </c>
      <c r="W1399" s="143" t="s">
        <v>3147</v>
      </c>
      <c r="X1399" s="143">
        <v>5362</v>
      </c>
      <c r="Y1399" s="169" t="s">
        <v>4386</v>
      </c>
      <c r="Z1399" s="143">
        <v>5362</v>
      </c>
      <c r="AA1399" s="143">
        <v>15.2</v>
      </c>
      <c r="AB1399" s="191">
        <v>45926</v>
      </c>
    </row>
    <row r="1400" spans="1:28">
      <c r="A1400" s="143">
        <v>1356</v>
      </c>
      <c r="B1400" s="144">
        <v>45929</v>
      </c>
      <c r="C1400" s="144" t="s">
        <v>3148</v>
      </c>
      <c r="D1400" s="202" t="s">
        <v>4410</v>
      </c>
      <c r="F1400" s="169">
        <v>5410</v>
      </c>
      <c r="G1400" s="169"/>
      <c r="H1400" s="143" t="s">
        <v>4411</v>
      </c>
      <c r="I1400" s="143" t="s">
        <v>45</v>
      </c>
      <c r="J1400" s="143" t="s">
        <v>46</v>
      </c>
      <c r="K1400" s="203">
        <v>145</v>
      </c>
      <c r="L1400" s="203">
        <v>145</v>
      </c>
      <c r="W1400" s="143" t="s">
        <v>3147</v>
      </c>
      <c r="X1400" s="169">
        <v>5410</v>
      </c>
      <c r="Y1400" s="169" t="s">
        <v>4386</v>
      </c>
      <c r="Z1400" s="169">
        <v>5410</v>
      </c>
    </row>
    <row r="1401" spans="1:28">
      <c r="A1401" s="143">
        <v>1357</v>
      </c>
      <c r="B1401" s="144">
        <v>45929</v>
      </c>
      <c r="C1401" s="144" t="s">
        <v>3148</v>
      </c>
      <c r="D1401" s="202" t="s">
        <v>4410</v>
      </c>
      <c r="F1401" s="169">
        <v>5377</v>
      </c>
      <c r="G1401" s="169"/>
      <c r="H1401" s="143" t="s">
        <v>4412</v>
      </c>
      <c r="I1401" s="143" t="s">
        <v>45</v>
      </c>
      <c r="J1401" s="143" t="s">
        <v>46</v>
      </c>
      <c r="K1401" s="203">
        <v>145</v>
      </c>
      <c r="L1401" s="203">
        <v>135</v>
      </c>
      <c r="W1401" s="143" t="s">
        <v>3147</v>
      </c>
      <c r="X1401" s="169">
        <v>5377</v>
      </c>
      <c r="Y1401" s="169" t="s">
        <v>4386</v>
      </c>
      <c r="Z1401" s="169">
        <v>5377</v>
      </c>
    </row>
    <row r="1402" spans="1:28">
      <c r="A1402" s="143">
        <v>1358</v>
      </c>
      <c r="B1402" s="144">
        <v>45929</v>
      </c>
      <c r="C1402" s="144" t="s">
        <v>3148</v>
      </c>
      <c r="D1402" s="202" t="s">
        <v>4410</v>
      </c>
      <c r="F1402" s="203">
        <v>5409</v>
      </c>
      <c r="G1402" s="203"/>
      <c r="H1402" s="143" t="s">
        <v>4413</v>
      </c>
      <c r="I1402" s="143" t="s">
        <v>45</v>
      </c>
      <c r="J1402" s="143" t="s">
        <v>46</v>
      </c>
      <c r="K1402" s="203">
        <v>145</v>
      </c>
      <c r="L1402" s="203">
        <v>145</v>
      </c>
      <c r="W1402" s="143" t="s">
        <v>3147</v>
      </c>
      <c r="X1402" s="203">
        <v>5409</v>
      </c>
      <c r="Y1402" s="169" t="s">
        <v>4386</v>
      </c>
      <c r="Z1402" s="203">
        <v>5409</v>
      </c>
    </row>
    <row r="1403" spans="1:28">
      <c r="A1403" s="143">
        <v>1359</v>
      </c>
      <c r="B1403" s="144">
        <v>45929</v>
      </c>
      <c r="C1403" s="144" t="s">
        <v>3148</v>
      </c>
      <c r="D1403" s="202" t="s">
        <v>4410</v>
      </c>
      <c r="F1403" s="203">
        <v>5383</v>
      </c>
      <c r="G1403" s="203"/>
      <c r="H1403" s="143" t="s">
        <v>4414</v>
      </c>
      <c r="I1403" s="143" t="s">
        <v>45</v>
      </c>
      <c r="J1403" s="143" t="s">
        <v>46</v>
      </c>
      <c r="K1403" s="203">
        <v>145</v>
      </c>
      <c r="L1403" s="203">
        <v>136</v>
      </c>
      <c r="W1403" s="143" t="s">
        <v>3147</v>
      </c>
      <c r="X1403" s="203">
        <v>5383</v>
      </c>
      <c r="Y1403" s="169" t="s">
        <v>4386</v>
      </c>
      <c r="Z1403" s="203">
        <v>5383</v>
      </c>
    </row>
    <row r="1404" spans="1:28">
      <c r="A1404" s="143">
        <v>1360</v>
      </c>
      <c r="B1404" s="144">
        <v>45929</v>
      </c>
      <c r="C1404" s="144" t="s">
        <v>3148</v>
      </c>
      <c r="D1404" s="202" t="s">
        <v>4410</v>
      </c>
      <c r="F1404" s="203">
        <v>5330</v>
      </c>
      <c r="G1404" s="203"/>
      <c r="H1404" s="143" t="s">
        <v>4415</v>
      </c>
      <c r="I1404" s="143" t="s">
        <v>45</v>
      </c>
      <c r="J1404" s="143" t="s">
        <v>46</v>
      </c>
      <c r="K1404" s="203">
        <v>145</v>
      </c>
      <c r="L1404" s="203">
        <v>133</v>
      </c>
      <c r="W1404" s="143" t="s">
        <v>3147</v>
      </c>
      <c r="X1404" s="203">
        <v>5330</v>
      </c>
      <c r="Y1404" s="169" t="s">
        <v>4386</v>
      </c>
      <c r="Z1404" s="203">
        <v>5330</v>
      </c>
    </row>
    <row r="1405" spans="1:28">
      <c r="A1405" s="143">
        <v>1361</v>
      </c>
      <c r="B1405" s="144">
        <v>45929</v>
      </c>
      <c r="C1405" s="144" t="s">
        <v>3148</v>
      </c>
      <c r="D1405" s="202" t="s">
        <v>4410</v>
      </c>
      <c r="F1405" s="203">
        <v>5342</v>
      </c>
      <c r="G1405" s="203"/>
      <c r="H1405" s="143" t="s">
        <v>4416</v>
      </c>
      <c r="I1405" s="143" t="s">
        <v>45</v>
      </c>
      <c r="J1405" s="143" t="s">
        <v>46</v>
      </c>
      <c r="K1405" s="203">
        <v>145</v>
      </c>
      <c r="L1405" s="203">
        <v>135</v>
      </c>
      <c r="W1405" s="143" t="s">
        <v>3147</v>
      </c>
      <c r="X1405" s="203">
        <v>5342</v>
      </c>
      <c r="Y1405" s="169" t="s">
        <v>4386</v>
      </c>
      <c r="Z1405" s="203">
        <v>5342</v>
      </c>
    </row>
    <row r="1406" spans="1:28">
      <c r="A1406" s="143">
        <v>1362</v>
      </c>
      <c r="B1406" s="144">
        <v>45929</v>
      </c>
      <c r="C1406" s="144" t="s">
        <v>3148</v>
      </c>
      <c r="D1406" s="202" t="s">
        <v>4410</v>
      </c>
      <c r="F1406" s="203">
        <v>5429</v>
      </c>
      <c r="G1406" s="203"/>
      <c r="H1406" s="143" t="s">
        <v>4417</v>
      </c>
      <c r="I1406" s="143" t="s">
        <v>45</v>
      </c>
      <c r="J1406" s="143" t="s">
        <v>46</v>
      </c>
      <c r="K1406" s="203">
        <v>145</v>
      </c>
      <c r="L1406" s="203">
        <v>138</v>
      </c>
      <c r="W1406" s="143" t="s">
        <v>3147</v>
      </c>
      <c r="X1406" s="203">
        <v>5429</v>
      </c>
      <c r="Y1406" s="169" t="s">
        <v>4386</v>
      </c>
      <c r="Z1406" s="203">
        <v>5429</v>
      </c>
    </row>
    <row r="1407" spans="1:28">
      <c r="A1407" s="143">
        <v>1363</v>
      </c>
      <c r="B1407" s="144">
        <v>45929</v>
      </c>
      <c r="C1407" s="169" t="s">
        <v>3646</v>
      </c>
      <c r="D1407" s="169" t="s">
        <v>4418</v>
      </c>
      <c r="F1407" s="143" t="s">
        <v>4419</v>
      </c>
      <c r="H1407" s="143" t="s">
        <v>4420</v>
      </c>
      <c r="I1407" s="143" t="s">
        <v>4421</v>
      </c>
      <c r="J1407" s="143" t="s">
        <v>4422</v>
      </c>
      <c r="K1407" s="143">
        <v>150</v>
      </c>
      <c r="L1407" s="143">
        <v>227</v>
      </c>
      <c r="W1407" s="169" t="s">
        <v>3872</v>
      </c>
      <c r="X1407" s="143" t="s">
        <v>4419</v>
      </c>
      <c r="Y1407" s="169" t="s">
        <v>3872</v>
      </c>
      <c r="Z1407" s="143" t="s">
        <v>4419</v>
      </c>
      <c r="AA1407" s="143">
        <v>37.7</v>
      </c>
      <c r="AB1407" s="169" t="s">
        <v>4423</v>
      </c>
    </row>
    <row r="1408" spans="1:28">
      <c r="A1408" s="143">
        <v>1364</v>
      </c>
      <c r="B1408" s="144">
        <v>45929</v>
      </c>
      <c r="C1408" s="169" t="s">
        <v>3646</v>
      </c>
      <c r="D1408" s="169" t="s">
        <v>4418</v>
      </c>
      <c r="F1408" s="143" t="s">
        <v>4424</v>
      </c>
      <c r="H1408" s="143" t="s">
        <v>4425</v>
      </c>
      <c r="I1408" s="143" t="s">
        <v>4426</v>
      </c>
      <c r="J1408" s="143" t="s">
        <v>4427</v>
      </c>
      <c r="K1408" s="143">
        <v>150</v>
      </c>
      <c r="L1408" s="143">
        <v>238</v>
      </c>
      <c r="W1408" s="169" t="s">
        <v>3872</v>
      </c>
      <c r="X1408" s="143" t="s">
        <v>4424</v>
      </c>
      <c r="Y1408" s="169" t="s">
        <v>3872</v>
      </c>
      <c r="Z1408" s="143" t="s">
        <v>4424</v>
      </c>
      <c r="AA1408" s="143">
        <v>36.9</v>
      </c>
      <c r="AB1408" s="169" t="s">
        <v>4423</v>
      </c>
    </row>
    <row r="1409" spans="1:28">
      <c r="A1409" s="143">
        <v>1365</v>
      </c>
      <c r="B1409" s="144">
        <v>45929</v>
      </c>
      <c r="C1409" s="169" t="s">
        <v>3646</v>
      </c>
      <c r="D1409" s="169" t="s">
        <v>4418</v>
      </c>
      <c r="F1409" s="143" t="s">
        <v>4428</v>
      </c>
      <c r="H1409" s="143" t="s">
        <v>4429</v>
      </c>
      <c r="I1409" s="143" t="s">
        <v>4430</v>
      </c>
      <c r="J1409" s="143" t="s">
        <v>4431</v>
      </c>
      <c r="K1409" s="143">
        <v>150</v>
      </c>
      <c r="L1409" s="143">
        <v>321</v>
      </c>
      <c r="W1409" s="169" t="s">
        <v>3872</v>
      </c>
      <c r="X1409" s="143" t="s">
        <v>4428</v>
      </c>
      <c r="Y1409" s="169" t="s">
        <v>3872</v>
      </c>
      <c r="Z1409" s="143" t="s">
        <v>4428</v>
      </c>
      <c r="AA1409" s="143">
        <v>37.5</v>
      </c>
      <c r="AB1409" s="169" t="s">
        <v>4423</v>
      </c>
    </row>
    <row r="1410" spans="1:28">
      <c r="A1410" s="143">
        <v>1366</v>
      </c>
      <c r="B1410" s="144">
        <v>45929</v>
      </c>
      <c r="C1410" s="169" t="s">
        <v>3646</v>
      </c>
      <c r="D1410" s="169" t="s">
        <v>4418</v>
      </c>
      <c r="F1410" s="143" t="s">
        <v>4432</v>
      </c>
      <c r="H1410" s="143" t="s">
        <v>4433</v>
      </c>
      <c r="I1410" s="143" t="s">
        <v>4434</v>
      </c>
      <c r="J1410" s="143" t="s">
        <v>4435</v>
      </c>
      <c r="K1410" s="143">
        <v>150</v>
      </c>
      <c r="L1410" s="143">
        <v>225</v>
      </c>
      <c r="W1410" s="169" t="s">
        <v>3872</v>
      </c>
      <c r="X1410" s="143" t="s">
        <v>4432</v>
      </c>
      <c r="Y1410" s="169" t="s">
        <v>3872</v>
      </c>
      <c r="Z1410" s="143" t="s">
        <v>4432</v>
      </c>
      <c r="AA1410" s="143">
        <v>35.2</v>
      </c>
      <c r="AB1410" s="169" t="s">
        <v>4423</v>
      </c>
    </row>
    <row r="1411" spans="1:28">
      <c r="A1411" s="143">
        <v>1367</v>
      </c>
      <c r="B1411" s="144">
        <v>45929</v>
      </c>
      <c r="C1411" s="169" t="s">
        <v>3646</v>
      </c>
      <c r="D1411" s="169" t="s">
        <v>4418</v>
      </c>
      <c r="F1411" s="143" t="s">
        <v>4436</v>
      </c>
      <c r="H1411" s="143" t="s">
        <v>4437</v>
      </c>
      <c r="I1411" s="143" t="s">
        <v>4438</v>
      </c>
      <c r="J1411" s="143" t="s">
        <v>4439</v>
      </c>
      <c r="K1411" s="143">
        <v>150</v>
      </c>
      <c r="L1411" s="143">
        <v>223</v>
      </c>
      <c r="W1411" s="169" t="s">
        <v>3872</v>
      </c>
      <c r="X1411" s="143" t="s">
        <v>4436</v>
      </c>
      <c r="Y1411" s="169" t="s">
        <v>3872</v>
      </c>
      <c r="Z1411" s="143" t="s">
        <v>4436</v>
      </c>
      <c r="AA1411" s="143">
        <v>36.8</v>
      </c>
      <c r="AB1411" s="169" t="s">
        <v>4423</v>
      </c>
    </row>
    <row r="1412" spans="1:28">
      <c r="A1412" s="143">
        <v>1368</v>
      </c>
      <c r="B1412" s="144">
        <v>45929</v>
      </c>
      <c r="C1412" s="169" t="s">
        <v>3646</v>
      </c>
      <c r="D1412" s="169" t="s">
        <v>4418</v>
      </c>
      <c r="F1412" s="143" t="s">
        <v>4440</v>
      </c>
      <c r="H1412" s="143" t="s">
        <v>4441</v>
      </c>
      <c r="I1412" s="143" t="s">
        <v>4442</v>
      </c>
      <c r="J1412" s="143" t="s">
        <v>4443</v>
      </c>
      <c r="K1412" s="143">
        <v>150</v>
      </c>
      <c r="L1412" s="143">
        <v>190</v>
      </c>
      <c r="W1412" s="169" t="s">
        <v>3872</v>
      </c>
      <c r="X1412" s="143" t="s">
        <v>4440</v>
      </c>
      <c r="Y1412" s="169" t="s">
        <v>3872</v>
      </c>
      <c r="Z1412" s="143" t="s">
        <v>4440</v>
      </c>
      <c r="AA1412" s="143">
        <v>32.7</v>
      </c>
      <c r="AB1412" s="169" t="s">
        <v>4423</v>
      </c>
    </row>
    <row r="1413" spans="1:28">
      <c r="A1413" s="143">
        <v>1369</v>
      </c>
      <c r="B1413" s="144">
        <v>45929</v>
      </c>
      <c r="C1413" s="169" t="s">
        <v>3646</v>
      </c>
      <c r="D1413" s="169" t="s">
        <v>4418</v>
      </c>
      <c r="F1413" s="143" t="s">
        <v>4444</v>
      </c>
      <c r="H1413" s="143" t="s">
        <v>4445</v>
      </c>
      <c r="I1413" s="143" t="s">
        <v>4446</v>
      </c>
      <c r="J1413" s="143" t="s">
        <v>4447</v>
      </c>
      <c r="K1413" s="143">
        <v>150</v>
      </c>
      <c r="L1413" s="143">
        <v>321</v>
      </c>
      <c r="W1413" s="169" t="s">
        <v>3872</v>
      </c>
      <c r="X1413" s="143" t="s">
        <v>4444</v>
      </c>
      <c r="Y1413" s="169" t="s">
        <v>3872</v>
      </c>
      <c r="Z1413" s="143" t="s">
        <v>4444</v>
      </c>
      <c r="AA1413" s="143">
        <v>38.9</v>
      </c>
      <c r="AB1413" s="169" t="s">
        <v>4423</v>
      </c>
    </row>
    <row r="1414" spans="1:28">
      <c r="A1414" s="143">
        <v>1370</v>
      </c>
      <c r="B1414" s="144">
        <v>45929</v>
      </c>
      <c r="C1414" s="169" t="s">
        <v>3646</v>
      </c>
      <c r="D1414" s="169" t="s">
        <v>4418</v>
      </c>
      <c r="F1414" s="143" t="s">
        <v>4448</v>
      </c>
      <c r="H1414" s="143" t="s">
        <v>4449</v>
      </c>
      <c r="I1414" s="143" t="s">
        <v>4450</v>
      </c>
      <c r="J1414" s="143" t="s">
        <v>4451</v>
      </c>
      <c r="K1414" s="143">
        <v>150</v>
      </c>
      <c r="L1414" s="143">
        <v>254</v>
      </c>
      <c r="W1414" s="169" t="s">
        <v>3872</v>
      </c>
      <c r="X1414" s="143" t="s">
        <v>4448</v>
      </c>
      <c r="Y1414" s="169" t="s">
        <v>3872</v>
      </c>
      <c r="Z1414" s="143" t="s">
        <v>4448</v>
      </c>
      <c r="AA1414" s="143">
        <v>33</v>
      </c>
      <c r="AB1414" s="169" t="s">
        <v>4423</v>
      </c>
    </row>
    <row r="1415" spans="1:28">
      <c r="A1415" s="143">
        <v>1371</v>
      </c>
      <c r="B1415" s="144">
        <v>45929</v>
      </c>
      <c r="C1415" s="169" t="s">
        <v>3646</v>
      </c>
      <c r="D1415" s="169" t="s">
        <v>4418</v>
      </c>
      <c r="F1415" s="143" t="s">
        <v>4452</v>
      </c>
      <c r="H1415" s="143" t="s">
        <v>4453</v>
      </c>
      <c r="I1415" s="143" t="s">
        <v>4454</v>
      </c>
      <c r="J1415" s="143" t="s">
        <v>4455</v>
      </c>
      <c r="K1415" s="143">
        <v>150</v>
      </c>
      <c r="L1415" s="143">
        <v>192</v>
      </c>
      <c r="W1415" s="169" t="s">
        <v>3872</v>
      </c>
      <c r="X1415" s="143" t="s">
        <v>4452</v>
      </c>
      <c r="Y1415" s="169" t="s">
        <v>3872</v>
      </c>
      <c r="Z1415" s="143" t="s">
        <v>4452</v>
      </c>
      <c r="AA1415" s="143">
        <v>31.7</v>
      </c>
      <c r="AB1415" s="169" t="s">
        <v>4423</v>
      </c>
    </row>
    <row r="1416" spans="1:28">
      <c r="A1416" s="143">
        <v>1372</v>
      </c>
      <c r="B1416" s="144">
        <v>45929</v>
      </c>
      <c r="C1416" s="169" t="s">
        <v>3646</v>
      </c>
      <c r="D1416" s="169" t="s">
        <v>4418</v>
      </c>
      <c r="F1416" s="143" t="s">
        <v>4456</v>
      </c>
      <c r="H1416" s="143" t="s">
        <v>4457</v>
      </c>
      <c r="I1416" s="143" t="s">
        <v>4446</v>
      </c>
      <c r="J1416" s="143" t="s">
        <v>4447</v>
      </c>
      <c r="K1416" s="143">
        <v>150</v>
      </c>
      <c r="L1416" s="143">
        <v>220</v>
      </c>
      <c r="W1416" s="169" t="s">
        <v>3872</v>
      </c>
      <c r="X1416" s="143" t="s">
        <v>4456</v>
      </c>
      <c r="Y1416" s="169" t="s">
        <v>3872</v>
      </c>
      <c r="Z1416" s="143" t="s">
        <v>4456</v>
      </c>
      <c r="AA1416" s="143">
        <v>22.1</v>
      </c>
      <c r="AB1416" s="169" t="s">
        <v>4423</v>
      </c>
    </row>
    <row r="1417" spans="1:28">
      <c r="A1417" s="143">
        <v>1373</v>
      </c>
      <c r="B1417" s="144">
        <v>45929</v>
      </c>
      <c r="C1417" s="169" t="s">
        <v>3646</v>
      </c>
      <c r="D1417" s="169" t="s">
        <v>4418</v>
      </c>
      <c r="F1417" s="143" t="s">
        <v>4458</v>
      </c>
      <c r="H1417" s="143" t="s">
        <v>4459</v>
      </c>
      <c r="I1417" s="143" t="s">
        <v>4446</v>
      </c>
      <c r="J1417" s="143" t="s">
        <v>4447</v>
      </c>
      <c r="K1417" s="143">
        <v>150</v>
      </c>
      <c r="L1417" s="143">
        <v>210</v>
      </c>
      <c r="W1417" s="169" t="s">
        <v>3872</v>
      </c>
      <c r="X1417" s="143" t="s">
        <v>4458</v>
      </c>
      <c r="Y1417" s="169" t="s">
        <v>3872</v>
      </c>
      <c r="Z1417" s="143" t="s">
        <v>4458</v>
      </c>
      <c r="AA1417" s="143">
        <v>22.1</v>
      </c>
      <c r="AB1417" s="169" t="s">
        <v>4423</v>
      </c>
    </row>
    <row r="1418" spans="1:28">
      <c r="A1418" s="143">
        <v>1374</v>
      </c>
      <c r="B1418" s="144">
        <v>45929</v>
      </c>
      <c r="C1418" s="169" t="s">
        <v>3646</v>
      </c>
      <c r="D1418" s="169" t="s">
        <v>4418</v>
      </c>
      <c r="F1418" s="143" t="s">
        <v>4460</v>
      </c>
      <c r="H1418" s="143" t="s">
        <v>4461</v>
      </c>
      <c r="I1418" s="143" t="s">
        <v>4462</v>
      </c>
      <c r="J1418" s="143" t="s">
        <v>4463</v>
      </c>
      <c r="K1418" s="143">
        <v>150</v>
      </c>
      <c r="L1418" s="143">
        <v>213</v>
      </c>
      <c r="W1418" s="169" t="s">
        <v>3872</v>
      </c>
      <c r="X1418" s="143" t="s">
        <v>4460</v>
      </c>
      <c r="Y1418" s="169" t="s">
        <v>3872</v>
      </c>
      <c r="Z1418" s="143" t="s">
        <v>4460</v>
      </c>
      <c r="AA1418" s="143">
        <v>22.5</v>
      </c>
      <c r="AB1418" s="169" t="s">
        <v>4423</v>
      </c>
    </row>
    <row r="1419" spans="1:28">
      <c r="A1419" s="143">
        <v>1375</v>
      </c>
      <c r="B1419" s="144">
        <v>45929</v>
      </c>
      <c r="C1419" s="169" t="s">
        <v>3646</v>
      </c>
      <c r="D1419" s="169" t="s">
        <v>4418</v>
      </c>
      <c r="F1419" s="143" t="s">
        <v>4464</v>
      </c>
      <c r="H1419" s="143" t="s">
        <v>4465</v>
      </c>
      <c r="I1419" s="143" t="s">
        <v>4466</v>
      </c>
      <c r="J1419" s="143" t="s">
        <v>4467</v>
      </c>
      <c r="K1419" s="143">
        <v>150</v>
      </c>
      <c r="L1419" s="143">
        <v>339</v>
      </c>
      <c r="W1419" s="169" t="s">
        <v>3872</v>
      </c>
      <c r="X1419" s="143" t="s">
        <v>4464</v>
      </c>
      <c r="Y1419" s="169" t="s">
        <v>3872</v>
      </c>
      <c r="Z1419" s="143" t="s">
        <v>4464</v>
      </c>
      <c r="AA1419" s="143">
        <v>37.2</v>
      </c>
      <c r="AB1419" s="169" t="s">
        <v>4423</v>
      </c>
    </row>
    <row r="1420" spans="1:28">
      <c r="A1420" s="143">
        <v>1376</v>
      </c>
      <c r="B1420" s="144">
        <v>45940</v>
      </c>
      <c r="C1420" s="144" t="s">
        <v>3148</v>
      </c>
      <c r="D1420" s="144" t="s">
        <v>4468</v>
      </c>
      <c r="E1420" s="144"/>
      <c r="F1420" s="143" t="s">
        <v>4469</v>
      </c>
      <c r="H1420" s="143" t="s">
        <v>4470</v>
      </c>
      <c r="I1420" s="143" t="s">
        <v>4238</v>
      </c>
      <c r="J1420" s="143" t="s">
        <v>3870</v>
      </c>
      <c r="K1420" s="143">
        <v>150</v>
      </c>
      <c r="L1420" s="143">
        <v>286</v>
      </c>
      <c r="W1420" s="169" t="s">
        <v>3872</v>
      </c>
      <c r="X1420" s="143" t="s">
        <v>4469</v>
      </c>
      <c r="Y1420" s="169" t="s">
        <v>3872</v>
      </c>
      <c r="Z1420" s="143" t="s">
        <v>4469</v>
      </c>
      <c r="AA1420" s="143">
        <v>29.5</v>
      </c>
      <c r="AB1420" s="169" t="s">
        <v>4423</v>
      </c>
    </row>
    <row r="1421" spans="1:28">
      <c r="A1421" s="143">
        <v>1377</v>
      </c>
      <c r="B1421" s="144">
        <v>45940</v>
      </c>
      <c r="C1421" s="144" t="s">
        <v>3148</v>
      </c>
      <c r="D1421" s="144" t="s">
        <v>4468</v>
      </c>
      <c r="F1421" s="143" t="s">
        <v>4471</v>
      </c>
      <c r="H1421" s="143" t="s">
        <v>4472</v>
      </c>
      <c r="I1421" s="143" t="s">
        <v>3218</v>
      </c>
      <c r="J1421" s="143" t="s">
        <v>779</v>
      </c>
      <c r="K1421" s="143">
        <v>150</v>
      </c>
      <c r="L1421" s="143">
        <v>251</v>
      </c>
      <c r="W1421" s="169" t="s">
        <v>3872</v>
      </c>
      <c r="X1421" s="143" t="s">
        <v>4471</v>
      </c>
      <c r="Y1421" s="169" t="s">
        <v>3872</v>
      </c>
      <c r="Z1421" s="143" t="s">
        <v>4471</v>
      </c>
      <c r="AA1421" s="143">
        <v>56.2</v>
      </c>
      <c r="AB1421" s="169" t="s">
        <v>4423</v>
      </c>
    </row>
    <row r="1422" spans="1:28">
      <c r="A1422" s="143">
        <v>1378</v>
      </c>
      <c r="B1422" s="144">
        <v>45940</v>
      </c>
      <c r="C1422" s="144" t="s">
        <v>3148</v>
      </c>
      <c r="D1422" s="144" t="s">
        <v>4468</v>
      </c>
      <c r="F1422" s="143" t="s">
        <v>4473</v>
      </c>
      <c r="H1422" s="143" t="s">
        <v>4474</v>
      </c>
      <c r="I1422" s="143" t="s">
        <v>3218</v>
      </c>
      <c r="J1422" s="143" t="s">
        <v>779</v>
      </c>
      <c r="K1422" s="143">
        <v>150</v>
      </c>
      <c r="L1422" s="143">
        <v>182</v>
      </c>
      <c r="W1422" s="169" t="s">
        <v>3872</v>
      </c>
      <c r="X1422" s="143" t="s">
        <v>4473</v>
      </c>
      <c r="Y1422" s="169" t="s">
        <v>3872</v>
      </c>
      <c r="Z1422" s="143" t="s">
        <v>4473</v>
      </c>
      <c r="AA1422" s="143">
        <v>25.8</v>
      </c>
      <c r="AB1422" s="169" t="s">
        <v>4423</v>
      </c>
    </row>
    <row r="1423" spans="1:28">
      <c r="A1423" s="143">
        <v>1380</v>
      </c>
      <c r="B1423" s="144">
        <v>45940</v>
      </c>
      <c r="C1423" s="144" t="s">
        <v>3148</v>
      </c>
      <c r="D1423" s="144" t="s">
        <v>4468</v>
      </c>
      <c r="F1423" s="143" t="s">
        <v>4475</v>
      </c>
      <c r="H1423" s="143" t="s">
        <v>4476</v>
      </c>
      <c r="I1423" s="143" t="s">
        <v>3218</v>
      </c>
      <c r="J1423" s="143" t="s">
        <v>779</v>
      </c>
      <c r="K1423" s="143">
        <v>150</v>
      </c>
      <c r="L1423" s="143">
        <v>229</v>
      </c>
      <c r="W1423" s="169" t="s">
        <v>3872</v>
      </c>
      <c r="X1423" s="143" t="s">
        <v>4475</v>
      </c>
      <c r="Y1423" s="169" t="s">
        <v>3872</v>
      </c>
      <c r="Z1423" s="143" t="s">
        <v>4475</v>
      </c>
      <c r="AA1423" s="143">
        <v>25.9</v>
      </c>
      <c r="AB1423" s="169" t="s">
        <v>4423</v>
      </c>
    </row>
    <row r="1424" spans="1:28">
      <c r="A1424" s="143">
        <v>1381</v>
      </c>
      <c r="B1424" s="144">
        <v>45940</v>
      </c>
      <c r="C1424" s="144" t="s">
        <v>3148</v>
      </c>
      <c r="D1424" s="144" t="s">
        <v>4468</v>
      </c>
      <c r="F1424" s="143" t="s">
        <v>4477</v>
      </c>
      <c r="H1424" s="143" t="s">
        <v>4478</v>
      </c>
      <c r="I1424" s="143" t="s">
        <v>3218</v>
      </c>
      <c r="J1424" s="143" t="s">
        <v>779</v>
      </c>
      <c r="K1424" s="143">
        <v>150</v>
      </c>
      <c r="L1424" s="143">
        <v>249</v>
      </c>
      <c r="W1424" s="169" t="s">
        <v>3872</v>
      </c>
      <c r="X1424" s="143" t="s">
        <v>4477</v>
      </c>
      <c r="Y1424" s="169" t="s">
        <v>3872</v>
      </c>
      <c r="Z1424" s="143" t="s">
        <v>4477</v>
      </c>
      <c r="AA1424" s="143">
        <v>26.4</v>
      </c>
      <c r="AB1424" s="169" t="s">
        <v>4423</v>
      </c>
    </row>
    <row r="1425" spans="1:28">
      <c r="A1425" s="143">
        <v>1382</v>
      </c>
      <c r="B1425" s="144">
        <v>45940</v>
      </c>
      <c r="C1425" s="144" t="s">
        <v>3148</v>
      </c>
      <c r="D1425" s="144" t="s">
        <v>4468</v>
      </c>
      <c r="F1425" s="143" t="s">
        <v>4479</v>
      </c>
      <c r="H1425" s="143" t="s">
        <v>4480</v>
      </c>
      <c r="I1425" s="143" t="s">
        <v>4481</v>
      </c>
      <c r="J1425" s="143" t="s">
        <v>4482</v>
      </c>
      <c r="K1425" s="143">
        <v>150</v>
      </c>
      <c r="L1425" s="143">
        <v>168</v>
      </c>
      <c r="W1425" s="169" t="s">
        <v>3872</v>
      </c>
      <c r="X1425" s="143" t="s">
        <v>4479</v>
      </c>
      <c r="Y1425" s="169" t="s">
        <v>3872</v>
      </c>
      <c r="Z1425" s="143" t="s">
        <v>4479</v>
      </c>
      <c r="AA1425" s="143">
        <v>32</v>
      </c>
      <c r="AB1425" s="169" t="s">
        <v>4423</v>
      </c>
    </row>
    <row r="1426" spans="1:28">
      <c r="A1426" s="143">
        <v>1383</v>
      </c>
      <c r="B1426" s="144">
        <v>45940</v>
      </c>
      <c r="C1426" s="169" t="s">
        <v>3646</v>
      </c>
      <c r="D1426" s="169" t="s">
        <v>4483</v>
      </c>
      <c r="F1426" s="143" t="s">
        <v>4484</v>
      </c>
      <c r="H1426" s="143" t="s">
        <v>4485</v>
      </c>
      <c r="I1426" s="143" t="s">
        <v>4486</v>
      </c>
      <c r="J1426" s="143" t="s">
        <v>4487</v>
      </c>
      <c r="K1426" s="143">
        <v>150</v>
      </c>
      <c r="L1426" s="143">
        <v>201</v>
      </c>
      <c r="W1426" s="169" t="s">
        <v>3872</v>
      </c>
      <c r="X1426" s="143" t="s">
        <v>4484</v>
      </c>
      <c r="Y1426" s="169" t="s">
        <v>3872</v>
      </c>
      <c r="Z1426" s="143" t="s">
        <v>4484</v>
      </c>
    </row>
    <row r="1427" spans="1:28">
      <c r="A1427" s="143">
        <v>1384</v>
      </c>
      <c r="B1427" s="144">
        <v>45941</v>
      </c>
      <c r="C1427" s="169" t="s">
        <v>3277</v>
      </c>
      <c r="D1427" s="143" t="s">
        <v>41</v>
      </c>
      <c r="F1427" s="143" t="s">
        <v>4488</v>
      </c>
      <c r="G1427" s="169" t="s">
        <v>4489</v>
      </c>
      <c r="H1427" s="143" t="s">
        <v>4490</v>
      </c>
      <c r="I1427" s="143" t="s">
        <v>4491</v>
      </c>
      <c r="J1427" s="143" t="s">
        <v>4492</v>
      </c>
      <c r="K1427" s="143">
        <v>148</v>
      </c>
      <c r="L1427" s="143">
        <v>103</v>
      </c>
      <c r="W1427" s="143" t="s">
        <v>3147</v>
      </c>
      <c r="X1427" s="143" t="s">
        <v>4488</v>
      </c>
      <c r="Y1427" s="143" t="s">
        <v>3147</v>
      </c>
      <c r="Z1427" s="143" t="s">
        <v>4488</v>
      </c>
      <c r="AA1427" s="143">
        <v>11.5</v>
      </c>
      <c r="AB1427" s="144">
        <v>45940</v>
      </c>
    </row>
    <row r="1428" spans="1:28">
      <c r="A1428" s="143">
        <v>1385</v>
      </c>
      <c r="B1428" s="144">
        <v>45941</v>
      </c>
      <c r="C1428" s="169" t="s">
        <v>3277</v>
      </c>
      <c r="D1428" s="143" t="s">
        <v>41</v>
      </c>
      <c r="F1428" s="143" t="s">
        <v>4493</v>
      </c>
      <c r="G1428" s="169" t="s">
        <v>4489</v>
      </c>
      <c r="H1428" s="143" t="s">
        <v>4494</v>
      </c>
      <c r="I1428" s="143" t="s">
        <v>4495</v>
      </c>
      <c r="J1428" s="143" t="s">
        <v>4496</v>
      </c>
      <c r="K1428" s="143">
        <v>148</v>
      </c>
      <c r="L1428" s="143">
        <v>61</v>
      </c>
      <c r="W1428" s="143" t="s">
        <v>3147</v>
      </c>
      <c r="X1428" s="143" t="s">
        <v>4493</v>
      </c>
      <c r="Y1428" s="143" t="s">
        <v>3147</v>
      </c>
      <c r="Z1428" s="143" t="s">
        <v>4493</v>
      </c>
      <c r="AA1428" s="143">
        <v>8.6</v>
      </c>
      <c r="AB1428" s="144">
        <v>45940</v>
      </c>
    </row>
    <row r="1429" spans="1:28">
      <c r="A1429" s="143">
        <v>1386</v>
      </c>
      <c r="B1429" s="144">
        <v>45941</v>
      </c>
      <c r="C1429" s="169" t="s">
        <v>3277</v>
      </c>
      <c r="D1429" s="143" t="s">
        <v>41</v>
      </c>
      <c r="F1429" s="143" t="s">
        <v>4497</v>
      </c>
      <c r="G1429" s="169" t="s">
        <v>4489</v>
      </c>
      <c r="H1429" s="143" t="s">
        <v>4498</v>
      </c>
      <c r="I1429" s="143" t="s">
        <v>4499</v>
      </c>
      <c r="J1429" s="143" t="s">
        <v>4500</v>
      </c>
      <c r="K1429" s="143">
        <v>148</v>
      </c>
      <c r="L1429" s="143">
        <v>78</v>
      </c>
      <c r="W1429" s="143" t="s">
        <v>3147</v>
      </c>
      <c r="X1429" s="143" t="s">
        <v>4497</v>
      </c>
      <c r="Y1429" s="143" t="s">
        <v>3147</v>
      </c>
      <c r="Z1429" s="143" t="s">
        <v>4497</v>
      </c>
      <c r="AA1429" s="143">
        <v>9.2</v>
      </c>
      <c r="AB1429" s="144">
        <v>45940</v>
      </c>
    </row>
    <row r="1430" ht="15" spans="1:28">
      <c r="A1430" s="143">
        <v>1387</v>
      </c>
      <c r="B1430" s="144">
        <v>45945</v>
      </c>
      <c r="C1430" s="143" t="s">
        <v>3148</v>
      </c>
      <c r="D1430" s="143" t="s">
        <v>41</v>
      </c>
      <c r="F1430" s="143" t="s">
        <v>4501</v>
      </c>
      <c r="H1430" s="143" t="s">
        <v>4502</v>
      </c>
      <c r="I1430" s="143" t="s">
        <v>4503</v>
      </c>
      <c r="J1430" s="143" t="s">
        <v>4504</v>
      </c>
      <c r="K1430" s="143">
        <v>175</v>
      </c>
      <c r="L1430" s="143">
        <v>230</v>
      </c>
      <c r="N1430" s="143" t="s">
        <v>3147</v>
      </c>
      <c r="O1430" s="143" t="s">
        <v>4501</v>
      </c>
      <c r="P1430" s="143" t="s">
        <v>3665</v>
      </c>
      <c r="Q1430" s="143" t="s">
        <v>4501</v>
      </c>
      <c r="W1430" s="169" t="s">
        <v>3147</v>
      </c>
      <c r="X1430" s="143" t="s">
        <v>4505</v>
      </c>
      <c r="Y1430" s="143" t="s">
        <v>3665</v>
      </c>
      <c r="Z1430" s="143" t="s">
        <v>4505</v>
      </c>
      <c r="AA1430" s="173">
        <v>41.2</v>
      </c>
      <c r="AB1430" s="144">
        <v>45944</v>
      </c>
    </row>
    <row r="1431" ht="15" spans="1:28">
      <c r="A1431" s="143">
        <v>1388</v>
      </c>
      <c r="B1431" s="144">
        <v>45945</v>
      </c>
      <c r="C1431" s="143" t="s">
        <v>3148</v>
      </c>
      <c r="D1431" s="143" t="s">
        <v>41</v>
      </c>
      <c r="F1431" s="143" t="s">
        <v>4506</v>
      </c>
      <c r="H1431" s="143" t="s">
        <v>4507</v>
      </c>
      <c r="I1431" s="143" t="s">
        <v>4508</v>
      </c>
      <c r="J1431" s="143" t="s">
        <v>749</v>
      </c>
      <c r="K1431" s="143">
        <v>145</v>
      </c>
      <c r="L1431" s="143">
        <v>76</v>
      </c>
      <c r="N1431" s="143" t="s">
        <v>3147</v>
      </c>
      <c r="O1431" s="143" t="s">
        <v>4506</v>
      </c>
      <c r="P1431" s="143" t="s">
        <v>4509</v>
      </c>
      <c r="Q1431" s="143" t="s">
        <v>4506</v>
      </c>
      <c r="W1431" s="169" t="s">
        <v>3147</v>
      </c>
      <c r="X1431" s="143" t="s">
        <v>4506</v>
      </c>
      <c r="Y1431" s="169" t="s">
        <v>4509</v>
      </c>
      <c r="Z1431" s="143" t="s">
        <v>4506</v>
      </c>
      <c r="AA1431" s="173">
        <v>12.8</v>
      </c>
      <c r="AB1431" s="144">
        <v>45944</v>
      </c>
    </row>
    <row r="1432" ht="15" spans="1:28">
      <c r="A1432" s="143">
        <v>1389</v>
      </c>
      <c r="B1432" s="144">
        <v>45945</v>
      </c>
      <c r="C1432" s="143" t="s">
        <v>3148</v>
      </c>
      <c r="D1432" s="143" t="s">
        <v>41</v>
      </c>
      <c r="F1432" s="169" t="s">
        <v>4510</v>
      </c>
      <c r="H1432" s="143" t="s">
        <v>4511</v>
      </c>
      <c r="I1432" s="143" t="s">
        <v>4512</v>
      </c>
      <c r="J1432" s="143" t="s">
        <v>749</v>
      </c>
      <c r="K1432" s="143">
        <v>145</v>
      </c>
      <c r="L1432" s="143">
        <v>142</v>
      </c>
      <c r="N1432" s="143" t="s">
        <v>3147</v>
      </c>
      <c r="P1432" s="143" t="s">
        <v>4509</v>
      </c>
      <c r="W1432" s="143" t="s">
        <v>3147</v>
      </c>
      <c r="X1432" s="169" t="s">
        <v>4510</v>
      </c>
      <c r="Y1432" s="143" t="s">
        <v>4509</v>
      </c>
      <c r="Z1432" s="169" t="s">
        <v>4510</v>
      </c>
      <c r="AA1432" s="173">
        <v>7.5</v>
      </c>
      <c r="AB1432" s="144">
        <v>45944</v>
      </c>
    </row>
    <row r="1433" ht="15" spans="1:28">
      <c r="A1433" s="143">
        <v>1390</v>
      </c>
      <c r="B1433" s="144">
        <v>45945</v>
      </c>
      <c r="C1433" s="143" t="s">
        <v>3148</v>
      </c>
      <c r="D1433" s="143" t="s">
        <v>41</v>
      </c>
      <c r="F1433" s="143" t="s">
        <v>4513</v>
      </c>
      <c r="H1433" s="143" t="s">
        <v>4514</v>
      </c>
      <c r="I1433" s="143" t="s">
        <v>4512</v>
      </c>
      <c r="J1433" s="143" t="s">
        <v>749</v>
      </c>
      <c r="K1433" s="143">
        <v>145</v>
      </c>
      <c r="L1433" s="143">
        <v>200</v>
      </c>
      <c r="P1433" s="143" t="s">
        <v>4515</v>
      </c>
      <c r="Q1433" s="143" t="s">
        <v>4513</v>
      </c>
      <c r="W1433" s="143" t="s">
        <v>3147</v>
      </c>
      <c r="X1433" s="143" t="s">
        <v>4513</v>
      </c>
      <c r="Y1433" s="169" t="s">
        <v>4515</v>
      </c>
      <c r="Z1433" s="143" t="s">
        <v>4513</v>
      </c>
      <c r="AA1433" s="173">
        <v>10.2</v>
      </c>
      <c r="AB1433" s="144">
        <v>45944</v>
      </c>
    </row>
    <row r="1434" ht="15" spans="1:28">
      <c r="A1434" s="143">
        <v>1391</v>
      </c>
      <c r="B1434" s="144">
        <v>45945</v>
      </c>
      <c r="C1434" s="143" t="s">
        <v>3148</v>
      </c>
      <c r="D1434" s="143" t="s">
        <v>41</v>
      </c>
      <c r="F1434" s="143" t="s">
        <v>4516</v>
      </c>
      <c r="H1434" s="143" t="s">
        <v>4517</v>
      </c>
      <c r="I1434" s="143" t="s">
        <v>4512</v>
      </c>
      <c r="J1434" s="143" t="s">
        <v>749</v>
      </c>
      <c r="K1434" s="143">
        <v>145</v>
      </c>
      <c r="L1434" s="143">
        <v>145</v>
      </c>
      <c r="P1434" s="143" t="s">
        <v>4515</v>
      </c>
      <c r="Q1434" s="143" t="s">
        <v>4516</v>
      </c>
      <c r="W1434" s="143" t="s">
        <v>3147</v>
      </c>
      <c r="X1434" s="143" t="s">
        <v>4516</v>
      </c>
      <c r="Y1434" s="143" t="s">
        <v>4515</v>
      </c>
      <c r="Z1434" s="143" t="s">
        <v>4516</v>
      </c>
      <c r="AA1434" s="173">
        <v>10.2</v>
      </c>
      <c r="AB1434" s="144">
        <v>45944</v>
      </c>
    </row>
    <row r="1435" ht="15" spans="1:28">
      <c r="A1435" s="143">
        <v>1392</v>
      </c>
      <c r="B1435" s="144">
        <v>45945</v>
      </c>
      <c r="C1435" s="143" t="s">
        <v>3148</v>
      </c>
      <c r="D1435" s="143" t="s">
        <v>41</v>
      </c>
      <c r="F1435" s="143">
        <v>13967</v>
      </c>
      <c r="H1435" s="143" t="s">
        <v>4518</v>
      </c>
      <c r="I1435" s="143" t="s">
        <v>4512</v>
      </c>
      <c r="J1435" s="143" t="s">
        <v>749</v>
      </c>
      <c r="K1435" s="143">
        <v>145</v>
      </c>
      <c r="L1435" s="143">
        <v>141</v>
      </c>
      <c r="P1435" s="143" t="s">
        <v>4509</v>
      </c>
      <c r="W1435" s="143" t="s">
        <v>3147</v>
      </c>
      <c r="X1435" s="143">
        <v>13967</v>
      </c>
      <c r="Y1435" s="143" t="s">
        <v>4509</v>
      </c>
      <c r="Z1435" s="143">
        <v>13967</v>
      </c>
      <c r="AA1435" s="173">
        <v>12.8</v>
      </c>
      <c r="AB1435" s="144">
        <v>45944</v>
      </c>
    </row>
    <row r="1436" ht="15" spans="1:28">
      <c r="A1436" s="143">
        <v>1393</v>
      </c>
      <c r="B1436" s="144">
        <v>45945</v>
      </c>
      <c r="C1436" s="143" t="s">
        <v>3148</v>
      </c>
      <c r="D1436" s="143" t="s">
        <v>41</v>
      </c>
      <c r="F1436" s="143" t="s">
        <v>4519</v>
      </c>
      <c r="H1436" s="143" t="s">
        <v>4520</v>
      </c>
      <c r="I1436" s="143" t="s">
        <v>4512</v>
      </c>
      <c r="J1436" s="143" t="s">
        <v>4521</v>
      </c>
      <c r="K1436" s="143">
        <v>145</v>
      </c>
      <c r="P1436" s="143" t="s">
        <v>4515</v>
      </c>
      <c r="W1436" s="143" t="s">
        <v>3147</v>
      </c>
      <c r="X1436" s="143" t="s">
        <v>4519</v>
      </c>
      <c r="Y1436" s="143" t="s">
        <v>4515</v>
      </c>
      <c r="Z1436" s="143" t="s">
        <v>4519</v>
      </c>
      <c r="AA1436" s="173">
        <v>11.5</v>
      </c>
      <c r="AB1436" s="144">
        <v>45944</v>
      </c>
    </row>
    <row r="1437" ht="15" spans="1:28">
      <c r="A1437" s="143">
        <v>1394</v>
      </c>
      <c r="B1437" s="144">
        <v>45945</v>
      </c>
      <c r="C1437" s="143" t="s">
        <v>3148</v>
      </c>
      <c r="D1437" s="143" t="s">
        <v>41</v>
      </c>
      <c r="F1437" s="143" t="s">
        <v>4522</v>
      </c>
      <c r="H1437" s="143" t="s">
        <v>4523</v>
      </c>
      <c r="I1437" s="143" t="s">
        <v>3157</v>
      </c>
      <c r="J1437" s="143" t="s">
        <v>3684</v>
      </c>
      <c r="K1437" s="143">
        <v>145</v>
      </c>
      <c r="P1437" s="143" t="s">
        <v>4515</v>
      </c>
      <c r="W1437" s="143" t="s">
        <v>3147</v>
      </c>
      <c r="X1437" s="143" t="s">
        <v>4522</v>
      </c>
      <c r="Y1437" s="143" t="s">
        <v>4515</v>
      </c>
      <c r="Z1437" s="143" t="s">
        <v>4522</v>
      </c>
      <c r="AA1437" s="173">
        <v>14</v>
      </c>
      <c r="AB1437" s="144">
        <v>45944</v>
      </c>
    </row>
    <row r="1438" ht="15" spans="1:28">
      <c r="A1438" s="143">
        <v>1395</v>
      </c>
      <c r="B1438" s="144">
        <v>45945</v>
      </c>
      <c r="C1438" s="143" t="s">
        <v>3148</v>
      </c>
      <c r="D1438" s="143" t="s">
        <v>41</v>
      </c>
      <c r="F1438" s="143" t="s">
        <v>4524</v>
      </c>
      <c r="H1438" s="143" t="s">
        <v>4525</v>
      </c>
      <c r="I1438" s="143" t="s">
        <v>4512</v>
      </c>
      <c r="J1438" s="143" t="s">
        <v>749</v>
      </c>
      <c r="K1438" s="143">
        <v>145</v>
      </c>
      <c r="P1438" s="143" t="s">
        <v>4515</v>
      </c>
      <c r="W1438" s="143" t="s">
        <v>3147</v>
      </c>
      <c r="X1438" s="143" t="s">
        <v>4526</v>
      </c>
      <c r="Y1438" s="143" t="s">
        <v>4515</v>
      </c>
      <c r="Z1438" s="143" t="s">
        <v>4526</v>
      </c>
      <c r="AA1438" s="173">
        <v>11.5</v>
      </c>
      <c r="AB1438" s="144">
        <v>45944</v>
      </c>
    </row>
    <row r="1439" ht="15" spans="1:28">
      <c r="A1439" s="143">
        <v>1396</v>
      </c>
      <c r="B1439" s="144">
        <v>45945</v>
      </c>
      <c r="C1439" s="143" t="s">
        <v>3148</v>
      </c>
      <c r="D1439" s="143" t="s">
        <v>41</v>
      </c>
      <c r="F1439" s="143" t="s">
        <v>4527</v>
      </c>
      <c r="H1439" s="143" t="s">
        <v>4528</v>
      </c>
      <c r="I1439" s="143" t="s">
        <v>4529</v>
      </c>
      <c r="J1439" s="143" t="s">
        <v>4530</v>
      </c>
      <c r="K1439" s="143">
        <v>145</v>
      </c>
      <c r="P1439" s="143" t="s">
        <v>4515</v>
      </c>
      <c r="W1439" s="143" t="s">
        <v>3147</v>
      </c>
      <c r="X1439" s="143" t="s">
        <v>4527</v>
      </c>
      <c r="Y1439" s="143" t="s">
        <v>4515</v>
      </c>
      <c r="Z1439" s="143" t="s">
        <v>4527</v>
      </c>
      <c r="AA1439" s="173">
        <v>15.6</v>
      </c>
      <c r="AB1439" s="144">
        <v>45944</v>
      </c>
    </row>
    <row r="1440" ht="15" spans="1:28">
      <c r="A1440" s="143">
        <v>1397</v>
      </c>
      <c r="B1440" s="144">
        <v>45945</v>
      </c>
      <c r="C1440" s="143" t="s">
        <v>3148</v>
      </c>
      <c r="D1440" s="143" t="s">
        <v>41</v>
      </c>
      <c r="F1440" s="143" t="s">
        <v>4531</v>
      </c>
      <c r="H1440" s="143" t="s">
        <v>4532</v>
      </c>
      <c r="I1440" s="143" t="s">
        <v>4512</v>
      </c>
      <c r="J1440" s="143" t="s">
        <v>749</v>
      </c>
      <c r="K1440" s="143">
        <v>145</v>
      </c>
      <c r="L1440" s="143">
        <v>164</v>
      </c>
      <c r="P1440" s="143" t="s">
        <v>4515</v>
      </c>
      <c r="W1440" s="143" t="s">
        <v>3147</v>
      </c>
      <c r="X1440" s="143" t="s">
        <v>4531</v>
      </c>
      <c r="Y1440" s="143" t="s">
        <v>4515</v>
      </c>
      <c r="Z1440" s="143" t="s">
        <v>4531</v>
      </c>
      <c r="AA1440" s="173">
        <v>10.2</v>
      </c>
      <c r="AB1440" s="144">
        <v>45944</v>
      </c>
    </row>
    <row r="1441" ht="15" spans="1:34">
      <c r="A1441" s="143">
        <v>1398</v>
      </c>
      <c r="B1441" s="144">
        <v>45945</v>
      </c>
      <c r="C1441" s="143" t="s">
        <v>3148</v>
      </c>
      <c r="D1441" s="143" t="s">
        <v>41</v>
      </c>
      <c r="F1441" s="143" t="s">
        <v>4533</v>
      </c>
      <c r="H1441" s="143" t="s">
        <v>4534</v>
      </c>
      <c r="I1441" s="143" t="s">
        <v>4535</v>
      </c>
      <c r="J1441" s="143" t="s">
        <v>4536</v>
      </c>
      <c r="K1441" s="143">
        <v>145</v>
      </c>
      <c r="L1441" s="143">
        <v>107</v>
      </c>
      <c r="P1441" s="143" t="s">
        <v>4515</v>
      </c>
      <c r="W1441" s="143" t="s">
        <v>3147</v>
      </c>
      <c r="X1441" s="143" t="s">
        <v>4526</v>
      </c>
      <c r="Y1441" s="143" t="s">
        <v>4515</v>
      </c>
      <c r="Z1441" s="143" t="s">
        <v>4526</v>
      </c>
      <c r="AA1441" s="173">
        <v>10.3</v>
      </c>
      <c r="AB1441" s="144">
        <v>45944</v>
      </c>
    </row>
    <row r="1442" ht="15" spans="1:34">
      <c r="A1442" s="143">
        <v>1399</v>
      </c>
      <c r="B1442" s="144">
        <v>45945</v>
      </c>
      <c r="C1442" s="143" t="s">
        <v>3148</v>
      </c>
      <c r="D1442" s="143" t="s">
        <v>41</v>
      </c>
      <c r="F1442" s="143" t="s">
        <v>4537</v>
      </c>
      <c r="H1442" s="143" t="s">
        <v>4538</v>
      </c>
      <c r="I1442" s="143" t="s">
        <v>4539</v>
      </c>
      <c r="J1442" s="143" t="s">
        <v>4540</v>
      </c>
      <c r="K1442" s="143">
        <v>145</v>
      </c>
      <c r="P1442" s="143" t="s">
        <v>4515</v>
      </c>
      <c r="W1442" s="143" t="s">
        <v>3147</v>
      </c>
      <c r="X1442" s="143" t="s">
        <v>4537</v>
      </c>
      <c r="Y1442" s="143" t="s">
        <v>4515</v>
      </c>
      <c r="Z1442" s="143" t="s">
        <v>4537</v>
      </c>
      <c r="AA1442" s="173">
        <v>8.6</v>
      </c>
      <c r="AB1442" s="144">
        <v>45944</v>
      </c>
    </row>
    <row r="1443" ht="15" spans="1:34">
      <c r="A1443" s="143">
        <v>1400</v>
      </c>
      <c r="B1443" s="144">
        <v>45945</v>
      </c>
      <c r="C1443" s="143" t="s">
        <v>3148</v>
      </c>
      <c r="D1443" s="143" t="s">
        <v>41</v>
      </c>
      <c r="F1443" s="143" t="s">
        <v>4541</v>
      </c>
      <c r="H1443" s="143" t="s">
        <v>4542</v>
      </c>
      <c r="I1443" s="143" t="s">
        <v>4512</v>
      </c>
      <c r="J1443" s="143" t="s">
        <v>749</v>
      </c>
      <c r="K1443" s="143">
        <v>145</v>
      </c>
      <c r="L1443" s="143">
        <v>140</v>
      </c>
      <c r="P1443" s="143" t="s">
        <v>4509</v>
      </c>
      <c r="W1443" s="143" t="s">
        <v>3147</v>
      </c>
      <c r="X1443" s="143" t="s">
        <v>4541</v>
      </c>
      <c r="Y1443" s="143" t="s">
        <v>4509</v>
      </c>
      <c r="Z1443" s="143" t="s">
        <v>4541</v>
      </c>
      <c r="AA1443" s="173">
        <v>7.5</v>
      </c>
      <c r="AB1443" s="144">
        <v>45944</v>
      </c>
    </row>
    <row r="1444" ht="15" spans="1:34">
      <c r="A1444" s="143">
        <v>1401</v>
      </c>
      <c r="B1444" s="144">
        <v>45945</v>
      </c>
      <c r="C1444" s="143" t="s">
        <v>3148</v>
      </c>
      <c r="D1444" s="143" t="s">
        <v>41</v>
      </c>
      <c r="F1444" s="143" t="s">
        <v>4543</v>
      </c>
      <c r="H1444" s="143" t="s">
        <v>4544</v>
      </c>
      <c r="I1444" s="143" t="s">
        <v>4512</v>
      </c>
      <c r="J1444" s="143" t="s">
        <v>749</v>
      </c>
      <c r="K1444" s="143">
        <v>145</v>
      </c>
      <c r="L1444" s="143">
        <v>147</v>
      </c>
      <c r="P1444" s="143" t="s">
        <v>4509</v>
      </c>
      <c r="W1444" s="143" t="s">
        <v>3147</v>
      </c>
      <c r="X1444" s="143" t="s">
        <v>4543</v>
      </c>
      <c r="Y1444" s="143" t="s">
        <v>4509</v>
      </c>
      <c r="Z1444" s="143" t="s">
        <v>4543</v>
      </c>
      <c r="AA1444" s="173">
        <v>7.5</v>
      </c>
      <c r="AB1444" s="144">
        <v>45944</v>
      </c>
    </row>
    <row r="1445" ht="15" spans="1:34">
      <c r="A1445" s="143">
        <v>1402</v>
      </c>
      <c r="B1445" s="144">
        <v>45945</v>
      </c>
      <c r="C1445" s="143" t="s">
        <v>3148</v>
      </c>
      <c r="D1445" s="143" t="s">
        <v>41</v>
      </c>
      <c r="F1445" s="143" t="s">
        <v>4545</v>
      </c>
      <c r="H1445" s="143" t="s">
        <v>4546</v>
      </c>
      <c r="I1445" s="143" t="s">
        <v>4539</v>
      </c>
      <c r="J1445" s="143" t="s">
        <v>4547</v>
      </c>
      <c r="K1445" s="143">
        <v>145</v>
      </c>
      <c r="L1445" s="143">
        <v>100</v>
      </c>
      <c r="P1445" s="143" t="s">
        <v>4515</v>
      </c>
      <c r="W1445" s="143" t="s">
        <v>3147</v>
      </c>
      <c r="X1445" s="143" t="s">
        <v>4545</v>
      </c>
      <c r="Y1445" s="143" t="s">
        <v>4515</v>
      </c>
      <c r="Z1445" s="143" t="s">
        <v>4545</v>
      </c>
      <c r="AA1445" s="173">
        <v>10.8</v>
      </c>
      <c r="AB1445" s="144">
        <v>45944</v>
      </c>
    </row>
    <row r="1446" ht="15" spans="1:34">
      <c r="A1446" s="143">
        <v>1403</v>
      </c>
      <c r="B1446" s="144">
        <v>45945</v>
      </c>
      <c r="C1446" s="143" t="s">
        <v>3148</v>
      </c>
      <c r="D1446" s="143" t="s">
        <v>41</v>
      </c>
      <c r="F1446" s="143" t="s">
        <v>4548</v>
      </c>
      <c r="H1446" s="143" t="s">
        <v>4549</v>
      </c>
      <c r="I1446" s="143" t="s">
        <v>4539</v>
      </c>
      <c r="J1446" s="143" t="s">
        <v>4547</v>
      </c>
      <c r="K1446" s="143">
        <v>145</v>
      </c>
      <c r="L1446" s="143">
        <v>116</v>
      </c>
      <c r="P1446" s="143" t="s">
        <v>4515</v>
      </c>
      <c r="W1446" s="143" t="s">
        <v>3147</v>
      </c>
      <c r="X1446" s="143" t="s">
        <v>4548</v>
      </c>
      <c r="Y1446" s="143" t="s">
        <v>4515</v>
      </c>
      <c r="Z1446" s="143" t="s">
        <v>4548</v>
      </c>
      <c r="AA1446" s="173">
        <v>11</v>
      </c>
      <c r="AB1446" s="144">
        <v>45944</v>
      </c>
    </row>
    <row r="1447" ht="15" spans="1:34">
      <c r="A1447" s="143">
        <v>1404</v>
      </c>
      <c r="B1447" s="144">
        <v>45945</v>
      </c>
      <c r="C1447" s="143" t="s">
        <v>3148</v>
      </c>
      <c r="D1447" s="143" t="s">
        <v>41</v>
      </c>
      <c r="F1447" s="143" t="s">
        <v>4550</v>
      </c>
      <c r="H1447" s="143" t="s">
        <v>4551</v>
      </c>
      <c r="I1447" s="143" t="s">
        <v>4539</v>
      </c>
      <c r="J1447" s="143" t="s">
        <v>4547</v>
      </c>
      <c r="K1447" s="143">
        <v>145</v>
      </c>
      <c r="L1447" s="143">
        <v>100</v>
      </c>
      <c r="P1447" s="143" t="s">
        <v>4515</v>
      </c>
      <c r="W1447" s="143" t="s">
        <v>3147</v>
      </c>
      <c r="X1447" s="143" t="s">
        <v>4550</v>
      </c>
      <c r="Y1447" s="143" t="s">
        <v>4515</v>
      </c>
      <c r="Z1447" s="143" t="s">
        <v>4550</v>
      </c>
      <c r="AA1447" s="173">
        <v>10.3</v>
      </c>
      <c r="AB1447" s="144">
        <v>45944</v>
      </c>
    </row>
    <row r="1448" ht="15" spans="1:34">
      <c r="A1448" s="143">
        <v>1405</v>
      </c>
      <c r="B1448" s="144">
        <v>45945</v>
      </c>
      <c r="C1448" s="143" t="s">
        <v>3148</v>
      </c>
      <c r="D1448" s="143" t="s">
        <v>41</v>
      </c>
      <c r="F1448" s="143" t="s">
        <v>4552</v>
      </c>
      <c r="H1448" s="143" t="s">
        <v>4553</v>
      </c>
      <c r="I1448" s="143" t="s">
        <v>4535</v>
      </c>
      <c r="J1448" s="143" t="s">
        <v>4536</v>
      </c>
      <c r="K1448" s="143">
        <v>145</v>
      </c>
      <c r="L1448" s="143">
        <v>200</v>
      </c>
      <c r="P1448" s="143" t="s">
        <v>4515</v>
      </c>
      <c r="W1448" s="143" t="s">
        <v>3147</v>
      </c>
      <c r="X1448" s="143" t="s">
        <v>4552</v>
      </c>
      <c r="Y1448" s="143" t="s">
        <v>4515</v>
      </c>
      <c r="Z1448" s="143" t="s">
        <v>4552</v>
      </c>
      <c r="AA1448" s="173">
        <v>10.2</v>
      </c>
      <c r="AB1448" s="144">
        <v>45944</v>
      </c>
    </row>
    <row r="1449" ht="15" spans="1:34">
      <c r="A1449" s="143">
        <v>1406</v>
      </c>
      <c r="B1449" s="144">
        <v>45945</v>
      </c>
      <c r="C1449" s="143" t="s">
        <v>3148</v>
      </c>
      <c r="D1449" s="143" t="s">
        <v>41</v>
      </c>
      <c r="F1449" s="143" t="s">
        <v>4554</v>
      </c>
      <c r="H1449" s="143" t="s">
        <v>4555</v>
      </c>
      <c r="I1449" s="143" t="s">
        <v>4535</v>
      </c>
      <c r="J1449" s="143" t="s">
        <v>4536</v>
      </c>
      <c r="K1449" s="143">
        <v>145</v>
      </c>
      <c r="L1449" s="143">
        <v>168</v>
      </c>
      <c r="P1449" s="143" t="s">
        <v>4515</v>
      </c>
      <c r="W1449" s="143" t="s">
        <v>3147</v>
      </c>
      <c r="X1449" s="143" t="s">
        <v>4554</v>
      </c>
      <c r="Y1449" s="143" t="s">
        <v>4515</v>
      </c>
      <c r="Z1449" s="143" t="s">
        <v>4554</v>
      </c>
      <c r="AA1449" s="173">
        <v>10.2</v>
      </c>
      <c r="AB1449" s="144">
        <v>45944</v>
      </c>
    </row>
    <row r="1450" ht="15" spans="1:34">
      <c r="A1450" s="143">
        <v>1407</v>
      </c>
      <c r="B1450" s="144">
        <v>45945</v>
      </c>
      <c r="C1450" s="143" t="s">
        <v>3148</v>
      </c>
      <c r="D1450" s="143" t="s">
        <v>41</v>
      </c>
      <c r="F1450" s="143" t="s">
        <v>4556</v>
      </c>
      <c r="H1450" s="143" t="s">
        <v>4557</v>
      </c>
      <c r="I1450" s="143" t="s">
        <v>4535</v>
      </c>
      <c r="J1450" s="143" t="s">
        <v>4536</v>
      </c>
      <c r="K1450" s="143">
        <v>145</v>
      </c>
      <c r="L1450" s="143">
        <v>170</v>
      </c>
      <c r="P1450" s="143" t="s">
        <v>4515</v>
      </c>
      <c r="W1450" s="143" t="s">
        <v>3147</v>
      </c>
      <c r="X1450" s="143" t="s">
        <v>4556</v>
      </c>
      <c r="Y1450" s="143" t="s">
        <v>4515</v>
      </c>
      <c r="Z1450" s="143" t="s">
        <v>4556</v>
      </c>
      <c r="AA1450" s="173">
        <v>10.2</v>
      </c>
      <c r="AB1450" s="144">
        <v>45944</v>
      </c>
    </row>
    <row r="1451" ht="15" spans="1:34">
      <c r="A1451" s="143">
        <v>1408</v>
      </c>
      <c r="B1451" s="144">
        <v>45945</v>
      </c>
      <c r="C1451" s="143" t="s">
        <v>3148</v>
      </c>
      <c r="D1451" s="143" t="s">
        <v>41</v>
      </c>
      <c r="F1451" s="143" t="s">
        <v>4558</v>
      </c>
      <c r="H1451" s="143" t="s">
        <v>4559</v>
      </c>
      <c r="I1451" s="143" t="s">
        <v>3218</v>
      </c>
      <c r="J1451" s="143" t="s">
        <v>1577</v>
      </c>
      <c r="K1451" s="143">
        <v>145</v>
      </c>
      <c r="L1451" s="143">
        <v>160</v>
      </c>
      <c r="P1451" s="143" t="s">
        <v>4509</v>
      </c>
      <c r="W1451" s="143" t="s">
        <v>3147</v>
      </c>
      <c r="X1451" s="143" t="s">
        <v>4558</v>
      </c>
      <c r="Y1451" s="143" t="s">
        <v>4509</v>
      </c>
      <c r="Z1451" s="143" t="s">
        <v>4558</v>
      </c>
      <c r="AA1451" s="173">
        <v>11</v>
      </c>
      <c r="AB1451" s="144">
        <v>45944</v>
      </c>
    </row>
    <row r="1452" ht="15" spans="1:34">
      <c r="A1452" s="143">
        <v>1409</v>
      </c>
      <c r="B1452" s="144">
        <v>45945</v>
      </c>
      <c r="C1452" s="143" t="s">
        <v>3148</v>
      </c>
      <c r="D1452" s="143" t="s">
        <v>41</v>
      </c>
      <c r="F1452" s="169" t="s">
        <v>4560</v>
      </c>
      <c r="H1452" s="143" t="s">
        <v>4561</v>
      </c>
      <c r="I1452" s="169" t="s">
        <v>4560</v>
      </c>
      <c r="L1452" s="143">
        <v>100</v>
      </c>
      <c r="W1452" s="143" t="s">
        <v>3147</v>
      </c>
      <c r="X1452" s="169" t="s">
        <v>4560</v>
      </c>
      <c r="Y1452" s="143" t="s">
        <v>4515</v>
      </c>
      <c r="Z1452" s="169" t="s">
        <v>4560</v>
      </c>
      <c r="AA1452" s="173"/>
      <c r="AB1452" s="144">
        <v>45944</v>
      </c>
    </row>
    <row r="1453" ht="15" spans="1:34">
      <c r="A1453" s="143">
        <v>1410</v>
      </c>
      <c r="B1453" s="144">
        <v>45945</v>
      </c>
      <c r="C1453" s="143" t="s">
        <v>3148</v>
      </c>
      <c r="D1453" s="143" t="s">
        <v>41</v>
      </c>
      <c r="F1453" s="143" t="s">
        <v>4562</v>
      </c>
      <c r="H1453" s="143" t="s">
        <v>4563</v>
      </c>
      <c r="I1453" s="143" t="s">
        <v>4535</v>
      </c>
      <c r="J1453" s="143" t="s">
        <v>4405</v>
      </c>
      <c r="K1453" s="143">
        <v>145</v>
      </c>
      <c r="L1453" s="143">
        <v>123</v>
      </c>
      <c r="W1453" s="143" t="s">
        <v>3147</v>
      </c>
      <c r="X1453" s="143" t="s">
        <v>4562</v>
      </c>
      <c r="Y1453" s="169" t="s">
        <v>4564</v>
      </c>
      <c r="Z1453" s="143" t="s">
        <v>4562</v>
      </c>
      <c r="AA1453" s="173">
        <v>13.5</v>
      </c>
      <c r="AB1453" s="144">
        <v>45944</v>
      </c>
    </row>
    <row r="1454" ht="15" spans="1:34">
      <c r="A1454" s="143">
        <v>1411</v>
      </c>
      <c r="B1454" s="144">
        <v>45945</v>
      </c>
      <c r="C1454" s="143" t="s">
        <v>3148</v>
      </c>
      <c r="D1454" s="143" t="s">
        <v>41</v>
      </c>
      <c r="F1454" s="143" t="s">
        <v>4565</v>
      </c>
      <c r="H1454" s="143" t="s">
        <v>4566</v>
      </c>
      <c r="I1454" s="143" t="s">
        <v>4567</v>
      </c>
      <c r="J1454" s="143" t="s">
        <v>4349</v>
      </c>
      <c r="K1454" s="143">
        <v>150</v>
      </c>
      <c r="L1454" s="143">
        <v>190</v>
      </c>
      <c r="W1454" s="143" t="s">
        <v>3147</v>
      </c>
      <c r="X1454" s="143" t="s">
        <v>4565</v>
      </c>
      <c r="Y1454" s="143" t="s">
        <v>2107</v>
      </c>
      <c r="Z1454" s="143" t="s">
        <v>4565</v>
      </c>
      <c r="AA1454" s="173">
        <v>11.2</v>
      </c>
      <c r="AB1454" s="144">
        <v>45944</v>
      </c>
      <c r="AH1454" s="143" t="s">
        <v>4568</v>
      </c>
    </row>
    <row r="1455" ht="15" spans="1:34">
      <c r="A1455" s="143">
        <v>1412</v>
      </c>
      <c r="B1455" s="144">
        <v>45945</v>
      </c>
      <c r="C1455" s="143" t="s">
        <v>3148</v>
      </c>
      <c r="D1455" s="143" t="s">
        <v>41</v>
      </c>
      <c r="F1455" s="143" t="s">
        <v>4569</v>
      </c>
      <c r="H1455" s="143" t="s">
        <v>4570</v>
      </c>
      <c r="I1455" s="143" t="s">
        <v>4571</v>
      </c>
      <c r="J1455" s="143" t="s">
        <v>4572</v>
      </c>
      <c r="K1455" s="143">
        <v>150</v>
      </c>
      <c r="L1455" s="143">
        <v>170</v>
      </c>
      <c r="W1455" s="143" t="s">
        <v>3147</v>
      </c>
      <c r="X1455" s="143" t="s">
        <v>4569</v>
      </c>
      <c r="Y1455" s="143" t="s">
        <v>2107</v>
      </c>
      <c r="Z1455" s="143" t="s">
        <v>4569</v>
      </c>
      <c r="AA1455" s="173">
        <v>7.6</v>
      </c>
      <c r="AB1455" s="144">
        <v>45944</v>
      </c>
      <c r="AH1455" s="143" t="s">
        <v>4573</v>
      </c>
    </row>
    <row r="1456" ht="15" spans="1:34">
      <c r="A1456" s="143">
        <v>1413</v>
      </c>
      <c r="B1456" s="144">
        <v>45945</v>
      </c>
      <c r="C1456" s="143" t="s">
        <v>3148</v>
      </c>
      <c r="D1456" s="143" t="s">
        <v>41</v>
      </c>
      <c r="F1456" s="143" t="s">
        <v>4574</v>
      </c>
      <c r="H1456" s="143" t="s">
        <v>4575</v>
      </c>
      <c r="I1456" s="143" t="s">
        <v>4576</v>
      </c>
      <c r="J1456" s="143" t="s">
        <v>4349</v>
      </c>
      <c r="K1456" s="143">
        <v>150</v>
      </c>
      <c r="L1456" s="143">
        <v>265</v>
      </c>
      <c r="W1456" s="143" t="s">
        <v>3147</v>
      </c>
      <c r="X1456" s="143" t="s">
        <v>4574</v>
      </c>
      <c r="Y1456" s="143" t="s">
        <v>2107</v>
      </c>
      <c r="Z1456" s="143" t="s">
        <v>4574</v>
      </c>
      <c r="AA1456" s="173">
        <v>14.8</v>
      </c>
      <c r="AB1456" s="144">
        <v>45944</v>
      </c>
    </row>
    <row r="1457" ht="15" spans="1:39">
      <c r="A1457" s="143">
        <v>1414</v>
      </c>
      <c r="B1457" s="144">
        <v>45945</v>
      </c>
      <c r="C1457" s="143" t="s">
        <v>3148</v>
      </c>
      <c r="D1457" s="143" t="s">
        <v>41</v>
      </c>
      <c r="F1457" s="143" t="s">
        <v>4577</v>
      </c>
      <c r="H1457" s="143" t="s">
        <v>4578</v>
      </c>
      <c r="I1457" s="143" t="s">
        <v>4579</v>
      </c>
      <c r="J1457" s="143" t="s">
        <v>4580</v>
      </c>
      <c r="K1457" s="143">
        <v>150</v>
      </c>
      <c r="L1457" s="143">
        <v>200</v>
      </c>
      <c r="W1457" s="143" t="s">
        <v>3147</v>
      </c>
      <c r="X1457" s="143" t="s">
        <v>4577</v>
      </c>
      <c r="Y1457" s="143" t="s">
        <v>2107</v>
      </c>
      <c r="Z1457" s="143" t="s">
        <v>4577</v>
      </c>
      <c r="AA1457" s="173">
        <v>8.7</v>
      </c>
      <c r="AB1457" s="144">
        <v>45944</v>
      </c>
      <c r="AH1457" s="143" t="s">
        <v>4581</v>
      </c>
    </row>
    <row r="1458" ht="15" spans="1:39">
      <c r="A1458" s="143">
        <v>1415</v>
      </c>
      <c r="B1458" s="144">
        <v>45945</v>
      </c>
      <c r="C1458" s="143" t="s">
        <v>3148</v>
      </c>
      <c r="D1458" s="143" t="s">
        <v>41</v>
      </c>
      <c r="F1458" s="143" t="s">
        <v>4582</v>
      </c>
      <c r="H1458" s="143" t="s">
        <v>4583</v>
      </c>
      <c r="I1458" s="143" t="s">
        <v>4584</v>
      </c>
      <c r="J1458" s="143" t="s">
        <v>4585</v>
      </c>
      <c r="K1458" s="143">
        <v>150</v>
      </c>
      <c r="L1458" s="143">
        <v>290</v>
      </c>
      <c r="W1458" s="143" t="s">
        <v>3147</v>
      </c>
      <c r="X1458" s="143" t="s">
        <v>4582</v>
      </c>
      <c r="Y1458" s="143" t="s">
        <v>2107</v>
      </c>
      <c r="Z1458" s="143" t="s">
        <v>4582</v>
      </c>
      <c r="AA1458" s="173">
        <v>13.3</v>
      </c>
      <c r="AB1458" s="144">
        <v>45944</v>
      </c>
      <c r="AH1458" s="203" t="s">
        <v>4586</v>
      </c>
    </row>
    <row r="1459" ht="15" spans="1:39">
      <c r="A1459" s="143">
        <v>1416</v>
      </c>
      <c r="B1459" s="144">
        <v>45945</v>
      </c>
      <c r="C1459" s="143" t="s">
        <v>3148</v>
      </c>
      <c r="D1459" s="143" t="s">
        <v>41</v>
      </c>
      <c r="F1459" s="143" t="s">
        <v>4587</v>
      </c>
      <c r="H1459" s="143" t="s">
        <v>4588</v>
      </c>
      <c r="I1459" s="143" t="s">
        <v>4589</v>
      </c>
      <c r="J1459" s="143" t="s">
        <v>3385</v>
      </c>
      <c r="K1459" s="143">
        <v>150</v>
      </c>
      <c r="L1459" s="143">
        <v>240</v>
      </c>
      <c r="W1459" s="143" t="s">
        <v>3147</v>
      </c>
      <c r="X1459" s="143" t="s">
        <v>4587</v>
      </c>
      <c r="Y1459" s="143" t="s">
        <v>2107</v>
      </c>
      <c r="Z1459" s="143" t="s">
        <v>4587</v>
      </c>
      <c r="AA1459" s="173">
        <v>13.3</v>
      </c>
      <c r="AB1459" s="144">
        <v>45944</v>
      </c>
      <c r="AH1459" s="143" t="s">
        <v>4590</v>
      </c>
    </row>
    <row r="1460" ht="15" spans="1:39">
      <c r="A1460" s="143">
        <v>1417</v>
      </c>
      <c r="B1460" s="144">
        <v>45945</v>
      </c>
      <c r="C1460" s="143" t="s">
        <v>3148</v>
      </c>
      <c r="D1460" s="143" t="s">
        <v>41</v>
      </c>
      <c r="F1460" s="143" t="s">
        <v>4591</v>
      </c>
      <c r="H1460" s="143" t="s">
        <v>4592</v>
      </c>
      <c r="I1460" s="143" t="s">
        <v>4593</v>
      </c>
      <c r="J1460" s="143" t="s">
        <v>4594</v>
      </c>
      <c r="K1460" s="143">
        <v>155</v>
      </c>
      <c r="L1460" s="143">
        <v>175</v>
      </c>
      <c r="W1460" s="143" t="s">
        <v>3147</v>
      </c>
      <c r="X1460" s="143" t="s">
        <v>4591</v>
      </c>
      <c r="Y1460" s="143" t="s">
        <v>3852</v>
      </c>
      <c r="Z1460" s="143" t="s">
        <v>4591</v>
      </c>
      <c r="AA1460" s="173">
        <v>63.3</v>
      </c>
      <c r="AB1460" s="144">
        <v>45944</v>
      </c>
    </row>
    <row r="1461" ht="15" spans="1:39">
      <c r="A1461" s="143">
        <v>1418</v>
      </c>
      <c r="B1461" s="144">
        <v>45945</v>
      </c>
      <c r="C1461" s="143" t="s">
        <v>3148</v>
      </c>
      <c r="D1461" s="143" t="s">
        <v>41</v>
      </c>
      <c r="F1461" s="169" t="s">
        <v>4595</v>
      </c>
      <c r="H1461" s="143" t="s">
        <v>4596</v>
      </c>
      <c r="I1461" s="143" t="s">
        <v>4597</v>
      </c>
      <c r="J1461" s="143" t="s">
        <v>4598</v>
      </c>
      <c r="K1461" s="143">
        <v>140</v>
      </c>
      <c r="L1461" s="143">
        <v>250</v>
      </c>
      <c r="W1461" s="143" t="s">
        <v>3147</v>
      </c>
      <c r="X1461" s="169" t="s">
        <v>4595</v>
      </c>
      <c r="Y1461" s="143" t="s">
        <v>3595</v>
      </c>
      <c r="Z1461" s="169" t="s">
        <v>4595</v>
      </c>
      <c r="AA1461" s="173">
        <v>35.7</v>
      </c>
      <c r="AB1461" s="144">
        <v>45944</v>
      </c>
    </row>
    <row r="1462" ht="15" spans="1:39">
      <c r="A1462" s="143">
        <v>1419</v>
      </c>
      <c r="B1462" s="144">
        <v>45945</v>
      </c>
      <c r="C1462" s="143" t="s">
        <v>3148</v>
      </c>
      <c r="D1462" s="143" t="s">
        <v>41</v>
      </c>
      <c r="F1462" s="169" t="s">
        <v>4599</v>
      </c>
      <c r="H1462" s="143" t="s">
        <v>4600</v>
      </c>
      <c r="I1462" s="143" t="s">
        <v>4601</v>
      </c>
      <c r="J1462" s="143" t="s">
        <v>4602</v>
      </c>
      <c r="K1462" s="143">
        <v>170</v>
      </c>
      <c r="L1462" s="143">
        <v>200</v>
      </c>
      <c r="W1462" s="143" t="s">
        <v>3147</v>
      </c>
      <c r="X1462" s="169" t="s">
        <v>4599</v>
      </c>
      <c r="Y1462" s="169" t="s">
        <v>3595</v>
      </c>
      <c r="Z1462" s="169" t="s">
        <v>4599</v>
      </c>
      <c r="AA1462" s="173">
        <v>39.5</v>
      </c>
      <c r="AB1462" s="144">
        <v>45944</v>
      </c>
    </row>
    <row r="1463" ht="15" spans="1:39">
      <c r="A1463" s="143">
        <v>1420</v>
      </c>
      <c r="B1463" s="144">
        <v>45945</v>
      </c>
      <c r="C1463" s="143" t="s">
        <v>3148</v>
      </c>
      <c r="D1463" s="143" t="s">
        <v>41</v>
      </c>
      <c r="F1463" s="169" t="s">
        <v>4603</v>
      </c>
      <c r="H1463" s="143" t="s">
        <v>4604</v>
      </c>
      <c r="I1463" s="143" t="s">
        <v>4605</v>
      </c>
      <c r="J1463" s="143" t="s">
        <v>4606</v>
      </c>
      <c r="K1463" s="143">
        <v>175</v>
      </c>
      <c r="L1463" s="143">
        <v>200</v>
      </c>
      <c r="W1463" s="143" t="s">
        <v>3147</v>
      </c>
      <c r="X1463" s="169" t="s">
        <v>4603</v>
      </c>
      <c r="Y1463" s="143" t="s">
        <v>3607</v>
      </c>
      <c r="Z1463" s="169" t="s">
        <v>4603</v>
      </c>
      <c r="AA1463" s="173">
        <v>42.2</v>
      </c>
      <c r="AB1463" s="144">
        <v>45944</v>
      </c>
    </row>
    <row r="1464" ht="15" spans="1:39">
      <c r="A1464" s="143">
        <v>1421</v>
      </c>
      <c r="B1464" s="144">
        <v>45945</v>
      </c>
      <c r="C1464" s="143" t="s">
        <v>3148</v>
      </c>
      <c r="D1464" s="143" t="s">
        <v>41</v>
      </c>
      <c r="F1464" s="169" t="s">
        <v>4607</v>
      </c>
      <c r="H1464" s="143" t="s">
        <v>4608</v>
      </c>
      <c r="I1464" s="143" t="s">
        <v>4605</v>
      </c>
      <c r="J1464" s="143" t="s">
        <v>4606</v>
      </c>
      <c r="K1464" s="143">
        <v>175</v>
      </c>
      <c r="L1464" s="143">
        <v>260</v>
      </c>
      <c r="W1464" s="143" t="s">
        <v>3147</v>
      </c>
      <c r="X1464" s="169" t="s">
        <v>4607</v>
      </c>
      <c r="Y1464" s="143" t="s">
        <v>3607</v>
      </c>
      <c r="Z1464" s="169" t="s">
        <v>4607</v>
      </c>
      <c r="AA1464" s="173">
        <v>42.2</v>
      </c>
      <c r="AB1464" s="144">
        <v>45944</v>
      </c>
    </row>
    <row r="1465" ht="15" spans="1:39">
      <c r="A1465" s="143">
        <v>1422</v>
      </c>
      <c r="B1465" s="144">
        <v>45945</v>
      </c>
      <c r="C1465" s="143" t="s">
        <v>3148</v>
      </c>
      <c r="D1465" s="143" t="s">
        <v>41</v>
      </c>
      <c r="F1465" s="143">
        <v>8141</v>
      </c>
      <c r="H1465" s="143" t="s">
        <v>4609</v>
      </c>
      <c r="I1465" s="143" t="s">
        <v>4610</v>
      </c>
      <c r="J1465" s="143" t="s">
        <v>4611</v>
      </c>
      <c r="K1465" s="143">
        <v>185</v>
      </c>
      <c r="L1465" s="143">
        <v>280</v>
      </c>
      <c r="W1465" s="143" t="s">
        <v>3147</v>
      </c>
      <c r="X1465" s="143">
        <v>8141</v>
      </c>
      <c r="Y1465" s="169" t="s">
        <v>4612</v>
      </c>
      <c r="Z1465" s="143">
        <v>8141</v>
      </c>
      <c r="AA1465" s="173">
        <v>46.6</v>
      </c>
      <c r="AB1465" s="144">
        <v>45944</v>
      </c>
    </row>
    <row r="1466" ht="15" spans="1:39">
      <c r="A1466" s="143">
        <v>1423</v>
      </c>
      <c r="B1466" s="144">
        <v>45945</v>
      </c>
      <c r="C1466" s="143" t="s">
        <v>3148</v>
      </c>
      <c r="D1466" s="143" t="s">
        <v>41</v>
      </c>
      <c r="F1466" s="143">
        <v>80304</v>
      </c>
      <c r="H1466" s="143" t="s">
        <v>4613</v>
      </c>
      <c r="I1466" s="143" t="s">
        <v>4614</v>
      </c>
      <c r="J1466" s="143" t="s">
        <v>4615</v>
      </c>
      <c r="K1466" s="143">
        <v>185</v>
      </c>
      <c r="L1466" s="143">
        <v>280</v>
      </c>
      <c r="W1466" s="143" t="s">
        <v>3147</v>
      </c>
      <c r="X1466" s="143">
        <v>80304</v>
      </c>
      <c r="Y1466" s="169" t="s">
        <v>4612</v>
      </c>
      <c r="Z1466" s="143">
        <v>80304</v>
      </c>
      <c r="AA1466" s="173">
        <v>55.8</v>
      </c>
      <c r="AB1466" s="144">
        <v>45944</v>
      </c>
    </row>
    <row r="1467" ht="15" spans="1:39">
      <c r="A1467" s="143">
        <v>1424</v>
      </c>
      <c r="B1467" s="144">
        <v>45945</v>
      </c>
      <c r="C1467" s="143" t="s">
        <v>3148</v>
      </c>
      <c r="D1467" s="143" t="s">
        <v>41</v>
      </c>
      <c r="F1467" s="143" t="s">
        <v>4616</v>
      </c>
      <c r="H1467" s="143" t="s">
        <v>4617</v>
      </c>
      <c r="I1467" s="143" t="s">
        <v>4618</v>
      </c>
      <c r="J1467" s="143" t="s">
        <v>3700</v>
      </c>
      <c r="K1467" s="143">
        <v>160</v>
      </c>
      <c r="L1467" s="143">
        <v>250</v>
      </c>
      <c r="W1467" s="143" t="s">
        <v>3147</v>
      </c>
      <c r="X1467" s="143" t="s">
        <v>4616</v>
      </c>
      <c r="Y1467" s="169" t="s">
        <v>4619</v>
      </c>
      <c r="Z1467" s="143" t="s">
        <v>4616</v>
      </c>
      <c r="AA1467" s="173">
        <v>42.3</v>
      </c>
      <c r="AB1467" s="144">
        <v>45944</v>
      </c>
      <c r="AH1467" s="143" t="s">
        <v>4620</v>
      </c>
    </row>
    <row r="1468" ht="15" spans="1:39">
      <c r="A1468" s="143">
        <v>1425</v>
      </c>
      <c r="B1468" s="144">
        <v>45945</v>
      </c>
      <c r="C1468" s="143" t="s">
        <v>3148</v>
      </c>
      <c r="D1468" s="143" t="s">
        <v>41</v>
      </c>
      <c r="F1468" s="143" t="s">
        <v>4621</v>
      </c>
      <c r="H1468" s="143" t="s">
        <v>4622</v>
      </c>
      <c r="I1468" s="143" t="s">
        <v>4623</v>
      </c>
      <c r="J1468" s="143" t="s">
        <v>4624</v>
      </c>
      <c r="K1468" s="143">
        <v>160</v>
      </c>
      <c r="L1468" s="143">
        <v>320</v>
      </c>
      <c r="W1468" s="143" t="s">
        <v>3147</v>
      </c>
      <c r="X1468" s="143" t="s">
        <v>4621</v>
      </c>
      <c r="Y1468" s="143" t="s">
        <v>3665</v>
      </c>
      <c r="Z1468" s="143" t="s">
        <v>4621</v>
      </c>
      <c r="AA1468" s="173">
        <v>39.3</v>
      </c>
      <c r="AB1468" s="144">
        <v>45944</v>
      </c>
      <c r="AH1468" s="143" t="s">
        <v>3717</v>
      </c>
    </row>
    <row r="1469" customFormat="1" ht="15" spans="1:39">
      <c r="A1469" s="143">
        <v>1426</v>
      </c>
      <c r="B1469" s="144">
        <v>45945</v>
      </c>
      <c r="C1469" s="143" t="s">
        <v>3148</v>
      </c>
      <c r="D1469" s="143" t="s">
        <v>41</v>
      </c>
      <c r="E1469" s="145"/>
      <c r="F1469" s="143" t="s">
        <v>4625</v>
      </c>
      <c r="G1469" s="143"/>
      <c r="H1469" s="143" t="s">
        <v>4626</v>
      </c>
      <c r="I1469" s="143" t="s">
        <v>3218</v>
      </c>
      <c r="J1469" s="143" t="s">
        <v>1577</v>
      </c>
      <c r="K1469" s="143">
        <v>150</v>
      </c>
      <c r="L1469" s="143">
        <v>245</v>
      </c>
      <c r="M1469" s="143"/>
      <c r="N1469" s="143"/>
      <c r="O1469" s="143"/>
      <c r="P1469" s="143"/>
      <c r="Q1469" s="143"/>
      <c r="R1469" s="143"/>
      <c r="S1469" s="146"/>
      <c r="T1469" s="146"/>
      <c r="U1469" s="146"/>
      <c r="V1469" s="147"/>
      <c r="W1469" s="143" t="s">
        <v>3147</v>
      </c>
      <c r="X1469" s="143" t="s">
        <v>4625</v>
      </c>
      <c r="Y1469" s="169" t="s">
        <v>4627</v>
      </c>
      <c r="Z1469" s="143" t="s">
        <v>4625</v>
      </c>
      <c r="AA1469" s="173">
        <v>10.2</v>
      </c>
      <c r="AB1469" s="144">
        <v>45945</v>
      </c>
      <c r="AC1469" s="143"/>
      <c r="AD1469" s="143"/>
      <c r="AE1469" s="143"/>
      <c r="AF1469" s="143"/>
      <c r="AG1469" s="143"/>
      <c r="AH1469" s="143" t="s">
        <v>4628</v>
      </c>
      <c r="AI1469" s="201"/>
      <c r="AJ1469" s="201"/>
      <c r="AK1469" s="201"/>
      <c r="AL1469" s="201"/>
      <c r="AM1469" s="201"/>
    </row>
    <row r="1470" customFormat="1" ht="15" spans="1:39">
      <c r="A1470" s="143">
        <v>1427</v>
      </c>
      <c r="B1470" s="144">
        <v>45945</v>
      </c>
      <c r="C1470" s="143" t="s">
        <v>3148</v>
      </c>
      <c r="D1470" s="143" t="s">
        <v>41</v>
      </c>
      <c r="E1470" s="145"/>
      <c r="F1470" s="143">
        <v>11293</v>
      </c>
      <c r="G1470" s="143"/>
      <c r="H1470" s="143" t="s">
        <v>4629</v>
      </c>
      <c r="I1470" s="143"/>
      <c r="J1470" s="143"/>
      <c r="K1470" s="143">
        <v>150</v>
      </c>
      <c r="L1470" s="143">
        <v>300</v>
      </c>
      <c r="M1470" s="143"/>
      <c r="N1470" s="143"/>
      <c r="O1470" s="143"/>
      <c r="P1470" s="143"/>
      <c r="Q1470" s="143"/>
      <c r="R1470" s="143"/>
      <c r="S1470" s="146"/>
      <c r="T1470" s="146"/>
      <c r="U1470" s="146"/>
      <c r="V1470" s="147"/>
      <c r="W1470" s="143" t="s">
        <v>3147</v>
      </c>
      <c r="X1470" s="143">
        <v>11293</v>
      </c>
      <c r="Y1470" s="169" t="s">
        <v>4630</v>
      </c>
      <c r="Z1470" s="143">
        <v>11293</v>
      </c>
      <c r="AA1470" s="173">
        <v>15.3</v>
      </c>
      <c r="AB1470" s="144">
        <v>46051</v>
      </c>
      <c r="AC1470" s="143"/>
      <c r="AD1470" s="143"/>
      <c r="AE1470" s="143"/>
      <c r="AF1470" s="143"/>
      <c r="AG1470" s="143"/>
      <c r="AH1470" s="143"/>
      <c r="AI1470" s="201"/>
      <c r="AJ1470" s="201"/>
      <c r="AK1470" s="201"/>
      <c r="AL1470" s="201"/>
      <c r="AM1470" s="201"/>
    </row>
    <row r="1471" customFormat="1" ht="15" spans="1:39">
      <c r="A1471" s="143">
        <v>1428</v>
      </c>
      <c r="B1471" s="144">
        <v>45945</v>
      </c>
      <c r="C1471" s="143" t="s">
        <v>3148</v>
      </c>
      <c r="D1471" s="143" t="s">
        <v>41</v>
      </c>
      <c r="E1471" s="145"/>
      <c r="F1471" s="169" t="s">
        <v>4631</v>
      </c>
      <c r="G1471" s="143"/>
      <c r="H1471" s="143" t="s">
        <v>4632</v>
      </c>
      <c r="I1471" s="143" t="s">
        <v>324</v>
      </c>
      <c r="J1471" s="143" t="s">
        <v>1577</v>
      </c>
      <c r="K1471" s="143">
        <v>150</v>
      </c>
      <c r="L1471" s="143">
        <v>175</v>
      </c>
      <c r="M1471" s="143"/>
      <c r="N1471" s="143"/>
      <c r="O1471" s="143"/>
      <c r="P1471" s="143"/>
      <c r="Q1471" s="143"/>
      <c r="R1471" s="143"/>
      <c r="S1471" s="146"/>
      <c r="T1471" s="146"/>
      <c r="U1471" s="146"/>
      <c r="V1471" s="147"/>
      <c r="W1471" s="143" t="s">
        <v>3147</v>
      </c>
      <c r="X1471" s="169" t="s">
        <v>4631</v>
      </c>
      <c r="Y1471" s="169" t="s">
        <v>4633</v>
      </c>
      <c r="Z1471" s="169" t="s">
        <v>4631</v>
      </c>
      <c r="AA1471" s="173">
        <v>9.2</v>
      </c>
      <c r="AB1471" s="144">
        <v>45945</v>
      </c>
      <c r="AC1471" s="143"/>
      <c r="AD1471" s="143"/>
      <c r="AE1471" s="143"/>
      <c r="AF1471" s="143"/>
      <c r="AG1471" s="143"/>
      <c r="AH1471" s="143"/>
      <c r="AI1471" s="201"/>
      <c r="AJ1471" s="201"/>
      <c r="AK1471" s="201"/>
      <c r="AL1471" s="201"/>
      <c r="AM1471" s="201"/>
    </row>
    <row r="1472" customFormat="1" ht="15" spans="1:39">
      <c r="A1472" s="143">
        <v>1429</v>
      </c>
      <c r="B1472" s="144">
        <v>45945</v>
      </c>
      <c r="C1472" s="143" t="s">
        <v>3148</v>
      </c>
      <c r="D1472" s="143" t="s">
        <v>41</v>
      </c>
      <c r="E1472" s="145"/>
      <c r="F1472" s="169" t="s">
        <v>4634</v>
      </c>
      <c r="G1472" s="143"/>
      <c r="H1472" s="143" t="s">
        <v>4635</v>
      </c>
      <c r="I1472" s="143" t="s">
        <v>3218</v>
      </c>
      <c r="J1472" s="143" t="s">
        <v>1577</v>
      </c>
      <c r="K1472" s="143">
        <v>150</v>
      </c>
      <c r="L1472" s="143">
        <v>185</v>
      </c>
      <c r="M1472" s="143"/>
      <c r="N1472" s="143"/>
      <c r="O1472" s="143"/>
      <c r="P1472" s="143"/>
      <c r="Q1472" s="143"/>
      <c r="R1472" s="143"/>
      <c r="S1472" s="146"/>
      <c r="T1472" s="146"/>
      <c r="U1472" s="146"/>
      <c r="V1472" s="147"/>
      <c r="W1472" s="143" t="s">
        <v>3147</v>
      </c>
      <c r="X1472" s="169" t="s">
        <v>4634</v>
      </c>
      <c r="Y1472" s="169" t="s">
        <v>4636</v>
      </c>
      <c r="Z1472" s="169" t="s">
        <v>4634</v>
      </c>
      <c r="AA1472" s="173">
        <v>9.6</v>
      </c>
      <c r="AB1472" s="144">
        <v>45945</v>
      </c>
      <c r="AC1472" s="143"/>
      <c r="AD1472" s="143"/>
      <c r="AE1472" s="143"/>
      <c r="AF1472" s="143"/>
      <c r="AG1472" s="143"/>
      <c r="AH1472" s="143"/>
      <c r="AI1472" s="201"/>
      <c r="AJ1472" s="201"/>
      <c r="AK1472" s="201"/>
      <c r="AL1472" s="201"/>
      <c r="AM1472" s="201"/>
    </row>
    <row r="1473" customFormat="1" ht="15" spans="1:39">
      <c r="A1473" s="143">
        <v>1430</v>
      </c>
      <c r="B1473" s="144">
        <v>45945</v>
      </c>
      <c r="C1473" s="143" t="s">
        <v>3148</v>
      </c>
      <c r="D1473" s="143" t="s">
        <v>41</v>
      </c>
      <c r="E1473" s="145"/>
      <c r="F1473" s="169" t="s">
        <v>4637</v>
      </c>
      <c r="G1473" s="143"/>
      <c r="H1473" s="143" t="s">
        <v>4638</v>
      </c>
      <c r="I1473" s="143" t="s">
        <v>4639</v>
      </c>
      <c r="J1473" s="143" t="s">
        <v>4640</v>
      </c>
      <c r="K1473" s="143">
        <v>138</v>
      </c>
      <c r="L1473" s="143">
        <v>116</v>
      </c>
      <c r="M1473" s="143"/>
      <c r="N1473" s="143"/>
      <c r="O1473" s="143"/>
      <c r="P1473" s="143"/>
      <c r="Q1473" s="143"/>
      <c r="R1473" s="143"/>
      <c r="S1473" s="146"/>
      <c r="T1473" s="146"/>
      <c r="U1473" s="146"/>
      <c r="V1473" s="147"/>
      <c r="W1473" s="143" t="s">
        <v>3147</v>
      </c>
      <c r="X1473" s="169" t="s">
        <v>4637</v>
      </c>
      <c r="Y1473" s="169" t="s">
        <v>4641</v>
      </c>
      <c r="Z1473" s="169" t="s">
        <v>4637</v>
      </c>
      <c r="AA1473" s="173">
        <v>12.2</v>
      </c>
      <c r="AB1473" s="144">
        <v>45945</v>
      </c>
      <c r="AC1473" s="143"/>
      <c r="AD1473" s="143"/>
      <c r="AE1473" s="143"/>
      <c r="AF1473" s="143"/>
      <c r="AG1473" s="143"/>
      <c r="AH1473" s="143"/>
      <c r="AI1473" s="201"/>
      <c r="AJ1473" s="201"/>
      <c r="AK1473" s="201"/>
      <c r="AL1473" s="201"/>
      <c r="AM1473" s="201"/>
    </row>
    <row r="1474" customFormat="1" ht="15" spans="1:39">
      <c r="A1474" s="143">
        <v>1431</v>
      </c>
      <c r="B1474" s="144">
        <v>45945</v>
      </c>
      <c r="C1474" s="143" t="s">
        <v>3148</v>
      </c>
      <c r="D1474" s="143" t="s">
        <v>41</v>
      </c>
      <c r="E1474" s="145"/>
      <c r="F1474" s="169" t="s">
        <v>4642</v>
      </c>
      <c r="G1474" s="143"/>
      <c r="H1474" s="143" t="s">
        <v>4643</v>
      </c>
      <c r="I1474" s="143" t="s">
        <v>4644</v>
      </c>
      <c r="J1474" s="143" t="s">
        <v>4645</v>
      </c>
      <c r="K1474" s="143">
        <v>140</v>
      </c>
      <c r="L1474" s="143">
        <v>170</v>
      </c>
      <c r="M1474" s="143"/>
      <c r="N1474" s="143"/>
      <c r="O1474" s="143"/>
      <c r="P1474" s="143"/>
      <c r="Q1474" s="143"/>
      <c r="R1474" s="143"/>
      <c r="S1474" s="146"/>
      <c r="T1474" s="146"/>
      <c r="U1474" s="146"/>
      <c r="V1474" s="147"/>
      <c r="W1474" s="143" t="s">
        <v>3147</v>
      </c>
      <c r="X1474" s="169" t="s">
        <v>4642</v>
      </c>
      <c r="Y1474" s="169" t="s">
        <v>4641</v>
      </c>
      <c r="Z1474" s="169" t="s">
        <v>4642</v>
      </c>
      <c r="AA1474" s="173">
        <v>16.2</v>
      </c>
      <c r="AB1474" s="144">
        <v>45945</v>
      </c>
      <c r="AC1474" s="143"/>
      <c r="AD1474" s="143"/>
      <c r="AE1474" s="143"/>
      <c r="AF1474" s="143"/>
      <c r="AG1474" s="143"/>
      <c r="AH1474" s="143"/>
      <c r="AI1474" s="201"/>
      <c r="AJ1474" s="201"/>
      <c r="AK1474" s="201"/>
      <c r="AL1474" s="201"/>
      <c r="AM1474" s="201"/>
    </row>
    <row r="1475" customFormat="1" ht="15" spans="1:39">
      <c r="A1475" s="143">
        <v>1432</v>
      </c>
      <c r="B1475" s="144">
        <v>45945</v>
      </c>
      <c r="C1475" s="143" t="s">
        <v>3148</v>
      </c>
      <c r="D1475" s="143" t="s">
        <v>41</v>
      </c>
      <c r="E1475" s="145"/>
      <c r="F1475" s="169" t="s">
        <v>4646</v>
      </c>
      <c r="G1475" s="143"/>
      <c r="H1475" s="143" t="s">
        <v>4647</v>
      </c>
      <c r="I1475" s="143" t="s">
        <v>4648</v>
      </c>
      <c r="J1475" s="143" t="s">
        <v>4645</v>
      </c>
      <c r="K1475" s="143">
        <v>160</v>
      </c>
      <c r="L1475" s="143">
        <v>170</v>
      </c>
      <c r="M1475" s="143"/>
      <c r="N1475" s="143"/>
      <c r="O1475" s="143"/>
      <c r="P1475" s="143"/>
      <c r="Q1475" s="143"/>
      <c r="R1475" s="143"/>
      <c r="S1475" s="146"/>
      <c r="T1475" s="146"/>
      <c r="U1475" s="146"/>
      <c r="V1475" s="147"/>
      <c r="W1475" s="143" t="s">
        <v>3147</v>
      </c>
      <c r="X1475" s="169" t="s">
        <v>4646</v>
      </c>
      <c r="Y1475" s="169" t="s">
        <v>4641</v>
      </c>
      <c r="Z1475" s="169" t="s">
        <v>4646</v>
      </c>
      <c r="AA1475" s="173">
        <v>14.2</v>
      </c>
      <c r="AB1475" s="144">
        <v>45945</v>
      </c>
      <c r="AC1475" s="143"/>
      <c r="AD1475" s="143"/>
      <c r="AE1475" s="143"/>
      <c r="AF1475" s="143"/>
      <c r="AG1475" s="143"/>
      <c r="AH1475" s="143"/>
      <c r="AI1475" s="201"/>
      <c r="AJ1475" s="201"/>
      <c r="AK1475" s="201"/>
      <c r="AL1475" s="201"/>
      <c r="AM1475" s="201"/>
    </row>
    <row r="1476" customFormat="1" ht="15" spans="1:39">
      <c r="A1476" s="143">
        <v>1433</v>
      </c>
      <c r="B1476" s="144">
        <v>45945</v>
      </c>
      <c r="C1476" s="143" t="s">
        <v>3148</v>
      </c>
      <c r="D1476" s="143" t="s">
        <v>41</v>
      </c>
      <c r="E1476" s="145"/>
      <c r="F1476" s="143" t="s">
        <v>4649</v>
      </c>
      <c r="G1476" s="143"/>
      <c r="H1476" s="143" t="s">
        <v>4650</v>
      </c>
      <c r="I1476" s="143" t="s">
        <v>4651</v>
      </c>
      <c r="J1476" s="143" t="s">
        <v>4652</v>
      </c>
      <c r="K1476" s="143">
        <v>150</v>
      </c>
      <c r="L1476" s="143">
        <v>220</v>
      </c>
      <c r="M1476" s="143"/>
      <c r="N1476" s="143"/>
      <c r="O1476" s="143"/>
      <c r="P1476" s="143"/>
      <c r="Q1476" s="143"/>
      <c r="R1476" s="143"/>
      <c r="S1476" s="146"/>
      <c r="T1476" s="146"/>
      <c r="U1476" s="146"/>
      <c r="V1476" s="147"/>
      <c r="W1476" s="143" t="s">
        <v>3147</v>
      </c>
      <c r="X1476" s="143" t="s">
        <v>4649</v>
      </c>
      <c r="Y1476" s="143" t="s">
        <v>4653</v>
      </c>
      <c r="Z1476" s="143" t="s">
        <v>4649</v>
      </c>
      <c r="AA1476" s="173">
        <v>11.5</v>
      </c>
      <c r="AB1476" s="144">
        <v>45945</v>
      </c>
      <c r="AC1476" s="143"/>
      <c r="AD1476" s="143"/>
      <c r="AE1476" s="143"/>
      <c r="AF1476" s="143"/>
      <c r="AG1476" s="143"/>
      <c r="AH1476" s="143"/>
      <c r="AI1476" s="201"/>
      <c r="AJ1476" s="201"/>
      <c r="AK1476" s="201"/>
      <c r="AL1476" s="201"/>
      <c r="AM1476" s="201"/>
    </row>
    <row r="1477" customFormat="1" ht="15" spans="1:39">
      <c r="A1477" s="143">
        <v>1434</v>
      </c>
      <c r="B1477" s="144">
        <v>45945</v>
      </c>
      <c r="C1477" s="143" t="s">
        <v>3148</v>
      </c>
      <c r="D1477" s="143" t="s">
        <v>41</v>
      </c>
      <c r="E1477" s="145"/>
      <c r="F1477" s="143" t="s">
        <v>4654</v>
      </c>
      <c r="G1477" s="143"/>
      <c r="H1477" s="143" t="s">
        <v>4655</v>
      </c>
      <c r="I1477" s="143" t="s">
        <v>4656</v>
      </c>
      <c r="J1477" s="143" t="s">
        <v>4657</v>
      </c>
      <c r="K1477" s="143">
        <v>140</v>
      </c>
      <c r="L1477" s="143">
        <v>245</v>
      </c>
      <c r="M1477" s="143"/>
      <c r="N1477" s="143"/>
      <c r="O1477" s="143"/>
      <c r="P1477" s="143"/>
      <c r="Q1477" s="143"/>
      <c r="R1477" s="143"/>
      <c r="S1477" s="146"/>
      <c r="T1477" s="146"/>
      <c r="U1477" s="146"/>
      <c r="V1477" s="147"/>
      <c r="W1477" s="143" t="s">
        <v>3147</v>
      </c>
      <c r="X1477" s="143" t="s">
        <v>4654</v>
      </c>
      <c r="Y1477" s="169" t="s">
        <v>4658</v>
      </c>
      <c r="Z1477" s="143" t="s">
        <v>4654</v>
      </c>
      <c r="AA1477" s="173">
        <v>21.2</v>
      </c>
      <c r="AB1477" s="144">
        <v>45945</v>
      </c>
      <c r="AC1477" s="143"/>
      <c r="AD1477" s="143"/>
      <c r="AE1477" s="143"/>
      <c r="AF1477" s="143"/>
      <c r="AG1477" s="143"/>
      <c r="AH1477" s="143"/>
      <c r="AI1477" s="201"/>
      <c r="AJ1477" s="201"/>
      <c r="AK1477" s="201"/>
      <c r="AL1477" s="201"/>
      <c r="AM1477" s="201"/>
    </row>
    <row r="1478" customFormat="1" ht="15" spans="1:39">
      <c r="A1478" s="143">
        <v>1435</v>
      </c>
      <c r="B1478" s="144">
        <v>45945</v>
      </c>
      <c r="C1478" s="143" t="s">
        <v>3148</v>
      </c>
      <c r="D1478" s="143" t="s">
        <v>41</v>
      </c>
      <c r="E1478" s="145"/>
      <c r="F1478" s="143" t="s">
        <v>4659</v>
      </c>
      <c r="G1478" s="143"/>
      <c r="H1478" s="143" t="s">
        <v>4660</v>
      </c>
      <c r="I1478" s="143" t="s">
        <v>4656</v>
      </c>
      <c r="J1478" s="143" t="s">
        <v>4657</v>
      </c>
      <c r="K1478" s="143">
        <v>140</v>
      </c>
      <c r="L1478" s="143">
        <v>260</v>
      </c>
      <c r="M1478" s="143"/>
      <c r="N1478" s="143"/>
      <c r="O1478" s="143"/>
      <c r="P1478" s="143"/>
      <c r="Q1478" s="143"/>
      <c r="R1478" s="143"/>
      <c r="S1478" s="146"/>
      <c r="T1478" s="146"/>
      <c r="U1478" s="146"/>
      <c r="V1478" s="147"/>
      <c r="W1478" s="143" t="s">
        <v>3147</v>
      </c>
      <c r="X1478" s="143" t="s">
        <v>4659</v>
      </c>
      <c r="Y1478" s="169" t="s">
        <v>4658</v>
      </c>
      <c r="Z1478" s="143" t="s">
        <v>4659</v>
      </c>
      <c r="AA1478" s="173">
        <v>21.2</v>
      </c>
      <c r="AB1478" s="144">
        <v>45945</v>
      </c>
      <c r="AC1478" s="143"/>
      <c r="AD1478" s="143"/>
      <c r="AE1478" s="143"/>
      <c r="AF1478" s="143"/>
      <c r="AG1478" s="143"/>
      <c r="AH1478" s="143"/>
      <c r="AI1478" s="201"/>
      <c r="AJ1478" s="201"/>
      <c r="AK1478" s="201"/>
      <c r="AL1478" s="201"/>
      <c r="AM1478" s="201"/>
    </row>
    <row r="1479" customFormat="1" ht="15" spans="1:39">
      <c r="A1479" s="143">
        <v>1436</v>
      </c>
      <c r="B1479" s="144">
        <v>45945</v>
      </c>
      <c r="C1479" s="143" t="s">
        <v>3148</v>
      </c>
      <c r="D1479" s="143" t="s">
        <v>41</v>
      </c>
      <c r="E1479" s="145"/>
      <c r="F1479" s="143" t="s">
        <v>4661</v>
      </c>
      <c r="G1479" s="143"/>
      <c r="H1479" s="143" t="s">
        <v>4662</v>
      </c>
      <c r="I1479" s="143" t="s">
        <v>4663</v>
      </c>
      <c r="J1479" s="143" t="s">
        <v>4657</v>
      </c>
      <c r="K1479" s="143">
        <v>140</v>
      </c>
      <c r="L1479" s="143">
        <v>231</v>
      </c>
      <c r="M1479" s="143"/>
      <c r="N1479" s="143"/>
      <c r="O1479" s="143"/>
      <c r="P1479" s="143"/>
      <c r="Q1479" s="143"/>
      <c r="R1479" s="143"/>
      <c r="S1479" s="146"/>
      <c r="T1479" s="146"/>
      <c r="U1479" s="146"/>
      <c r="V1479" s="147"/>
      <c r="W1479" s="143" t="s">
        <v>3147</v>
      </c>
      <c r="X1479" s="143" t="s">
        <v>4661</v>
      </c>
      <c r="Y1479" s="169" t="s">
        <v>4658</v>
      </c>
      <c r="Z1479" s="143" t="s">
        <v>4661</v>
      </c>
      <c r="AA1479" s="173">
        <v>17.5</v>
      </c>
      <c r="AB1479" s="144">
        <v>45945</v>
      </c>
      <c r="AC1479" s="143"/>
      <c r="AD1479" s="143"/>
      <c r="AE1479" s="143"/>
      <c r="AF1479" s="143"/>
      <c r="AG1479" s="143"/>
      <c r="AH1479" s="143"/>
      <c r="AI1479" s="201"/>
      <c r="AJ1479" s="201"/>
      <c r="AK1479" s="201"/>
      <c r="AL1479" s="201"/>
      <c r="AM1479" s="201"/>
    </row>
    <row r="1480" customFormat="1" ht="15" spans="1:39">
      <c r="A1480" s="143">
        <v>1437</v>
      </c>
      <c r="B1480" s="144">
        <v>45945</v>
      </c>
      <c r="C1480" s="143" t="s">
        <v>3148</v>
      </c>
      <c r="D1480" s="143" t="s">
        <v>41</v>
      </c>
      <c r="E1480" s="145"/>
      <c r="F1480" s="169" t="s">
        <v>4664</v>
      </c>
      <c r="G1480" s="143"/>
      <c r="H1480" s="143" t="s">
        <v>4665</v>
      </c>
      <c r="I1480" s="143" t="s">
        <v>3157</v>
      </c>
      <c r="J1480" s="143" t="s">
        <v>3684</v>
      </c>
      <c r="K1480" s="143">
        <v>185</v>
      </c>
      <c r="L1480" s="143">
        <v>230</v>
      </c>
      <c r="M1480" s="143"/>
      <c r="N1480" s="143"/>
      <c r="O1480" s="143"/>
      <c r="P1480" s="143"/>
      <c r="Q1480" s="143"/>
      <c r="R1480" s="143"/>
      <c r="S1480" s="146"/>
      <c r="T1480" s="146"/>
      <c r="U1480" s="146"/>
      <c r="V1480" s="147"/>
      <c r="W1480" s="143" t="s">
        <v>3147</v>
      </c>
      <c r="X1480" s="169" t="s">
        <v>4664</v>
      </c>
      <c r="Y1480" s="169" t="s">
        <v>4666</v>
      </c>
      <c r="Z1480" s="169" t="s">
        <v>4664</v>
      </c>
      <c r="AA1480" s="173">
        <v>43.2</v>
      </c>
      <c r="AB1480" s="144">
        <v>45945</v>
      </c>
      <c r="AC1480" s="143"/>
      <c r="AD1480" s="143"/>
      <c r="AE1480" s="143"/>
      <c r="AF1480" s="143"/>
      <c r="AG1480" s="143"/>
      <c r="AH1480" s="143"/>
      <c r="AI1480" s="201"/>
      <c r="AJ1480" s="201"/>
      <c r="AK1480" s="201"/>
      <c r="AL1480" s="201"/>
      <c r="AM1480" s="201"/>
    </row>
    <row r="1481" customFormat="1" ht="15" spans="1:39">
      <c r="A1481" s="143">
        <v>1438</v>
      </c>
      <c r="B1481" s="144">
        <v>45945</v>
      </c>
      <c r="C1481" s="143" t="s">
        <v>3148</v>
      </c>
      <c r="D1481" s="143" t="s">
        <v>41</v>
      </c>
      <c r="E1481" s="145"/>
      <c r="F1481" s="169" t="s">
        <v>4667</v>
      </c>
      <c r="G1481" s="143"/>
      <c r="H1481" s="143" t="s">
        <v>4668</v>
      </c>
      <c r="I1481" s="143" t="s">
        <v>3157</v>
      </c>
      <c r="J1481" s="143" t="s">
        <v>3684</v>
      </c>
      <c r="K1481" s="143">
        <v>185</v>
      </c>
      <c r="L1481" s="143">
        <v>230</v>
      </c>
      <c r="M1481" s="143"/>
      <c r="N1481" s="143"/>
      <c r="O1481" s="143"/>
      <c r="P1481" s="143"/>
      <c r="Q1481" s="143"/>
      <c r="R1481" s="143"/>
      <c r="S1481" s="146"/>
      <c r="T1481" s="146"/>
      <c r="U1481" s="146"/>
      <c r="V1481" s="147"/>
      <c r="W1481" s="143" t="s">
        <v>3147</v>
      </c>
      <c r="X1481" s="169" t="s">
        <v>4667</v>
      </c>
      <c r="Y1481" s="169" t="s">
        <v>4666</v>
      </c>
      <c r="Z1481" s="169" t="s">
        <v>4667</v>
      </c>
      <c r="AA1481" s="173">
        <v>43.2</v>
      </c>
      <c r="AB1481" s="144">
        <v>45945</v>
      </c>
      <c r="AC1481" s="143"/>
      <c r="AD1481" s="143"/>
      <c r="AE1481" s="143"/>
      <c r="AF1481" s="143"/>
      <c r="AG1481" s="143"/>
      <c r="AH1481" s="143"/>
      <c r="AI1481" s="201"/>
      <c r="AJ1481" s="201"/>
      <c r="AK1481" s="201"/>
      <c r="AL1481" s="201"/>
      <c r="AM1481" s="201"/>
    </row>
    <row r="1482" customFormat="1" ht="15" spans="1:39">
      <c r="A1482" s="143">
        <v>1439</v>
      </c>
      <c r="B1482" s="144">
        <v>45945</v>
      </c>
      <c r="C1482" s="143" t="s">
        <v>3148</v>
      </c>
      <c r="D1482" s="143" t="s">
        <v>41</v>
      </c>
      <c r="E1482" s="145"/>
      <c r="F1482" s="143" t="s">
        <v>4669</v>
      </c>
      <c r="G1482" s="143"/>
      <c r="H1482" s="143" t="s">
        <v>4670</v>
      </c>
      <c r="I1482" s="143" t="s">
        <v>45</v>
      </c>
      <c r="J1482" s="143" t="s">
        <v>3684</v>
      </c>
      <c r="K1482" s="143">
        <v>175</v>
      </c>
      <c r="L1482" s="143">
        <v>180</v>
      </c>
      <c r="M1482" s="143"/>
      <c r="N1482" s="143"/>
      <c r="O1482" s="143"/>
      <c r="P1482" s="143"/>
      <c r="Q1482" s="143" t="s">
        <v>4671</v>
      </c>
      <c r="R1482" s="143"/>
      <c r="S1482" s="146"/>
      <c r="T1482" s="146"/>
      <c r="U1482" s="146"/>
      <c r="V1482" s="147"/>
      <c r="W1482" s="143" t="s">
        <v>3147</v>
      </c>
      <c r="X1482" s="143" t="s">
        <v>4669</v>
      </c>
      <c r="Y1482" s="169" t="s">
        <v>4672</v>
      </c>
      <c r="Z1482" s="143" t="s">
        <v>4669</v>
      </c>
      <c r="AA1482" s="173">
        <v>44</v>
      </c>
      <c r="AB1482" s="144">
        <v>45945</v>
      </c>
      <c r="AC1482" s="143"/>
      <c r="AD1482" s="143"/>
      <c r="AE1482" s="143"/>
      <c r="AF1482" s="143"/>
      <c r="AG1482" s="143"/>
      <c r="AH1482" s="143"/>
      <c r="AI1482" s="201"/>
      <c r="AJ1482" s="201"/>
      <c r="AK1482" s="201"/>
      <c r="AL1482" s="201"/>
      <c r="AM1482" s="201"/>
    </row>
    <row r="1483" customFormat="1" ht="15" spans="1:39">
      <c r="A1483" s="143">
        <v>1440</v>
      </c>
      <c r="B1483" s="144">
        <v>45945</v>
      </c>
      <c r="C1483" s="143" t="s">
        <v>3148</v>
      </c>
      <c r="D1483" s="143" t="s">
        <v>41</v>
      </c>
      <c r="E1483" s="145"/>
      <c r="F1483" s="169" t="s">
        <v>4673</v>
      </c>
      <c r="G1483" s="143"/>
      <c r="H1483" s="143" t="s">
        <v>4674</v>
      </c>
      <c r="I1483" s="143" t="s">
        <v>3157</v>
      </c>
      <c r="J1483" s="143" t="s">
        <v>3684</v>
      </c>
      <c r="K1483" s="143">
        <v>180</v>
      </c>
      <c r="L1483" s="143">
        <v>200</v>
      </c>
      <c r="M1483" s="143"/>
      <c r="N1483" s="143"/>
      <c r="O1483" s="143"/>
      <c r="P1483" s="143"/>
      <c r="Q1483" s="143"/>
      <c r="R1483" s="143"/>
      <c r="S1483" s="146"/>
      <c r="T1483" s="146"/>
      <c r="U1483" s="146"/>
      <c r="V1483" s="147"/>
      <c r="W1483" s="143" t="s">
        <v>3147</v>
      </c>
      <c r="X1483" s="169" t="s">
        <v>4673</v>
      </c>
      <c r="Y1483" s="143" t="s">
        <v>4672</v>
      </c>
      <c r="Z1483" s="169" t="s">
        <v>4673</v>
      </c>
      <c r="AA1483" s="173">
        <v>48.7</v>
      </c>
      <c r="AB1483" s="144">
        <v>45945</v>
      </c>
      <c r="AC1483" s="143"/>
      <c r="AD1483" s="143"/>
      <c r="AE1483" s="143"/>
      <c r="AF1483" s="143"/>
      <c r="AG1483" s="143"/>
      <c r="AH1483" s="143"/>
      <c r="AI1483" s="201"/>
      <c r="AJ1483" s="201"/>
      <c r="AK1483" s="201"/>
      <c r="AL1483" s="201"/>
      <c r="AM1483" s="201"/>
    </row>
    <row r="1484" ht="15" spans="1:39">
      <c r="A1484" s="143">
        <v>1441</v>
      </c>
      <c r="B1484" s="144">
        <v>45945</v>
      </c>
      <c r="C1484" s="143" t="s">
        <v>3148</v>
      </c>
      <c r="D1484" s="143" t="s">
        <v>41</v>
      </c>
      <c r="F1484" s="169" t="s">
        <v>4675</v>
      </c>
      <c r="H1484" s="143" t="s">
        <v>4676</v>
      </c>
      <c r="I1484" s="143" t="s">
        <v>4677</v>
      </c>
      <c r="J1484" s="143" t="s">
        <v>4678</v>
      </c>
      <c r="K1484" s="143">
        <v>150</v>
      </c>
      <c r="L1484" s="143">
        <v>500</v>
      </c>
      <c r="W1484" s="143" t="s">
        <v>3147</v>
      </c>
      <c r="X1484" s="169" t="s">
        <v>4675</v>
      </c>
      <c r="Y1484" s="169" t="s">
        <v>4679</v>
      </c>
      <c r="Z1484" s="169" t="s">
        <v>4675</v>
      </c>
      <c r="AA1484" s="173">
        <v>25</v>
      </c>
      <c r="AB1484" s="144">
        <v>45945</v>
      </c>
    </row>
    <row r="1485" ht="15" spans="1:39">
      <c r="A1485" s="143">
        <v>1442</v>
      </c>
      <c r="B1485" s="144">
        <v>45945</v>
      </c>
      <c r="C1485" s="143" t="s">
        <v>3148</v>
      </c>
      <c r="D1485" s="143" t="s">
        <v>41</v>
      </c>
      <c r="F1485" s="143" t="s">
        <v>4680</v>
      </c>
      <c r="H1485" s="143" t="s">
        <v>4681</v>
      </c>
      <c r="I1485" s="143" t="s">
        <v>3224</v>
      </c>
      <c r="J1485" s="143" t="s">
        <v>1577</v>
      </c>
      <c r="K1485" s="143">
        <v>150</v>
      </c>
      <c r="L1485" s="143">
        <v>680</v>
      </c>
      <c r="W1485" s="143" t="s">
        <v>3147</v>
      </c>
      <c r="X1485" s="143" t="s">
        <v>4680</v>
      </c>
      <c r="Y1485" s="169" t="s">
        <v>3267</v>
      </c>
      <c r="Z1485" s="143" t="s">
        <v>4680</v>
      </c>
      <c r="AA1485" s="173">
        <v>21.4</v>
      </c>
      <c r="AB1485" s="144">
        <v>45945</v>
      </c>
    </row>
    <row r="1486" ht="15" spans="1:39">
      <c r="A1486" s="143">
        <v>1443</v>
      </c>
      <c r="B1486" s="144">
        <v>45945</v>
      </c>
      <c r="C1486" s="143" t="s">
        <v>3148</v>
      </c>
      <c r="D1486" s="143" t="s">
        <v>41</v>
      </c>
      <c r="F1486" s="143">
        <v>24242</v>
      </c>
      <c r="H1486" s="143" t="s">
        <v>4682</v>
      </c>
      <c r="K1486" s="143">
        <v>150</v>
      </c>
      <c r="L1486" s="143">
        <v>650</v>
      </c>
      <c r="W1486" s="143" t="s">
        <v>3147</v>
      </c>
      <c r="X1486" s="143">
        <v>24242</v>
      </c>
      <c r="Y1486" s="169" t="s">
        <v>4683</v>
      </c>
      <c r="Z1486" s="143">
        <v>24242</v>
      </c>
      <c r="AA1486" s="173">
        <v>14.5</v>
      </c>
      <c r="AB1486" s="144">
        <v>45945</v>
      </c>
    </row>
    <row r="1487" ht="15" spans="1:39">
      <c r="A1487" s="143">
        <v>1444</v>
      </c>
      <c r="B1487" s="144">
        <v>45945</v>
      </c>
      <c r="C1487" s="143" t="s">
        <v>3148</v>
      </c>
      <c r="D1487" s="143" t="s">
        <v>41</v>
      </c>
      <c r="F1487" s="143" t="s">
        <v>4684</v>
      </c>
      <c r="H1487" s="143" t="s">
        <v>4685</v>
      </c>
      <c r="I1487" s="143" t="s">
        <v>890</v>
      </c>
      <c r="J1487" s="143" t="s">
        <v>4686</v>
      </c>
      <c r="K1487" s="143">
        <v>150</v>
      </c>
      <c r="L1487" s="143">
        <v>190</v>
      </c>
      <c r="W1487" s="143" t="s">
        <v>3147</v>
      </c>
      <c r="X1487" s="143" t="s">
        <v>4684</v>
      </c>
      <c r="Y1487" s="169" t="s">
        <v>4687</v>
      </c>
      <c r="Z1487" s="143" t="s">
        <v>4684</v>
      </c>
      <c r="AA1487" s="173">
        <v>20.5</v>
      </c>
      <c r="AB1487" s="144">
        <v>45945</v>
      </c>
    </row>
    <row r="1488" ht="15" spans="1:39">
      <c r="A1488" s="143">
        <v>1445</v>
      </c>
      <c r="B1488" s="144">
        <v>45945</v>
      </c>
      <c r="C1488" s="143" t="s">
        <v>3148</v>
      </c>
      <c r="D1488" s="143" t="s">
        <v>41</v>
      </c>
      <c r="F1488" s="169" t="s">
        <v>4688</v>
      </c>
      <c r="H1488" s="143" t="s">
        <v>4689</v>
      </c>
      <c r="I1488" s="143" t="s">
        <v>4690</v>
      </c>
      <c r="J1488" s="143" t="s">
        <v>1460</v>
      </c>
      <c r="K1488" s="143">
        <v>145</v>
      </c>
      <c r="L1488" s="143">
        <v>220</v>
      </c>
      <c r="W1488" s="143" t="s">
        <v>3147</v>
      </c>
      <c r="X1488" s="169" t="s">
        <v>4688</v>
      </c>
      <c r="Y1488" s="143" t="s">
        <v>4691</v>
      </c>
      <c r="Z1488" s="169" t="s">
        <v>4688</v>
      </c>
      <c r="AA1488" s="173">
        <v>16</v>
      </c>
      <c r="AB1488" s="144">
        <v>45945</v>
      </c>
    </row>
    <row r="1489" ht="15" spans="1:34">
      <c r="A1489" s="143">
        <v>1446</v>
      </c>
      <c r="B1489" s="144">
        <v>45945</v>
      </c>
      <c r="C1489" s="143" t="s">
        <v>3148</v>
      </c>
      <c r="D1489" s="143" t="s">
        <v>41</v>
      </c>
      <c r="F1489" s="169" t="s">
        <v>4692</v>
      </c>
      <c r="H1489" s="143" t="s">
        <v>4693</v>
      </c>
      <c r="I1489" s="143" t="s">
        <v>4694</v>
      </c>
      <c r="J1489" s="143" t="s">
        <v>4695</v>
      </c>
      <c r="K1489" s="143">
        <v>140</v>
      </c>
      <c r="L1489" s="143">
        <v>221</v>
      </c>
      <c r="W1489" s="143" t="s">
        <v>3147</v>
      </c>
      <c r="X1489" s="169" t="s">
        <v>4692</v>
      </c>
      <c r="Y1489" s="143" t="s">
        <v>4691</v>
      </c>
      <c r="Z1489" s="169" t="s">
        <v>4692</v>
      </c>
      <c r="AA1489" s="173">
        <v>16.3</v>
      </c>
      <c r="AB1489" s="144">
        <v>45945</v>
      </c>
    </row>
    <row r="1490" ht="15" spans="1:34">
      <c r="A1490" s="143">
        <v>1447</v>
      </c>
      <c r="B1490" s="144">
        <v>45945</v>
      </c>
      <c r="C1490" s="143" t="s">
        <v>3148</v>
      </c>
      <c r="D1490" s="143" t="s">
        <v>41</v>
      </c>
      <c r="F1490" s="169" t="s">
        <v>3651</v>
      </c>
      <c r="H1490" s="143" t="s">
        <v>4696</v>
      </c>
      <c r="I1490" s="143" t="s">
        <v>3218</v>
      </c>
      <c r="J1490" s="143" t="s">
        <v>1577</v>
      </c>
      <c r="K1490" s="143">
        <v>150</v>
      </c>
      <c r="L1490" s="143">
        <v>42</v>
      </c>
      <c r="W1490" s="143" t="s">
        <v>3147</v>
      </c>
      <c r="X1490" s="169" t="s">
        <v>3651</v>
      </c>
      <c r="Y1490" s="143" t="s">
        <v>4697</v>
      </c>
      <c r="Z1490" s="169" t="s">
        <v>3651</v>
      </c>
      <c r="AA1490" s="173">
        <v>5.8</v>
      </c>
      <c r="AB1490" s="144">
        <v>45945</v>
      </c>
    </row>
    <row r="1491" ht="15" spans="1:34">
      <c r="A1491" s="143">
        <v>1448</v>
      </c>
      <c r="B1491" s="144">
        <v>45945</v>
      </c>
      <c r="C1491" s="143" t="s">
        <v>3148</v>
      </c>
      <c r="D1491" s="143" t="s">
        <v>41</v>
      </c>
      <c r="F1491" s="169" t="s">
        <v>4698</v>
      </c>
      <c r="H1491" s="143" t="s">
        <v>4699</v>
      </c>
      <c r="I1491" s="143" t="s">
        <v>3218</v>
      </c>
      <c r="J1491" s="143" t="s">
        <v>1577</v>
      </c>
      <c r="K1491" s="143">
        <v>150</v>
      </c>
      <c r="L1491" s="143">
        <v>75</v>
      </c>
      <c r="W1491" s="143" t="s">
        <v>3147</v>
      </c>
      <c r="X1491" s="169" t="s">
        <v>4698</v>
      </c>
      <c r="Y1491" s="143" t="s">
        <v>4697</v>
      </c>
      <c r="Z1491" s="169" t="s">
        <v>4698</v>
      </c>
      <c r="AA1491" s="173">
        <v>5.6</v>
      </c>
      <c r="AB1491" s="144">
        <v>45945</v>
      </c>
    </row>
    <row r="1492" ht="15" spans="1:34">
      <c r="A1492" s="143">
        <v>1449</v>
      </c>
      <c r="B1492" s="144">
        <v>45945</v>
      </c>
      <c r="C1492" s="143" t="s">
        <v>3148</v>
      </c>
      <c r="D1492" s="143" t="s">
        <v>41</v>
      </c>
      <c r="F1492" s="143" t="s">
        <v>4700</v>
      </c>
      <c r="H1492" s="143" t="s">
        <v>4701</v>
      </c>
      <c r="I1492" s="143" t="s">
        <v>3218</v>
      </c>
      <c r="J1492" s="143" t="s">
        <v>1577</v>
      </c>
      <c r="K1492" s="143">
        <v>150</v>
      </c>
      <c r="L1492" s="143">
        <v>35</v>
      </c>
      <c r="W1492" s="143" t="s">
        <v>3147</v>
      </c>
      <c r="X1492" s="143" t="s">
        <v>4700</v>
      </c>
      <c r="Y1492" s="143" t="s">
        <v>2772</v>
      </c>
      <c r="Z1492" s="143" t="s">
        <v>4700</v>
      </c>
      <c r="AA1492" s="173">
        <v>5.6</v>
      </c>
      <c r="AB1492" s="144">
        <v>45945</v>
      </c>
    </row>
    <row r="1493" ht="15" spans="1:34">
      <c r="A1493" s="143">
        <v>1450</v>
      </c>
      <c r="B1493" s="144">
        <v>45948</v>
      </c>
      <c r="C1493" s="169" t="s">
        <v>3277</v>
      </c>
      <c r="D1493" s="143" t="s">
        <v>41</v>
      </c>
      <c r="E1493" s="196" t="s">
        <v>4702</v>
      </c>
      <c r="H1493" s="143" t="s">
        <v>4703</v>
      </c>
      <c r="I1493" s="143" t="s">
        <v>4704</v>
      </c>
      <c r="J1493" s="143" t="s">
        <v>4705</v>
      </c>
      <c r="K1493" s="143">
        <v>150</v>
      </c>
      <c r="L1493" s="143">
        <v>210</v>
      </c>
      <c r="W1493" s="143" t="s">
        <v>3147</v>
      </c>
      <c r="X1493" s="143" t="s">
        <v>4706</v>
      </c>
      <c r="Y1493" s="143" t="s">
        <v>4707</v>
      </c>
      <c r="Z1493" s="143" t="s">
        <v>4706</v>
      </c>
      <c r="AA1493" s="173">
        <v>18.3</v>
      </c>
      <c r="AB1493" s="144">
        <v>45950</v>
      </c>
      <c r="AH1493" s="169" t="s">
        <v>4708</v>
      </c>
    </row>
    <row r="1494" ht="15" spans="1:34">
      <c r="A1494" s="143">
        <v>1451</v>
      </c>
      <c r="B1494" s="144">
        <v>45948</v>
      </c>
      <c r="C1494" s="169" t="s">
        <v>3277</v>
      </c>
      <c r="D1494" s="143" t="s">
        <v>41</v>
      </c>
      <c r="E1494" s="196" t="s">
        <v>4709</v>
      </c>
      <c r="H1494" s="143" t="s">
        <v>4710</v>
      </c>
      <c r="I1494" s="143" t="s">
        <v>4589</v>
      </c>
      <c r="J1494" s="143" t="s">
        <v>4711</v>
      </c>
      <c r="K1494" s="143">
        <v>150</v>
      </c>
      <c r="L1494" s="143">
        <v>240</v>
      </c>
      <c r="W1494" s="143" t="s">
        <v>3147</v>
      </c>
      <c r="X1494" s="143" t="s">
        <v>4712</v>
      </c>
      <c r="Y1494" s="143" t="s">
        <v>4707</v>
      </c>
      <c r="Z1494" s="143" t="s">
        <v>4712</v>
      </c>
      <c r="AA1494" s="173">
        <v>18.9</v>
      </c>
      <c r="AB1494" s="144">
        <v>45950</v>
      </c>
      <c r="AH1494" s="169" t="s">
        <v>4708</v>
      </c>
    </row>
    <row r="1495" ht="15" spans="1:34">
      <c r="A1495" s="143">
        <v>1452</v>
      </c>
      <c r="B1495" s="144">
        <v>45948</v>
      </c>
      <c r="C1495" s="169" t="s">
        <v>3277</v>
      </c>
      <c r="D1495" s="143" t="s">
        <v>41</v>
      </c>
      <c r="E1495" s="196" t="s">
        <v>4709</v>
      </c>
      <c r="H1495" s="143" t="s">
        <v>4713</v>
      </c>
      <c r="I1495" s="143" t="s">
        <v>4589</v>
      </c>
      <c r="J1495" s="143" t="s">
        <v>4711</v>
      </c>
      <c r="K1495" s="143">
        <v>150</v>
      </c>
      <c r="L1495" s="143">
        <v>200</v>
      </c>
      <c r="W1495" s="143" t="s">
        <v>3147</v>
      </c>
      <c r="X1495" s="143" t="s">
        <v>4714</v>
      </c>
      <c r="Y1495" s="143" t="s">
        <v>4707</v>
      </c>
      <c r="Z1495" s="143" t="s">
        <v>4714</v>
      </c>
      <c r="AA1495" s="173">
        <v>18.9</v>
      </c>
      <c r="AB1495" s="144">
        <v>45950</v>
      </c>
      <c r="AH1495" s="169" t="s">
        <v>4708</v>
      </c>
    </row>
    <row r="1496" ht="15" spans="1:34">
      <c r="A1496" s="143">
        <v>1453</v>
      </c>
      <c r="B1496" s="144">
        <v>45948</v>
      </c>
      <c r="C1496" s="169" t="s">
        <v>3277</v>
      </c>
      <c r="D1496" s="143" t="s">
        <v>41</v>
      </c>
      <c r="E1496" s="196" t="s">
        <v>4709</v>
      </c>
      <c r="H1496" s="143" t="s">
        <v>4715</v>
      </c>
      <c r="I1496" s="143" t="s">
        <v>3224</v>
      </c>
      <c r="J1496" s="143" t="s">
        <v>1577</v>
      </c>
      <c r="K1496" s="143">
        <v>150</v>
      </c>
      <c r="L1496" s="143">
        <v>150</v>
      </c>
      <c r="W1496" s="143" t="s">
        <v>3147</v>
      </c>
      <c r="X1496" s="143" t="s">
        <v>4716</v>
      </c>
      <c r="Y1496" s="143" t="s">
        <v>4707</v>
      </c>
      <c r="Z1496" s="143" t="s">
        <v>4716</v>
      </c>
      <c r="AA1496" s="173">
        <v>14</v>
      </c>
      <c r="AB1496" s="144">
        <v>45950</v>
      </c>
    </row>
    <row r="1497" ht="15" spans="1:34">
      <c r="A1497" s="143">
        <v>1454</v>
      </c>
      <c r="B1497" s="144">
        <v>45948</v>
      </c>
      <c r="C1497" s="169" t="s">
        <v>3277</v>
      </c>
      <c r="D1497" s="143" t="s">
        <v>41</v>
      </c>
      <c r="E1497" s="196" t="s">
        <v>4709</v>
      </c>
      <c r="H1497" s="143" t="s">
        <v>4717</v>
      </c>
      <c r="I1497" s="143" t="s">
        <v>3224</v>
      </c>
      <c r="J1497" s="143" t="s">
        <v>1577</v>
      </c>
      <c r="K1497" s="143">
        <v>150</v>
      </c>
      <c r="L1497" s="143">
        <v>180</v>
      </c>
      <c r="W1497" s="143" t="s">
        <v>3147</v>
      </c>
      <c r="X1497" s="143">
        <v>553</v>
      </c>
      <c r="Y1497" s="143" t="s">
        <v>4707</v>
      </c>
      <c r="Z1497" s="143">
        <v>553</v>
      </c>
      <c r="AA1497" s="173">
        <v>14</v>
      </c>
      <c r="AB1497" s="144">
        <v>45950</v>
      </c>
    </row>
    <row r="1498" ht="15" spans="1:34">
      <c r="A1498" s="143">
        <v>1455</v>
      </c>
      <c r="B1498" s="144">
        <v>45948</v>
      </c>
      <c r="C1498" s="169" t="s">
        <v>3277</v>
      </c>
      <c r="D1498" s="143" t="s">
        <v>41</v>
      </c>
      <c r="E1498" s="196" t="s">
        <v>4709</v>
      </c>
      <c r="H1498" s="143" t="s">
        <v>4718</v>
      </c>
      <c r="I1498" s="143" t="s">
        <v>3390</v>
      </c>
      <c r="J1498" s="143" t="s">
        <v>4144</v>
      </c>
      <c r="K1498" s="143">
        <v>150</v>
      </c>
      <c r="L1498" s="143">
        <v>140</v>
      </c>
      <c r="W1498" s="143" t="s">
        <v>3147</v>
      </c>
      <c r="X1498" s="143">
        <v>3107</v>
      </c>
      <c r="Y1498" s="169" t="s">
        <v>4719</v>
      </c>
      <c r="Z1498" s="143">
        <v>3107</v>
      </c>
      <c r="AA1498" s="173">
        <v>14.5</v>
      </c>
      <c r="AB1498" s="144">
        <v>45950</v>
      </c>
    </row>
    <row r="1499" ht="15" spans="1:34">
      <c r="A1499" s="143">
        <v>1456</v>
      </c>
      <c r="B1499" s="144">
        <v>45948</v>
      </c>
      <c r="C1499" s="169" t="s">
        <v>3277</v>
      </c>
      <c r="D1499" s="143" t="s">
        <v>41</v>
      </c>
      <c r="E1499" s="196" t="s">
        <v>4709</v>
      </c>
      <c r="H1499" s="143" t="s">
        <v>4720</v>
      </c>
      <c r="I1499" s="143" t="s">
        <v>3418</v>
      </c>
      <c r="J1499" s="143" t="s">
        <v>1588</v>
      </c>
      <c r="K1499" s="143">
        <v>150</v>
      </c>
      <c r="L1499" s="143">
        <v>240</v>
      </c>
      <c r="W1499" s="143" t="s">
        <v>3147</v>
      </c>
      <c r="X1499" s="143" t="s">
        <v>4721</v>
      </c>
      <c r="Y1499" s="169" t="s">
        <v>4722</v>
      </c>
      <c r="Z1499" s="143" t="s">
        <v>4721</v>
      </c>
      <c r="AA1499" s="173">
        <v>14.2</v>
      </c>
      <c r="AB1499" s="144">
        <v>45950</v>
      </c>
    </row>
    <row r="1500" ht="15" spans="1:34">
      <c r="A1500" s="143">
        <v>1457</v>
      </c>
      <c r="B1500" s="144">
        <v>45948</v>
      </c>
      <c r="C1500" s="169" t="s">
        <v>3277</v>
      </c>
      <c r="D1500" s="143" t="s">
        <v>41</v>
      </c>
      <c r="E1500" s="196" t="s">
        <v>4709</v>
      </c>
      <c r="H1500" s="143" t="s">
        <v>4723</v>
      </c>
      <c r="I1500" s="143" t="s">
        <v>4724</v>
      </c>
      <c r="J1500" s="143" t="s">
        <v>4725</v>
      </c>
      <c r="K1500" s="143">
        <v>150</v>
      </c>
      <c r="L1500" s="143">
        <v>220</v>
      </c>
      <c r="W1500" s="143" t="s">
        <v>3147</v>
      </c>
      <c r="X1500" s="143">
        <v>188</v>
      </c>
      <c r="Y1500" s="143" t="s">
        <v>4726</v>
      </c>
      <c r="Z1500" s="143">
        <v>188</v>
      </c>
      <c r="AA1500" s="173">
        <v>16.8</v>
      </c>
      <c r="AB1500" s="144">
        <v>45950</v>
      </c>
    </row>
    <row r="1501" ht="15" spans="1:34">
      <c r="A1501" s="143">
        <v>1458</v>
      </c>
      <c r="B1501" s="144">
        <v>45948</v>
      </c>
      <c r="C1501" s="169" t="s">
        <v>3277</v>
      </c>
      <c r="D1501" s="143" t="s">
        <v>41</v>
      </c>
      <c r="E1501" s="196" t="s">
        <v>4709</v>
      </c>
      <c r="H1501" s="143" t="s">
        <v>4727</v>
      </c>
      <c r="I1501" s="143" t="s">
        <v>3360</v>
      </c>
      <c r="J1501" s="143" t="s">
        <v>4728</v>
      </c>
      <c r="K1501" s="143">
        <v>150</v>
      </c>
      <c r="L1501" s="143">
        <v>200</v>
      </c>
      <c r="W1501" s="143" t="s">
        <v>3147</v>
      </c>
      <c r="X1501" s="143">
        <v>2643</v>
      </c>
      <c r="Y1501" s="143" t="s">
        <v>4726</v>
      </c>
      <c r="Z1501" s="143">
        <v>2643</v>
      </c>
      <c r="AA1501" s="173">
        <v>15.2</v>
      </c>
      <c r="AB1501" s="144">
        <v>45950</v>
      </c>
    </row>
    <row r="1502" ht="15" spans="1:34">
      <c r="A1502" s="143">
        <v>1459</v>
      </c>
      <c r="B1502" s="144">
        <v>45948</v>
      </c>
      <c r="C1502" s="169" t="s">
        <v>3277</v>
      </c>
      <c r="D1502" s="143" t="s">
        <v>41</v>
      </c>
      <c r="E1502" s="196" t="s">
        <v>4709</v>
      </c>
      <c r="H1502" s="143" t="s">
        <v>4729</v>
      </c>
      <c r="I1502" s="143" t="s">
        <v>4730</v>
      </c>
      <c r="J1502" s="143" t="s">
        <v>1829</v>
      </c>
      <c r="K1502" s="143">
        <v>150</v>
      </c>
      <c r="L1502" s="143">
        <v>190</v>
      </c>
      <c r="W1502" s="143" t="s">
        <v>3147</v>
      </c>
      <c r="X1502" s="169" t="s">
        <v>4731</v>
      </c>
      <c r="Y1502" s="143" t="s">
        <v>4726</v>
      </c>
      <c r="Z1502" s="169" t="s">
        <v>4731</v>
      </c>
      <c r="AA1502" s="173">
        <v>15.8</v>
      </c>
      <c r="AB1502" s="144">
        <v>45950</v>
      </c>
    </row>
    <row r="1503" ht="15" spans="1:34">
      <c r="A1503" s="143">
        <v>1460</v>
      </c>
      <c r="B1503" s="144">
        <v>45951</v>
      </c>
      <c r="C1503" s="169" t="s">
        <v>3277</v>
      </c>
      <c r="D1503" s="143" t="s">
        <v>41</v>
      </c>
      <c r="E1503" s="196" t="s">
        <v>4732</v>
      </c>
      <c r="H1503" s="143" t="s">
        <v>4733</v>
      </c>
      <c r="I1503" s="143" t="s">
        <v>3170</v>
      </c>
      <c r="J1503" s="143" t="s">
        <v>432</v>
      </c>
      <c r="K1503" s="143">
        <v>145</v>
      </c>
      <c r="L1503" s="143">
        <v>175</v>
      </c>
      <c r="M1503" s="143" t="s">
        <v>4734</v>
      </c>
      <c r="W1503" s="169" t="s">
        <v>3402</v>
      </c>
      <c r="X1503" s="169" t="s">
        <v>4735</v>
      </c>
      <c r="Y1503" s="169" t="s">
        <v>3402</v>
      </c>
      <c r="Z1503" s="169" t="s">
        <v>4736</v>
      </c>
      <c r="AA1503" s="173">
        <v>14.2</v>
      </c>
      <c r="AB1503" s="144">
        <v>45951</v>
      </c>
    </row>
    <row r="1504" ht="15" spans="1:34">
      <c r="A1504" s="143">
        <v>1461</v>
      </c>
      <c r="B1504" s="144">
        <v>45951</v>
      </c>
      <c r="C1504" s="169" t="s">
        <v>3277</v>
      </c>
      <c r="D1504" s="143" t="s">
        <v>41</v>
      </c>
      <c r="E1504" s="196" t="s">
        <v>4737</v>
      </c>
      <c r="F1504" s="143" t="s">
        <v>4738</v>
      </c>
      <c r="G1504" s="169" t="s">
        <v>4739</v>
      </c>
      <c r="H1504" s="143" t="s">
        <v>4740</v>
      </c>
      <c r="I1504" s="143" t="s">
        <v>4741</v>
      </c>
      <c r="J1504" s="143" t="s">
        <v>1221</v>
      </c>
      <c r="K1504" s="143">
        <v>168</v>
      </c>
      <c r="L1504" s="143">
        <v>270</v>
      </c>
      <c r="Q1504" s="143" t="s">
        <v>3800</v>
      </c>
      <c r="W1504" s="143" t="s">
        <v>3147</v>
      </c>
      <c r="X1504" s="143" t="s">
        <v>4738</v>
      </c>
      <c r="Y1504" s="169" t="s">
        <v>4742</v>
      </c>
      <c r="Z1504" s="143" t="s">
        <v>4738</v>
      </c>
      <c r="AA1504" s="173">
        <v>56.3</v>
      </c>
      <c r="AB1504" s="144">
        <v>45951</v>
      </c>
    </row>
    <row r="1505" ht="15" spans="1:34">
      <c r="A1505" s="143">
        <v>1462</v>
      </c>
      <c r="B1505" s="144">
        <v>45951</v>
      </c>
      <c r="C1505" s="169" t="s">
        <v>3277</v>
      </c>
      <c r="D1505" s="143" t="s">
        <v>41</v>
      </c>
      <c r="E1505" s="196" t="s">
        <v>4737</v>
      </c>
      <c r="F1505" s="143" t="s">
        <v>4743</v>
      </c>
      <c r="G1505" s="169" t="s">
        <v>4739</v>
      </c>
      <c r="H1505" s="143" t="s">
        <v>4744</v>
      </c>
      <c r="I1505" s="143" t="s">
        <v>4745</v>
      </c>
      <c r="J1505" s="143" t="s">
        <v>4746</v>
      </c>
      <c r="K1505" s="143">
        <v>150</v>
      </c>
      <c r="L1505" s="143">
        <v>110</v>
      </c>
      <c r="Q1505" s="143" t="s">
        <v>4747</v>
      </c>
      <c r="W1505" s="143" t="s">
        <v>3147</v>
      </c>
      <c r="X1505" s="143" t="s">
        <v>4743</v>
      </c>
      <c r="Y1505" s="169" t="s">
        <v>4748</v>
      </c>
      <c r="Z1505" s="143" t="s">
        <v>4743</v>
      </c>
      <c r="AA1505" s="173">
        <v>62.4</v>
      </c>
      <c r="AB1505" s="144">
        <v>45951</v>
      </c>
    </row>
    <row r="1506" ht="15" spans="1:34">
      <c r="A1506" s="143">
        <v>1463</v>
      </c>
      <c r="B1506" s="144">
        <v>45951</v>
      </c>
      <c r="C1506" s="169" t="s">
        <v>3277</v>
      </c>
      <c r="D1506" s="143" t="s">
        <v>41</v>
      </c>
      <c r="E1506" s="196" t="s">
        <v>4737</v>
      </c>
      <c r="F1506" s="143" t="s">
        <v>4749</v>
      </c>
      <c r="G1506" s="169" t="s">
        <v>4739</v>
      </c>
      <c r="H1506" s="143" t="s">
        <v>4750</v>
      </c>
      <c r="I1506" s="143" t="s">
        <v>3390</v>
      </c>
      <c r="J1506" s="143" t="s">
        <v>4144</v>
      </c>
      <c r="K1506" s="143">
        <v>160</v>
      </c>
      <c r="L1506" s="143">
        <v>170</v>
      </c>
      <c r="Q1506" s="143" t="s">
        <v>3753</v>
      </c>
      <c r="W1506" s="143" t="s">
        <v>3147</v>
      </c>
      <c r="X1506" s="169" t="s">
        <v>4749</v>
      </c>
      <c r="Y1506" s="169" t="s">
        <v>4751</v>
      </c>
      <c r="Z1506" s="169" t="s">
        <v>4749</v>
      </c>
      <c r="AA1506" s="173">
        <v>46.2</v>
      </c>
      <c r="AB1506" s="144">
        <v>45951</v>
      </c>
    </row>
    <row r="1507" ht="15" spans="1:34">
      <c r="A1507" s="143">
        <v>1464</v>
      </c>
      <c r="B1507" s="144">
        <v>45951</v>
      </c>
      <c r="C1507" s="169" t="s">
        <v>3277</v>
      </c>
      <c r="D1507" s="143" t="s">
        <v>41</v>
      </c>
      <c r="E1507" s="196" t="s">
        <v>4737</v>
      </c>
      <c r="F1507" s="143" t="s">
        <v>4752</v>
      </c>
      <c r="G1507" s="169" t="s">
        <v>4739</v>
      </c>
      <c r="H1507" s="143" t="s">
        <v>4753</v>
      </c>
      <c r="I1507" s="143" t="s">
        <v>3390</v>
      </c>
      <c r="J1507" s="143" t="s">
        <v>4144</v>
      </c>
      <c r="K1507" s="143">
        <v>165</v>
      </c>
      <c r="L1507" s="143">
        <v>230</v>
      </c>
      <c r="Q1507" s="143" t="s">
        <v>4754</v>
      </c>
      <c r="W1507" s="143" t="s">
        <v>3147</v>
      </c>
      <c r="X1507" s="143" t="s">
        <v>4752</v>
      </c>
      <c r="Y1507" s="169" t="s">
        <v>4755</v>
      </c>
      <c r="Z1507" s="143" t="s">
        <v>4752</v>
      </c>
      <c r="AA1507" s="173">
        <v>44</v>
      </c>
      <c r="AB1507" s="144">
        <v>45951</v>
      </c>
    </row>
    <row r="1508" ht="15" spans="1:34">
      <c r="A1508" s="143">
        <v>1465</v>
      </c>
      <c r="B1508" s="144">
        <v>45951</v>
      </c>
      <c r="C1508" s="169" t="s">
        <v>3277</v>
      </c>
      <c r="D1508" s="143" t="s">
        <v>41</v>
      </c>
      <c r="E1508" s="196" t="s">
        <v>4737</v>
      </c>
      <c r="F1508" s="143" t="s">
        <v>4756</v>
      </c>
      <c r="G1508" s="169" t="s">
        <v>4739</v>
      </c>
      <c r="H1508" s="143" t="s">
        <v>4757</v>
      </c>
      <c r="I1508" s="143" t="s">
        <v>4758</v>
      </c>
      <c r="J1508" s="143" t="s">
        <v>4759</v>
      </c>
      <c r="K1508" s="143">
        <v>165</v>
      </c>
      <c r="L1508" s="143" t="s">
        <v>4760</v>
      </c>
      <c r="Q1508" s="143" t="s">
        <v>3701</v>
      </c>
      <c r="W1508" s="143" t="s">
        <v>3147</v>
      </c>
      <c r="X1508" s="143" t="s">
        <v>4756</v>
      </c>
      <c r="Y1508" s="169" t="s">
        <v>4755</v>
      </c>
      <c r="Z1508" s="143" t="s">
        <v>4756</v>
      </c>
      <c r="AA1508" s="173">
        <v>58.5</v>
      </c>
      <c r="AB1508" s="144">
        <v>45951</v>
      </c>
    </row>
    <row r="1509" ht="15" spans="1:34">
      <c r="A1509" s="143">
        <v>1466</v>
      </c>
      <c r="B1509" s="144">
        <v>45951</v>
      </c>
      <c r="C1509" s="169" t="s">
        <v>3277</v>
      </c>
      <c r="D1509" s="143" t="s">
        <v>41</v>
      </c>
      <c r="E1509" s="169" t="s">
        <v>4761</v>
      </c>
      <c r="F1509" s="169" t="s">
        <v>4762</v>
      </c>
      <c r="H1509" s="143" t="s">
        <v>4763</v>
      </c>
      <c r="I1509" s="143" t="s">
        <v>4764</v>
      </c>
      <c r="J1509" s="143" t="s">
        <v>4765</v>
      </c>
      <c r="K1509" s="143">
        <v>150</v>
      </c>
      <c r="L1509" s="143">
        <v>85</v>
      </c>
      <c r="W1509" s="143" t="s">
        <v>3147</v>
      </c>
      <c r="X1509" s="169" t="s">
        <v>4762</v>
      </c>
      <c r="Y1509" s="169" t="s">
        <v>4766</v>
      </c>
      <c r="Z1509" s="169" t="s">
        <v>4762</v>
      </c>
      <c r="AA1509" s="173"/>
      <c r="AB1509" s="144"/>
    </row>
    <row r="1510" ht="15" spans="1:34">
      <c r="A1510" s="143">
        <v>1467</v>
      </c>
      <c r="B1510" s="144">
        <v>45954</v>
      </c>
      <c r="C1510" s="169" t="s">
        <v>3277</v>
      </c>
      <c r="D1510" s="143" t="s">
        <v>41</v>
      </c>
      <c r="E1510" s="196" t="s">
        <v>4767</v>
      </c>
      <c r="F1510" s="143" t="s">
        <v>4768</v>
      </c>
      <c r="H1510" s="143" t="s">
        <v>4769</v>
      </c>
      <c r="I1510" s="143" t="s">
        <v>3390</v>
      </c>
      <c r="J1510" s="143" t="s">
        <v>4144</v>
      </c>
      <c r="K1510" s="143">
        <v>150</v>
      </c>
      <c r="L1510" s="143">
        <v>230</v>
      </c>
      <c r="Q1510" s="204"/>
      <c r="W1510" s="143" t="s">
        <v>3147</v>
      </c>
      <c r="X1510" s="143" t="str">
        <f>F1510</f>
        <v>A9936</v>
      </c>
      <c r="Y1510" s="169" t="s">
        <v>4770</v>
      </c>
      <c r="Z1510" s="169" t="str">
        <f>X1510</f>
        <v>A9936</v>
      </c>
      <c r="AA1510" s="173">
        <v>12.5</v>
      </c>
      <c r="AB1510" s="144">
        <v>45954</v>
      </c>
    </row>
    <row r="1511" ht="15" spans="1:34">
      <c r="A1511" s="143">
        <v>1468</v>
      </c>
      <c r="B1511" s="144">
        <v>45954</v>
      </c>
      <c r="C1511" s="169" t="s">
        <v>3277</v>
      </c>
      <c r="D1511" s="143" t="s">
        <v>41</v>
      </c>
      <c r="E1511" s="196" t="s">
        <v>4767</v>
      </c>
      <c r="F1511" s="143" t="s">
        <v>4771</v>
      </c>
      <c r="H1511" s="143" t="s">
        <v>4772</v>
      </c>
      <c r="I1511" s="143" t="s">
        <v>3390</v>
      </c>
      <c r="J1511" s="143" t="s">
        <v>4144</v>
      </c>
      <c r="K1511" s="143">
        <v>150</v>
      </c>
      <c r="L1511" s="143">
        <v>185</v>
      </c>
      <c r="Q1511" s="204"/>
      <c r="W1511" s="143" t="s">
        <v>3147</v>
      </c>
      <c r="X1511" s="143" t="str">
        <f t="shared" ref="X1511:X1543" si="1">F1511</f>
        <v>018A</v>
      </c>
      <c r="Y1511" s="169" t="s">
        <v>2107</v>
      </c>
      <c r="Z1511" s="169" t="str">
        <f t="shared" ref="Z1511:Z1543" si="2">X1511</f>
        <v>018A</v>
      </c>
      <c r="AA1511" s="173">
        <v>9.2</v>
      </c>
      <c r="AB1511" s="144">
        <v>45954</v>
      </c>
    </row>
    <row r="1512" ht="15" spans="1:34">
      <c r="A1512" s="143">
        <v>1469</v>
      </c>
      <c r="B1512" s="144">
        <v>45954</v>
      </c>
      <c r="C1512" s="169" t="s">
        <v>3277</v>
      </c>
      <c r="D1512" s="143" t="s">
        <v>41</v>
      </c>
      <c r="E1512" s="196" t="s">
        <v>4767</v>
      </c>
      <c r="F1512" s="143" t="s">
        <v>4773</v>
      </c>
      <c r="H1512" s="143" t="s">
        <v>4774</v>
      </c>
      <c r="I1512" s="143" t="s">
        <v>4775</v>
      </c>
      <c r="J1512" s="143" t="s">
        <v>2913</v>
      </c>
      <c r="K1512" s="143">
        <v>150</v>
      </c>
      <c r="L1512" s="143">
        <v>250</v>
      </c>
      <c r="Q1512" s="204"/>
      <c r="W1512" s="143" t="s">
        <v>3147</v>
      </c>
      <c r="X1512" s="143" t="str">
        <f t="shared" si="1"/>
        <v>5200#</v>
      </c>
      <c r="Y1512" s="169" t="s">
        <v>4776</v>
      </c>
      <c r="Z1512" s="169" t="str">
        <f t="shared" si="2"/>
        <v>5200#</v>
      </c>
      <c r="AA1512" s="173">
        <v>11.3</v>
      </c>
      <c r="AB1512" s="144">
        <v>45954</v>
      </c>
    </row>
    <row r="1513" ht="15" spans="1:34">
      <c r="A1513" s="143">
        <v>1470</v>
      </c>
      <c r="B1513" s="144">
        <v>45954</v>
      </c>
      <c r="C1513" s="169" t="s">
        <v>3277</v>
      </c>
      <c r="D1513" s="143" t="s">
        <v>41</v>
      </c>
      <c r="E1513" s="196" t="s">
        <v>4767</v>
      </c>
      <c r="F1513" s="143" t="s">
        <v>4777</v>
      </c>
      <c r="H1513" s="143" t="s">
        <v>4778</v>
      </c>
      <c r="I1513" s="143" t="s">
        <v>4779</v>
      </c>
      <c r="J1513" s="143" t="s">
        <v>1588</v>
      </c>
      <c r="K1513" s="143">
        <v>150</v>
      </c>
      <c r="L1513" s="143">
        <v>200</v>
      </c>
      <c r="Q1513" s="204"/>
      <c r="W1513" s="143" t="s">
        <v>3147</v>
      </c>
      <c r="X1513" s="143" t="str">
        <f t="shared" si="1"/>
        <v>107#</v>
      </c>
      <c r="Y1513" s="169" t="s">
        <v>4780</v>
      </c>
      <c r="Z1513" s="169" t="str">
        <f t="shared" si="2"/>
        <v>107#</v>
      </c>
      <c r="AA1513" s="173">
        <v>10.2</v>
      </c>
      <c r="AB1513" s="144">
        <v>45954</v>
      </c>
    </row>
    <row r="1514" ht="15" spans="1:34">
      <c r="A1514" s="143">
        <v>1471</v>
      </c>
      <c r="B1514" s="144">
        <v>45954</v>
      </c>
      <c r="C1514" s="169" t="s">
        <v>3277</v>
      </c>
      <c r="D1514" s="143" t="s">
        <v>41</v>
      </c>
      <c r="E1514" s="196" t="s">
        <v>4767</v>
      </c>
      <c r="F1514" s="143" t="s">
        <v>4781</v>
      </c>
      <c r="H1514" s="143" t="s">
        <v>4782</v>
      </c>
      <c r="I1514" s="143" t="s">
        <v>4783</v>
      </c>
      <c r="J1514" s="143" t="s">
        <v>484</v>
      </c>
      <c r="K1514" s="143">
        <v>150</v>
      </c>
      <c r="L1514" s="143">
        <v>280</v>
      </c>
      <c r="Q1514" s="204"/>
      <c r="W1514" s="143" t="s">
        <v>3147</v>
      </c>
      <c r="X1514" s="143" t="str">
        <f t="shared" si="1"/>
        <v>6692-2#</v>
      </c>
      <c r="Y1514" s="169" t="s">
        <v>4780</v>
      </c>
      <c r="Z1514" s="169" t="str">
        <f t="shared" si="2"/>
        <v>6692-2#</v>
      </c>
      <c r="AA1514" s="173">
        <v>13.6</v>
      </c>
      <c r="AB1514" s="144">
        <v>45954</v>
      </c>
    </row>
    <row r="1515" ht="15" spans="1:34">
      <c r="A1515" s="143">
        <v>1472</v>
      </c>
      <c r="B1515" s="144">
        <v>45954</v>
      </c>
      <c r="C1515" s="169" t="s">
        <v>3277</v>
      </c>
      <c r="D1515" s="143" t="s">
        <v>41</v>
      </c>
      <c r="E1515" s="196" t="s">
        <v>4784</v>
      </c>
      <c r="F1515" s="143" t="s">
        <v>4785</v>
      </c>
      <c r="H1515" s="143" t="s">
        <v>4786</v>
      </c>
      <c r="I1515" s="143" t="s">
        <v>3742</v>
      </c>
      <c r="J1515" s="143" t="s">
        <v>4144</v>
      </c>
      <c r="K1515" s="143">
        <v>165</v>
      </c>
      <c r="L1515" s="143">
        <v>170</v>
      </c>
      <c r="Q1515" s="204" t="s">
        <v>3658</v>
      </c>
      <c r="W1515" s="143" t="s">
        <v>3147</v>
      </c>
      <c r="X1515" s="143" t="str">
        <f t="shared" si="1"/>
        <v>160g水晶麻</v>
      </c>
      <c r="Y1515" s="169" t="s">
        <v>4787</v>
      </c>
      <c r="Z1515" s="169" t="str">
        <f t="shared" si="2"/>
        <v>160g水晶麻</v>
      </c>
      <c r="AA1515" s="173">
        <v>40.2</v>
      </c>
      <c r="AB1515" s="144">
        <v>45954</v>
      </c>
    </row>
    <row r="1516" ht="15" spans="1:34">
      <c r="A1516" s="143">
        <v>1473</v>
      </c>
      <c r="B1516" s="144">
        <v>45954</v>
      </c>
      <c r="C1516" s="169" t="s">
        <v>3277</v>
      </c>
      <c r="D1516" s="143" t="s">
        <v>41</v>
      </c>
      <c r="E1516" s="196" t="s">
        <v>4784</v>
      </c>
      <c r="F1516" s="143" t="s">
        <v>4788</v>
      </c>
      <c r="H1516" s="143" t="s">
        <v>4789</v>
      </c>
      <c r="I1516" s="143" t="s">
        <v>3742</v>
      </c>
      <c r="J1516" s="143" t="s">
        <v>4144</v>
      </c>
      <c r="K1516" s="143">
        <v>165</v>
      </c>
      <c r="L1516" s="143">
        <v>190</v>
      </c>
      <c r="Q1516" s="204" t="s">
        <v>4671</v>
      </c>
      <c r="W1516" s="143" t="s">
        <v>3147</v>
      </c>
      <c r="X1516" s="143" t="str">
        <f t="shared" si="1"/>
        <v>190-200g精品水晶麻 1304#</v>
      </c>
      <c r="Y1516" s="169" t="s">
        <v>4790</v>
      </c>
      <c r="Z1516" s="169" t="str">
        <f t="shared" si="2"/>
        <v>190-200g精品水晶麻 1304#</v>
      </c>
      <c r="AA1516" s="173">
        <v>41.2</v>
      </c>
      <c r="AB1516" s="144">
        <v>45954</v>
      </c>
    </row>
    <row r="1517" ht="15" spans="1:34">
      <c r="A1517" s="143">
        <v>1474</v>
      </c>
      <c r="B1517" s="144">
        <v>45954</v>
      </c>
      <c r="C1517" s="169" t="s">
        <v>3277</v>
      </c>
      <c r="D1517" s="143" t="s">
        <v>41</v>
      </c>
      <c r="E1517" s="196" t="s">
        <v>4784</v>
      </c>
      <c r="F1517" s="143" t="s">
        <v>4791</v>
      </c>
      <c r="H1517" s="143" t="s">
        <v>4792</v>
      </c>
      <c r="I1517" s="143" t="s">
        <v>377</v>
      </c>
      <c r="J1517" s="143" t="s">
        <v>4144</v>
      </c>
      <c r="K1517" s="143">
        <v>172</v>
      </c>
      <c r="L1517" s="143">
        <v>160</v>
      </c>
      <c r="Q1517" s="204" t="s">
        <v>3767</v>
      </c>
      <c r="W1517" s="143" t="s">
        <v>3147</v>
      </c>
      <c r="X1517" s="143" t="str">
        <f t="shared" si="1"/>
        <v>LF040 水晶麻</v>
      </c>
      <c r="Y1517" s="143" t="s">
        <v>3577</v>
      </c>
      <c r="Z1517" s="169" t="str">
        <f t="shared" si="2"/>
        <v>LF040 水晶麻</v>
      </c>
      <c r="AA1517" s="173">
        <v>39.5</v>
      </c>
      <c r="AB1517" s="144">
        <v>45954</v>
      </c>
    </row>
    <row r="1518" ht="15" spans="1:34">
      <c r="A1518" s="143">
        <v>1475</v>
      </c>
      <c r="B1518" s="144">
        <v>45954</v>
      </c>
      <c r="C1518" s="169" t="s">
        <v>3277</v>
      </c>
      <c r="D1518" s="143" t="s">
        <v>41</v>
      </c>
      <c r="E1518" s="196" t="s">
        <v>4793</v>
      </c>
      <c r="F1518" s="169" t="s">
        <v>4794</v>
      </c>
      <c r="H1518" s="143" t="s">
        <v>4795</v>
      </c>
      <c r="I1518" s="143" t="s">
        <v>3218</v>
      </c>
      <c r="J1518" s="143" t="s">
        <v>1577</v>
      </c>
      <c r="K1518" s="143">
        <v>165</v>
      </c>
      <c r="L1518" s="143">
        <v>165</v>
      </c>
      <c r="Q1518" s="204" t="s">
        <v>3753</v>
      </c>
      <c r="W1518" s="143" t="s">
        <v>3147</v>
      </c>
      <c r="X1518" s="143" t="str">
        <f t="shared" si="1"/>
        <v>蚂蚁布 1公分圆</v>
      </c>
      <c r="Y1518" s="169" t="s">
        <v>4796</v>
      </c>
      <c r="Z1518" s="169" t="str">
        <f t="shared" si="2"/>
        <v>蚂蚁布 1公分圆</v>
      </c>
      <c r="AA1518" s="173">
        <v>33.6</v>
      </c>
      <c r="AB1518" s="144">
        <v>45954</v>
      </c>
    </row>
    <row r="1519" ht="15" spans="1:34">
      <c r="A1519" s="143">
        <v>1476</v>
      </c>
      <c r="B1519" s="144">
        <v>45954</v>
      </c>
      <c r="C1519" s="169" t="s">
        <v>3277</v>
      </c>
      <c r="D1519" s="143" t="s">
        <v>41</v>
      </c>
      <c r="E1519" s="196" t="s">
        <v>4793</v>
      </c>
      <c r="F1519" s="169" t="s">
        <v>4797</v>
      </c>
      <c r="H1519" s="143" t="s">
        <v>4798</v>
      </c>
      <c r="I1519" s="143" t="s">
        <v>3218</v>
      </c>
      <c r="J1519" s="143" t="s">
        <v>1577</v>
      </c>
      <c r="K1519" s="143">
        <v>165</v>
      </c>
      <c r="L1519" s="143">
        <v>165</v>
      </c>
      <c r="Q1519" s="204" t="s">
        <v>3753</v>
      </c>
      <c r="W1519" s="143" t="s">
        <v>3147</v>
      </c>
      <c r="X1519" s="143" t="str">
        <f t="shared" si="1"/>
        <v>蚂蚁布 2公分圆</v>
      </c>
      <c r="Y1519" s="169" t="s">
        <v>4796</v>
      </c>
      <c r="Z1519" s="169" t="str">
        <f t="shared" si="2"/>
        <v>蚂蚁布 2公分圆</v>
      </c>
      <c r="AA1519" s="173">
        <v>33.6</v>
      </c>
      <c r="AB1519" s="144">
        <v>45954</v>
      </c>
    </row>
    <row r="1520" ht="15" spans="1:34">
      <c r="A1520" s="143">
        <v>1477</v>
      </c>
      <c r="B1520" s="144">
        <v>45954</v>
      </c>
      <c r="C1520" s="169" t="s">
        <v>3277</v>
      </c>
      <c r="D1520" s="143" t="s">
        <v>41</v>
      </c>
      <c r="E1520" s="196" t="s">
        <v>4793</v>
      </c>
      <c r="F1520" s="143" t="s">
        <v>4799</v>
      </c>
      <c r="H1520" s="143" t="s">
        <v>4800</v>
      </c>
      <c r="I1520" s="143" t="s">
        <v>4801</v>
      </c>
      <c r="J1520" s="143" t="s">
        <v>127</v>
      </c>
      <c r="K1520" s="143">
        <v>170</v>
      </c>
      <c r="L1520" s="143">
        <v>210</v>
      </c>
      <c r="Q1520" s="204" t="s">
        <v>3738</v>
      </c>
      <c r="W1520" s="143" t="s">
        <v>3147</v>
      </c>
      <c r="X1520" s="143" t="str">
        <f t="shared" si="1"/>
        <v>3037#</v>
      </c>
      <c r="Y1520" s="169" t="s">
        <v>4802</v>
      </c>
      <c r="Z1520" s="169" t="str">
        <f t="shared" si="2"/>
        <v>3037#</v>
      </c>
      <c r="AA1520" s="173">
        <v>60.7</v>
      </c>
      <c r="AB1520" s="144">
        <v>45954</v>
      </c>
      <c r="AH1520" s="169" t="s">
        <v>4803</v>
      </c>
    </row>
    <row r="1521" ht="15" spans="1:34">
      <c r="A1521" s="143">
        <v>1478</v>
      </c>
      <c r="B1521" s="144">
        <v>45954</v>
      </c>
      <c r="C1521" s="169" t="s">
        <v>3277</v>
      </c>
      <c r="D1521" s="143" t="s">
        <v>41</v>
      </c>
      <c r="E1521" s="196" t="s">
        <v>4793</v>
      </c>
      <c r="F1521" s="143" t="s">
        <v>4804</v>
      </c>
      <c r="H1521" s="143" t="s">
        <v>4805</v>
      </c>
      <c r="I1521" s="143" t="s">
        <v>4801</v>
      </c>
      <c r="J1521" s="143" t="s">
        <v>127</v>
      </c>
      <c r="K1521" s="143">
        <v>170</v>
      </c>
      <c r="L1521" s="143">
        <v>210</v>
      </c>
      <c r="Q1521" s="204" t="s">
        <v>3738</v>
      </c>
      <c r="W1521" s="143" t="s">
        <v>3147</v>
      </c>
      <c r="X1521" s="143" t="str">
        <f t="shared" si="1"/>
        <v>3070#</v>
      </c>
      <c r="Y1521" s="169" t="s">
        <v>4802</v>
      </c>
      <c r="Z1521" s="169" t="str">
        <f t="shared" si="2"/>
        <v>3070#</v>
      </c>
      <c r="AA1521" s="173">
        <v>58.6</v>
      </c>
      <c r="AB1521" s="144">
        <v>45954</v>
      </c>
      <c r="AH1521" s="169" t="s">
        <v>4803</v>
      </c>
    </row>
    <row r="1522" ht="15" spans="1:34">
      <c r="A1522" s="143">
        <v>1479</v>
      </c>
      <c r="B1522" s="144">
        <v>45954</v>
      </c>
      <c r="C1522" s="169" t="s">
        <v>3277</v>
      </c>
      <c r="D1522" s="143" t="s">
        <v>41</v>
      </c>
      <c r="E1522" s="196" t="s">
        <v>4806</v>
      </c>
      <c r="F1522" s="143" t="s">
        <v>4807</v>
      </c>
      <c r="H1522" s="143" t="s">
        <v>4808</v>
      </c>
      <c r="I1522" s="143" t="s">
        <v>45</v>
      </c>
      <c r="J1522" s="143" t="s">
        <v>3684</v>
      </c>
      <c r="K1522" s="143">
        <v>180</v>
      </c>
      <c r="L1522" s="143">
        <v>320</v>
      </c>
      <c r="Q1522" s="204" t="s">
        <v>4809</v>
      </c>
      <c r="W1522" s="143" t="s">
        <v>3147</v>
      </c>
      <c r="X1522" s="143" t="str">
        <f t="shared" si="1"/>
        <v>10-395# 天枢棉罗纹</v>
      </c>
      <c r="Y1522" s="143" t="s">
        <v>3772</v>
      </c>
      <c r="Z1522" s="169" t="str">
        <f t="shared" si="2"/>
        <v>10-395# 天枢棉罗纹</v>
      </c>
      <c r="AA1522" s="173">
        <v>63.5</v>
      </c>
      <c r="AB1522" s="144">
        <v>45954</v>
      </c>
    </row>
    <row r="1523" ht="15" spans="1:34">
      <c r="A1523" s="143">
        <v>1480</v>
      </c>
      <c r="B1523" s="144">
        <v>45954</v>
      </c>
      <c r="C1523" s="169" t="s">
        <v>3277</v>
      </c>
      <c r="D1523" s="143" t="s">
        <v>41</v>
      </c>
      <c r="E1523" s="196" t="s">
        <v>4806</v>
      </c>
      <c r="F1523" s="143" t="s">
        <v>4810</v>
      </c>
      <c r="H1523" s="143" t="s">
        <v>4811</v>
      </c>
      <c r="I1523" s="143" t="s">
        <v>45</v>
      </c>
      <c r="J1523" s="143" t="s">
        <v>3684</v>
      </c>
      <c r="K1523" s="143">
        <v>180</v>
      </c>
      <c r="L1523" s="143">
        <v>230</v>
      </c>
      <c r="Q1523" s="204" t="s">
        <v>3792</v>
      </c>
      <c r="W1523" s="143" t="s">
        <v>3147</v>
      </c>
      <c r="X1523" s="143" t="str">
        <f t="shared" si="1"/>
        <v>3964#天枢棉</v>
      </c>
      <c r="Y1523" s="143" t="s">
        <v>3772</v>
      </c>
      <c r="Z1523" s="169" t="str">
        <f t="shared" si="2"/>
        <v>3964#天枢棉</v>
      </c>
      <c r="AA1523" s="173">
        <v>64.5</v>
      </c>
      <c r="AB1523" s="144">
        <v>45954</v>
      </c>
    </row>
    <row r="1524" ht="15" spans="1:34">
      <c r="A1524" s="143">
        <v>1481</v>
      </c>
      <c r="B1524" s="144">
        <v>45954</v>
      </c>
      <c r="C1524" s="169" t="s">
        <v>3277</v>
      </c>
      <c r="D1524" s="143" t="s">
        <v>41</v>
      </c>
      <c r="E1524" s="196" t="s">
        <v>4806</v>
      </c>
      <c r="F1524" s="143" t="s">
        <v>4812</v>
      </c>
      <c r="H1524" s="143" t="s">
        <v>4813</v>
      </c>
      <c r="I1524" s="143" t="s">
        <v>45</v>
      </c>
      <c r="J1524" s="143" t="s">
        <v>3684</v>
      </c>
      <c r="K1524" s="143">
        <v>190</v>
      </c>
      <c r="L1524" s="143">
        <v>340</v>
      </c>
      <c r="Q1524" s="204" t="s">
        <v>4814</v>
      </c>
      <c r="W1524" s="143" t="s">
        <v>3147</v>
      </c>
      <c r="X1524" s="143" t="str">
        <f t="shared" si="1"/>
        <v>5038#自由间大卫衣</v>
      </c>
      <c r="Y1524" s="143" t="s">
        <v>3772</v>
      </c>
      <c r="Z1524" s="169" t="str">
        <f t="shared" si="2"/>
        <v>5038#自由间大卫衣</v>
      </c>
      <c r="AA1524" s="173">
        <v>59.2</v>
      </c>
      <c r="AB1524" s="144">
        <v>45954</v>
      </c>
    </row>
    <row r="1525" ht="15" spans="1:34">
      <c r="A1525" s="143">
        <v>1482</v>
      </c>
      <c r="B1525" s="144">
        <v>45954</v>
      </c>
      <c r="C1525" s="169" t="s">
        <v>3277</v>
      </c>
      <c r="D1525" s="143" t="s">
        <v>41</v>
      </c>
      <c r="E1525" s="196" t="s">
        <v>4806</v>
      </c>
      <c r="F1525" s="143" t="s">
        <v>4815</v>
      </c>
      <c r="H1525" s="143" t="s">
        <v>4816</v>
      </c>
      <c r="I1525" s="143" t="s">
        <v>4817</v>
      </c>
      <c r="J1525" s="143" t="s">
        <v>4818</v>
      </c>
      <c r="K1525" s="143">
        <v>185</v>
      </c>
      <c r="L1525" s="143">
        <v>280</v>
      </c>
      <c r="Q1525" s="204" t="s">
        <v>4819</v>
      </c>
      <c r="W1525" s="143" t="s">
        <v>3147</v>
      </c>
      <c r="X1525" s="143" t="str">
        <f t="shared" si="1"/>
        <v>10031#精品双纱</v>
      </c>
      <c r="Y1525" s="169" t="s">
        <v>3840</v>
      </c>
      <c r="Z1525" s="169" t="str">
        <f t="shared" si="2"/>
        <v>10031#精品双纱</v>
      </c>
      <c r="AA1525" s="173">
        <v>48</v>
      </c>
      <c r="AB1525" s="144">
        <v>45954</v>
      </c>
    </row>
    <row r="1526" ht="15" spans="1:34">
      <c r="A1526" s="143">
        <v>1483</v>
      </c>
      <c r="B1526" s="144">
        <v>45954</v>
      </c>
      <c r="C1526" s="169" t="s">
        <v>3277</v>
      </c>
      <c r="D1526" s="143" t="s">
        <v>41</v>
      </c>
      <c r="E1526" s="196" t="s">
        <v>4806</v>
      </c>
      <c r="F1526" s="143" t="s">
        <v>4820</v>
      </c>
      <c r="H1526" s="143" t="s">
        <v>4821</v>
      </c>
      <c r="I1526" s="143" t="s">
        <v>4822</v>
      </c>
      <c r="J1526" s="143" t="s">
        <v>4823</v>
      </c>
      <c r="K1526" s="143">
        <v>185</v>
      </c>
      <c r="L1526" s="143">
        <v>280</v>
      </c>
      <c r="Q1526" s="204" t="s">
        <v>4819</v>
      </c>
      <c r="W1526" s="143" t="s">
        <v>3147</v>
      </c>
      <c r="X1526" s="143" t="str">
        <f t="shared" si="1"/>
        <v>6503#秋韩卫衣自动间3+3</v>
      </c>
      <c r="Y1526" s="169" t="s">
        <v>3840</v>
      </c>
      <c r="Z1526" s="169" t="str">
        <f t="shared" si="2"/>
        <v>6503#秋韩卫衣自动间3+3</v>
      </c>
      <c r="AA1526" s="173">
        <v>55</v>
      </c>
      <c r="AB1526" s="144">
        <v>45954</v>
      </c>
    </row>
    <row r="1527" ht="15" spans="1:34">
      <c r="A1527" s="143">
        <v>1484</v>
      </c>
      <c r="B1527" s="144">
        <v>45954</v>
      </c>
      <c r="C1527" s="169" t="s">
        <v>3277</v>
      </c>
      <c r="D1527" s="143" t="s">
        <v>41</v>
      </c>
      <c r="E1527" s="196" t="s">
        <v>4806</v>
      </c>
      <c r="F1527" s="143" t="s">
        <v>4824</v>
      </c>
      <c r="H1527" s="143" t="s">
        <v>4825</v>
      </c>
      <c r="I1527" s="143" t="s">
        <v>3157</v>
      </c>
      <c r="J1527" s="143" t="s">
        <v>3684</v>
      </c>
      <c r="K1527" s="143">
        <v>190</v>
      </c>
      <c r="L1527" s="143">
        <v>280</v>
      </c>
      <c r="Q1527" s="204" t="s">
        <v>4826</v>
      </c>
      <c r="W1527" s="143" t="s">
        <v>3147</v>
      </c>
      <c r="X1527" s="143" t="str">
        <f t="shared" si="1"/>
        <v>10303#精棉双纱</v>
      </c>
      <c r="Y1527" s="169" t="s">
        <v>3840</v>
      </c>
      <c r="Z1527" s="169" t="str">
        <f t="shared" si="2"/>
        <v>10303#精棉双纱</v>
      </c>
      <c r="AA1527" s="173">
        <v>53</v>
      </c>
      <c r="AB1527" s="144">
        <v>45954</v>
      </c>
    </row>
    <row r="1528" ht="15" spans="1:34">
      <c r="A1528" s="143">
        <v>1485</v>
      </c>
      <c r="B1528" s="144">
        <v>45954</v>
      </c>
      <c r="C1528" s="169" t="s">
        <v>3277</v>
      </c>
      <c r="D1528" s="143" t="s">
        <v>41</v>
      </c>
      <c r="E1528" s="196" t="s">
        <v>4806</v>
      </c>
      <c r="F1528" s="143" t="s">
        <v>4827</v>
      </c>
      <c r="H1528" s="143" t="s">
        <v>4828</v>
      </c>
      <c r="I1528" s="143" t="s">
        <v>3390</v>
      </c>
      <c r="J1528" s="143" t="s">
        <v>4144</v>
      </c>
      <c r="K1528" s="143">
        <v>185</v>
      </c>
      <c r="L1528" s="143">
        <v>260</v>
      </c>
      <c r="Q1528" s="204" t="s">
        <v>3717</v>
      </c>
      <c r="W1528" s="143" t="s">
        <v>3147</v>
      </c>
      <c r="X1528" s="143" t="str">
        <f t="shared" si="1"/>
        <v>J40#九宫格4*4</v>
      </c>
      <c r="Y1528" s="169" t="s">
        <v>3840</v>
      </c>
      <c r="Z1528" s="169" t="str">
        <f t="shared" si="2"/>
        <v>J40#九宫格4*4</v>
      </c>
      <c r="AA1528" s="173">
        <v>40.3</v>
      </c>
      <c r="AB1528" s="144">
        <v>45954</v>
      </c>
    </row>
    <row r="1529" ht="15" spans="1:34">
      <c r="A1529" s="143">
        <v>1486</v>
      </c>
      <c r="B1529" s="144">
        <v>45954</v>
      </c>
      <c r="C1529" s="169" t="s">
        <v>3277</v>
      </c>
      <c r="D1529" s="143" t="s">
        <v>41</v>
      </c>
      <c r="E1529" s="196" t="s">
        <v>4806</v>
      </c>
      <c r="F1529" s="143" t="s">
        <v>4829</v>
      </c>
      <c r="H1529" s="143" t="s">
        <v>4830</v>
      </c>
      <c r="I1529" s="143" t="s">
        <v>4539</v>
      </c>
      <c r="J1529" s="143" t="s">
        <v>4823</v>
      </c>
      <c r="K1529" s="143">
        <v>185</v>
      </c>
      <c r="L1529" s="143">
        <v>200</v>
      </c>
      <c r="Q1529" s="204" t="s">
        <v>3813</v>
      </c>
      <c r="W1529" s="143" t="s">
        <v>3147</v>
      </c>
      <c r="X1529" s="143" t="str">
        <f t="shared" si="1"/>
        <v>AW075泰迪双纱</v>
      </c>
      <c r="Y1529" s="169" t="s">
        <v>3840</v>
      </c>
      <c r="Z1529" s="169" t="str">
        <f t="shared" si="2"/>
        <v>AW075泰迪双纱</v>
      </c>
      <c r="AA1529" s="173">
        <v>55</v>
      </c>
      <c r="AB1529" s="144">
        <v>45954</v>
      </c>
    </row>
    <row r="1530" ht="15" spans="1:34">
      <c r="A1530" s="143">
        <v>1487</v>
      </c>
      <c r="B1530" s="144">
        <v>45954</v>
      </c>
      <c r="C1530" s="169" t="s">
        <v>3277</v>
      </c>
      <c r="D1530" s="143" t="s">
        <v>41</v>
      </c>
      <c r="E1530" s="196" t="s">
        <v>4806</v>
      </c>
      <c r="F1530" s="143" t="s">
        <v>4831</v>
      </c>
      <c r="H1530" s="143" t="s">
        <v>4832</v>
      </c>
      <c r="I1530" s="143" t="s">
        <v>3157</v>
      </c>
      <c r="J1530" s="143" t="s">
        <v>3684</v>
      </c>
      <c r="K1530" s="143">
        <v>185</v>
      </c>
      <c r="L1530" s="143">
        <v>260</v>
      </c>
      <c r="Q1530" s="204" t="s">
        <v>3717</v>
      </c>
      <c r="W1530" s="143" t="s">
        <v>3147</v>
      </c>
      <c r="X1530" s="143" t="str">
        <f t="shared" si="1"/>
        <v>3V1212 棉双面</v>
      </c>
      <c r="Y1530" s="169" t="s">
        <v>4833</v>
      </c>
      <c r="Z1530" s="169" t="str">
        <f t="shared" si="2"/>
        <v>3V1212 棉双面</v>
      </c>
      <c r="AA1530" s="173">
        <v>49.3</v>
      </c>
      <c r="AB1530" s="144">
        <v>45954</v>
      </c>
    </row>
    <row r="1531" ht="15" spans="1:34">
      <c r="A1531" s="143">
        <v>1488</v>
      </c>
      <c r="B1531" s="144">
        <v>45954</v>
      </c>
      <c r="C1531" s="169" t="s">
        <v>3277</v>
      </c>
      <c r="D1531" s="143" t="s">
        <v>41</v>
      </c>
      <c r="E1531" s="196" t="s">
        <v>4806</v>
      </c>
      <c r="F1531" s="143" t="s">
        <v>4834</v>
      </c>
      <c r="H1531" s="143" t="s">
        <v>4835</v>
      </c>
      <c r="I1531" s="143" t="s">
        <v>4836</v>
      </c>
      <c r="J1531" s="143" t="s">
        <v>4837</v>
      </c>
      <c r="K1531" s="143">
        <v>185</v>
      </c>
      <c r="L1531" s="143">
        <v>290</v>
      </c>
      <c r="Q1531" s="204" t="s">
        <v>4826</v>
      </c>
      <c r="W1531" s="143" t="s">
        <v>3147</v>
      </c>
      <c r="X1531" s="143" t="str">
        <f t="shared" si="1"/>
        <v>KQ0707 天丝空气层</v>
      </c>
      <c r="Y1531" s="169" t="s">
        <v>4833</v>
      </c>
      <c r="Z1531" s="169" t="str">
        <f t="shared" si="2"/>
        <v>KQ0707 天丝空气层</v>
      </c>
      <c r="AA1531" s="173">
        <v>50.2</v>
      </c>
      <c r="AB1531" s="144">
        <v>45954</v>
      </c>
    </row>
    <row r="1532" ht="15" spans="1:34">
      <c r="A1532" s="143">
        <v>1489</v>
      </c>
      <c r="B1532" s="144">
        <v>45954</v>
      </c>
      <c r="C1532" s="169" t="s">
        <v>3277</v>
      </c>
      <c r="D1532" s="143" t="s">
        <v>41</v>
      </c>
      <c r="E1532" s="196" t="s">
        <v>4806</v>
      </c>
      <c r="F1532" s="143" t="s">
        <v>4838</v>
      </c>
      <c r="H1532" s="143" t="s">
        <v>4839</v>
      </c>
      <c r="I1532" s="143" t="s">
        <v>3390</v>
      </c>
      <c r="J1532" s="143" t="s">
        <v>4144</v>
      </c>
      <c r="K1532" s="143">
        <v>175</v>
      </c>
      <c r="L1532" s="143">
        <v>240</v>
      </c>
      <c r="Q1532" s="204" t="s">
        <v>3771</v>
      </c>
      <c r="W1532" s="143" t="s">
        <v>3147</v>
      </c>
      <c r="X1532" s="143" t="str">
        <f t="shared" si="1"/>
        <v>1L1010 酷丝绵罗纹</v>
      </c>
      <c r="Y1532" s="169" t="s">
        <v>4833</v>
      </c>
      <c r="Z1532" s="169" t="str">
        <f t="shared" si="2"/>
        <v>1L1010 酷丝绵罗纹</v>
      </c>
      <c r="AA1532" s="173">
        <v>30.5</v>
      </c>
      <c r="AB1532" s="144">
        <v>45954</v>
      </c>
    </row>
    <row r="1533" ht="15" spans="1:34">
      <c r="A1533" s="143">
        <v>1490</v>
      </c>
      <c r="B1533" s="144">
        <v>45954</v>
      </c>
      <c r="C1533" s="169" t="s">
        <v>3277</v>
      </c>
      <c r="D1533" s="143" t="s">
        <v>41</v>
      </c>
      <c r="E1533" s="196" t="s">
        <v>4806</v>
      </c>
      <c r="F1533" s="143" t="s">
        <v>4840</v>
      </c>
      <c r="H1533" s="143" t="s">
        <v>4841</v>
      </c>
      <c r="I1533" s="143" t="s">
        <v>436</v>
      </c>
      <c r="J1533" s="143" t="s">
        <v>4144</v>
      </c>
      <c r="K1533" s="143">
        <v>185</v>
      </c>
      <c r="L1533" s="143">
        <v>260</v>
      </c>
      <c r="Q1533" s="204" t="s">
        <v>3717</v>
      </c>
      <c r="W1533" s="143" t="s">
        <v>3147</v>
      </c>
      <c r="X1533" s="143" t="str">
        <f t="shared" si="1"/>
        <v>JG9090 九宫格</v>
      </c>
      <c r="Y1533" s="169" t="s">
        <v>4833</v>
      </c>
      <c r="Z1533" s="169" t="str">
        <f t="shared" si="2"/>
        <v>JG9090 九宫格</v>
      </c>
      <c r="AA1533" s="173">
        <v>38.2</v>
      </c>
      <c r="AB1533" s="144">
        <v>45954</v>
      </c>
    </row>
    <row r="1534" ht="15" spans="1:34">
      <c r="A1534" s="143">
        <v>1491</v>
      </c>
      <c r="B1534" s="144">
        <v>45954</v>
      </c>
      <c r="C1534" s="169" t="s">
        <v>3277</v>
      </c>
      <c r="D1534" s="143" t="s">
        <v>41</v>
      </c>
      <c r="E1534" s="196" t="s">
        <v>4806</v>
      </c>
      <c r="F1534" s="143" t="s">
        <v>4842</v>
      </c>
      <c r="H1534" s="143" t="s">
        <v>4843</v>
      </c>
      <c r="I1534" s="143" t="s">
        <v>3157</v>
      </c>
      <c r="J1534" s="143" t="s">
        <v>3684</v>
      </c>
      <c r="K1534" s="143">
        <v>180</v>
      </c>
      <c r="L1534" s="143">
        <v>260</v>
      </c>
      <c r="Q1534" s="204" t="s">
        <v>4844</v>
      </c>
      <c r="W1534" s="143" t="s">
        <v>3147</v>
      </c>
      <c r="X1534" s="143" t="str">
        <f t="shared" si="1"/>
        <v>2J8080 21支精棉双纱</v>
      </c>
      <c r="Y1534" s="169" t="s">
        <v>4833</v>
      </c>
      <c r="Z1534" s="169" t="str">
        <f t="shared" si="2"/>
        <v>2J8080 21支精棉双纱</v>
      </c>
      <c r="AA1534" s="173">
        <v>57</v>
      </c>
      <c r="AB1534" s="144">
        <v>45954</v>
      </c>
    </row>
    <row r="1535" ht="15" spans="1:34">
      <c r="A1535" s="143">
        <v>1492</v>
      </c>
      <c r="B1535" s="144">
        <v>45958</v>
      </c>
      <c r="C1535" s="169" t="s">
        <v>3277</v>
      </c>
      <c r="D1535" s="143" t="s">
        <v>41</v>
      </c>
      <c r="E1535" s="196" t="s">
        <v>4845</v>
      </c>
      <c r="F1535" s="143" t="s">
        <v>4846</v>
      </c>
      <c r="H1535" s="143" t="s">
        <v>4847</v>
      </c>
      <c r="I1535" s="143" t="s">
        <v>3390</v>
      </c>
      <c r="J1535" s="143" t="s">
        <v>4144</v>
      </c>
      <c r="K1535" s="143">
        <v>150</v>
      </c>
      <c r="L1535" s="143">
        <v>260</v>
      </c>
      <c r="W1535" s="143" t="s">
        <v>3147</v>
      </c>
      <c r="X1535" s="143" t="str">
        <f t="shared" si="1"/>
        <v>579#</v>
      </c>
      <c r="Y1535" s="169" t="s">
        <v>3154</v>
      </c>
      <c r="Z1535" s="169" t="str">
        <f t="shared" si="2"/>
        <v>579#</v>
      </c>
      <c r="AA1535" s="173">
        <v>11.7</v>
      </c>
      <c r="AB1535" s="144">
        <v>45959</v>
      </c>
    </row>
    <row r="1536" ht="15" spans="1:34">
      <c r="A1536" s="143">
        <v>1493</v>
      </c>
      <c r="B1536" s="144">
        <v>45958</v>
      </c>
      <c r="C1536" s="169" t="s">
        <v>3277</v>
      </c>
      <c r="D1536" s="143" t="s">
        <v>41</v>
      </c>
      <c r="E1536" s="196" t="s">
        <v>4845</v>
      </c>
      <c r="F1536" s="143" t="s">
        <v>4848</v>
      </c>
      <c r="H1536" s="143" t="s">
        <v>4849</v>
      </c>
      <c r="I1536" s="143" t="s">
        <v>3390</v>
      </c>
      <c r="J1536" s="143" t="s">
        <v>4144</v>
      </c>
      <c r="K1536" s="143">
        <v>150</v>
      </c>
      <c r="L1536" s="143">
        <v>270</v>
      </c>
      <c r="W1536" s="143" t="s">
        <v>3147</v>
      </c>
      <c r="X1536" s="143" t="str">
        <f t="shared" si="1"/>
        <v>591#</v>
      </c>
      <c r="Y1536" s="169" t="s">
        <v>3154</v>
      </c>
      <c r="Z1536" s="169" t="str">
        <f t="shared" si="2"/>
        <v>591#</v>
      </c>
      <c r="AA1536" s="173">
        <v>10.6</v>
      </c>
      <c r="AB1536" s="144">
        <v>45959</v>
      </c>
    </row>
    <row r="1537" ht="15" spans="1:28">
      <c r="A1537" s="143">
        <v>1494</v>
      </c>
      <c r="B1537" s="144">
        <v>45958</v>
      </c>
      <c r="C1537" s="169" t="s">
        <v>3277</v>
      </c>
      <c r="D1537" s="143" t="s">
        <v>41</v>
      </c>
      <c r="E1537" s="196" t="s">
        <v>4845</v>
      </c>
      <c r="F1537" s="143" t="s">
        <v>4850</v>
      </c>
      <c r="H1537" s="143" t="s">
        <v>4851</v>
      </c>
      <c r="I1537" s="143" t="s">
        <v>3390</v>
      </c>
      <c r="J1537" s="143" t="s">
        <v>4144</v>
      </c>
      <c r="K1537" s="143">
        <v>150</v>
      </c>
      <c r="L1537" s="143">
        <v>280</v>
      </c>
      <c r="W1537" s="143" t="s">
        <v>3147</v>
      </c>
      <c r="X1537" s="143" t="str">
        <f t="shared" si="1"/>
        <v>280#</v>
      </c>
      <c r="Y1537" s="169" t="s">
        <v>2107</v>
      </c>
      <c r="Z1537" s="169" t="str">
        <f t="shared" si="2"/>
        <v>280#</v>
      </c>
      <c r="AA1537" s="173">
        <v>11.5</v>
      </c>
      <c r="AB1537" s="144">
        <v>45959</v>
      </c>
    </row>
    <row r="1538" ht="15" spans="1:28">
      <c r="A1538" s="143">
        <v>1495</v>
      </c>
      <c r="B1538" s="144">
        <v>45961</v>
      </c>
      <c r="C1538" s="169" t="s">
        <v>3277</v>
      </c>
      <c r="D1538" s="143" t="s">
        <v>41</v>
      </c>
      <c r="E1538" s="196" t="s">
        <v>4852</v>
      </c>
      <c r="F1538" s="143">
        <v>617</v>
      </c>
      <c r="H1538" s="143" t="s">
        <v>4853</v>
      </c>
      <c r="I1538" s="143" t="s">
        <v>3157</v>
      </c>
      <c r="J1538" s="143" t="s">
        <v>3684</v>
      </c>
      <c r="K1538" s="143">
        <v>150</v>
      </c>
      <c r="L1538" s="143">
        <v>375</v>
      </c>
      <c r="W1538" s="143" t="s">
        <v>3147</v>
      </c>
      <c r="X1538" s="143">
        <f t="shared" si="1"/>
        <v>617</v>
      </c>
      <c r="Y1538" s="169" t="s">
        <v>4854</v>
      </c>
      <c r="Z1538" s="169">
        <f t="shared" si="2"/>
        <v>617</v>
      </c>
      <c r="AA1538" s="173">
        <v>15.8</v>
      </c>
      <c r="AB1538" s="144">
        <v>45961</v>
      </c>
    </row>
    <row r="1539" ht="15" spans="1:28">
      <c r="A1539" s="143">
        <v>1496</v>
      </c>
      <c r="B1539" s="144">
        <v>45961</v>
      </c>
      <c r="C1539" s="169" t="s">
        <v>3277</v>
      </c>
      <c r="D1539" s="143" t="s">
        <v>41</v>
      </c>
      <c r="E1539" s="196" t="s">
        <v>4852</v>
      </c>
      <c r="F1539" s="143" t="s">
        <v>4855</v>
      </c>
      <c r="H1539" s="143" t="s">
        <v>4856</v>
      </c>
      <c r="I1539" s="143" t="s">
        <v>3157</v>
      </c>
      <c r="J1539" s="143" t="s">
        <v>3684</v>
      </c>
      <c r="K1539" s="143">
        <v>150</v>
      </c>
      <c r="L1539" s="143">
        <v>470</v>
      </c>
      <c r="W1539" s="143" t="s">
        <v>3147</v>
      </c>
      <c r="X1539" s="143" t="str">
        <f t="shared" si="1"/>
        <v>P19801#</v>
      </c>
      <c r="Y1539" s="169" t="s">
        <v>4857</v>
      </c>
      <c r="Z1539" s="169" t="str">
        <f t="shared" si="2"/>
        <v>P19801#</v>
      </c>
      <c r="AA1539" s="173">
        <v>22.3</v>
      </c>
      <c r="AB1539" s="144">
        <v>45961</v>
      </c>
    </row>
    <row r="1540" ht="15" spans="1:28">
      <c r="A1540" s="143">
        <v>1497</v>
      </c>
      <c r="B1540" s="144">
        <v>45961</v>
      </c>
      <c r="C1540" s="169" t="s">
        <v>3277</v>
      </c>
      <c r="D1540" s="143" t="s">
        <v>41</v>
      </c>
      <c r="E1540" s="196" t="s">
        <v>4852</v>
      </c>
      <c r="F1540" s="143" t="s">
        <v>4858</v>
      </c>
      <c r="H1540" s="143" t="s">
        <v>4859</v>
      </c>
      <c r="I1540" s="143" t="s">
        <v>3157</v>
      </c>
      <c r="J1540" s="143" t="s">
        <v>3684</v>
      </c>
      <c r="K1540" s="143">
        <v>150</v>
      </c>
      <c r="L1540" s="143">
        <v>420</v>
      </c>
      <c r="W1540" s="143" t="s">
        <v>3147</v>
      </c>
      <c r="X1540" s="143" t="str">
        <f t="shared" si="1"/>
        <v>P19802#</v>
      </c>
      <c r="Y1540" s="169" t="s">
        <v>4857</v>
      </c>
      <c r="Z1540" s="169" t="str">
        <f t="shared" si="2"/>
        <v>P19802#</v>
      </c>
      <c r="AA1540" s="173">
        <v>21.5</v>
      </c>
      <c r="AB1540" s="144">
        <v>45961</v>
      </c>
    </row>
    <row r="1541" ht="15" spans="1:28">
      <c r="A1541" s="143">
        <v>1498</v>
      </c>
      <c r="B1541" s="144">
        <v>45961</v>
      </c>
      <c r="C1541" s="169" t="s">
        <v>3277</v>
      </c>
      <c r="D1541" s="143" t="s">
        <v>41</v>
      </c>
      <c r="E1541" s="196" t="s">
        <v>4852</v>
      </c>
      <c r="F1541" s="143" t="s">
        <v>4860</v>
      </c>
      <c r="H1541" s="143" t="s">
        <v>4861</v>
      </c>
      <c r="I1541" s="143" t="s">
        <v>3157</v>
      </c>
      <c r="J1541" s="143" t="s">
        <v>3684</v>
      </c>
      <c r="K1541" s="143">
        <v>150</v>
      </c>
      <c r="L1541" s="143">
        <v>370</v>
      </c>
      <c r="W1541" s="143" t="s">
        <v>3147</v>
      </c>
      <c r="X1541" s="143" t="str">
        <f t="shared" si="1"/>
        <v>P19803#</v>
      </c>
      <c r="Y1541" s="169" t="s">
        <v>4857</v>
      </c>
      <c r="Z1541" s="169" t="str">
        <f t="shared" si="2"/>
        <v>P19803#</v>
      </c>
      <c r="AA1541" s="173">
        <v>19</v>
      </c>
      <c r="AB1541" s="144">
        <v>45961</v>
      </c>
    </row>
    <row r="1542" ht="15" spans="1:28">
      <c r="A1542" s="143">
        <v>1499</v>
      </c>
      <c r="B1542" s="144">
        <v>45961</v>
      </c>
      <c r="C1542" s="169" t="s">
        <v>3277</v>
      </c>
      <c r="D1542" s="143" t="s">
        <v>41</v>
      </c>
      <c r="E1542" s="196" t="s">
        <v>4852</v>
      </c>
      <c r="F1542" s="143" t="s">
        <v>4862</v>
      </c>
      <c r="H1542" s="143" t="s">
        <v>4863</v>
      </c>
      <c r="I1542" s="143" t="s">
        <v>3157</v>
      </c>
      <c r="J1542" s="143" t="s">
        <v>3684</v>
      </c>
      <c r="K1542" s="143">
        <v>180</v>
      </c>
      <c r="L1542" s="143">
        <v>440</v>
      </c>
      <c r="W1542" s="143" t="s">
        <v>3147</v>
      </c>
      <c r="X1542" s="143" t="str">
        <f t="shared" si="1"/>
        <v>P191138#</v>
      </c>
      <c r="Y1542" s="169" t="s">
        <v>4857</v>
      </c>
      <c r="Z1542" s="169" t="str">
        <f t="shared" si="2"/>
        <v>P191138#</v>
      </c>
      <c r="AA1542" s="173">
        <v>16.3</v>
      </c>
      <c r="AB1542" s="144">
        <v>45961</v>
      </c>
    </row>
    <row r="1543" ht="15" spans="1:28">
      <c r="A1543" s="143">
        <v>1500</v>
      </c>
      <c r="B1543" s="144">
        <v>45961</v>
      </c>
      <c r="C1543" s="169" t="s">
        <v>3277</v>
      </c>
      <c r="D1543" s="143" t="s">
        <v>41</v>
      </c>
      <c r="E1543" s="196" t="s">
        <v>4852</v>
      </c>
      <c r="F1543" s="143" t="s">
        <v>4864</v>
      </c>
      <c r="H1543" s="143" t="s">
        <v>4865</v>
      </c>
      <c r="I1543" s="143" t="s">
        <v>3157</v>
      </c>
      <c r="J1543" s="143" t="s">
        <v>3684</v>
      </c>
      <c r="K1543" s="143">
        <v>180</v>
      </c>
      <c r="L1543" s="143">
        <v>440</v>
      </c>
      <c r="W1543" s="143" t="s">
        <v>3147</v>
      </c>
      <c r="X1543" s="143" t="str">
        <f t="shared" si="1"/>
        <v>P191148#</v>
      </c>
      <c r="Y1543" s="169" t="s">
        <v>4857</v>
      </c>
      <c r="Z1543" s="169" t="str">
        <f t="shared" si="2"/>
        <v>P191148#</v>
      </c>
      <c r="AA1543" s="173">
        <v>16.3</v>
      </c>
      <c r="AB1543" s="144">
        <v>45961</v>
      </c>
    </row>
    <row r="1544" ht="13.5" spans="1:28">
      <c r="A1544" s="143">
        <v>1501</v>
      </c>
      <c r="B1544" s="144">
        <v>45964</v>
      </c>
      <c r="C1544" s="169" t="s">
        <v>3148</v>
      </c>
      <c r="E1544" s="196" t="s">
        <v>3866</v>
      </c>
      <c r="F1544" s="205" t="s">
        <v>4866</v>
      </c>
      <c r="H1544" s="143" t="s">
        <v>4867</v>
      </c>
      <c r="I1544" s="206" t="s">
        <v>3218</v>
      </c>
      <c r="J1544" s="206" t="s">
        <v>330</v>
      </c>
      <c r="K1544" s="206">
        <v>150</v>
      </c>
      <c r="L1544" s="206">
        <v>266</v>
      </c>
      <c r="W1544" s="143" t="s">
        <v>3872</v>
      </c>
      <c r="X1544" s="205" t="s">
        <v>4866</v>
      </c>
      <c r="Y1544" s="143" t="s">
        <v>3872</v>
      </c>
      <c r="Z1544" s="205" t="s">
        <v>4866</v>
      </c>
      <c r="AA1544" s="206">
        <v>29</v>
      </c>
      <c r="AB1544" s="144">
        <v>45964</v>
      </c>
    </row>
    <row r="1545" ht="13.5" spans="1:28">
      <c r="A1545" s="143">
        <v>1502</v>
      </c>
      <c r="B1545" s="144">
        <v>45964</v>
      </c>
      <c r="C1545" s="169" t="s">
        <v>3148</v>
      </c>
      <c r="E1545" s="196" t="s">
        <v>3866</v>
      </c>
      <c r="F1545" s="205" t="s">
        <v>4868</v>
      </c>
      <c r="H1545" s="143" t="s">
        <v>4869</v>
      </c>
      <c r="I1545" s="206" t="s">
        <v>3218</v>
      </c>
      <c r="J1545" s="206" t="s">
        <v>330</v>
      </c>
      <c r="K1545" s="206">
        <v>150</v>
      </c>
      <c r="L1545" s="206">
        <v>273</v>
      </c>
      <c r="W1545" s="143" t="s">
        <v>3872</v>
      </c>
      <c r="X1545" s="205" t="s">
        <v>4868</v>
      </c>
      <c r="Y1545" s="143" t="s">
        <v>3872</v>
      </c>
      <c r="Z1545" s="205" t="s">
        <v>4868</v>
      </c>
      <c r="AA1545" s="206">
        <v>28.1</v>
      </c>
      <c r="AB1545" s="144">
        <v>45964</v>
      </c>
    </row>
    <row r="1546" ht="13.5" spans="1:28">
      <c r="A1546" s="143">
        <v>1503</v>
      </c>
      <c r="B1546" s="144">
        <v>45964</v>
      </c>
      <c r="C1546" s="169" t="s">
        <v>3148</v>
      </c>
      <c r="E1546" s="196" t="s">
        <v>3866</v>
      </c>
      <c r="F1546" s="205" t="s">
        <v>4870</v>
      </c>
      <c r="H1546" s="143" t="s">
        <v>4871</v>
      </c>
      <c r="I1546" s="206" t="s">
        <v>3218</v>
      </c>
      <c r="J1546" s="206" t="s">
        <v>330</v>
      </c>
      <c r="K1546" s="206">
        <v>150</v>
      </c>
      <c r="L1546" s="206">
        <v>476</v>
      </c>
      <c r="W1546" s="143" t="s">
        <v>3872</v>
      </c>
      <c r="X1546" s="205" t="s">
        <v>4872</v>
      </c>
      <c r="Y1546" s="143" t="s">
        <v>3872</v>
      </c>
      <c r="Z1546" s="205" t="s">
        <v>4872</v>
      </c>
      <c r="AA1546" s="206">
        <v>29.7</v>
      </c>
      <c r="AB1546" s="144">
        <v>45964</v>
      </c>
    </row>
    <row r="1547" ht="13.5" spans="1:28">
      <c r="A1547" s="143">
        <v>1504</v>
      </c>
      <c r="B1547" s="144">
        <v>45964</v>
      </c>
      <c r="C1547" s="169" t="s">
        <v>3148</v>
      </c>
      <c r="E1547" s="196" t="s">
        <v>3866</v>
      </c>
      <c r="F1547" s="205" t="s">
        <v>4873</v>
      </c>
      <c r="H1547" s="143" t="s">
        <v>4874</v>
      </c>
      <c r="I1547" s="206" t="s">
        <v>3218</v>
      </c>
      <c r="J1547" s="206" t="s">
        <v>330</v>
      </c>
      <c r="K1547" s="206">
        <v>150</v>
      </c>
      <c r="L1547" s="206">
        <v>200</v>
      </c>
      <c r="W1547" s="143" t="s">
        <v>3872</v>
      </c>
      <c r="X1547" s="205" t="s">
        <v>4873</v>
      </c>
      <c r="Y1547" s="143" t="s">
        <v>3872</v>
      </c>
      <c r="Z1547" s="205" t="s">
        <v>4873</v>
      </c>
      <c r="AA1547" s="206">
        <v>31.8</v>
      </c>
      <c r="AB1547" s="144">
        <v>45964</v>
      </c>
    </row>
    <row r="1548" ht="13.5" spans="1:28">
      <c r="A1548" s="143">
        <v>1505</v>
      </c>
      <c r="B1548" s="144">
        <v>45964</v>
      </c>
      <c r="C1548" s="169" t="s">
        <v>3148</v>
      </c>
      <c r="E1548" s="196" t="s">
        <v>3866</v>
      </c>
      <c r="F1548" s="205" t="s">
        <v>4875</v>
      </c>
      <c r="H1548" s="143" t="s">
        <v>4876</v>
      </c>
      <c r="I1548" s="206" t="s">
        <v>3869</v>
      </c>
      <c r="J1548" s="206" t="s">
        <v>3870</v>
      </c>
      <c r="K1548" s="206">
        <v>150</v>
      </c>
      <c r="L1548" s="206">
        <v>370</v>
      </c>
      <c r="W1548" s="143" t="s">
        <v>3872</v>
      </c>
      <c r="X1548" s="205" t="s">
        <v>4875</v>
      </c>
      <c r="Y1548" s="143" t="s">
        <v>3872</v>
      </c>
      <c r="Z1548" s="205" t="s">
        <v>4875</v>
      </c>
      <c r="AA1548" s="206">
        <v>31.2</v>
      </c>
      <c r="AB1548" s="144">
        <v>45964</v>
      </c>
    </row>
    <row r="1549" ht="13.5" spans="1:28">
      <c r="A1549" s="143">
        <v>1506</v>
      </c>
      <c r="B1549" s="144">
        <v>45964</v>
      </c>
      <c r="C1549" s="169" t="s">
        <v>3148</v>
      </c>
      <c r="E1549" s="196" t="s">
        <v>3866</v>
      </c>
      <c r="F1549" s="205" t="s">
        <v>4877</v>
      </c>
      <c r="H1549" s="143" t="s">
        <v>4878</v>
      </c>
      <c r="I1549" s="206" t="s">
        <v>4879</v>
      </c>
      <c r="J1549" s="206" t="s">
        <v>4880</v>
      </c>
      <c r="K1549" s="206">
        <v>150</v>
      </c>
      <c r="L1549" s="206">
        <v>225</v>
      </c>
      <c r="W1549" s="143" t="s">
        <v>3872</v>
      </c>
      <c r="X1549" s="205" t="s">
        <v>4877</v>
      </c>
      <c r="Y1549" s="143" t="s">
        <v>3872</v>
      </c>
      <c r="Z1549" s="205" t="s">
        <v>4877</v>
      </c>
      <c r="AA1549" s="206">
        <v>25.8</v>
      </c>
      <c r="AB1549" s="144">
        <v>45964</v>
      </c>
    </row>
    <row r="1550" ht="16.5" spans="1:28">
      <c r="A1550" s="143">
        <v>1507</v>
      </c>
      <c r="B1550" s="144">
        <v>45964</v>
      </c>
      <c r="C1550" s="169" t="s">
        <v>3148</v>
      </c>
      <c r="E1550" s="196" t="s">
        <v>3866</v>
      </c>
      <c r="F1550" s="205" t="s">
        <v>4881</v>
      </c>
      <c r="H1550" s="143" t="s">
        <v>4882</v>
      </c>
      <c r="I1550" s="207" t="s">
        <v>3218</v>
      </c>
      <c r="J1550" s="207" t="s">
        <v>330</v>
      </c>
      <c r="K1550" s="197">
        <v>150</v>
      </c>
      <c r="L1550" s="207">
        <v>236</v>
      </c>
      <c r="W1550" s="143" t="s">
        <v>3872</v>
      </c>
      <c r="X1550" s="205" t="s">
        <v>4881</v>
      </c>
      <c r="Y1550" s="143" t="s">
        <v>3872</v>
      </c>
      <c r="Z1550" s="205" t="s">
        <v>4881</v>
      </c>
      <c r="AA1550" s="207">
        <v>28.1</v>
      </c>
      <c r="AB1550" s="144">
        <v>45964</v>
      </c>
    </row>
    <row r="1551" ht="16.5" spans="1:28">
      <c r="A1551" s="143">
        <v>1508</v>
      </c>
      <c r="B1551" s="144">
        <v>45964</v>
      </c>
      <c r="C1551" s="169" t="s">
        <v>3148</v>
      </c>
      <c r="E1551" s="196" t="s">
        <v>3866</v>
      </c>
      <c r="F1551" s="205" t="s">
        <v>4883</v>
      </c>
      <c r="H1551" s="143" t="s">
        <v>4884</v>
      </c>
      <c r="I1551" s="207" t="s">
        <v>3218</v>
      </c>
      <c r="J1551" s="207" t="s">
        <v>330</v>
      </c>
      <c r="K1551" s="197">
        <v>150</v>
      </c>
      <c r="L1551" s="207">
        <v>300</v>
      </c>
      <c r="W1551" s="143" t="s">
        <v>3872</v>
      </c>
      <c r="X1551" s="205" t="s">
        <v>4883</v>
      </c>
      <c r="Y1551" s="143" t="s">
        <v>3872</v>
      </c>
      <c r="Z1551" s="205" t="s">
        <v>4883</v>
      </c>
      <c r="AA1551" s="207">
        <v>30.4</v>
      </c>
      <c r="AB1551" s="144">
        <v>45964</v>
      </c>
    </row>
    <row r="1552" ht="16.5" spans="1:28">
      <c r="A1552" s="143">
        <v>1509</v>
      </c>
      <c r="B1552" s="144">
        <v>45964</v>
      </c>
      <c r="C1552" s="169" t="s">
        <v>3148</v>
      </c>
      <c r="E1552" s="196" t="s">
        <v>3866</v>
      </c>
      <c r="F1552" s="205" t="s">
        <v>4885</v>
      </c>
      <c r="H1552" s="143" t="s">
        <v>4886</v>
      </c>
      <c r="I1552" s="207" t="s">
        <v>3869</v>
      </c>
      <c r="J1552" s="207" t="s">
        <v>3870</v>
      </c>
      <c r="K1552" s="197">
        <v>150</v>
      </c>
      <c r="L1552" s="207">
        <v>302</v>
      </c>
      <c r="W1552" s="143" t="s">
        <v>3872</v>
      </c>
      <c r="X1552" s="205" t="s">
        <v>4885</v>
      </c>
      <c r="Y1552" s="143" t="s">
        <v>3872</v>
      </c>
      <c r="Z1552" s="205" t="s">
        <v>4885</v>
      </c>
      <c r="AA1552" s="207">
        <v>28.2</v>
      </c>
      <c r="AB1552" s="144">
        <v>45964</v>
      </c>
    </row>
    <row r="1553" ht="16.5" spans="1:28">
      <c r="A1553" s="143">
        <v>1510</v>
      </c>
      <c r="B1553" s="144">
        <v>45964</v>
      </c>
      <c r="C1553" s="169" t="s">
        <v>3148</v>
      </c>
      <c r="E1553" s="196" t="s">
        <v>3866</v>
      </c>
      <c r="F1553" s="205" t="s">
        <v>3948</v>
      </c>
      <c r="H1553" s="143" t="s">
        <v>4887</v>
      </c>
      <c r="I1553" s="207" t="s">
        <v>3218</v>
      </c>
      <c r="J1553" s="207" t="s">
        <v>330</v>
      </c>
      <c r="K1553" s="197">
        <v>150</v>
      </c>
      <c r="L1553" s="207">
        <v>244</v>
      </c>
      <c r="W1553" s="143" t="s">
        <v>3872</v>
      </c>
      <c r="X1553" s="205" t="s">
        <v>3948</v>
      </c>
      <c r="Y1553" s="143" t="s">
        <v>3872</v>
      </c>
      <c r="Z1553" s="205" t="s">
        <v>3948</v>
      </c>
      <c r="AA1553" s="207">
        <v>29.7</v>
      </c>
      <c r="AB1553" s="144">
        <v>45964</v>
      </c>
    </row>
    <row r="1554" ht="13.5" spans="1:28">
      <c r="A1554" s="143">
        <v>1511</v>
      </c>
      <c r="B1554" s="144">
        <v>45964</v>
      </c>
      <c r="C1554" s="169" t="s">
        <v>3148</v>
      </c>
      <c r="E1554" s="196" t="s">
        <v>3866</v>
      </c>
      <c r="F1554" s="205" t="s">
        <v>4888</v>
      </c>
      <c r="H1554" s="143" t="s">
        <v>4889</v>
      </c>
      <c r="I1554" s="206" t="s">
        <v>4890</v>
      </c>
      <c r="J1554" s="206" t="s">
        <v>4891</v>
      </c>
      <c r="K1554" s="206">
        <v>150</v>
      </c>
      <c r="L1554" s="206">
        <v>254</v>
      </c>
      <c r="W1554" s="143" t="s">
        <v>3872</v>
      </c>
      <c r="X1554" s="205" t="s">
        <v>4888</v>
      </c>
      <c r="Y1554" s="143" t="s">
        <v>3872</v>
      </c>
      <c r="Z1554" s="205" t="s">
        <v>4888</v>
      </c>
      <c r="AA1554" s="206">
        <v>34.4</v>
      </c>
      <c r="AB1554" s="144">
        <v>45964</v>
      </c>
    </row>
    <row r="1555" ht="16.5" spans="1:28">
      <c r="A1555" s="143">
        <v>1512</v>
      </c>
      <c r="B1555" s="144">
        <v>45964</v>
      </c>
      <c r="C1555" s="169" t="s">
        <v>3148</v>
      </c>
      <c r="E1555" s="196" t="s">
        <v>3866</v>
      </c>
      <c r="F1555" s="205" t="s">
        <v>3972</v>
      </c>
      <c r="H1555" s="143" t="s">
        <v>4892</v>
      </c>
      <c r="I1555" s="207" t="s">
        <v>4893</v>
      </c>
      <c r="J1555" s="207" t="s">
        <v>4894</v>
      </c>
      <c r="K1555" s="197">
        <v>150</v>
      </c>
      <c r="L1555" s="207">
        <v>300</v>
      </c>
      <c r="W1555" s="143" t="s">
        <v>3872</v>
      </c>
      <c r="X1555" s="205" t="s">
        <v>3972</v>
      </c>
      <c r="Y1555" s="143" t="s">
        <v>3872</v>
      </c>
      <c r="Z1555" s="205" t="s">
        <v>3972</v>
      </c>
      <c r="AA1555" s="207">
        <v>39.2</v>
      </c>
      <c r="AB1555" s="144">
        <v>45964</v>
      </c>
    </row>
    <row r="1556" ht="13.5" spans="1:28">
      <c r="A1556" s="143">
        <v>1513</v>
      </c>
      <c r="B1556" s="144">
        <v>45964</v>
      </c>
      <c r="C1556" s="169" t="s">
        <v>3148</v>
      </c>
      <c r="E1556" s="196" t="s">
        <v>3866</v>
      </c>
      <c r="F1556" s="205" t="s">
        <v>4895</v>
      </c>
      <c r="H1556" s="143" t="s">
        <v>4896</v>
      </c>
      <c r="I1556" s="206" t="s">
        <v>4238</v>
      </c>
      <c r="J1556" s="206" t="s">
        <v>3870</v>
      </c>
      <c r="K1556" s="206">
        <v>150</v>
      </c>
      <c r="L1556" s="206">
        <v>212</v>
      </c>
      <c r="W1556" s="143" t="s">
        <v>3872</v>
      </c>
      <c r="X1556" s="205" t="s">
        <v>4895</v>
      </c>
      <c r="Y1556" s="143" t="s">
        <v>3872</v>
      </c>
      <c r="Z1556" s="205" t="s">
        <v>4895</v>
      </c>
      <c r="AA1556" s="206">
        <v>27.6</v>
      </c>
      <c r="AB1556" s="144">
        <v>45964</v>
      </c>
    </row>
    <row r="1557" ht="13.5" spans="1:28">
      <c r="A1557" s="143">
        <v>1514</v>
      </c>
      <c r="B1557" s="144">
        <v>45964</v>
      </c>
      <c r="C1557" s="169" t="s">
        <v>3148</v>
      </c>
      <c r="E1557" s="196" t="s">
        <v>3866</v>
      </c>
      <c r="F1557" s="205" t="s">
        <v>4897</v>
      </c>
      <c r="H1557" s="143" t="s">
        <v>4898</v>
      </c>
      <c r="I1557" s="206" t="s">
        <v>4899</v>
      </c>
      <c r="J1557" s="206" t="s">
        <v>4900</v>
      </c>
      <c r="K1557" s="206">
        <v>150</v>
      </c>
      <c r="L1557" s="206">
        <v>250</v>
      </c>
      <c r="W1557" s="143" t="s">
        <v>3872</v>
      </c>
      <c r="X1557" s="205" t="s">
        <v>4897</v>
      </c>
      <c r="Y1557" s="143" t="s">
        <v>3872</v>
      </c>
      <c r="Z1557" s="205" t="s">
        <v>4897</v>
      </c>
      <c r="AA1557" s="206">
        <v>31.7</v>
      </c>
      <c r="AB1557" s="144">
        <v>45964</v>
      </c>
    </row>
    <row r="1558" ht="13.5" spans="1:28">
      <c r="A1558" s="143">
        <v>1515</v>
      </c>
      <c r="B1558" s="144">
        <v>45964</v>
      </c>
      <c r="C1558" s="169" t="s">
        <v>3148</v>
      </c>
      <c r="E1558" s="196" t="s">
        <v>3866</v>
      </c>
      <c r="F1558" s="205" t="s">
        <v>4901</v>
      </c>
      <c r="H1558" s="143" t="s">
        <v>4902</v>
      </c>
      <c r="I1558" s="206" t="s">
        <v>4899</v>
      </c>
      <c r="J1558" s="206" t="s">
        <v>4900</v>
      </c>
      <c r="K1558" s="206">
        <v>150</v>
      </c>
      <c r="L1558" s="206">
        <v>258</v>
      </c>
      <c r="W1558" s="143" t="s">
        <v>3872</v>
      </c>
      <c r="X1558" s="205" t="s">
        <v>4901</v>
      </c>
      <c r="Y1558" s="143" t="s">
        <v>3872</v>
      </c>
      <c r="Z1558" s="205" t="s">
        <v>4901</v>
      </c>
      <c r="AA1558" s="206">
        <v>30.1</v>
      </c>
      <c r="AB1558" s="144">
        <v>45964</v>
      </c>
    </row>
    <row r="1559" ht="13.5" spans="1:28">
      <c r="A1559" s="143">
        <v>1516</v>
      </c>
      <c r="B1559" s="144">
        <v>45964</v>
      </c>
      <c r="C1559" s="169" t="s">
        <v>3148</v>
      </c>
      <c r="E1559" s="196" t="s">
        <v>3866</v>
      </c>
      <c r="F1559" s="205" t="s">
        <v>4903</v>
      </c>
      <c r="H1559" s="143" t="s">
        <v>4904</v>
      </c>
      <c r="I1559" s="206" t="s">
        <v>3218</v>
      </c>
      <c r="J1559" s="206" t="s">
        <v>330</v>
      </c>
      <c r="K1559" s="206">
        <v>150</v>
      </c>
      <c r="L1559" s="206">
        <v>228</v>
      </c>
      <c r="W1559" s="143" t="s">
        <v>3872</v>
      </c>
      <c r="X1559" s="205" t="s">
        <v>4903</v>
      </c>
      <c r="Y1559" s="143" t="s">
        <v>3872</v>
      </c>
      <c r="Z1559" s="205" t="s">
        <v>4903</v>
      </c>
      <c r="AA1559" s="206">
        <v>28.3</v>
      </c>
      <c r="AB1559" s="144">
        <v>45964</v>
      </c>
    </row>
    <row r="1560" ht="13.5" spans="1:28">
      <c r="A1560" s="143">
        <v>1517</v>
      </c>
      <c r="B1560" s="144">
        <v>45964</v>
      </c>
      <c r="C1560" s="169" t="s">
        <v>3148</v>
      </c>
      <c r="E1560" s="196" t="s">
        <v>3866</v>
      </c>
      <c r="F1560" s="205" t="s">
        <v>4905</v>
      </c>
      <c r="H1560" s="143" t="s">
        <v>4906</v>
      </c>
      <c r="I1560" s="206" t="s">
        <v>3218</v>
      </c>
      <c r="J1560" s="206" t="s">
        <v>330</v>
      </c>
      <c r="K1560" s="206">
        <v>150</v>
      </c>
      <c r="L1560" s="206">
        <v>314</v>
      </c>
      <c r="W1560" s="143" t="s">
        <v>3872</v>
      </c>
      <c r="X1560" s="205" t="s">
        <v>4905</v>
      </c>
      <c r="Y1560" s="143" t="s">
        <v>3872</v>
      </c>
      <c r="Z1560" s="205" t="s">
        <v>4905</v>
      </c>
      <c r="AA1560" s="206">
        <v>29.3</v>
      </c>
      <c r="AB1560" s="144">
        <v>45964</v>
      </c>
    </row>
    <row r="1561" ht="13.5" spans="1:28">
      <c r="A1561" s="143">
        <v>1518</v>
      </c>
      <c r="B1561" s="144">
        <v>45964</v>
      </c>
      <c r="C1561" s="169" t="s">
        <v>3148</v>
      </c>
      <c r="E1561" s="196" t="s">
        <v>3866</v>
      </c>
      <c r="F1561" s="205" t="s">
        <v>4907</v>
      </c>
      <c r="H1561" s="143" t="s">
        <v>4908</v>
      </c>
      <c r="I1561" s="206" t="s">
        <v>3218</v>
      </c>
      <c r="J1561" s="206" t="s">
        <v>330</v>
      </c>
      <c r="K1561" s="206">
        <v>150</v>
      </c>
      <c r="L1561" s="206">
        <v>309</v>
      </c>
      <c r="W1561" s="143" t="s">
        <v>3872</v>
      </c>
      <c r="X1561" s="205" t="s">
        <v>4907</v>
      </c>
      <c r="Y1561" s="143" t="s">
        <v>3872</v>
      </c>
      <c r="Z1561" s="205" t="s">
        <v>4907</v>
      </c>
      <c r="AA1561" s="206">
        <v>20.9</v>
      </c>
      <c r="AB1561" s="144">
        <v>45964</v>
      </c>
    </row>
    <row r="1562" ht="13.5" spans="1:28">
      <c r="A1562" s="143">
        <v>1519</v>
      </c>
      <c r="B1562" s="144">
        <v>45964</v>
      </c>
      <c r="C1562" s="169" t="s">
        <v>3148</v>
      </c>
      <c r="E1562" s="196" t="s">
        <v>3866</v>
      </c>
      <c r="F1562" s="205" t="s">
        <v>4909</v>
      </c>
      <c r="H1562" s="143" t="s">
        <v>4910</v>
      </c>
      <c r="I1562" s="206" t="s">
        <v>3218</v>
      </c>
      <c r="J1562" s="206" t="s">
        <v>330</v>
      </c>
      <c r="K1562" s="206">
        <v>150</v>
      </c>
      <c r="L1562" s="206">
        <v>200</v>
      </c>
      <c r="W1562" s="143" t="s">
        <v>3872</v>
      </c>
      <c r="X1562" s="205" t="s">
        <v>4909</v>
      </c>
      <c r="Y1562" s="143" t="s">
        <v>3872</v>
      </c>
      <c r="Z1562" s="205" t="s">
        <v>4909</v>
      </c>
      <c r="AA1562" s="206">
        <v>31.8</v>
      </c>
      <c r="AB1562" s="144">
        <v>45964</v>
      </c>
    </row>
    <row r="1563" ht="16.5" spans="1:28">
      <c r="A1563" s="143">
        <v>1520</v>
      </c>
      <c r="B1563" s="144">
        <v>45964</v>
      </c>
      <c r="C1563" s="169" t="s">
        <v>3148</v>
      </c>
      <c r="E1563" s="196" t="s">
        <v>3866</v>
      </c>
      <c r="F1563" s="205" t="s">
        <v>3890</v>
      </c>
      <c r="H1563" s="143" t="s">
        <v>4911</v>
      </c>
      <c r="I1563" s="207" t="s">
        <v>3869</v>
      </c>
      <c r="J1563" s="207" t="s">
        <v>3870</v>
      </c>
      <c r="K1563" s="197">
        <v>150</v>
      </c>
      <c r="L1563" s="207">
        <v>302</v>
      </c>
      <c r="W1563" s="143" t="s">
        <v>3872</v>
      </c>
      <c r="X1563" s="205" t="s">
        <v>3890</v>
      </c>
      <c r="Y1563" s="143" t="s">
        <v>3872</v>
      </c>
      <c r="Z1563" s="205" t="s">
        <v>3890</v>
      </c>
      <c r="AA1563" s="207">
        <v>28.2</v>
      </c>
      <c r="AB1563" s="144">
        <v>45964</v>
      </c>
    </row>
    <row r="1564" ht="16.5" spans="1:28">
      <c r="A1564" s="143">
        <v>1521</v>
      </c>
      <c r="B1564" s="144">
        <v>45964</v>
      </c>
      <c r="C1564" s="169" t="s">
        <v>3148</v>
      </c>
      <c r="E1564" s="196" t="s">
        <v>3866</v>
      </c>
      <c r="F1564" s="205" t="s">
        <v>3892</v>
      </c>
      <c r="H1564" s="143" t="s">
        <v>4912</v>
      </c>
      <c r="I1564" s="207" t="s">
        <v>3218</v>
      </c>
      <c r="J1564" s="207" t="s">
        <v>330</v>
      </c>
      <c r="K1564" s="197">
        <v>150</v>
      </c>
      <c r="L1564" s="207">
        <v>203</v>
      </c>
      <c r="W1564" s="143" t="s">
        <v>3872</v>
      </c>
      <c r="X1564" s="205" t="s">
        <v>3892</v>
      </c>
      <c r="Y1564" s="143" t="s">
        <v>3872</v>
      </c>
      <c r="Z1564" s="205" t="s">
        <v>3892</v>
      </c>
      <c r="AA1564" s="207">
        <v>18</v>
      </c>
      <c r="AB1564" s="144">
        <v>45964</v>
      </c>
    </row>
    <row r="1565" ht="13.5" spans="1:28">
      <c r="A1565" s="143">
        <v>1522</v>
      </c>
      <c r="B1565" s="144">
        <v>45964</v>
      </c>
      <c r="C1565" s="169" t="s">
        <v>3148</v>
      </c>
      <c r="E1565" s="196" t="s">
        <v>3866</v>
      </c>
      <c r="F1565" s="205" t="s">
        <v>4913</v>
      </c>
      <c r="H1565" s="143" t="s">
        <v>4914</v>
      </c>
      <c r="I1565" s="206" t="s">
        <v>3218</v>
      </c>
      <c r="J1565" s="206" t="s">
        <v>330</v>
      </c>
      <c r="K1565" s="206">
        <v>150</v>
      </c>
      <c r="L1565" s="206">
        <v>216</v>
      </c>
      <c r="W1565" s="143" t="s">
        <v>3872</v>
      </c>
      <c r="X1565" s="205" t="s">
        <v>4913</v>
      </c>
      <c r="Y1565" s="143" t="s">
        <v>3872</v>
      </c>
      <c r="Z1565" s="205" t="s">
        <v>4913</v>
      </c>
      <c r="AA1565" s="206">
        <v>23.4</v>
      </c>
      <c r="AB1565" s="144">
        <v>45964</v>
      </c>
    </row>
    <row r="1566" ht="16.5" spans="1:28">
      <c r="A1566" s="143">
        <v>1523</v>
      </c>
      <c r="B1566" s="144">
        <v>45964</v>
      </c>
      <c r="C1566" s="169" t="s">
        <v>3148</v>
      </c>
      <c r="E1566" s="196" t="s">
        <v>3866</v>
      </c>
      <c r="F1566" s="205" t="s">
        <v>3972</v>
      </c>
      <c r="H1566" s="143" t="s">
        <v>4915</v>
      </c>
      <c r="I1566" s="207" t="s">
        <v>4893</v>
      </c>
      <c r="J1566" s="207" t="s">
        <v>4894</v>
      </c>
      <c r="K1566" s="197">
        <v>150</v>
      </c>
      <c r="L1566" s="207">
        <v>300</v>
      </c>
      <c r="W1566" s="143" t="s">
        <v>3872</v>
      </c>
      <c r="X1566" s="205" t="s">
        <v>3972</v>
      </c>
      <c r="Y1566" s="143" t="s">
        <v>3872</v>
      </c>
      <c r="Z1566" s="205" t="s">
        <v>3972</v>
      </c>
      <c r="AA1566" s="207">
        <v>39.2</v>
      </c>
      <c r="AB1566" s="144">
        <v>45964</v>
      </c>
    </row>
    <row r="1567" ht="13.5" spans="1:28">
      <c r="A1567" s="143">
        <v>1524</v>
      </c>
      <c r="B1567" s="144">
        <v>45964</v>
      </c>
      <c r="C1567" s="169" t="s">
        <v>3148</v>
      </c>
      <c r="E1567" s="196" t="s">
        <v>3866</v>
      </c>
      <c r="F1567" s="205" t="s">
        <v>4469</v>
      </c>
      <c r="H1567" s="143" t="s">
        <v>4916</v>
      </c>
      <c r="I1567" s="206" t="s">
        <v>4238</v>
      </c>
      <c r="J1567" s="206" t="s">
        <v>3870</v>
      </c>
      <c r="K1567" s="206">
        <v>150</v>
      </c>
      <c r="L1567" s="206">
        <v>286</v>
      </c>
      <c r="W1567" s="143" t="s">
        <v>3872</v>
      </c>
      <c r="X1567" s="205" t="s">
        <v>4469</v>
      </c>
      <c r="Y1567" s="143" t="s">
        <v>3872</v>
      </c>
      <c r="Z1567" s="205" t="s">
        <v>4469</v>
      </c>
      <c r="AA1567" s="206">
        <v>29.5</v>
      </c>
      <c r="AB1567" s="144">
        <v>45964</v>
      </c>
    </row>
    <row r="1568" ht="13.5" spans="1:28">
      <c r="A1568" s="143">
        <v>1525</v>
      </c>
      <c r="B1568" s="144">
        <v>45964</v>
      </c>
      <c r="C1568" s="169" t="s">
        <v>3148</v>
      </c>
      <c r="E1568" s="196" t="s">
        <v>3866</v>
      </c>
      <c r="F1568" s="205" t="s">
        <v>4475</v>
      </c>
      <c r="H1568" s="143" t="s">
        <v>4917</v>
      </c>
      <c r="I1568" s="206" t="s">
        <v>3218</v>
      </c>
      <c r="J1568" s="206" t="s">
        <v>330</v>
      </c>
      <c r="K1568" s="206">
        <v>150</v>
      </c>
      <c r="L1568" s="206">
        <v>229</v>
      </c>
      <c r="W1568" s="143" t="s">
        <v>3872</v>
      </c>
      <c r="X1568" s="205" t="s">
        <v>4475</v>
      </c>
      <c r="Y1568" s="143" t="s">
        <v>3872</v>
      </c>
      <c r="Z1568" s="205" t="s">
        <v>4475</v>
      </c>
      <c r="AA1568" s="206">
        <v>25.9</v>
      </c>
      <c r="AB1568" s="144">
        <v>45964</v>
      </c>
    </row>
    <row r="1569" ht="16.5" spans="1:28">
      <c r="A1569" s="143">
        <v>1526</v>
      </c>
      <c r="C1569" s="169"/>
      <c r="E1569" s="196"/>
      <c r="F1569" s="15" t="s">
        <v>4475</v>
      </c>
      <c r="H1569" s="143" t="s">
        <v>4918</v>
      </c>
      <c r="I1569" s="207" t="s">
        <v>3218</v>
      </c>
      <c r="J1569" s="207" t="s">
        <v>330</v>
      </c>
      <c r="K1569" s="197">
        <v>150</v>
      </c>
      <c r="L1569" s="207">
        <v>249</v>
      </c>
      <c r="W1569" s="143" t="s">
        <v>3872</v>
      </c>
      <c r="X1569" s="15" t="s">
        <v>4475</v>
      </c>
      <c r="Y1569" s="143" t="s">
        <v>3872</v>
      </c>
      <c r="Z1569" s="15" t="s">
        <v>4475</v>
      </c>
      <c r="AA1569" s="207">
        <v>26.4</v>
      </c>
      <c r="AB1569" s="144"/>
    </row>
    <row r="1570" ht="16.5" spans="1:28">
      <c r="A1570" s="143">
        <v>1527</v>
      </c>
      <c r="C1570" s="169"/>
      <c r="E1570" s="196"/>
      <c r="F1570" s="205" t="s">
        <v>4919</v>
      </c>
      <c r="H1570" s="143" t="s">
        <v>4920</v>
      </c>
      <c r="I1570" s="207" t="s">
        <v>4921</v>
      </c>
      <c r="J1570" s="207" t="s">
        <v>4922</v>
      </c>
      <c r="K1570" s="197">
        <v>150</v>
      </c>
      <c r="L1570" s="207">
        <v>150</v>
      </c>
      <c r="W1570" s="143" t="s">
        <v>3872</v>
      </c>
      <c r="X1570" s="205" t="s">
        <v>4919</v>
      </c>
      <c r="Y1570" s="143" t="s">
        <v>3872</v>
      </c>
      <c r="Z1570" s="205" t="s">
        <v>4919</v>
      </c>
      <c r="AA1570" s="207">
        <v>34.8</v>
      </c>
      <c r="AB1570" s="144"/>
    </row>
    <row r="1571" ht="16.5" spans="1:28">
      <c r="A1571" s="143">
        <v>1528</v>
      </c>
      <c r="C1571" s="169"/>
      <c r="E1571" s="196"/>
      <c r="F1571" s="205" t="s">
        <v>4923</v>
      </c>
      <c r="H1571" s="143" t="s">
        <v>4924</v>
      </c>
      <c r="I1571" s="207" t="s">
        <v>4925</v>
      </c>
      <c r="J1571" s="207" t="s">
        <v>4925</v>
      </c>
      <c r="K1571" s="197">
        <v>150</v>
      </c>
      <c r="L1571" s="207">
        <v>200</v>
      </c>
      <c r="W1571" s="143" t="s">
        <v>3872</v>
      </c>
      <c r="X1571" s="205" t="s">
        <v>4923</v>
      </c>
      <c r="Y1571" s="143" t="s">
        <v>3872</v>
      </c>
      <c r="Z1571" s="205" t="s">
        <v>4923</v>
      </c>
      <c r="AA1571" s="207" t="s">
        <v>4926</v>
      </c>
      <c r="AB1571" s="144"/>
    </row>
    <row r="1572" ht="16.5" spans="1:28">
      <c r="A1572" s="143">
        <v>1529</v>
      </c>
      <c r="C1572" s="169"/>
      <c r="E1572" s="196"/>
      <c r="F1572" s="205" t="s">
        <v>4927</v>
      </c>
      <c r="H1572" s="143" t="s">
        <v>4928</v>
      </c>
      <c r="I1572" s="207" t="s">
        <v>3218</v>
      </c>
      <c r="J1572" s="207" t="s">
        <v>330</v>
      </c>
      <c r="K1572" s="197">
        <v>150</v>
      </c>
      <c r="L1572" s="207">
        <v>288</v>
      </c>
      <c r="W1572" s="143" t="s">
        <v>3872</v>
      </c>
      <c r="X1572" s="205" t="s">
        <v>4927</v>
      </c>
      <c r="Y1572" s="143" t="s">
        <v>3872</v>
      </c>
      <c r="Z1572" s="205" t="s">
        <v>4927</v>
      </c>
      <c r="AA1572" s="207">
        <v>28.5</v>
      </c>
      <c r="AB1572" s="144"/>
    </row>
    <row r="1573" ht="16.5" spans="1:28">
      <c r="A1573" s="143">
        <v>1530</v>
      </c>
      <c r="C1573" s="169"/>
      <c r="E1573" s="196"/>
      <c r="F1573" s="205" t="s">
        <v>4929</v>
      </c>
      <c r="H1573" s="143" t="s">
        <v>4930</v>
      </c>
      <c r="I1573" s="207" t="s">
        <v>4238</v>
      </c>
      <c r="J1573" s="207" t="s">
        <v>3870</v>
      </c>
      <c r="K1573" s="197">
        <v>150</v>
      </c>
      <c r="L1573" s="207">
        <v>360</v>
      </c>
      <c r="W1573" s="143" t="s">
        <v>3872</v>
      </c>
      <c r="X1573" s="205" t="s">
        <v>4929</v>
      </c>
      <c r="Y1573" s="143" t="s">
        <v>3872</v>
      </c>
      <c r="Z1573" s="205" t="s">
        <v>4929</v>
      </c>
      <c r="AA1573" s="207">
        <v>32.5</v>
      </c>
      <c r="AB1573" s="144"/>
    </row>
    <row r="1574" ht="16.5" spans="1:28">
      <c r="A1574" s="143">
        <v>1531</v>
      </c>
      <c r="C1574" s="169"/>
      <c r="E1574" s="196"/>
      <c r="F1574" s="205" t="s">
        <v>4931</v>
      </c>
      <c r="H1574" s="143" t="s">
        <v>4932</v>
      </c>
      <c r="I1574" s="207" t="s">
        <v>4890</v>
      </c>
      <c r="J1574" s="207" t="s">
        <v>4933</v>
      </c>
      <c r="K1574" s="197">
        <v>150</v>
      </c>
      <c r="L1574" s="207">
        <v>254</v>
      </c>
      <c r="W1574" s="143" t="s">
        <v>3872</v>
      </c>
      <c r="X1574" s="205" t="s">
        <v>4931</v>
      </c>
      <c r="Y1574" s="143" t="s">
        <v>3872</v>
      </c>
      <c r="Z1574" s="205" t="s">
        <v>4931</v>
      </c>
      <c r="AA1574" s="207">
        <v>34.4</v>
      </c>
      <c r="AB1574" s="144"/>
    </row>
    <row r="1575" ht="16.5" spans="1:28">
      <c r="A1575" s="143">
        <v>1532</v>
      </c>
      <c r="C1575" s="169"/>
      <c r="E1575" s="196"/>
      <c r="F1575" s="205" t="s">
        <v>4934</v>
      </c>
      <c r="H1575" s="143" t="s">
        <v>4935</v>
      </c>
      <c r="I1575" s="207" t="s">
        <v>4936</v>
      </c>
      <c r="J1575" s="207" t="s">
        <v>4937</v>
      </c>
      <c r="K1575" s="197">
        <v>150</v>
      </c>
      <c r="L1575" s="207">
        <v>250</v>
      </c>
      <c r="W1575" s="143" t="s">
        <v>3872</v>
      </c>
      <c r="X1575" s="205" t="s">
        <v>4934</v>
      </c>
      <c r="Y1575" s="143" t="s">
        <v>3872</v>
      </c>
      <c r="Z1575" s="205" t="s">
        <v>4934</v>
      </c>
      <c r="AA1575" s="207">
        <v>36.5</v>
      </c>
      <c r="AB1575" s="144"/>
    </row>
    <row r="1576" ht="16.5" spans="1:28">
      <c r="A1576" s="143">
        <v>1533</v>
      </c>
      <c r="C1576" s="169"/>
      <c r="E1576" s="196"/>
      <c r="F1576" s="205" t="s">
        <v>4938</v>
      </c>
      <c r="H1576" s="143" t="s">
        <v>4939</v>
      </c>
      <c r="I1576" s="207" t="s">
        <v>4940</v>
      </c>
      <c r="J1576" s="207" t="s">
        <v>4941</v>
      </c>
      <c r="K1576" s="197">
        <v>150</v>
      </c>
      <c r="L1576" s="207">
        <v>266</v>
      </c>
      <c r="W1576" s="143" t="s">
        <v>3872</v>
      </c>
      <c r="X1576" s="205" t="s">
        <v>4938</v>
      </c>
      <c r="Y1576" s="143" t="s">
        <v>3872</v>
      </c>
      <c r="Z1576" s="205" t="s">
        <v>4938</v>
      </c>
      <c r="AA1576" s="207">
        <v>42.5</v>
      </c>
      <c r="AB1576" s="144"/>
    </row>
    <row r="1577" ht="16.5" spans="1:28">
      <c r="A1577" s="143">
        <v>1534</v>
      </c>
      <c r="C1577" s="169"/>
      <c r="E1577" s="196"/>
      <c r="F1577" s="205" t="s">
        <v>4942</v>
      </c>
      <c r="H1577" s="143" t="s">
        <v>4943</v>
      </c>
      <c r="I1577" s="207" t="s">
        <v>4944</v>
      </c>
      <c r="J1577" s="207" t="s">
        <v>4945</v>
      </c>
      <c r="K1577" s="197">
        <v>150</v>
      </c>
      <c r="L1577" s="207">
        <v>300</v>
      </c>
      <c r="W1577" s="143" t="s">
        <v>3872</v>
      </c>
      <c r="X1577" s="205" t="s">
        <v>4942</v>
      </c>
      <c r="Y1577" s="143" t="s">
        <v>3872</v>
      </c>
      <c r="Z1577" s="205" t="s">
        <v>4942</v>
      </c>
      <c r="AA1577" s="207">
        <v>42</v>
      </c>
      <c r="AB1577" s="144"/>
    </row>
    <row r="1578" ht="16.5" spans="1:28">
      <c r="A1578" s="143">
        <v>1535</v>
      </c>
      <c r="C1578" s="169"/>
      <c r="E1578" s="196"/>
      <c r="F1578" s="205" t="s">
        <v>4946</v>
      </c>
      <c r="H1578" s="143" t="s">
        <v>4947</v>
      </c>
      <c r="I1578" s="207" t="s">
        <v>4948</v>
      </c>
      <c r="J1578" s="207" t="s">
        <v>4949</v>
      </c>
      <c r="K1578" s="197">
        <v>150</v>
      </c>
      <c r="L1578" s="207">
        <v>284</v>
      </c>
      <c r="W1578" s="143" t="s">
        <v>3872</v>
      </c>
      <c r="X1578" s="205" t="s">
        <v>4946</v>
      </c>
      <c r="Y1578" s="143" t="s">
        <v>3872</v>
      </c>
      <c r="Z1578" s="205" t="s">
        <v>4946</v>
      </c>
      <c r="AA1578" s="207">
        <v>36.9</v>
      </c>
      <c r="AB1578" s="144"/>
    </row>
    <row r="1579" ht="16.5" spans="1:28">
      <c r="A1579" s="143">
        <v>1536</v>
      </c>
      <c r="C1579" s="169"/>
      <c r="E1579" s="196"/>
      <c r="F1579" s="205" t="s">
        <v>4950</v>
      </c>
      <c r="H1579" s="143" t="s">
        <v>4951</v>
      </c>
      <c r="I1579" s="207" t="s">
        <v>4952</v>
      </c>
      <c r="J1579" s="207" t="s">
        <v>4953</v>
      </c>
      <c r="K1579" s="197">
        <v>150</v>
      </c>
      <c r="L1579" s="207">
        <v>226</v>
      </c>
      <c r="W1579" s="143" t="s">
        <v>3872</v>
      </c>
      <c r="X1579" s="205" t="s">
        <v>4950</v>
      </c>
      <c r="Y1579" s="143" t="s">
        <v>3872</v>
      </c>
      <c r="Z1579" s="205" t="s">
        <v>4950</v>
      </c>
      <c r="AA1579" s="207">
        <v>35.9</v>
      </c>
      <c r="AB1579" s="144"/>
    </row>
    <row r="1580" ht="16.5" spans="1:28">
      <c r="A1580" s="143">
        <v>1537</v>
      </c>
      <c r="C1580" s="169"/>
      <c r="E1580" s="196"/>
      <c r="F1580" s="205" t="s">
        <v>4954</v>
      </c>
      <c r="H1580" s="143" t="s">
        <v>4955</v>
      </c>
      <c r="I1580" s="207" t="s">
        <v>4956</v>
      </c>
      <c r="J1580" s="207" t="s">
        <v>4957</v>
      </c>
      <c r="K1580" s="197">
        <v>150</v>
      </c>
      <c r="L1580" s="207">
        <v>218</v>
      </c>
      <c r="W1580" s="143" t="s">
        <v>3872</v>
      </c>
      <c r="X1580" s="205" t="s">
        <v>4954</v>
      </c>
      <c r="Y1580" s="143" t="s">
        <v>3872</v>
      </c>
      <c r="Z1580" s="205" t="s">
        <v>4954</v>
      </c>
      <c r="AA1580" s="207">
        <v>32.2</v>
      </c>
      <c r="AB1580" s="144"/>
    </row>
    <row r="1581" ht="16.5" spans="1:28">
      <c r="A1581" s="143">
        <v>1538</v>
      </c>
      <c r="C1581" s="169"/>
      <c r="E1581" s="196"/>
      <c r="F1581" s="205" t="s">
        <v>4958</v>
      </c>
      <c r="H1581" s="143" t="s">
        <v>4959</v>
      </c>
      <c r="I1581" s="207" t="s">
        <v>4960</v>
      </c>
      <c r="J1581" s="207" t="s">
        <v>4961</v>
      </c>
      <c r="K1581" s="197">
        <v>150</v>
      </c>
      <c r="L1581" s="207">
        <v>290</v>
      </c>
      <c r="W1581" s="143" t="s">
        <v>3872</v>
      </c>
      <c r="X1581" s="205" t="s">
        <v>4958</v>
      </c>
      <c r="Y1581" s="143" t="s">
        <v>3872</v>
      </c>
      <c r="Z1581" s="205" t="s">
        <v>4958</v>
      </c>
      <c r="AA1581" s="207">
        <v>25.6</v>
      </c>
      <c r="AB1581" s="144"/>
    </row>
    <row r="1582" ht="16.5" spans="1:28">
      <c r="A1582" s="143">
        <v>1539</v>
      </c>
      <c r="C1582" s="169"/>
      <c r="E1582" s="196"/>
      <c r="F1582" s="205" t="s">
        <v>4962</v>
      </c>
      <c r="H1582" s="143" t="s">
        <v>4963</v>
      </c>
      <c r="I1582" s="207" t="s">
        <v>4964</v>
      </c>
      <c r="J1582" s="207" t="s">
        <v>4965</v>
      </c>
      <c r="K1582" s="197">
        <v>150</v>
      </c>
      <c r="L1582" s="207">
        <v>221</v>
      </c>
      <c r="W1582" s="143" t="s">
        <v>3872</v>
      </c>
      <c r="X1582" s="205" t="s">
        <v>4962</v>
      </c>
      <c r="Y1582" s="143" t="s">
        <v>3872</v>
      </c>
      <c r="Z1582" s="205" t="s">
        <v>4962</v>
      </c>
      <c r="AA1582" s="207">
        <v>34</v>
      </c>
      <c r="AB1582" s="144"/>
    </row>
    <row r="1583" ht="16.5" spans="1:28">
      <c r="A1583" s="143">
        <v>1540</v>
      </c>
      <c r="C1583" s="169"/>
      <c r="E1583" s="196"/>
      <c r="F1583" s="205" t="s">
        <v>4966</v>
      </c>
      <c r="H1583" s="143" t="s">
        <v>4967</v>
      </c>
      <c r="I1583" s="207" t="s">
        <v>4968</v>
      </c>
      <c r="J1583" s="207" t="s">
        <v>4969</v>
      </c>
      <c r="K1583" s="197">
        <v>150</v>
      </c>
      <c r="L1583" s="207">
        <v>249</v>
      </c>
      <c r="W1583" s="143" t="s">
        <v>3872</v>
      </c>
      <c r="X1583" s="205" t="s">
        <v>4966</v>
      </c>
      <c r="Y1583" s="143" t="s">
        <v>3872</v>
      </c>
      <c r="Z1583" s="205" t="s">
        <v>4966</v>
      </c>
      <c r="AA1583" s="207">
        <v>33.8</v>
      </c>
      <c r="AB1583" s="144"/>
    </row>
    <row r="1584" ht="16.5" spans="1:28">
      <c r="A1584" s="143">
        <v>1541</v>
      </c>
      <c r="C1584" s="169"/>
      <c r="E1584" s="196"/>
      <c r="F1584" s="205" t="s">
        <v>4970</v>
      </c>
      <c r="H1584" s="143" t="s">
        <v>4971</v>
      </c>
      <c r="I1584" s="207" t="s">
        <v>4972</v>
      </c>
      <c r="J1584" s="207" t="s">
        <v>4973</v>
      </c>
      <c r="K1584" s="197">
        <v>150</v>
      </c>
      <c r="L1584" s="207">
        <v>234</v>
      </c>
      <c r="W1584" s="143" t="s">
        <v>3872</v>
      </c>
      <c r="X1584" s="205" t="s">
        <v>4970</v>
      </c>
      <c r="Y1584" s="143" t="s">
        <v>3872</v>
      </c>
      <c r="Z1584" s="205" t="s">
        <v>4970</v>
      </c>
      <c r="AA1584" s="207">
        <v>30.4</v>
      </c>
      <c r="AB1584" s="144"/>
    </row>
    <row r="1585" ht="16.5" spans="1:28">
      <c r="A1585" s="143">
        <v>1542</v>
      </c>
      <c r="C1585" s="169"/>
      <c r="E1585" s="196"/>
      <c r="F1585" s="205" t="s">
        <v>4974</v>
      </c>
      <c r="H1585" s="143" t="s">
        <v>4975</v>
      </c>
      <c r="I1585" s="207" t="s">
        <v>4976</v>
      </c>
      <c r="J1585" s="207" t="s">
        <v>4977</v>
      </c>
      <c r="K1585" s="197">
        <v>150</v>
      </c>
      <c r="L1585" s="207">
        <v>234</v>
      </c>
      <c r="W1585" s="143" t="s">
        <v>3872</v>
      </c>
      <c r="X1585" s="205" t="s">
        <v>4974</v>
      </c>
      <c r="Y1585" s="143" t="s">
        <v>3872</v>
      </c>
      <c r="Z1585" s="205" t="s">
        <v>4974</v>
      </c>
      <c r="AA1585" s="207">
        <v>31.2</v>
      </c>
      <c r="AB1585" s="144"/>
    </row>
    <row r="1586" ht="16.5" spans="1:28">
      <c r="A1586" s="143">
        <v>1543</v>
      </c>
      <c r="C1586" s="169"/>
      <c r="E1586" s="196"/>
      <c r="F1586" s="205" t="s">
        <v>4978</v>
      </c>
      <c r="H1586" s="143" t="s">
        <v>4979</v>
      </c>
      <c r="I1586" s="207" t="s">
        <v>4980</v>
      </c>
      <c r="J1586" s="207" t="s">
        <v>4981</v>
      </c>
      <c r="K1586" s="197">
        <v>150</v>
      </c>
      <c r="L1586" s="207">
        <v>312</v>
      </c>
      <c r="W1586" s="143" t="s">
        <v>3872</v>
      </c>
      <c r="X1586" s="205" t="s">
        <v>4978</v>
      </c>
      <c r="Y1586" s="143" t="s">
        <v>3872</v>
      </c>
      <c r="Z1586" s="205" t="s">
        <v>4978</v>
      </c>
      <c r="AA1586" s="207">
        <v>37.2</v>
      </c>
      <c r="AB1586" s="144"/>
    </row>
    <row r="1587" ht="16.5" spans="1:28">
      <c r="A1587" s="143">
        <v>1544</v>
      </c>
      <c r="C1587" s="169"/>
      <c r="E1587" s="196"/>
      <c r="F1587" s="205" t="s">
        <v>4982</v>
      </c>
      <c r="H1587" s="143" t="s">
        <v>4983</v>
      </c>
      <c r="I1587" s="207" t="s">
        <v>4984</v>
      </c>
      <c r="J1587" s="207" t="s">
        <v>4447</v>
      </c>
      <c r="K1587" s="197">
        <v>150</v>
      </c>
      <c r="L1587" s="207">
        <v>400</v>
      </c>
      <c r="W1587" s="143" t="s">
        <v>3872</v>
      </c>
      <c r="X1587" s="205" t="s">
        <v>4982</v>
      </c>
      <c r="Y1587" s="143" t="s">
        <v>3872</v>
      </c>
      <c r="Z1587" s="205" t="s">
        <v>4982</v>
      </c>
      <c r="AA1587" s="207">
        <v>22.3</v>
      </c>
      <c r="AB1587" s="144"/>
    </row>
    <row r="1588" ht="16.5" spans="1:28">
      <c r="A1588" s="143">
        <v>1545</v>
      </c>
      <c r="C1588" s="169"/>
      <c r="E1588" s="196"/>
      <c r="F1588" s="205" t="s">
        <v>4985</v>
      </c>
      <c r="H1588" s="143" t="s">
        <v>4986</v>
      </c>
      <c r="I1588" s="207" t="s">
        <v>4984</v>
      </c>
      <c r="J1588" s="207" t="s">
        <v>4447</v>
      </c>
      <c r="K1588" s="197">
        <v>150</v>
      </c>
      <c r="L1588" s="207">
        <v>220</v>
      </c>
      <c r="W1588" s="143" t="s">
        <v>3872</v>
      </c>
      <c r="X1588" s="205" t="s">
        <v>4985</v>
      </c>
      <c r="Y1588" s="143" t="s">
        <v>3872</v>
      </c>
      <c r="Z1588" s="205" t="s">
        <v>4985</v>
      </c>
      <c r="AA1588" s="207">
        <v>22.1</v>
      </c>
      <c r="AB1588" s="144"/>
    </row>
    <row r="1589" ht="16.5" spans="1:28">
      <c r="A1589" s="143">
        <v>1546</v>
      </c>
      <c r="C1589" s="169"/>
      <c r="E1589" s="196"/>
      <c r="F1589" s="205" t="s">
        <v>4987</v>
      </c>
      <c r="H1589" s="143" t="s">
        <v>4988</v>
      </c>
      <c r="I1589" s="207" t="s">
        <v>4984</v>
      </c>
      <c r="J1589" s="207" t="s">
        <v>4447</v>
      </c>
      <c r="K1589" s="197">
        <v>150</v>
      </c>
      <c r="L1589" s="207">
        <v>220</v>
      </c>
      <c r="W1589" s="143" t="s">
        <v>3872</v>
      </c>
      <c r="X1589" s="205" t="s">
        <v>4987</v>
      </c>
      <c r="Y1589" s="143" t="s">
        <v>3872</v>
      </c>
      <c r="Z1589" s="205" t="s">
        <v>4987</v>
      </c>
      <c r="AA1589" s="207">
        <v>22.1</v>
      </c>
      <c r="AB1589" s="144"/>
    </row>
    <row r="1590" ht="16.5" spans="1:28">
      <c r="A1590" s="143">
        <v>1547</v>
      </c>
      <c r="C1590" s="169"/>
      <c r="E1590" s="196"/>
      <c r="F1590" s="205" t="s">
        <v>4989</v>
      </c>
      <c r="H1590" s="143" t="s">
        <v>4990</v>
      </c>
      <c r="I1590" s="207" t="s">
        <v>4991</v>
      </c>
      <c r="J1590" s="207" t="s">
        <v>4992</v>
      </c>
      <c r="K1590" s="197">
        <v>150</v>
      </c>
      <c r="L1590" s="207">
        <v>220</v>
      </c>
      <c r="W1590" s="143" t="s">
        <v>3872</v>
      </c>
      <c r="X1590" s="205" t="s">
        <v>4989</v>
      </c>
      <c r="Y1590" s="143" t="s">
        <v>3872</v>
      </c>
      <c r="Z1590" s="205" t="s">
        <v>4989</v>
      </c>
      <c r="AA1590" s="207">
        <v>22.1</v>
      </c>
      <c r="AB1590" s="144"/>
    </row>
    <row r="1591" ht="16.5" spans="1:28">
      <c r="A1591" s="143">
        <v>1548</v>
      </c>
      <c r="C1591" s="169"/>
      <c r="E1591" s="196"/>
      <c r="F1591" s="205" t="s">
        <v>4993</v>
      </c>
      <c r="H1591" s="143" t="s">
        <v>4994</v>
      </c>
      <c r="I1591" s="207" t="s">
        <v>4991</v>
      </c>
      <c r="J1591" s="207" t="s">
        <v>4992</v>
      </c>
      <c r="K1591" s="197">
        <v>150</v>
      </c>
      <c r="L1591" s="207">
        <v>220</v>
      </c>
      <c r="W1591" s="143" t="s">
        <v>3872</v>
      </c>
      <c r="X1591" s="205" t="s">
        <v>4993</v>
      </c>
      <c r="Y1591" s="143" t="s">
        <v>3872</v>
      </c>
      <c r="Z1591" s="205" t="s">
        <v>4993</v>
      </c>
      <c r="AA1591" s="207">
        <v>25.7</v>
      </c>
      <c r="AB1591" s="144"/>
    </row>
    <row r="1592" ht="16.5" spans="1:28">
      <c r="A1592" s="143">
        <v>1549</v>
      </c>
      <c r="C1592" s="169"/>
      <c r="E1592" s="196"/>
      <c r="F1592" s="205" t="s">
        <v>4995</v>
      </c>
      <c r="H1592" s="143" t="s">
        <v>4996</v>
      </c>
      <c r="I1592" s="207" t="s">
        <v>4991</v>
      </c>
      <c r="J1592" s="207" t="s">
        <v>4992</v>
      </c>
      <c r="K1592" s="197">
        <v>150</v>
      </c>
      <c r="L1592" s="207">
        <v>220</v>
      </c>
      <c r="W1592" s="143" t="s">
        <v>3872</v>
      </c>
      <c r="X1592" s="205" t="s">
        <v>4995</v>
      </c>
      <c r="Y1592" s="143" t="s">
        <v>3872</v>
      </c>
      <c r="Z1592" s="205" t="s">
        <v>4995</v>
      </c>
      <c r="AA1592" s="207">
        <v>25.7</v>
      </c>
      <c r="AB1592" s="144"/>
    </row>
    <row r="1593" ht="16.5" spans="1:28">
      <c r="A1593" s="143">
        <v>1550</v>
      </c>
      <c r="C1593" s="169"/>
      <c r="E1593" s="196"/>
      <c r="F1593" s="205" t="s">
        <v>4997</v>
      </c>
      <c r="H1593" s="143" t="s">
        <v>4998</v>
      </c>
      <c r="I1593" s="207" t="s">
        <v>4984</v>
      </c>
      <c r="J1593" s="207" t="s">
        <v>4447</v>
      </c>
      <c r="K1593" s="197">
        <v>150</v>
      </c>
      <c r="L1593" s="207">
        <v>220</v>
      </c>
      <c r="W1593" s="143" t="s">
        <v>3872</v>
      </c>
      <c r="X1593" s="205" t="s">
        <v>4997</v>
      </c>
      <c r="Y1593" s="143" t="s">
        <v>3872</v>
      </c>
      <c r="Z1593" s="205" t="s">
        <v>4997</v>
      </c>
      <c r="AA1593" s="207">
        <v>25.7</v>
      </c>
      <c r="AB1593" s="144"/>
    </row>
    <row r="1594" ht="16.5" spans="1:28">
      <c r="A1594" s="143">
        <v>1551</v>
      </c>
      <c r="C1594" s="169"/>
      <c r="E1594" s="196"/>
      <c r="F1594" s="205" t="s">
        <v>4999</v>
      </c>
      <c r="H1594" s="143" t="s">
        <v>5000</v>
      </c>
      <c r="I1594" s="207" t="s">
        <v>4984</v>
      </c>
      <c r="J1594" s="207" t="s">
        <v>4447</v>
      </c>
      <c r="K1594" s="197">
        <v>150</v>
      </c>
      <c r="L1594" s="207">
        <v>212</v>
      </c>
      <c r="W1594" s="143" t="s">
        <v>3872</v>
      </c>
      <c r="X1594" s="205" t="s">
        <v>4999</v>
      </c>
      <c r="Y1594" s="143" t="s">
        <v>3872</v>
      </c>
      <c r="Z1594" s="205" t="s">
        <v>4999</v>
      </c>
      <c r="AA1594" s="207">
        <v>25.7</v>
      </c>
      <c r="AB1594" s="144"/>
    </row>
    <row r="1595" ht="16.5" spans="1:28">
      <c r="A1595" s="143">
        <v>1552</v>
      </c>
      <c r="C1595" s="169"/>
      <c r="E1595" s="196"/>
      <c r="F1595" s="205" t="s">
        <v>5001</v>
      </c>
      <c r="H1595" s="143" t="s">
        <v>5002</v>
      </c>
      <c r="I1595" s="207" t="s">
        <v>4984</v>
      </c>
      <c r="J1595" s="207" t="s">
        <v>4447</v>
      </c>
      <c r="K1595" s="197">
        <v>150</v>
      </c>
      <c r="L1595" s="207">
        <v>212</v>
      </c>
      <c r="W1595" s="143" t="s">
        <v>3872</v>
      </c>
      <c r="X1595" s="205" t="s">
        <v>5001</v>
      </c>
      <c r="Y1595" s="143" t="s">
        <v>3872</v>
      </c>
      <c r="Z1595" s="205" t="s">
        <v>5001</v>
      </c>
      <c r="AA1595" s="207">
        <v>25.7</v>
      </c>
      <c r="AB1595" s="144"/>
    </row>
    <row r="1596" ht="16.5" spans="1:28">
      <c r="A1596" s="143">
        <v>1553</v>
      </c>
      <c r="C1596" s="169"/>
      <c r="E1596" s="196"/>
      <c r="F1596" s="205" t="s">
        <v>5003</v>
      </c>
      <c r="H1596" s="143" t="s">
        <v>5004</v>
      </c>
      <c r="I1596" s="207" t="s">
        <v>4984</v>
      </c>
      <c r="J1596" s="207" t="s">
        <v>4447</v>
      </c>
      <c r="K1596" s="197">
        <v>150</v>
      </c>
      <c r="L1596" s="207">
        <v>212</v>
      </c>
      <c r="W1596" s="143" t="s">
        <v>3872</v>
      </c>
      <c r="X1596" s="205" t="s">
        <v>5003</v>
      </c>
      <c r="Y1596" s="143" t="s">
        <v>3872</v>
      </c>
      <c r="Z1596" s="205" t="s">
        <v>5003</v>
      </c>
      <c r="AA1596" s="207">
        <v>25.7</v>
      </c>
      <c r="AB1596" s="144"/>
    </row>
    <row r="1597" ht="16.5" spans="1:28">
      <c r="A1597" s="143">
        <v>1554</v>
      </c>
      <c r="C1597" s="169"/>
      <c r="E1597" s="196"/>
      <c r="F1597" s="205" t="s">
        <v>5005</v>
      </c>
      <c r="H1597" s="143" t="s">
        <v>5006</v>
      </c>
      <c r="I1597" s="207" t="s">
        <v>4991</v>
      </c>
      <c r="J1597" s="207" t="s">
        <v>4992</v>
      </c>
      <c r="K1597" s="197">
        <v>150</v>
      </c>
      <c r="L1597" s="207">
        <v>220</v>
      </c>
      <c r="W1597" s="143" t="s">
        <v>3872</v>
      </c>
      <c r="X1597" s="205" t="s">
        <v>5005</v>
      </c>
      <c r="Y1597" s="143" t="s">
        <v>3872</v>
      </c>
      <c r="Z1597" s="205" t="s">
        <v>5005</v>
      </c>
      <c r="AA1597" s="207">
        <v>25.7</v>
      </c>
      <c r="AB1597" s="144"/>
    </row>
    <row r="1598" ht="16.5" spans="1:28">
      <c r="A1598" s="143">
        <v>1555</v>
      </c>
      <c r="C1598" s="169"/>
      <c r="E1598" s="196"/>
      <c r="F1598" s="205" t="s">
        <v>5007</v>
      </c>
      <c r="H1598" s="143" t="s">
        <v>5008</v>
      </c>
      <c r="I1598" s="207" t="s">
        <v>4984</v>
      </c>
      <c r="J1598" s="207" t="s">
        <v>4447</v>
      </c>
      <c r="K1598" s="197">
        <v>150</v>
      </c>
      <c r="L1598" s="207">
        <v>212</v>
      </c>
      <c r="W1598" s="143" t="s">
        <v>3872</v>
      </c>
      <c r="X1598" s="205" t="s">
        <v>5007</v>
      </c>
      <c r="Y1598" s="143" t="s">
        <v>3872</v>
      </c>
      <c r="Z1598" s="205" t="s">
        <v>5007</v>
      </c>
      <c r="AA1598" s="207">
        <v>25.7</v>
      </c>
      <c r="AB1598" s="144"/>
    </row>
    <row r="1599" ht="16.5" spans="1:28">
      <c r="A1599" s="143">
        <v>1556</v>
      </c>
      <c r="C1599" s="169"/>
      <c r="E1599" s="196"/>
      <c r="F1599" s="205" t="s">
        <v>5009</v>
      </c>
      <c r="H1599" s="143" t="s">
        <v>5010</v>
      </c>
      <c r="I1599" s="207" t="s">
        <v>4984</v>
      </c>
      <c r="J1599" s="207" t="s">
        <v>4447</v>
      </c>
      <c r="K1599" s="197">
        <v>150</v>
      </c>
      <c r="L1599" s="207">
        <v>212</v>
      </c>
      <c r="W1599" s="143" t="s">
        <v>3872</v>
      </c>
      <c r="X1599" s="205" t="s">
        <v>5009</v>
      </c>
      <c r="Y1599" s="143" t="s">
        <v>3872</v>
      </c>
      <c r="Z1599" s="205" t="s">
        <v>5009</v>
      </c>
      <c r="AA1599" s="207">
        <v>25.7</v>
      </c>
      <c r="AB1599" s="144"/>
    </row>
    <row r="1600" ht="16.5" spans="1:28">
      <c r="A1600" s="143">
        <v>1557</v>
      </c>
      <c r="C1600" s="169"/>
      <c r="E1600" s="196"/>
      <c r="F1600" s="205" t="s">
        <v>5011</v>
      </c>
      <c r="H1600" s="143" t="s">
        <v>5012</v>
      </c>
      <c r="I1600" s="207" t="s">
        <v>4984</v>
      </c>
      <c r="J1600" s="207" t="s">
        <v>4447</v>
      </c>
      <c r="K1600" s="197">
        <v>150</v>
      </c>
      <c r="L1600" s="207">
        <v>220</v>
      </c>
      <c r="W1600" s="143" t="s">
        <v>3872</v>
      </c>
      <c r="X1600" s="205" t="s">
        <v>5011</v>
      </c>
      <c r="Y1600" s="143" t="s">
        <v>3872</v>
      </c>
      <c r="Z1600" s="205" t="s">
        <v>5011</v>
      </c>
      <c r="AA1600" s="207">
        <v>25.7</v>
      </c>
      <c r="AB1600" s="144"/>
    </row>
    <row r="1601" ht="16.5" spans="1:34">
      <c r="A1601" s="143">
        <v>1558</v>
      </c>
      <c r="C1601" s="169"/>
      <c r="E1601" s="196"/>
      <c r="F1601" s="205" t="s">
        <v>5013</v>
      </c>
      <c r="H1601" s="143" t="s">
        <v>5014</v>
      </c>
      <c r="I1601" s="207" t="s">
        <v>3218</v>
      </c>
      <c r="J1601" s="207" t="s">
        <v>330</v>
      </c>
      <c r="K1601" s="197">
        <v>150</v>
      </c>
      <c r="L1601" s="207">
        <v>326</v>
      </c>
      <c r="W1601" s="143" t="s">
        <v>3872</v>
      </c>
      <c r="X1601" s="205" t="s">
        <v>5013</v>
      </c>
      <c r="Y1601" s="143" t="s">
        <v>3872</v>
      </c>
      <c r="Z1601" s="205" t="s">
        <v>5013</v>
      </c>
      <c r="AA1601" s="207">
        <v>30.3</v>
      </c>
      <c r="AB1601" s="144"/>
    </row>
    <row r="1602" ht="16.5" spans="1:34">
      <c r="A1602" s="143">
        <v>1559</v>
      </c>
      <c r="C1602" s="169"/>
      <c r="E1602" s="196"/>
      <c r="F1602" s="205" t="s">
        <v>5015</v>
      </c>
      <c r="H1602" s="143" t="s">
        <v>5016</v>
      </c>
      <c r="I1602" s="207" t="s">
        <v>5017</v>
      </c>
      <c r="J1602" s="207" t="s">
        <v>5018</v>
      </c>
      <c r="K1602" s="197">
        <v>150</v>
      </c>
      <c r="L1602" s="207">
        <v>233</v>
      </c>
      <c r="W1602" s="143" t="s">
        <v>3872</v>
      </c>
      <c r="X1602" s="205" t="s">
        <v>5015</v>
      </c>
      <c r="Y1602" s="143" t="s">
        <v>3872</v>
      </c>
      <c r="Z1602" s="205" t="s">
        <v>5015</v>
      </c>
      <c r="AA1602" s="207">
        <v>25.9</v>
      </c>
      <c r="AB1602" s="144"/>
    </row>
    <row r="1603" ht="16.5" spans="1:34">
      <c r="A1603" s="143">
        <v>1560</v>
      </c>
      <c r="C1603" s="169"/>
      <c r="E1603" s="196"/>
      <c r="F1603" s="205" t="s">
        <v>5019</v>
      </c>
      <c r="H1603" s="143" t="s">
        <v>5020</v>
      </c>
      <c r="I1603" s="207" t="s">
        <v>5021</v>
      </c>
      <c r="J1603" s="207" t="s">
        <v>5022</v>
      </c>
      <c r="K1603" s="197">
        <v>150</v>
      </c>
      <c r="L1603" s="207">
        <v>343</v>
      </c>
      <c r="W1603" s="143" t="s">
        <v>3872</v>
      </c>
      <c r="X1603" s="205" t="s">
        <v>5019</v>
      </c>
      <c r="Y1603" s="143" t="s">
        <v>3872</v>
      </c>
      <c r="Z1603" s="205" t="s">
        <v>5019</v>
      </c>
      <c r="AA1603" s="207">
        <v>31.3</v>
      </c>
      <c r="AB1603" s="144"/>
    </row>
    <row r="1604" ht="16.5" spans="1:34">
      <c r="A1604" s="143">
        <v>1561</v>
      </c>
      <c r="C1604" s="169"/>
      <c r="E1604" s="196"/>
      <c r="F1604" s="205" t="s">
        <v>5023</v>
      </c>
      <c r="H1604" s="143" t="s">
        <v>5024</v>
      </c>
      <c r="I1604" s="207" t="s">
        <v>3218</v>
      </c>
      <c r="J1604" s="207" t="s">
        <v>330</v>
      </c>
      <c r="K1604" s="197">
        <v>150</v>
      </c>
      <c r="L1604" s="207">
        <v>221</v>
      </c>
      <c r="W1604" s="143" t="s">
        <v>3872</v>
      </c>
      <c r="X1604" s="205" t="s">
        <v>5023</v>
      </c>
      <c r="Y1604" s="143" t="s">
        <v>3872</v>
      </c>
      <c r="Z1604" s="205" t="s">
        <v>5023</v>
      </c>
      <c r="AA1604" s="207">
        <v>30.7</v>
      </c>
      <c r="AB1604" s="144"/>
    </row>
    <row r="1605" ht="16.5" spans="1:34">
      <c r="A1605" s="143">
        <v>1562</v>
      </c>
      <c r="C1605" s="169"/>
      <c r="E1605" s="196"/>
      <c r="F1605" s="205" t="s">
        <v>5025</v>
      </c>
      <c r="H1605" s="143" t="s">
        <v>5026</v>
      </c>
      <c r="I1605" s="207" t="s">
        <v>3218</v>
      </c>
      <c r="J1605" s="207" t="s">
        <v>330</v>
      </c>
      <c r="K1605" s="197">
        <v>150</v>
      </c>
      <c r="L1605" s="207">
        <v>329</v>
      </c>
      <c r="W1605" s="143" t="s">
        <v>3872</v>
      </c>
      <c r="X1605" s="205" t="s">
        <v>5025</v>
      </c>
      <c r="Y1605" s="143" t="s">
        <v>3872</v>
      </c>
      <c r="Z1605" s="205" t="s">
        <v>5025</v>
      </c>
      <c r="AA1605" s="207">
        <v>31.8</v>
      </c>
      <c r="AB1605" s="144"/>
    </row>
    <row r="1606" ht="16.5" spans="1:34">
      <c r="A1606" s="143">
        <v>1563</v>
      </c>
      <c r="C1606" s="169"/>
      <c r="E1606" s="196"/>
      <c r="F1606" s="205" t="s">
        <v>5027</v>
      </c>
      <c r="H1606" s="143" t="s">
        <v>5028</v>
      </c>
      <c r="I1606" s="207" t="s">
        <v>3218</v>
      </c>
      <c r="J1606" s="207" t="s">
        <v>330</v>
      </c>
      <c r="K1606" s="197">
        <v>150</v>
      </c>
      <c r="L1606" s="207">
        <v>205</v>
      </c>
      <c r="W1606" s="143" t="s">
        <v>3872</v>
      </c>
      <c r="X1606" s="205" t="s">
        <v>5027</v>
      </c>
      <c r="Y1606" s="143" t="s">
        <v>3872</v>
      </c>
      <c r="Z1606" s="205" t="s">
        <v>5027</v>
      </c>
      <c r="AA1606" s="207">
        <v>23.4</v>
      </c>
      <c r="AB1606" s="144"/>
    </row>
    <row r="1607" ht="16.5" spans="1:34">
      <c r="A1607" s="143">
        <v>1564</v>
      </c>
      <c r="C1607" s="169"/>
      <c r="E1607" s="196"/>
      <c r="F1607" s="205" t="s">
        <v>5029</v>
      </c>
      <c r="H1607" s="143" t="s">
        <v>5030</v>
      </c>
      <c r="I1607" s="207" t="s">
        <v>3218</v>
      </c>
      <c r="J1607" s="207" t="s">
        <v>330</v>
      </c>
      <c r="K1607" s="197">
        <v>150</v>
      </c>
      <c r="L1607" s="207">
        <v>347</v>
      </c>
      <c r="W1607" s="143" t="s">
        <v>3872</v>
      </c>
      <c r="X1607" s="205" t="s">
        <v>5029</v>
      </c>
      <c r="Y1607" s="143" t="s">
        <v>3872</v>
      </c>
      <c r="Z1607" s="205" t="s">
        <v>5029</v>
      </c>
      <c r="AA1607" s="207">
        <v>43</v>
      </c>
      <c r="AB1607" s="144"/>
    </row>
    <row r="1608" ht="16.5" spans="1:34">
      <c r="A1608" s="143">
        <v>1565</v>
      </c>
      <c r="C1608" s="169"/>
      <c r="E1608" s="196"/>
      <c r="F1608" s="205" t="s">
        <v>5031</v>
      </c>
      <c r="H1608" s="143" t="s">
        <v>5032</v>
      </c>
      <c r="I1608" s="207" t="s">
        <v>3218</v>
      </c>
      <c r="J1608" s="207" t="s">
        <v>330</v>
      </c>
      <c r="K1608" s="197">
        <v>150</v>
      </c>
      <c r="L1608" s="207">
        <v>318</v>
      </c>
      <c r="W1608" s="143" t="s">
        <v>3872</v>
      </c>
      <c r="X1608" s="205" t="s">
        <v>5031</v>
      </c>
      <c r="Y1608" s="143" t="s">
        <v>3872</v>
      </c>
      <c r="Z1608" s="205" t="s">
        <v>5031</v>
      </c>
      <c r="AA1608" s="207">
        <v>32</v>
      </c>
      <c r="AB1608" s="144"/>
    </row>
    <row r="1609" ht="16.5" spans="1:34">
      <c r="A1609" s="143">
        <v>1566</v>
      </c>
      <c r="C1609" s="169"/>
      <c r="E1609" s="196"/>
      <c r="F1609" s="205" t="s">
        <v>5033</v>
      </c>
      <c r="H1609" s="143" t="s">
        <v>5034</v>
      </c>
      <c r="I1609" s="207" t="s">
        <v>3218</v>
      </c>
      <c r="J1609" s="207" t="s">
        <v>330</v>
      </c>
      <c r="K1609" s="197">
        <v>150</v>
      </c>
      <c r="L1609" s="207">
        <v>326</v>
      </c>
      <c r="W1609" s="143" t="s">
        <v>3872</v>
      </c>
      <c r="X1609" s="205" t="s">
        <v>5033</v>
      </c>
      <c r="Y1609" s="143" t="s">
        <v>3872</v>
      </c>
      <c r="Z1609" s="205" t="s">
        <v>5033</v>
      </c>
      <c r="AA1609" s="207">
        <v>31.8</v>
      </c>
      <c r="AB1609" s="144"/>
    </row>
    <row r="1610" ht="16.5" spans="1:34">
      <c r="A1610" s="143">
        <v>1567</v>
      </c>
      <c r="C1610" s="169"/>
      <c r="E1610" s="196"/>
      <c r="F1610" s="205" t="s">
        <v>5035</v>
      </c>
      <c r="H1610" s="143" t="s">
        <v>5036</v>
      </c>
      <c r="I1610" s="207" t="s">
        <v>3869</v>
      </c>
      <c r="J1610" s="207" t="s">
        <v>3870</v>
      </c>
      <c r="K1610" s="197">
        <v>150</v>
      </c>
      <c r="L1610" s="207">
        <v>284</v>
      </c>
      <c r="W1610" s="143" t="s">
        <v>3872</v>
      </c>
      <c r="X1610" s="205" t="s">
        <v>5035</v>
      </c>
      <c r="Y1610" s="143" t="s">
        <v>3872</v>
      </c>
      <c r="Z1610" s="205" t="s">
        <v>5035</v>
      </c>
      <c r="AA1610" s="207">
        <v>31.9</v>
      </c>
      <c r="AB1610" s="144"/>
    </row>
    <row r="1611" ht="16.5" spans="1:34">
      <c r="A1611" s="143">
        <v>1568</v>
      </c>
      <c r="C1611" s="169"/>
      <c r="E1611" s="196"/>
      <c r="F1611" s="205" t="s">
        <v>5037</v>
      </c>
      <c r="H1611" s="143" t="s">
        <v>5038</v>
      </c>
      <c r="I1611" s="207" t="s">
        <v>3869</v>
      </c>
      <c r="J1611" s="207" t="s">
        <v>3870</v>
      </c>
      <c r="K1611" s="197">
        <v>150</v>
      </c>
      <c r="L1611" s="207">
        <v>288</v>
      </c>
      <c r="W1611" s="143" t="s">
        <v>3872</v>
      </c>
      <c r="X1611" s="205" t="s">
        <v>5037</v>
      </c>
      <c r="Y1611" s="143" t="s">
        <v>3872</v>
      </c>
      <c r="Z1611" s="205" t="s">
        <v>5037</v>
      </c>
      <c r="AA1611" s="207">
        <v>31.9</v>
      </c>
      <c r="AB1611" s="144"/>
    </row>
    <row r="1612" ht="16.5" spans="1:34">
      <c r="A1612" s="143">
        <v>1569</v>
      </c>
      <c r="C1612" s="169"/>
      <c r="E1612" s="196"/>
      <c r="F1612" s="205" t="s">
        <v>5039</v>
      </c>
      <c r="H1612" s="143" t="s">
        <v>5040</v>
      </c>
      <c r="I1612" s="207" t="s">
        <v>3869</v>
      </c>
      <c r="J1612" s="207" t="s">
        <v>3870</v>
      </c>
      <c r="K1612" s="197">
        <v>150</v>
      </c>
      <c r="L1612" s="207">
        <v>300</v>
      </c>
      <c r="W1612" s="143" t="s">
        <v>3872</v>
      </c>
      <c r="X1612" s="205" t="s">
        <v>5039</v>
      </c>
      <c r="Y1612" s="143" t="s">
        <v>3872</v>
      </c>
      <c r="Z1612" s="205" t="s">
        <v>5039</v>
      </c>
      <c r="AA1612" s="207">
        <v>34.3</v>
      </c>
      <c r="AB1612" s="144"/>
    </row>
    <row r="1613" ht="16.5" spans="1:34">
      <c r="A1613" s="143">
        <v>1570</v>
      </c>
      <c r="B1613" s="144">
        <v>45966</v>
      </c>
      <c r="C1613" s="169" t="s">
        <v>3277</v>
      </c>
      <c r="D1613" s="143" t="s">
        <v>41</v>
      </c>
      <c r="E1613" s="205" t="s">
        <v>4852</v>
      </c>
      <c r="F1613" s="205" t="s">
        <v>5041</v>
      </c>
      <c r="H1613" s="143" t="s">
        <v>5042</v>
      </c>
      <c r="I1613" s="207" t="s">
        <v>3157</v>
      </c>
      <c r="J1613" s="207" t="s">
        <v>3684</v>
      </c>
      <c r="K1613" s="197">
        <v>150</v>
      </c>
      <c r="L1613" s="207">
        <v>380</v>
      </c>
      <c r="W1613" s="143" t="s">
        <v>3147</v>
      </c>
      <c r="X1613" s="205" t="str">
        <f>F1613</f>
        <v>C901</v>
      </c>
      <c r="Y1613" s="169" t="s">
        <v>5043</v>
      </c>
      <c r="Z1613" s="205" t="str">
        <f>X1613</f>
        <v>C901</v>
      </c>
      <c r="AA1613" s="207">
        <v>18.6</v>
      </c>
      <c r="AB1613" s="144">
        <v>45966</v>
      </c>
      <c r="AH1613" s="169" t="s">
        <v>5044</v>
      </c>
    </row>
    <row r="1614" ht="16.5" spans="1:34">
      <c r="A1614" s="143">
        <v>1571</v>
      </c>
      <c r="B1614" s="144">
        <v>45966</v>
      </c>
      <c r="C1614" s="169" t="s">
        <v>3277</v>
      </c>
      <c r="D1614" s="143" t="s">
        <v>41</v>
      </c>
      <c r="E1614" s="205" t="s">
        <v>4852</v>
      </c>
      <c r="F1614" s="205" t="s">
        <v>5045</v>
      </c>
      <c r="H1614" s="143" t="s">
        <v>5046</v>
      </c>
      <c r="I1614" s="207" t="s">
        <v>3157</v>
      </c>
      <c r="J1614" s="207" t="s">
        <v>3684</v>
      </c>
      <c r="K1614" s="197">
        <v>150</v>
      </c>
      <c r="L1614" s="207">
        <v>370</v>
      </c>
      <c r="W1614" s="143" t="s">
        <v>3147</v>
      </c>
      <c r="X1614" s="205" t="str">
        <f t="shared" ref="X1614:X1624" si="3">F1614</f>
        <v>C797</v>
      </c>
      <c r="Y1614" s="169" t="s">
        <v>5043</v>
      </c>
      <c r="Z1614" s="205" t="str">
        <f t="shared" ref="Z1614:Z1624" si="4">X1614</f>
        <v>C797</v>
      </c>
      <c r="AA1614" s="207">
        <v>17.8</v>
      </c>
      <c r="AB1614" s="144">
        <v>45966</v>
      </c>
      <c r="AH1614" s="169" t="s">
        <v>5044</v>
      </c>
    </row>
    <row r="1615" ht="16.5" spans="1:34">
      <c r="A1615" s="143">
        <v>1572</v>
      </c>
      <c r="B1615" s="144">
        <v>45966</v>
      </c>
      <c r="C1615" s="169" t="s">
        <v>3277</v>
      </c>
      <c r="D1615" s="143" t="s">
        <v>41</v>
      </c>
      <c r="E1615" s="205" t="s">
        <v>4852</v>
      </c>
      <c r="F1615" s="205" t="s">
        <v>5047</v>
      </c>
      <c r="H1615" s="143" t="s">
        <v>5048</v>
      </c>
      <c r="I1615" s="207" t="s">
        <v>3157</v>
      </c>
      <c r="J1615" s="207" t="s">
        <v>3684</v>
      </c>
      <c r="K1615" s="197">
        <v>150</v>
      </c>
      <c r="L1615" s="207">
        <v>380</v>
      </c>
      <c r="W1615" s="143" t="s">
        <v>3147</v>
      </c>
      <c r="X1615" s="205" t="str">
        <f t="shared" si="3"/>
        <v>7767#</v>
      </c>
      <c r="Y1615" s="169" t="s">
        <v>5049</v>
      </c>
      <c r="Z1615" s="205" t="str">
        <f t="shared" si="4"/>
        <v>7767#</v>
      </c>
      <c r="AA1615" s="207">
        <v>19.5</v>
      </c>
      <c r="AB1615" s="144">
        <v>45966</v>
      </c>
      <c r="AH1615" s="169" t="s">
        <v>5044</v>
      </c>
    </row>
    <row r="1616" ht="16.5" spans="1:34">
      <c r="A1616" s="143">
        <v>1573</v>
      </c>
      <c r="B1616" s="144">
        <v>45966</v>
      </c>
      <c r="C1616" s="169" t="s">
        <v>3277</v>
      </c>
      <c r="D1616" s="143" t="s">
        <v>41</v>
      </c>
      <c r="E1616" s="205" t="s">
        <v>4852</v>
      </c>
      <c r="F1616" s="205" t="s">
        <v>5050</v>
      </c>
      <c r="H1616" s="143" t="s">
        <v>5051</v>
      </c>
      <c r="I1616" s="207" t="s">
        <v>3157</v>
      </c>
      <c r="J1616" s="207" t="s">
        <v>3684</v>
      </c>
      <c r="K1616" s="197">
        <v>150</v>
      </c>
      <c r="L1616" s="207">
        <v>355</v>
      </c>
      <c r="W1616" s="143" t="s">
        <v>3147</v>
      </c>
      <c r="X1616" s="205" t="str">
        <f t="shared" si="3"/>
        <v>7706#</v>
      </c>
      <c r="Y1616" s="169" t="s">
        <v>5049</v>
      </c>
      <c r="Z1616" s="205" t="str">
        <f t="shared" si="4"/>
        <v>7706#</v>
      </c>
      <c r="AA1616" s="207">
        <v>18.8</v>
      </c>
      <c r="AB1616" s="144">
        <v>45966</v>
      </c>
      <c r="AH1616" s="169" t="s">
        <v>5044</v>
      </c>
    </row>
    <row r="1617" ht="16.5" spans="1:34">
      <c r="A1617" s="143">
        <v>1574</v>
      </c>
      <c r="B1617" s="144">
        <v>45966</v>
      </c>
      <c r="C1617" s="169" t="s">
        <v>3277</v>
      </c>
      <c r="D1617" s="143" t="s">
        <v>41</v>
      </c>
      <c r="E1617" s="205" t="s">
        <v>4852</v>
      </c>
      <c r="F1617" s="205" t="s">
        <v>5052</v>
      </c>
      <c r="H1617" s="143" t="s">
        <v>5053</v>
      </c>
      <c r="I1617" s="207" t="s">
        <v>3157</v>
      </c>
      <c r="J1617" s="207" t="s">
        <v>3684</v>
      </c>
      <c r="K1617" s="197">
        <v>150</v>
      </c>
      <c r="L1617" s="207">
        <v>360</v>
      </c>
      <c r="W1617" s="143" t="s">
        <v>3147</v>
      </c>
      <c r="X1617" s="205" t="str">
        <f t="shared" si="3"/>
        <v>7108#</v>
      </c>
      <c r="Y1617" s="169" t="s">
        <v>5049</v>
      </c>
      <c r="Z1617" s="205" t="str">
        <f t="shared" si="4"/>
        <v>7108#</v>
      </c>
      <c r="AA1617" s="207">
        <v>18.8</v>
      </c>
      <c r="AB1617" s="144">
        <v>45966</v>
      </c>
      <c r="AH1617" s="169" t="s">
        <v>5044</v>
      </c>
    </row>
    <row r="1618" ht="16.5" spans="1:34">
      <c r="A1618" s="143">
        <v>1575</v>
      </c>
      <c r="B1618" s="144">
        <v>45966</v>
      </c>
      <c r="C1618" s="169" t="s">
        <v>3277</v>
      </c>
      <c r="D1618" s="143" t="s">
        <v>41</v>
      </c>
      <c r="E1618" s="205" t="s">
        <v>4852</v>
      </c>
      <c r="F1618" s="205" t="s">
        <v>5054</v>
      </c>
      <c r="H1618" s="143" t="s">
        <v>5055</v>
      </c>
      <c r="I1618" s="207" t="s">
        <v>3157</v>
      </c>
      <c r="J1618" s="207" t="s">
        <v>3684</v>
      </c>
      <c r="K1618" s="197">
        <v>150</v>
      </c>
      <c r="L1618" s="207">
        <v>360</v>
      </c>
      <c r="W1618" s="143" t="s">
        <v>3147</v>
      </c>
      <c r="X1618" s="205" t="str">
        <f t="shared" si="3"/>
        <v>A3997#丝光棉</v>
      </c>
      <c r="Y1618" s="169" t="s">
        <v>5056</v>
      </c>
      <c r="Z1618" s="205" t="str">
        <f t="shared" si="4"/>
        <v>A3997#丝光棉</v>
      </c>
      <c r="AA1618" s="207">
        <v>19.2</v>
      </c>
      <c r="AB1618" s="144">
        <v>45966</v>
      </c>
      <c r="AH1618" s="169" t="s">
        <v>5044</v>
      </c>
    </row>
    <row r="1619" ht="16.5" spans="1:34">
      <c r="A1619" s="143">
        <v>1576</v>
      </c>
      <c r="B1619" s="144">
        <v>45966</v>
      </c>
      <c r="C1619" s="169" t="s">
        <v>3277</v>
      </c>
      <c r="D1619" s="143" t="s">
        <v>41</v>
      </c>
      <c r="E1619" s="205" t="s">
        <v>4852</v>
      </c>
      <c r="F1619" s="205" t="s">
        <v>5057</v>
      </c>
      <c r="H1619" s="143" t="s">
        <v>5058</v>
      </c>
      <c r="I1619" s="207" t="s">
        <v>3157</v>
      </c>
      <c r="J1619" s="207" t="s">
        <v>3684</v>
      </c>
      <c r="K1619" s="197">
        <v>150</v>
      </c>
      <c r="L1619" s="207">
        <v>400</v>
      </c>
      <c r="W1619" s="143" t="s">
        <v>3147</v>
      </c>
      <c r="X1619" s="205" t="str">
        <f t="shared" si="3"/>
        <v>A2921#</v>
      </c>
      <c r="Y1619" s="169" t="s">
        <v>5056</v>
      </c>
      <c r="Z1619" s="205" t="str">
        <f t="shared" si="4"/>
        <v>A2921#</v>
      </c>
      <c r="AA1619" s="207">
        <v>23.6</v>
      </c>
      <c r="AB1619" s="144">
        <v>45966</v>
      </c>
      <c r="AH1619" s="169" t="s">
        <v>5044</v>
      </c>
    </row>
    <row r="1620" ht="16.5" spans="1:34">
      <c r="A1620" s="143">
        <v>1577</v>
      </c>
      <c r="B1620" s="144">
        <v>45966</v>
      </c>
      <c r="C1620" s="169" t="s">
        <v>3277</v>
      </c>
      <c r="D1620" s="143" t="s">
        <v>41</v>
      </c>
      <c r="E1620" s="205" t="s">
        <v>4852</v>
      </c>
      <c r="F1620" s="205" t="s">
        <v>5059</v>
      </c>
      <c r="H1620" s="143" t="s">
        <v>5060</v>
      </c>
      <c r="I1620" s="207" t="s">
        <v>3157</v>
      </c>
      <c r="J1620" s="207" t="s">
        <v>3684</v>
      </c>
      <c r="K1620" s="197">
        <v>150</v>
      </c>
      <c r="L1620" s="207">
        <v>380</v>
      </c>
      <c r="W1620" s="143" t="s">
        <v>3147</v>
      </c>
      <c r="X1620" s="205" t="str">
        <f t="shared" si="3"/>
        <v>A1571#超柔碳磨</v>
      </c>
      <c r="Y1620" s="169" t="s">
        <v>5056</v>
      </c>
      <c r="Z1620" s="205" t="str">
        <f t="shared" si="4"/>
        <v>A1571#超柔碳磨</v>
      </c>
      <c r="AA1620" s="207">
        <v>18.8</v>
      </c>
      <c r="AB1620" s="144">
        <v>45966</v>
      </c>
      <c r="AH1620" s="169" t="s">
        <v>5044</v>
      </c>
    </row>
    <row r="1621" ht="16.5" spans="1:34">
      <c r="A1621" s="143">
        <v>1578</v>
      </c>
      <c r="B1621" s="144">
        <v>45966</v>
      </c>
      <c r="C1621" s="169" t="s">
        <v>3277</v>
      </c>
      <c r="D1621" s="143" t="s">
        <v>41</v>
      </c>
      <c r="E1621" s="205" t="s">
        <v>4852</v>
      </c>
      <c r="F1621" s="205" t="s">
        <v>5061</v>
      </c>
      <c r="H1621" s="143" t="s">
        <v>5062</v>
      </c>
      <c r="I1621" s="207" t="s">
        <v>3157</v>
      </c>
      <c r="J1621" s="207" t="s">
        <v>3684</v>
      </c>
      <c r="K1621" s="197">
        <v>150</v>
      </c>
      <c r="L1621" s="207">
        <v>360</v>
      </c>
      <c r="W1621" s="143" t="s">
        <v>3147</v>
      </c>
      <c r="X1621" s="205" t="str">
        <f t="shared" si="3"/>
        <v>1039丝光</v>
      </c>
      <c r="Y1621" s="169" t="s">
        <v>5063</v>
      </c>
      <c r="Z1621" s="205" t="str">
        <f t="shared" si="4"/>
        <v>1039丝光</v>
      </c>
      <c r="AA1621" s="207">
        <v>18.8</v>
      </c>
      <c r="AB1621" s="144">
        <v>45966</v>
      </c>
      <c r="AH1621" s="169" t="s">
        <v>5044</v>
      </c>
    </row>
    <row r="1622" ht="16.5" spans="1:34">
      <c r="A1622" s="143">
        <v>1579</v>
      </c>
      <c r="B1622" s="144">
        <v>45966</v>
      </c>
      <c r="C1622" s="169" t="s">
        <v>3277</v>
      </c>
      <c r="D1622" s="143" t="s">
        <v>41</v>
      </c>
      <c r="E1622" s="205" t="s">
        <v>4852</v>
      </c>
      <c r="F1622" s="205" t="s">
        <v>5064</v>
      </c>
      <c r="H1622" s="143" t="s">
        <v>5065</v>
      </c>
      <c r="I1622" s="207" t="s">
        <v>3157</v>
      </c>
      <c r="J1622" s="207" t="s">
        <v>3684</v>
      </c>
      <c r="K1622" s="197">
        <v>150</v>
      </c>
      <c r="L1622" s="207">
        <v>360</v>
      </c>
      <c r="W1622" s="143" t="s">
        <v>3147</v>
      </c>
      <c r="X1622" s="205" t="str">
        <f t="shared" si="3"/>
        <v>2164洗褪</v>
      </c>
      <c r="Y1622" s="169" t="s">
        <v>5063</v>
      </c>
      <c r="Z1622" s="205" t="str">
        <f t="shared" si="4"/>
        <v>2164洗褪</v>
      </c>
      <c r="AA1622" s="207">
        <v>18.5</v>
      </c>
      <c r="AB1622" s="144">
        <v>45966</v>
      </c>
      <c r="AH1622" s="169" t="s">
        <v>5044</v>
      </c>
    </row>
    <row r="1623" ht="16.5" spans="1:34">
      <c r="A1623" s="143">
        <v>1580</v>
      </c>
      <c r="B1623" s="144">
        <v>45966</v>
      </c>
      <c r="C1623" s="169" t="s">
        <v>3277</v>
      </c>
      <c r="D1623" s="143" t="s">
        <v>41</v>
      </c>
      <c r="E1623" s="205" t="s">
        <v>4852</v>
      </c>
      <c r="F1623" s="205" t="s">
        <v>5066</v>
      </c>
      <c r="H1623" s="143" t="s">
        <v>5067</v>
      </c>
      <c r="I1623" s="207" t="s">
        <v>3157</v>
      </c>
      <c r="J1623" s="207" t="s">
        <v>3684</v>
      </c>
      <c r="K1623" s="197">
        <v>150</v>
      </c>
      <c r="L1623" s="207">
        <v>380</v>
      </c>
      <c r="W1623" s="143" t="s">
        <v>3147</v>
      </c>
      <c r="X1623" s="205" t="str">
        <f t="shared" si="3"/>
        <v>2189超柔</v>
      </c>
      <c r="Y1623" s="169" t="s">
        <v>5063</v>
      </c>
      <c r="Z1623" s="205" t="str">
        <f t="shared" si="4"/>
        <v>2189超柔</v>
      </c>
      <c r="AA1623" s="207">
        <v>17.8</v>
      </c>
      <c r="AB1623" s="144">
        <v>45966</v>
      </c>
      <c r="AH1623" s="169" t="s">
        <v>5044</v>
      </c>
    </row>
    <row r="1624" ht="16.5" spans="1:34">
      <c r="A1624" s="143">
        <v>1581</v>
      </c>
      <c r="B1624" s="144">
        <v>45966</v>
      </c>
      <c r="C1624" s="169" t="s">
        <v>3277</v>
      </c>
      <c r="D1624" s="143" t="s">
        <v>41</v>
      </c>
      <c r="E1624" s="205" t="s">
        <v>4852</v>
      </c>
      <c r="F1624" s="205" t="s">
        <v>5068</v>
      </c>
      <c r="H1624" s="143" t="s">
        <v>5069</v>
      </c>
      <c r="I1624" s="207" t="s">
        <v>3157</v>
      </c>
      <c r="J1624" s="207" t="s">
        <v>3684</v>
      </c>
      <c r="K1624" s="197">
        <v>150</v>
      </c>
      <c r="L1624" s="207">
        <v>410</v>
      </c>
      <c r="W1624" s="143" t="s">
        <v>3147</v>
      </c>
      <c r="X1624" s="205" t="str">
        <f t="shared" si="3"/>
        <v>2324碳磨</v>
      </c>
      <c r="Y1624" s="169" t="s">
        <v>5063</v>
      </c>
      <c r="Z1624" s="205" t="str">
        <f t="shared" si="4"/>
        <v>2324碳磨</v>
      </c>
      <c r="AA1624" s="207">
        <v>22.5</v>
      </c>
      <c r="AB1624" s="144">
        <v>45966</v>
      </c>
      <c r="AH1624" s="169" t="s">
        <v>5044</v>
      </c>
    </row>
    <row r="1625" ht="15" spans="1:34">
      <c r="A1625" s="143">
        <v>1582</v>
      </c>
      <c r="B1625" s="144">
        <v>45967</v>
      </c>
      <c r="C1625" s="169" t="s">
        <v>5070</v>
      </c>
      <c r="E1625" s="196" t="s">
        <v>5071</v>
      </c>
      <c r="F1625" s="143" t="s">
        <v>5072</v>
      </c>
      <c r="H1625" s="177" t="s">
        <v>5073</v>
      </c>
      <c r="I1625" s="143" t="s">
        <v>324</v>
      </c>
      <c r="J1625" s="143" t="s">
        <v>1577</v>
      </c>
      <c r="K1625" s="143">
        <v>125</v>
      </c>
      <c r="W1625" s="143" t="s">
        <v>3147</v>
      </c>
      <c r="X1625" s="143" t="s">
        <v>5072</v>
      </c>
      <c r="Y1625" s="169" t="s">
        <v>5074</v>
      </c>
      <c r="Z1625" s="143" t="s">
        <v>5072</v>
      </c>
      <c r="AA1625" s="173">
        <v>22.6</v>
      </c>
      <c r="AB1625" s="191">
        <v>45968</v>
      </c>
      <c r="AH1625" s="204"/>
    </row>
    <row r="1626" ht="15" spans="1:34">
      <c r="A1626" s="143">
        <v>1583</v>
      </c>
      <c r="B1626" s="144">
        <v>45967</v>
      </c>
      <c r="C1626" s="169" t="s">
        <v>5070</v>
      </c>
      <c r="E1626" s="196" t="s">
        <v>5071</v>
      </c>
      <c r="F1626" s="143" t="s">
        <v>5075</v>
      </c>
      <c r="H1626" s="177" t="s">
        <v>5076</v>
      </c>
      <c r="I1626" s="143" t="s">
        <v>324</v>
      </c>
      <c r="J1626" s="143" t="s">
        <v>1577</v>
      </c>
      <c r="K1626" s="143">
        <v>125</v>
      </c>
      <c r="W1626" s="143" t="s">
        <v>3147</v>
      </c>
      <c r="X1626" s="143" t="s">
        <v>5075</v>
      </c>
      <c r="Y1626" s="169" t="s">
        <v>5074</v>
      </c>
      <c r="Z1626" s="143" t="s">
        <v>5075</v>
      </c>
      <c r="AA1626" s="173">
        <v>26.5</v>
      </c>
      <c r="AB1626" s="191">
        <v>45968</v>
      </c>
      <c r="AH1626" s="204"/>
    </row>
    <row r="1627" ht="15" spans="1:34">
      <c r="A1627" s="143">
        <v>1584</v>
      </c>
      <c r="B1627" s="144">
        <v>45967</v>
      </c>
      <c r="C1627" s="169" t="s">
        <v>5070</v>
      </c>
      <c r="E1627" s="196" t="s">
        <v>5071</v>
      </c>
      <c r="F1627" s="143" t="s">
        <v>5077</v>
      </c>
      <c r="H1627" s="177" t="s">
        <v>5078</v>
      </c>
      <c r="I1627" s="143" t="s">
        <v>324</v>
      </c>
      <c r="J1627" s="143" t="s">
        <v>1577</v>
      </c>
      <c r="K1627" s="143">
        <v>125</v>
      </c>
      <c r="W1627" s="143" t="s">
        <v>3147</v>
      </c>
      <c r="X1627" s="143" t="s">
        <v>5077</v>
      </c>
      <c r="Y1627" s="169" t="s">
        <v>5074</v>
      </c>
      <c r="Z1627" s="143" t="s">
        <v>5077</v>
      </c>
      <c r="AA1627" s="173">
        <v>26.5</v>
      </c>
      <c r="AB1627" s="191">
        <v>45968</v>
      </c>
      <c r="AH1627" s="204"/>
    </row>
    <row r="1628" ht="15" spans="1:34">
      <c r="A1628" s="143">
        <v>1585</v>
      </c>
      <c r="B1628" s="144">
        <v>45967</v>
      </c>
      <c r="C1628" s="169" t="s">
        <v>5070</v>
      </c>
      <c r="E1628" s="196" t="s">
        <v>5071</v>
      </c>
      <c r="F1628" s="143" t="s">
        <v>5079</v>
      </c>
      <c r="H1628" s="177" t="s">
        <v>5080</v>
      </c>
      <c r="I1628" s="143" t="s">
        <v>324</v>
      </c>
      <c r="J1628" s="143" t="s">
        <v>1577</v>
      </c>
      <c r="K1628" s="143">
        <v>125</v>
      </c>
      <c r="W1628" s="143" t="s">
        <v>3147</v>
      </c>
      <c r="X1628" s="143" t="s">
        <v>5079</v>
      </c>
      <c r="Y1628" s="169" t="s">
        <v>5074</v>
      </c>
      <c r="Z1628" s="143" t="s">
        <v>5079</v>
      </c>
      <c r="AA1628" s="173">
        <v>38.5</v>
      </c>
      <c r="AB1628" s="191">
        <v>45968</v>
      </c>
      <c r="AH1628" s="204"/>
    </row>
    <row r="1629" ht="15" spans="1:34">
      <c r="A1629" s="143">
        <v>1586</v>
      </c>
      <c r="B1629" s="144">
        <v>45967</v>
      </c>
      <c r="C1629" s="169" t="s">
        <v>5070</v>
      </c>
      <c r="E1629" s="196" t="s">
        <v>5071</v>
      </c>
      <c r="F1629" s="143" t="s">
        <v>5081</v>
      </c>
      <c r="H1629" s="177" t="s">
        <v>5082</v>
      </c>
      <c r="I1629" s="143" t="s">
        <v>324</v>
      </c>
      <c r="J1629" s="143" t="s">
        <v>1577</v>
      </c>
      <c r="K1629" s="143">
        <v>125</v>
      </c>
      <c r="W1629" s="143" t="s">
        <v>3147</v>
      </c>
      <c r="X1629" s="143" t="s">
        <v>5081</v>
      </c>
      <c r="Y1629" s="169" t="s">
        <v>5074</v>
      </c>
      <c r="Z1629" s="143" t="s">
        <v>5081</v>
      </c>
      <c r="AA1629" s="173">
        <v>17.5</v>
      </c>
      <c r="AB1629" s="191">
        <v>45968</v>
      </c>
      <c r="AH1629" s="204"/>
    </row>
    <row r="1630" ht="15" spans="1:34">
      <c r="A1630" s="143">
        <v>1587</v>
      </c>
      <c r="B1630" s="144">
        <v>45967</v>
      </c>
      <c r="C1630" s="169" t="s">
        <v>5070</v>
      </c>
      <c r="E1630" s="196" t="s">
        <v>5071</v>
      </c>
      <c r="F1630" s="143" t="s">
        <v>5083</v>
      </c>
      <c r="H1630" s="177" t="s">
        <v>5084</v>
      </c>
      <c r="I1630" s="143" t="s">
        <v>324</v>
      </c>
      <c r="J1630" s="143" t="s">
        <v>1577</v>
      </c>
      <c r="K1630" s="143">
        <v>125</v>
      </c>
      <c r="W1630" s="143" t="s">
        <v>3147</v>
      </c>
      <c r="X1630" s="143" t="s">
        <v>5083</v>
      </c>
      <c r="Y1630" s="169" t="s">
        <v>5074</v>
      </c>
      <c r="Z1630" s="143" t="s">
        <v>5083</v>
      </c>
      <c r="AA1630" s="173">
        <v>40</v>
      </c>
      <c r="AB1630" s="191">
        <v>45968</v>
      </c>
      <c r="AH1630" s="204"/>
    </row>
    <row r="1631" ht="15" spans="1:34">
      <c r="A1631" s="143">
        <v>1588</v>
      </c>
      <c r="B1631" s="144">
        <v>45967</v>
      </c>
      <c r="C1631" s="169" t="s">
        <v>5070</v>
      </c>
      <c r="E1631" s="196" t="s">
        <v>5071</v>
      </c>
      <c r="F1631" s="143" t="s">
        <v>5085</v>
      </c>
      <c r="H1631" s="177" t="s">
        <v>5086</v>
      </c>
      <c r="I1631" s="143" t="s">
        <v>324</v>
      </c>
      <c r="J1631" s="143" t="s">
        <v>1577</v>
      </c>
      <c r="K1631" s="143">
        <v>130</v>
      </c>
      <c r="W1631" s="143" t="s">
        <v>3147</v>
      </c>
      <c r="X1631" s="143" t="s">
        <v>5085</v>
      </c>
      <c r="Y1631" s="169" t="s">
        <v>5087</v>
      </c>
      <c r="Z1631" s="143" t="s">
        <v>5085</v>
      </c>
      <c r="AA1631" s="173">
        <v>22.3</v>
      </c>
      <c r="AB1631" s="191">
        <v>45968</v>
      </c>
      <c r="AH1631" s="204"/>
    </row>
    <row r="1632" ht="15" spans="1:34">
      <c r="A1632" s="143">
        <v>1589</v>
      </c>
      <c r="B1632" s="144">
        <v>45967</v>
      </c>
      <c r="C1632" s="169" t="s">
        <v>5070</v>
      </c>
      <c r="E1632" s="196" t="s">
        <v>5071</v>
      </c>
      <c r="F1632" s="143" t="s">
        <v>5088</v>
      </c>
      <c r="H1632" s="177" t="s">
        <v>5089</v>
      </c>
      <c r="I1632" s="143" t="s">
        <v>324</v>
      </c>
      <c r="J1632" s="143" t="s">
        <v>1577</v>
      </c>
      <c r="K1632" s="143">
        <v>125</v>
      </c>
      <c r="W1632" s="143" t="s">
        <v>3147</v>
      </c>
      <c r="X1632" s="143" t="s">
        <v>5088</v>
      </c>
      <c r="Y1632" s="169" t="s">
        <v>5074</v>
      </c>
      <c r="Z1632" s="143" t="s">
        <v>5088</v>
      </c>
      <c r="AA1632" s="173">
        <v>26.5</v>
      </c>
      <c r="AB1632" s="191">
        <v>45968</v>
      </c>
      <c r="AH1632" s="204"/>
    </row>
    <row r="1633" ht="15" spans="1:34">
      <c r="A1633" s="143">
        <v>1590</v>
      </c>
      <c r="B1633" s="144">
        <v>45967</v>
      </c>
      <c r="C1633" s="169" t="s">
        <v>5070</v>
      </c>
      <c r="E1633" s="196" t="s">
        <v>5071</v>
      </c>
      <c r="F1633" s="143" t="s">
        <v>5090</v>
      </c>
      <c r="H1633" s="177" t="s">
        <v>5091</v>
      </c>
      <c r="I1633" s="143" t="s">
        <v>324</v>
      </c>
      <c r="J1633" s="143" t="s">
        <v>1577</v>
      </c>
      <c r="K1633" s="143">
        <v>120</v>
      </c>
      <c r="W1633" s="143" t="s">
        <v>3147</v>
      </c>
      <c r="X1633" s="143" t="s">
        <v>5090</v>
      </c>
      <c r="Y1633" s="169" t="s">
        <v>5092</v>
      </c>
      <c r="Z1633" s="143" t="s">
        <v>5090</v>
      </c>
      <c r="AA1633" s="173">
        <v>24.5</v>
      </c>
      <c r="AB1633" s="191">
        <v>45968</v>
      </c>
      <c r="AH1633" s="204"/>
    </row>
    <row r="1634" ht="16.5" spans="1:34">
      <c r="A1634" s="143">
        <v>1591</v>
      </c>
      <c r="B1634" s="144">
        <v>45967</v>
      </c>
      <c r="C1634" s="169" t="s">
        <v>5070</v>
      </c>
      <c r="E1634" s="196" t="s">
        <v>5093</v>
      </c>
      <c r="F1634" s="169" t="s">
        <v>5094</v>
      </c>
      <c r="H1634" s="143" t="s">
        <v>5095</v>
      </c>
      <c r="I1634" s="143" t="s">
        <v>5096</v>
      </c>
      <c r="J1634" s="143" t="s">
        <v>5097</v>
      </c>
      <c r="K1634" s="143">
        <v>138</v>
      </c>
      <c r="R1634" s="143" t="s">
        <v>5098</v>
      </c>
      <c r="W1634" s="143" t="s">
        <v>3147</v>
      </c>
      <c r="X1634" s="169" t="s">
        <v>5094</v>
      </c>
      <c r="Y1634" s="169" t="s">
        <v>5099</v>
      </c>
      <c r="Z1634" s="169" t="s">
        <v>5094</v>
      </c>
      <c r="AA1634" s="173">
        <v>20.9</v>
      </c>
      <c r="AB1634" s="191">
        <v>45968</v>
      </c>
      <c r="AH1634" s="204"/>
    </row>
    <row r="1635" ht="16.5" spans="1:34">
      <c r="A1635" s="143">
        <v>1592</v>
      </c>
      <c r="B1635" s="144">
        <v>45967</v>
      </c>
      <c r="C1635" s="169" t="s">
        <v>5070</v>
      </c>
      <c r="E1635" s="196" t="s">
        <v>5093</v>
      </c>
      <c r="F1635" s="169" t="s">
        <v>5100</v>
      </c>
      <c r="H1635" s="143" t="s">
        <v>5101</v>
      </c>
      <c r="I1635" s="143" t="s">
        <v>5096</v>
      </c>
      <c r="J1635" s="143" t="s">
        <v>5097</v>
      </c>
      <c r="K1635" s="143">
        <v>138</v>
      </c>
      <c r="R1635" s="143" t="s">
        <v>5102</v>
      </c>
      <c r="W1635" s="143" t="s">
        <v>3147</v>
      </c>
      <c r="X1635" s="169" t="s">
        <v>5100</v>
      </c>
      <c r="Y1635" s="169" t="s">
        <v>5099</v>
      </c>
      <c r="Z1635" s="169" t="s">
        <v>5100</v>
      </c>
      <c r="AA1635" s="173">
        <v>17.5</v>
      </c>
      <c r="AB1635" s="191">
        <v>45968</v>
      </c>
      <c r="AH1635" s="204"/>
    </row>
    <row r="1636" ht="15" spans="1:34">
      <c r="A1636" s="143">
        <v>1593</v>
      </c>
      <c r="B1636" s="144">
        <v>45967</v>
      </c>
      <c r="C1636" s="169" t="s">
        <v>5070</v>
      </c>
      <c r="E1636" s="196" t="s">
        <v>5093</v>
      </c>
      <c r="F1636" s="143" t="s">
        <v>5103</v>
      </c>
      <c r="H1636" s="143" t="s">
        <v>5104</v>
      </c>
      <c r="I1636" s="143" t="s">
        <v>5096</v>
      </c>
      <c r="J1636" s="143" t="s">
        <v>5097</v>
      </c>
      <c r="K1636" s="143">
        <v>138</v>
      </c>
      <c r="R1636" s="143" t="s">
        <v>5105</v>
      </c>
      <c r="W1636" s="143" t="s">
        <v>3147</v>
      </c>
      <c r="X1636" s="143" t="s">
        <v>5103</v>
      </c>
      <c r="Y1636" s="169" t="s">
        <v>5099</v>
      </c>
      <c r="Z1636" s="143" t="s">
        <v>5103</v>
      </c>
      <c r="AA1636" s="173">
        <v>30.8</v>
      </c>
      <c r="AB1636" s="191">
        <v>45968</v>
      </c>
      <c r="AH1636" s="204"/>
    </row>
    <row r="1637" ht="16.5" spans="1:34">
      <c r="A1637" s="143">
        <v>1594</v>
      </c>
      <c r="B1637" s="144">
        <v>45967</v>
      </c>
      <c r="C1637" s="169" t="s">
        <v>5070</v>
      </c>
      <c r="E1637" s="196" t="s">
        <v>5093</v>
      </c>
      <c r="F1637" s="169" t="s">
        <v>5106</v>
      </c>
      <c r="H1637" s="143" t="s">
        <v>5107</v>
      </c>
      <c r="I1637" s="143" t="s">
        <v>5096</v>
      </c>
      <c r="J1637" s="143" t="s">
        <v>5097</v>
      </c>
      <c r="K1637" s="143">
        <v>138</v>
      </c>
      <c r="R1637" s="143" t="s">
        <v>5108</v>
      </c>
      <c r="W1637" s="143" t="s">
        <v>3147</v>
      </c>
      <c r="X1637" s="169" t="s">
        <v>5106</v>
      </c>
      <c r="Y1637" s="169" t="s">
        <v>5099</v>
      </c>
      <c r="Z1637" s="169" t="s">
        <v>5106</v>
      </c>
      <c r="AA1637" s="173">
        <v>22.8</v>
      </c>
      <c r="AB1637" s="191">
        <v>45968</v>
      </c>
      <c r="AH1637" s="204"/>
    </row>
    <row r="1638" ht="16.5" spans="1:34">
      <c r="A1638" s="143">
        <v>1595</v>
      </c>
      <c r="B1638" s="144">
        <v>45967</v>
      </c>
      <c r="C1638" s="169" t="s">
        <v>5070</v>
      </c>
      <c r="E1638" s="196" t="s">
        <v>5093</v>
      </c>
      <c r="F1638" s="169" t="s">
        <v>5109</v>
      </c>
      <c r="H1638" s="143" t="s">
        <v>5110</v>
      </c>
      <c r="I1638" s="143" t="s">
        <v>5096</v>
      </c>
      <c r="J1638" s="143" t="s">
        <v>5097</v>
      </c>
      <c r="K1638" s="143">
        <v>138</v>
      </c>
      <c r="R1638" s="143" t="s">
        <v>5111</v>
      </c>
      <c r="W1638" s="143" t="s">
        <v>3147</v>
      </c>
      <c r="X1638" s="169" t="s">
        <v>5109</v>
      </c>
      <c r="Y1638" s="169" t="s">
        <v>5099</v>
      </c>
      <c r="Z1638" s="169" t="s">
        <v>5109</v>
      </c>
      <c r="AA1638" s="173">
        <v>22.8</v>
      </c>
      <c r="AB1638" s="191">
        <v>45968</v>
      </c>
      <c r="AH1638" s="204"/>
    </row>
    <row r="1639" ht="16.5" spans="1:34">
      <c r="A1639" s="143">
        <v>1596</v>
      </c>
      <c r="B1639" s="144">
        <v>45967</v>
      </c>
      <c r="C1639" s="169" t="s">
        <v>5070</v>
      </c>
      <c r="E1639" s="196" t="s">
        <v>5093</v>
      </c>
      <c r="F1639" s="169" t="s">
        <v>5112</v>
      </c>
      <c r="H1639" s="143" t="s">
        <v>5113</v>
      </c>
      <c r="I1639" s="143" t="s">
        <v>5114</v>
      </c>
      <c r="J1639" s="143" t="s">
        <v>5115</v>
      </c>
      <c r="K1639" s="143">
        <v>138</v>
      </c>
      <c r="R1639" s="143" t="s">
        <v>5111</v>
      </c>
      <c r="W1639" s="143" t="s">
        <v>3147</v>
      </c>
      <c r="X1639" s="169" t="s">
        <v>5112</v>
      </c>
      <c r="Y1639" s="169" t="s">
        <v>5099</v>
      </c>
      <c r="Z1639" s="169" t="s">
        <v>5112</v>
      </c>
      <c r="AA1639" s="173">
        <v>21.6</v>
      </c>
      <c r="AB1639" s="191">
        <v>45968</v>
      </c>
      <c r="AH1639" s="204"/>
    </row>
    <row r="1640" ht="15" spans="1:34">
      <c r="A1640" s="143">
        <v>1597</v>
      </c>
      <c r="B1640" s="144">
        <v>45967</v>
      </c>
      <c r="C1640" s="169" t="s">
        <v>5070</v>
      </c>
      <c r="E1640" s="196" t="s">
        <v>5093</v>
      </c>
      <c r="F1640" s="169" t="s">
        <v>5116</v>
      </c>
      <c r="H1640" s="143" t="s">
        <v>5117</v>
      </c>
      <c r="I1640" s="143" t="s">
        <v>5114</v>
      </c>
      <c r="J1640" s="143" t="s">
        <v>5115</v>
      </c>
      <c r="K1640" s="143">
        <v>138</v>
      </c>
      <c r="R1640" s="143" t="s">
        <v>5118</v>
      </c>
      <c r="W1640" s="143" t="s">
        <v>3147</v>
      </c>
      <c r="X1640" s="169" t="s">
        <v>5116</v>
      </c>
      <c r="Y1640" s="169" t="s">
        <v>5099</v>
      </c>
      <c r="Z1640" s="169" t="s">
        <v>5116</v>
      </c>
      <c r="AA1640" s="173">
        <v>27.5</v>
      </c>
      <c r="AB1640" s="191">
        <v>45968</v>
      </c>
      <c r="AH1640" s="204"/>
    </row>
    <row r="1641" ht="15" spans="1:34">
      <c r="A1641" s="143">
        <v>1598</v>
      </c>
      <c r="B1641" s="144">
        <v>45967</v>
      </c>
      <c r="C1641" s="169" t="s">
        <v>5070</v>
      </c>
      <c r="E1641" s="196" t="s">
        <v>5093</v>
      </c>
      <c r="F1641" s="169" t="s">
        <v>5119</v>
      </c>
      <c r="H1641" s="143" t="s">
        <v>5120</v>
      </c>
      <c r="I1641" s="143" t="s">
        <v>5114</v>
      </c>
      <c r="J1641" s="143" t="s">
        <v>5115</v>
      </c>
      <c r="K1641" s="143">
        <v>138</v>
      </c>
      <c r="R1641" s="143" t="s">
        <v>5118</v>
      </c>
      <c r="W1641" s="143" t="s">
        <v>3147</v>
      </c>
      <c r="X1641" s="169" t="s">
        <v>5119</v>
      </c>
      <c r="Y1641" s="169" t="s">
        <v>5099</v>
      </c>
      <c r="Z1641" s="169" t="s">
        <v>5119</v>
      </c>
      <c r="AA1641" s="173">
        <v>27.4</v>
      </c>
      <c r="AB1641" s="191">
        <v>45968</v>
      </c>
      <c r="AH1641" s="204"/>
    </row>
    <row r="1642" ht="25.5" spans="1:34">
      <c r="A1642" s="143">
        <v>1599</v>
      </c>
      <c r="B1642" s="144">
        <v>45967</v>
      </c>
      <c r="C1642" s="169" t="s">
        <v>5070</v>
      </c>
      <c r="E1642" s="196" t="s">
        <v>5093</v>
      </c>
      <c r="F1642" s="169" t="s">
        <v>5121</v>
      </c>
      <c r="H1642" s="143" t="s">
        <v>5122</v>
      </c>
      <c r="I1642" s="208" t="s">
        <v>5123</v>
      </c>
      <c r="J1642" s="143" t="s">
        <v>5124</v>
      </c>
      <c r="K1642" s="143">
        <v>138</v>
      </c>
      <c r="R1642" s="143" t="s">
        <v>5118</v>
      </c>
      <c r="W1642" s="143" t="s">
        <v>3147</v>
      </c>
      <c r="X1642" s="169" t="s">
        <v>5121</v>
      </c>
      <c r="Y1642" s="169" t="s">
        <v>5125</v>
      </c>
      <c r="Z1642" s="169" t="s">
        <v>5121</v>
      </c>
      <c r="AA1642" s="173">
        <v>25.5</v>
      </c>
      <c r="AB1642" s="191">
        <v>45968</v>
      </c>
      <c r="AH1642" s="204"/>
    </row>
    <row r="1643" ht="25.5" spans="1:34">
      <c r="A1643" s="143">
        <v>1600</v>
      </c>
      <c r="B1643" s="144">
        <v>45967</v>
      </c>
      <c r="C1643" s="169" t="s">
        <v>5070</v>
      </c>
      <c r="E1643" s="196" t="s">
        <v>5093</v>
      </c>
      <c r="F1643" s="169" t="s">
        <v>5126</v>
      </c>
      <c r="H1643" s="143" t="s">
        <v>5127</v>
      </c>
      <c r="I1643" s="208" t="s">
        <v>5128</v>
      </c>
      <c r="J1643" s="143" t="s">
        <v>5129</v>
      </c>
      <c r="K1643" s="143">
        <v>138</v>
      </c>
      <c r="R1643" s="143" t="s">
        <v>5130</v>
      </c>
      <c r="W1643" s="143" t="s">
        <v>3147</v>
      </c>
      <c r="X1643" s="169" t="s">
        <v>5126</v>
      </c>
      <c r="Y1643" s="169" t="s">
        <v>5125</v>
      </c>
      <c r="Z1643" s="169" t="s">
        <v>5126</v>
      </c>
      <c r="AA1643" s="173">
        <v>14.7</v>
      </c>
      <c r="AB1643" s="191">
        <v>45968</v>
      </c>
      <c r="AH1643" s="204"/>
    </row>
    <row r="1644" ht="25.5" spans="1:34">
      <c r="A1644" s="143">
        <v>1601</v>
      </c>
      <c r="B1644" s="144">
        <v>45967</v>
      </c>
      <c r="C1644" s="169" t="s">
        <v>5070</v>
      </c>
      <c r="E1644" s="196" t="s">
        <v>5093</v>
      </c>
      <c r="F1644" s="169" t="s">
        <v>5131</v>
      </c>
      <c r="H1644" s="143" t="s">
        <v>5132</v>
      </c>
      <c r="I1644" s="208" t="s">
        <v>5123</v>
      </c>
      <c r="J1644" s="143" t="s">
        <v>5124</v>
      </c>
      <c r="K1644" s="143">
        <v>138</v>
      </c>
      <c r="R1644" s="143" t="s">
        <v>5118</v>
      </c>
      <c r="W1644" s="143" t="s">
        <v>3147</v>
      </c>
      <c r="X1644" s="169" t="s">
        <v>5131</v>
      </c>
      <c r="Y1644" s="169" t="s">
        <v>5125</v>
      </c>
      <c r="Z1644" s="169" t="s">
        <v>5131</v>
      </c>
      <c r="AA1644" s="173">
        <v>26</v>
      </c>
      <c r="AB1644" s="191">
        <v>45968</v>
      </c>
      <c r="AH1644" s="204"/>
    </row>
    <row r="1645" ht="25.5" spans="1:34">
      <c r="A1645" s="143">
        <v>1602</v>
      </c>
      <c r="B1645" s="144">
        <v>45967</v>
      </c>
      <c r="C1645" s="169" t="s">
        <v>5070</v>
      </c>
      <c r="E1645" s="196" t="s">
        <v>5093</v>
      </c>
      <c r="F1645" s="169" t="s">
        <v>5133</v>
      </c>
      <c r="H1645" s="143" t="s">
        <v>5134</v>
      </c>
      <c r="I1645" s="208" t="s">
        <v>5123</v>
      </c>
      <c r="J1645" s="143" t="s">
        <v>5124</v>
      </c>
      <c r="K1645" s="143">
        <v>138</v>
      </c>
      <c r="R1645" s="143" t="s">
        <v>5118</v>
      </c>
      <c r="W1645" s="143" t="s">
        <v>3147</v>
      </c>
      <c r="X1645" s="169" t="s">
        <v>5133</v>
      </c>
      <c r="Y1645" s="169" t="s">
        <v>5125</v>
      </c>
      <c r="Z1645" s="169" t="s">
        <v>5133</v>
      </c>
      <c r="AA1645" s="173">
        <v>26</v>
      </c>
      <c r="AB1645" s="191">
        <v>45968</v>
      </c>
      <c r="AH1645" s="204"/>
    </row>
    <row r="1646" ht="15" spans="1:34">
      <c r="A1646" s="143">
        <v>1603</v>
      </c>
      <c r="B1646" s="144">
        <v>45967</v>
      </c>
      <c r="C1646" s="169" t="s">
        <v>5070</v>
      </c>
      <c r="E1646" s="196" t="s">
        <v>5093</v>
      </c>
      <c r="F1646" s="169" t="s">
        <v>5135</v>
      </c>
      <c r="H1646" s="143" t="s">
        <v>5136</v>
      </c>
      <c r="I1646" s="143" t="s">
        <v>5137</v>
      </c>
      <c r="J1646" s="143" t="s">
        <v>5138</v>
      </c>
      <c r="K1646" s="143">
        <v>145</v>
      </c>
      <c r="W1646" s="143" t="s">
        <v>3147</v>
      </c>
      <c r="X1646" s="169" t="s">
        <v>5135</v>
      </c>
      <c r="Y1646" s="169" t="s">
        <v>5139</v>
      </c>
      <c r="Z1646" s="169" t="s">
        <v>5135</v>
      </c>
      <c r="AA1646" s="173">
        <v>33.1</v>
      </c>
      <c r="AB1646" s="191">
        <v>45968</v>
      </c>
      <c r="AH1646" s="204"/>
    </row>
    <row r="1647" ht="15" spans="1:34">
      <c r="A1647" s="143">
        <v>1604</v>
      </c>
      <c r="B1647" s="144">
        <v>45967</v>
      </c>
      <c r="C1647" s="169" t="s">
        <v>5070</v>
      </c>
      <c r="E1647" s="196" t="s">
        <v>5093</v>
      </c>
      <c r="F1647" s="169" t="s">
        <v>5140</v>
      </c>
      <c r="H1647" s="143" t="s">
        <v>5141</v>
      </c>
      <c r="I1647" s="143" t="s">
        <v>5142</v>
      </c>
      <c r="J1647" s="143" t="s">
        <v>5143</v>
      </c>
      <c r="K1647" s="143">
        <v>140</v>
      </c>
      <c r="W1647" s="143" t="s">
        <v>3147</v>
      </c>
      <c r="X1647" s="169" t="s">
        <v>5140</v>
      </c>
      <c r="Y1647" s="169" t="s">
        <v>5139</v>
      </c>
      <c r="Z1647" s="169" t="s">
        <v>5140</v>
      </c>
      <c r="AA1647" s="173">
        <v>28.5</v>
      </c>
      <c r="AB1647" s="191">
        <v>45968</v>
      </c>
      <c r="AH1647" s="204"/>
    </row>
    <row r="1648" ht="15" spans="1:34">
      <c r="A1648" s="143">
        <v>1605</v>
      </c>
      <c r="B1648" s="144">
        <v>45967</v>
      </c>
      <c r="C1648" s="169" t="s">
        <v>5070</v>
      </c>
      <c r="E1648" s="196" t="s">
        <v>5093</v>
      </c>
      <c r="F1648" s="169" t="s">
        <v>5144</v>
      </c>
      <c r="H1648" s="143" t="s">
        <v>5145</v>
      </c>
      <c r="I1648" s="143" t="s">
        <v>5096</v>
      </c>
      <c r="J1648" s="143" t="s">
        <v>5146</v>
      </c>
      <c r="K1648" s="143">
        <v>140</v>
      </c>
      <c r="W1648" s="143" t="s">
        <v>3147</v>
      </c>
      <c r="X1648" s="169" t="s">
        <v>5144</v>
      </c>
      <c r="Y1648" s="169" t="s">
        <v>5139</v>
      </c>
      <c r="Z1648" s="169" t="s">
        <v>5144</v>
      </c>
      <c r="AA1648" s="173">
        <v>23.9</v>
      </c>
      <c r="AB1648" s="191">
        <v>45968</v>
      </c>
      <c r="AH1648" s="204"/>
    </row>
    <row r="1649" ht="15" spans="1:39">
      <c r="A1649" s="143">
        <v>1606</v>
      </c>
      <c r="B1649" s="144">
        <v>45967</v>
      </c>
      <c r="C1649" s="169" t="s">
        <v>5070</v>
      </c>
      <c r="E1649" s="196" t="s">
        <v>5093</v>
      </c>
      <c r="F1649" s="169" t="s">
        <v>5147</v>
      </c>
      <c r="H1649" s="143" t="s">
        <v>5148</v>
      </c>
      <c r="I1649" s="143" t="s">
        <v>5096</v>
      </c>
      <c r="J1649" s="143" t="s">
        <v>5146</v>
      </c>
      <c r="K1649" s="143">
        <v>140</v>
      </c>
      <c r="W1649" s="143" t="s">
        <v>3147</v>
      </c>
      <c r="X1649" s="169" t="s">
        <v>5147</v>
      </c>
      <c r="Y1649" s="169" t="s">
        <v>5139</v>
      </c>
      <c r="Z1649" s="169" t="s">
        <v>5147</v>
      </c>
      <c r="AA1649" s="173">
        <v>20.5</v>
      </c>
      <c r="AB1649" s="191">
        <v>45968</v>
      </c>
      <c r="AH1649" s="204"/>
    </row>
    <row r="1650" ht="15" spans="1:39">
      <c r="A1650" s="143">
        <v>1607</v>
      </c>
      <c r="B1650" s="144">
        <v>45967</v>
      </c>
      <c r="C1650" s="169" t="s">
        <v>5070</v>
      </c>
      <c r="E1650" s="196" t="s">
        <v>5093</v>
      </c>
      <c r="F1650" s="169" t="s">
        <v>5149</v>
      </c>
      <c r="H1650" s="143" t="s">
        <v>5150</v>
      </c>
      <c r="I1650" s="143" t="s">
        <v>5151</v>
      </c>
      <c r="J1650" s="143" t="s">
        <v>5152</v>
      </c>
      <c r="K1650" s="143">
        <v>135</v>
      </c>
      <c r="R1650" s="143">
        <v>0.55</v>
      </c>
      <c r="W1650" s="143" t="s">
        <v>3147</v>
      </c>
      <c r="X1650" s="169" t="s">
        <v>5149</v>
      </c>
      <c r="Y1650" s="169" t="s">
        <v>5153</v>
      </c>
      <c r="Z1650" s="169" t="s">
        <v>5149</v>
      </c>
      <c r="AA1650" s="173">
        <v>33.2</v>
      </c>
      <c r="AB1650" s="191">
        <v>45968</v>
      </c>
      <c r="AH1650" s="204"/>
    </row>
    <row r="1651" ht="15" spans="1:39">
      <c r="A1651" s="143">
        <v>1608</v>
      </c>
      <c r="B1651" s="144">
        <v>45967</v>
      </c>
      <c r="C1651" s="169" t="s">
        <v>5070</v>
      </c>
      <c r="E1651" s="196" t="s">
        <v>5093</v>
      </c>
      <c r="F1651" s="169" t="s">
        <v>5154</v>
      </c>
      <c r="H1651" s="143" t="s">
        <v>5155</v>
      </c>
      <c r="I1651" s="143" t="s">
        <v>5096</v>
      </c>
      <c r="J1651" s="143" t="s">
        <v>5146</v>
      </c>
      <c r="K1651" s="143">
        <v>140</v>
      </c>
      <c r="W1651" s="143" t="s">
        <v>3147</v>
      </c>
      <c r="X1651" s="169" t="s">
        <v>5154</v>
      </c>
      <c r="Y1651" s="169" t="s">
        <v>5153</v>
      </c>
      <c r="Z1651" s="169" t="s">
        <v>5154</v>
      </c>
      <c r="AA1651" s="173">
        <v>32</v>
      </c>
      <c r="AB1651" s="191">
        <v>45968</v>
      </c>
      <c r="AH1651" s="204"/>
    </row>
    <row r="1652" ht="15" spans="1:39">
      <c r="A1652" s="143">
        <v>1609</v>
      </c>
      <c r="B1652" s="144">
        <v>45967</v>
      </c>
      <c r="C1652" s="169" t="s">
        <v>5070</v>
      </c>
      <c r="E1652" s="196" t="s">
        <v>5093</v>
      </c>
      <c r="F1652" s="169" t="s">
        <v>5156</v>
      </c>
      <c r="H1652" s="143" t="s">
        <v>5157</v>
      </c>
      <c r="I1652" s="143" t="s">
        <v>5096</v>
      </c>
      <c r="J1652" s="143" t="s">
        <v>5146</v>
      </c>
      <c r="K1652" s="143">
        <v>140</v>
      </c>
      <c r="W1652" s="143" t="s">
        <v>3147</v>
      </c>
      <c r="X1652" s="169" t="s">
        <v>5156</v>
      </c>
      <c r="Y1652" s="169" t="s">
        <v>5153</v>
      </c>
      <c r="Z1652" s="169" t="s">
        <v>5156</v>
      </c>
      <c r="AA1652" s="173">
        <v>30.8</v>
      </c>
      <c r="AB1652" s="191">
        <v>45968</v>
      </c>
      <c r="AH1652" s="204"/>
    </row>
    <row r="1653" ht="15" spans="1:39">
      <c r="A1653" s="143">
        <v>1610</v>
      </c>
      <c r="B1653" s="144">
        <v>45967</v>
      </c>
      <c r="C1653" s="169" t="s">
        <v>5070</v>
      </c>
      <c r="E1653" s="196" t="s">
        <v>5093</v>
      </c>
      <c r="F1653" s="143" t="s">
        <v>5158</v>
      </c>
      <c r="H1653" s="143" t="s">
        <v>5159</v>
      </c>
      <c r="I1653" s="143" t="s">
        <v>5160</v>
      </c>
      <c r="J1653" s="143" t="s">
        <v>5161</v>
      </c>
      <c r="K1653" s="143">
        <v>140</v>
      </c>
      <c r="R1653" s="143">
        <v>0.7</v>
      </c>
      <c r="W1653" s="143" t="s">
        <v>3147</v>
      </c>
      <c r="X1653" s="143" t="s">
        <v>5158</v>
      </c>
      <c r="Y1653" s="169" t="s">
        <v>5153</v>
      </c>
      <c r="Z1653" s="143" t="s">
        <v>5158</v>
      </c>
      <c r="AA1653" s="173">
        <v>25</v>
      </c>
      <c r="AB1653" s="191">
        <v>45968</v>
      </c>
      <c r="AH1653" s="204"/>
    </row>
    <row r="1654" ht="15" spans="1:39">
      <c r="A1654" s="143">
        <v>1611</v>
      </c>
      <c r="B1654" s="144">
        <v>45967</v>
      </c>
      <c r="C1654" s="169" t="s">
        <v>5070</v>
      </c>
      <c r="E1654" s="196" t="s">
        <v>5093</v>
      </c>
      <c r="F1654" s="143" t="s">
        <v>5162</v>
      </c>
      <c r="H1654" s="143" t="s">
        <v>5163</v>
      </c>
      <c r="I1654" s="143" t="s">
        <v>5164</v>
      </c>
      <c r="J1654" s="143" t="s">
        <v>5152</v>
      </c>
      <c r="K1654" s="143">
        <v>136</v>
      </c>
      <c r="L1654" s="143">
        <v>260</v>
      </c>
      <c r="R1654" s="143">
        <v>0.6</v>
      </c>
      <c r="W1654" s="143" t="s">
        <v>3147</v>
      </c>
      <c r="X1654" s="143" t="s">
        <v>5162</v>
      </c>
      <c r="Y1654" s="169" t="s">
        <v>5153</v>
      </c>
      <c r="Z1654" s="143" t="s">
        <v>5162</v>
      </c>
      <c r="AA1654" s="173">
        <v>27.3</v>
      </c>
      <c r="AB1654" s="191">
        <v>45968</v>
      </c>
      <c r="AH1654" s="204"/>
    </row>
    <row r="1655" ht="15" spans="1:39">
      <c r="A1655" s="143">
        <v>1612</v>
      </c>
      <c r="B1655" s="144">
        <v>45967</v>
      </c>
      <c r="C1655" s="169" t="s">
        <v>5070</v>
      </c>
      <c r="E1655" s="196" t="s">
        <v>5093</v>
      </c>
      <c r="F1655" s="169" t="s">
        <v>5165</v>
      </c>
      <c r="H1655" s="143" t="s">
        <v>5166</v>
      </c>
      <c r="I1655" s="143" t="s">
        <v>5167</v>
      </c>
      <c r="J1655" s="143" t="s">
        <v>5168</v>
      </c>
      <c r="K1655" s="143">
        <v>138</v>
      </c>
      <c r="R1655" s="143">
        <v>0.6</v>
      </c>
      <c r="W1655" s="143" t="s">
        <v>3147</v>
      </c>
      <c r="X1655" s="169" t="s">
        <v>5165</v>
      </c>
      <c r="Y1655" s="169" t="s">
        <v>5153</v>
      </c>
      <c r="Z1655" s="169" t="s">
        <v>5165</v>
      </c>
      <c r="AA1655" s="173">
        <v>34.2</v>
      </c>
      <c r="AB1655" s="191">
        <v>45968</v>
      </c>
      <c r="AH1655" s="204"/>
    </row>
    <row r="1656" ht="15" spans="1:39">
      <c r="A1656" s="143">
        <v>1613</v>
      </c>
      <c r="B1656" s="144">
        <v>45967</v>
      </c>
      <c r="C1656" s="169" t="s">
        <v>5070</v>
      </c>
      <c r="E1656" s="196" t="s">
        <v>5093</v>
      </c>
      <c r="F1656" s="169" t="s">
        <v>5169</v>
      </c>
      <c r="H1656" s="143" t="s">
        <v>5170</v>
      </c>
      <c r="I1656" s="143" t="s">
        <v>5171</v>
      </c>
      <c r="J1656" s="143" t="s">
        <v>5146</v>
      </c>
      <c r="K1656" s="143">
        <v>140</v>
      </c>
      <c r="R1656" s="143">
        <v>0.6</v>
      </c>
      <c r="W1656" s="143" t="s">
        <v>3147</v>
      </c>
      <c r="X1656" s="169" t="s">
        <v>5169</v>
      </c>
      <c r="Y1656" s="169" t="s">
        <v>5153</v>
      </c>
      <c r="Z1656" s="169" t="s">
        <v>5169</v>
      </c>
      <c r="AA1656" s="173">
        <v>27.3</v>
      </c>
      <c r="AB1656" s="191">
        <v>45968</v>
      </c>
      <c r="AH1656" s="204"/>
    </row>
    <row r="1657" ht="15" spans="1:39">
      <c r="A1657" s="143">
        <v>1614</v>
      </c>
      <c r="B1657" s="144">
        <v>45967</v>
      </c>
      <c r="C1657" s="169" t="s">
        <v>5070</v>
      </c>
      <c r="E1657" s="196" t="s">
        <v>5093</v>
      </c>
      <c r="F1657" s="169" t="s">
        <v>5172</v>
      </c>
      <c r="H1657" s="143" t="s">
        <v>5173</v>
      </c>
      <c r="I1657" s="143" t="s">
        <v>5174</v>
      </c>
      <c r="J1657" s="143" t="s">
        <v>5168</v>
      </c>
      <c r="K1657" s="143">
        <v>140</v>
      </c>
      <c r="R1657" s="143">
        <v>0.6</v>
      </c>
      <c r="W1657" s="143" t="s">
        <v>3147</v>
      </c>
      <c r="X1657" s="169" t="s">
        <v>5172</v>
      </c>
      <c r="Y1657" s="169" t="s">
        <v>5153</v>
      </c>
      <c r="Z1657" s="169" t="s">
        <v>5172</v>
      </c>
      <c r="AA1657" s="173">
        <v>27.3</v>
      </c>
      <c r="AB1657" s="191">
        <v>45968</v>
      </c>
      <c r="AH1657" s="204"/>
    </row>
    <row r="1658" ht="15" spans="1:39">
      <c r="A1658" s="143">
        <v>1615</v>
      </c>
      <c r="B1658" s="144">
        <v>45967</v>
      </c>
      <c r="C1658" s="169" t="s">
        <v>5070</v>
      </c>
      <c r="E1658" s="196" t="s">
        <v>5093</v>
      </c>
      <c r="F1658" s="169" t="s">
        <v>5175</v>
      </c>
      <c r="H1658" s="143" t="s">
        <v>5176</v>
      </c>
      <c r="I1658" s="143" t="s">
        <v>5177</v>
      </c>
      <c r="J1658" s="143" t="s">
        <v>5097</v>
      </c>
      <c r="K1658" s="143">
        <v>138</v>
      </c>
      <c r="L1658" s="143">
        <v>300</v>
      </c>
      <c r="R1658" s="143">
        <v>0.7</v>
      </c>
      <c r="W1658" s="143" t="s">
        <v>3147</v>
      </c>
      <c r="X1658" s="169" t="s">
        <v>5175</v>
      </c>
      <c r="Y1658" s="169" t="s">
        <v>5153</v>
      </c>
      <c r="Z1658" s="169" t="s">
        <v>5175</v>
      </c>
      <c r="AA1658" s="173">
        <v>27.3</v>
      </c>
      <c r="AB1658" s="191">
        <v>45968</v>
      </c>
      <c r="AH1658" s="204"/>
    </row>
    <row r="1659" customFormat="1" ht="15" spans="1:39">
      <c r="A1659" s="143">
        <v>1616</v>
      </c>
      <c r="B1659" s="144">
        <v>45967</v>
      </c>
      <c r="C1659" s="169" t="s">
        <v>3148</v>
      </c>
      <c r="D1659" s="143"/>
      <c r="E1659" s="196" t="s">
        <v>5178</v>
      </c>
      <c r="F1659" s="143">
        <v>6054</v>
      </c>
      <c r="G1659" s="143"/>
      <c r="H1659" s="143" t="s">
        <v>5179</v>
      </c>
      <c r="I1659" s="143" t="s">
        <v>324</v>
      </c>
      <c r="J1659" s="143" t="s">
        <v>1577</v>
      </c>
      <c r="K1659" s="143">
        <v>148</v>
      </c>
      <c r="L1659" s="143"/>
      <c r="M1659" s="143"/>
      <c r="N1659" s="143"/>
      <c r="O1659" s="143"/>
      <c r="P1659" s="143"/>
      <c r="Q1659" s="143"/>
      <c r="R1659" s="143"/>
      <c r="S1659" s="146"/>
      <c r="T1659" s="146"/>
      <c r="U1659" s="146"/>
      <c r="V1659" s="147"/>
      <c r="W1659" s="143" t="s">
        <v>3147</v>
      </c>
      <c r="X1659" s="143">
        <v>6054</v>
      </c>
      <c r="Y1659" s="143" t="s">
        <v>5180</v>
      </c>
      <c r="Z1659" s="143">
        <v>6054</v>
      </c>
      <c r="AA1659" s="173">
        <v>12.8</v>
      </c>
      <c r="AB1659" s="191">
        <v>45968</v>
      </c>
      <c r="AC1659" s="143"/>
      <c r="AD1659" s="143"/>
      <c r="AE1659" s="143"/>
      <c r="AF1659" s="143"/>
      <c r="AG1659" s="143"/>
      <c r="AH1659" s="204"/>
      <c r="AI1659" s="201"/>
      <c r="AJ1659" s="201"/>
      <c r="AK1659" s="201"/>
      <c r="AL1659" s="201"/>
      <c r="AM1659" s="201"/>
    </row>
    <row r="1660" customFormat="1" ht="15" spans="1:39">
      <c r="A1660" s="143">
        <v>1617</v>
      </c>
      <c r="B1660" s="144">
        <v>45967</v>
      </c>
      <c r="C1660" s="169" t="s">
        <v>3148</v>
      </c>
      <c r="D1660" s="143"/>
      <c r="E1660" s="196" t="s">
        <v>5178</v>
      </c>
      <c r="F1660" s="143" t="s">
        <v>5181</v>
      </c>
      <c r="G1660" s="143"/>
      <c r="H1660" s="143" t="s">
        <v>5182</v>
      </c>
      <c r="I1660" s="143" t="s">
        <v>324</v>
      </c>
      <c r="J1660" s="143" t="s">
        <v>1577</v>
      </c>
      <c r="K1660" s="143">
        <v>148</v>
      </c>
      <c r="L1660" s="143"/>
      <c r="M1660" s="143"/>
      <c r="N1660" s="143"/>
      <c r="O1660" s="143"/>
      <c r="P1660" s="143"/>
      <c r="Q1660" s="143"/>
      <c r="R1660" s="143"/>
      <c r="S1660" s="146"/>
      <c r="T1660" s="146"/>
      <c r="U1660" s="146"/>
      <c r="V1660" s="147"/>
      <c r="W1660" s="143" t="s">
        <v>3147</v>
      </c>
      <c r="X1660" s="143" t="s">
        <v>5181</v>
      </c>
      <c r="Y1660" s="143" t="s">
        <v>5180</v>
      </c>
      <c r="Z1660" s="143" t="s">
        <v>5181</v>
      </c>
      <c r="AA1660" s="173">
        <v>16.4</v>
      </c>
      <c r="AB1660" s="191">
        <v>45968</v>
      </c>
      <c r="AC1660" s="143"/>
      <c r="AD1660" s="143"/>
      <c r="AE1660" s="143"/>
      <c r="AF1660" s="143"/>
      <c r="AG1660" s="143"/>
      <c r="AH1660" s="204"/>
      <c r="AI1660" s="201"/>
      <c r="AJ1660" s="201"/>
      <c r="AK1660" s="201"/>
      <c r="AL1660" s="201"/>
      <c r="AM1660" s="201"/>
    </row>
    <row r="1661" customFormat="1" ht="15" spans="1:39">
      <c r="A1661" s="143">
        <v>1618</v>
      </c>
      <c r="B1661" s="144">
        <v>45967</v>
      </c>
      <c r="C1661" s="169" t="s">
        <v>3148</v>
      </c>
      <c r="D1661" s="143"/>
      <c r="E1661" s="196" t="s">
        <v>5178</v>
      </c>
      <c r="F1661" s="143" t="s">
        <v>5183</v>
      </c>
      <c r="G1661" s="143"/>
      <c r="H1661" s="143" t="s">
        <v>5184</v>
      </c>
      <c r="I1661" s="143" t="s">
        <v>324</v>
      </c>
      <c r="J1661" s="143" t="s">
        <v>1577</v>
      </c>
      <c r="K1661" s="143">
        <v>148</v>
      </c>
      <c r="L1661" s="143"/>
      <c r="M1661" s="143"/>
      <c r="N1661" s="143"/>
      <c r="O1661" s="143"/>
      <c r="P1661" s="143"/>
      <c r="Q1661" s="143"/>
      <c r="R1661" s="143"/>
      <c r="S1661" s="146"/>
      <c r="T1661" s="146"/>
      <c r="U1661" s="146"/>
      <c r="V1661" s="147"/>
      <c r="W1661" s="143" t="s">
        <v>3147</v>
      </c>
      <c r="X1661" s="143" t="s">
        <v>5183</v>
      </c>
      <c r="Y1661" s="143" t="s">
        <v>5180</v>
      </c>
      <c r="Z1661" s="143" t="s">
        <v>5183</v>
      </c>
      <c r="AA1661" s="173">
        <v>14.7</v>
      </c>
      <c r="AB1661" s="191">
        <v>45968</v>
      </c>
      <c r="AC1661" s="143"/>
      <c r="AD1661" s="143"/>
      <c r="AE1661" s="143"/>
      <c r="AF1661" s="143"/>
      <c r="AG1661" s="143"/>
      <c r="AH1661" s="204"/>
      <c r="AI1661" s="201"/>
      <c r="AJ1661" s="201"/>
      <c r="AK1661" s="201"/>
      <c r="AL1661" s="201"/>
      <c r="AM1661" s="201"/>
    </row>
    <row r="1662" customFormat="1" ht="15" spans="1:39">
      <c r="A1662" s="143">
        <v>1619</v>
      </c>
      <c r="B1662" s="144">
        <v>45967</v>
      </c>
      <c r="C1662" s="169" t="s">
        <v>3148</v>
      </c>
      <c r="D1662" s="143"/>
      <c r="E1662" s="196" t="s">
        <v>5178</v>
      </c>
      <c r="F1662" s="143" t="s">
        <v>5185</v>
      </c>
      <c r="G1662" s="143"/>
      <c r="H1662" s="143" t="s">
        <v>5186</v>
      </c>
      <c r="I1662" s="143" t="s">
        <v>324</v>
      </c>
      <c r="J1662" s="143" t="s">
        <v>1577</v>
      </c>
      <c r="K1662" s="143">
        <v>148</v>
      </c>
      <c r="L1662" s="143"/>
      <c r="M1662" s="143"/>
      <c r="N1662" s="143"/>
      <c r="O1662" s="143"/>
      <c r="P1662" s="143"/>
      <c r="Q1662" s="143"/>
      <c r="R1662" s="143"/>
      <c r="S1662" s="146"/>
      <c r="T1662" s="146"/>
      <c r="U1662" s="146"/>
      <c r="V1662" s="147"/>
      <c r="W1662" s="143" t="s">
        <v>3147</v>
      </c>
      <c r="X1662" s="143" t="s">
        <v>5185</v>
      </c>
      <c r="Y1662" s="143" t="s">
        <v>5180</v>
      </c>
      <c r="Z1662" s="143" t="s">
        <v>5185</v>
      </c>
      <c r="AA1662" s="173">
        <v>15.6</v>
      </c>
      <c r="AB1662" s="191">
        <v>45968</v>
      </c>
      <c r="AC1662" s="143"/>
      <c r="AD1662" s="143"/>
      <c r="AE1662" s="143"/>
      <c r="AF1662" s="143"/>
      <c r="AG1662" s="143"/>
      <c r="AH1662" s="204"/>
      <c r="AI1662" s="201"/>
      <c r="AJ1662" s="201"/>
      <c r="AK1662" s="201"/>
      <c r="AL1662" s="201"/>
      <c r="AM1662" s="201"/>
    </row>
    <row r="1663" customFormat="1" ht="15" spans="1:39">
      <c r="A1663" s="143">
        <v>1620</v>
      </c>
      <c r="B1663" s="144">
        <v>45967</v>
      </c>
      <c r="C1663" s="169" t="s">
        <v>3148</v>
      </c>
      <c r="D1663" s="143"/>
      <c r="E1663" s="196" t="s">
        <v>5178</v>
      </c>
      <c r="F1663" s="143" t="s">
        <v>5187</v>
      </c>
      <c r="G1663" s="143"/>
      <c r="H1663" s="143" t="s">
        <v>5188</v>
      </c>
      <c r="I1663" s="143" t="s">
        <v>5189</v>
      </c>
      <c r="J1663" s="143" t="s">
        <v>5190</v>
      </c>
      <c r="K1663" s="143">
        <v>148</v>
      </c>
      <c r="L1663" s="143"/>
      <c r="M1663" s="143"/>
      <c r="N1663" s="143"/>
      <c r="O1663" s="143"/>
      <c r="P1663" s="143"/>
      <c r="Q1663" s="143"/>
      <c r="R1663" s="143"/>
      <c r="S1663" s="146"/>
      <c r="T1663" s="146"/>
      <c r="U1663" s="146"/>
      <c r="V1663" s="147"/>
      <c r="W1663" s="143" t="s">
        <v>3147</v>
      </c>
      <c r="X1663" s="143" t="s">
        <v>5187</v>
      </c>
      <c r="Y1663" s="143" t="s">
        <v>5180</v>
      </c>
      <c r="Z1663" s="143" t="s">
        <v>5187</v>
      </c>
      <c r="AA1663" s="173">
        <v>17</v>
      </c>
      <c r="AB1663" s="191">
        <v>45968</v>
      </c>
      <c r="AC1663" s="143"/>
      <c r="AD1663" s="143"/>
      <c r="AE1663" s="143"/>
      <c r="AF1663" s="143"/>
      <c r="AG1663" s="143"/>
      <c r="AH1663" s="204"/>
      <c r="AI1663" s="201"/>
      <c r="AJ1663" s="201"/>
      <c r="AK1663" s="201"/>
      <c r="AL1663" s="201"/>
      <c r="AM1663" s="201"/>
    </row>
    <row r="1664" customFormat="1" ht="15" spans="1:39">
      <c r="A1664" s="143">
        <v>1621</v>
      </c>
      <c r="B1664" s="144">
        <v>45967</v>
      </c>
      <c r="C1664" s="169" t="s">
        <v>3148</v>
      </c>
      <c r="D1664" s="143"/>
      <c r="E1664" s="196" t="s">
        <v>5178</v>
      </c>
      <c r="F1664" s="143" t="s">
        <v>5191</v>
      </c>
      <c r="G1664" s="143"/>
      <c r="H1664" s="143" t="s">
        <v>5192</v>
      </c>
      <c r="I1664" s="143" t="s">
        <v>5189</v>
      </c>
      <c r="J1664" s="143" t="s">
        <v>5190</v>
      </c>
      <c r="K1664" s="143">
        <v>148</v>
      </c>
      <c r="L1664" s="143"/>
      <c r="M1664" s="143"/>
      <c r="N1664" s="143"/>
      <c r="O1664" s="143"/>
      <c r="P1664" s="143"/>
      <c r="Q1664" s="143"/>
      <c r="R1664" s="143"/>
      <c r="S1664" s="146"/>
      <c r="T1664" s="146"/>
      <c r="U1664" s="146"/>
      <c r="V1664" s="147"/>
      <c r="W1664" s="143" t="s">
        <v>3147</v>
      </c>
      <c r="X1664" s="143" t="s">
        <v>5191</v>
      </c>
      <c r="Y1664" s="143" t="s">
        <v>5180</v>
      </c>
      <c r="Z1664" s="143" t="s">
        <v>5191</v>
      </c>
      <c r="AA1664" s="173">
        <v>19.3</v>
      </c>
      <c r="AB1664" s="191">
        <v>45968</v>
      </c>
      <c r="AC1664" s="143"/>
      <c r="AD1664" s="143"/>
      <c r="AE1664" s="143"/>
      <c r="AF1664" s="143"/>
      <c r="AG1664" s="143"/>
      <c r="AH1664" s="204"/>
      <c r="AI1664" s="201"/>
      <c r="AJ1664" s="201"/>
      <c r="AK1664" s="201"/>
      <c r="AL1664" s="201"/>
      <c r="AM1664" s="201"/>
    </row>
    <row r="1665" customFormat="1" ht="15" spans="1:39">
      <c r="A1665" s="143">
        <v>1622</v>
      </c>
      <c r="B1665" s="144">
        <v>45967</v>
      </c>
      <c r="C1665" s="169" t="s">
        <v>3148</v>
      </c>
      <c r="D1665" s="143"/>
      <c r="E1665" s="196" t="s">
        <v>5178</v>
      </c>
      <c r="F1665" s="143">
        <v>3700</v>
      </c>
      <c r="G1665" s="143"/>
      <c r="H1665" s="143" t="s">
        <v>5193</v>
      </c>
      <c r="I1665" s="143" t="s">
        <v>3218</v>
      </c>
      <c r="J1665" s="143" t="s">
        <v>1577</v>
      </c>
      <c r="K1665" s="143">
        <v>150</v>
      </c>
      <c r="L1665" s="143"/>
      <c r="M1665" s="143"/>
      <c r="N1665" s="143"/>
      <c r="O1665" s="143"/>
      <c r="P1665" s="143"/>
      <c r="Q1665" s="143"/>
      <c r="R1665" s="143"/>
      <c r="S1665" s="146"/>
      <c r="T1665" s="146"/>
      <c r="U1665" s="146"/>
      <c r="V1665" s="147"/>
      <c r="W1665" s="143" t="s">
        <v>3147</v>
      </c>
      <c r="X1665" s="143">
        <v>3700</v>
      </c>
      <c r="Y1665" s="143" t="s">
        <v>5194</v>
      </c>
      <c r="Z1665" s="143">
        <v>3700</v>
      </c>
      <c r="AA1665" s="173">
        <v>12.6</v>
      </c>
      <c r="AB1665" s="191">
        <v>45968</v>
      </c>
      <c r="AC1665" s="143"/>
      <c r="AD1665" s="143"/>
      <c r="AE1665" s="143"/>
      <c r="AF1665" s="143"/>
      <c r="AG1665" s="143"/>
      <c r="AH1665" s="204"/>
      <c r="AI1665" s="201"/>
      <c r="AJ1665" s="201"/>
      <c r="AK1665" s="201"/>
      <c r="AL1665" s="201"/>
      <c r="AM1665" s="201"/>
    </row>
    <row r="1666" customFormat="1" ht="15" spans="1:39">
      <c r="A1666" s="143">
        <v>1623</v>
      </c>
      <c r="B1666" s="144">
        <v>45967</v>
      </c>
      <c r="C1666" s="169" t="s">
        <v>3148</v>
      </c>
      <c r="D1666" s="143"/>
      <c r="E1666" s="196" t="s">
        <v>5178</v>
      </c>
      <c r="F1666" s="143">
        <v>1797</v>
      </c>
      <c r="G1666" s="143"/>
      <c r="H1666" s="143" t="s">
        <v>5195</v>
      </c>
      <c r="I1666" s="143" t="s">
        <v>3218</v>
      </c>
      <c r="J1666" s="143" t="s">
        <v>1577</v>
      </c>
      <c r="K1666" s="143">
        <v>150</v>
      </c>
      <c r="L1666" s="143"/>
      <c r="M1666" s="143"/>
      <c r="N1666" s="143"/>
      <c r="O1666" s="143"/>
      <c r="P1666" s="143"/>
      <c r="Q1666" s="143"/>
      <c r="R1666" s="143"/>
      <c r="S1666" s="146"/>
      <c r="T1666" s="146"/>
      <c r="U1666" s="146"/>
      <c r="V1666" s="147"/>
      <c r="W1666" s="143" t="s">
        <v>3147</v>
      </c>
      <c r="X1666" s="143">
        <v>1797</v>
      </c>
      <c r="Y1666" s="169" t="s">
        <v>5194</v>
      </c>
      <c r="Z1666" s="143">
        <v>1797</v>
      </c>
      <c r="AA1666" s="173">
        <v>13.2</v>
      </c>
      <c r="AB1666" s="191">
        <v>45968</v>
      </c>
      <c r="AC1666" s="143"/>
      <c r="AD1666" s="143"/>
      <c r="AE1666" s="143"/>
      <c r="AF1666" s="143"/>
      <c r="AG1666" s="143"/>
      <c r="AH1666" s="204"/>
      <c r="AI1666" s="201"/>
      <c r="AJ1666" s="201"/>
      <c r="AK1666" s="201"/>
      <c r="AL1666" s="201"/>
      <c r="AM1666" s="201"/>
    </row>
    <row r="1667" customFormat="1" ht="15" spans="1:39">
      <c r="A1667" s="143">
        <v>1624</v>
      </c>
      <c r="B1667" s="144">
        <v>45967</v>
      </c>
      <c r="C1667" s="169" t="s">
        <v>3148</v>
      </c>
      <c r="D1667" s="143"/>
      <c r="E1667" s="196" t="s">
        <v>5178</v>
      </c>
      <c r="F1667" s="143" t="s">
        <v>5196</v>
      </c>
      <c r="G1667" s="143"/>
      <c r="H1667" s="143" t="s">
        <v>5197</v>
      </c>
      <c r="I1667" s="143" t="s">
        <v>3218</v>
      </c>
      <c r="J1667" s="143" t="s">
        <v>1577</v>
      </c>
      <c r="K1667" s="143">
        <v>150</v>
      </c>
      <c r="L1667" s="143"/>
      <c r="M1667" s="143"/>
      <c r="N1667" s="143"/>
      <c r="O1667" s="143"/>
      <c r="P1667" s="143"/>
      <c r="Q1667" s="143"/>
      <c r="R1667" s="143"/>
      <c r="S1667" s="146"/>
      <c r="T1667" s="146"/>
      <c r="U1667" s="146"/>
      <c r="V1667" s="147"/>
      <c r="W1667" s="143" t="s">
        <v>3147</v>
      </c>
      <c r="X1667" s="143" t="s">
        <v>5196</v>
      </c>
      <c r="Y1667" s="169" t="s">
        <v>5198</v>
      </c>
      <c r="Z1667" s="143" t="s">
        <v>5196</v>
      </c>
      <c r="AA1667" s="173">
        <v>11.2</v>
      </c>
      <c r="AB1667" s="191">
        <v>45968</v>
      </c>
      <c r="AC1667" s="143"/>
      <c r="AD1667" s="143"/>
      <c r="AE1667" s="143"/>
      <c r="AF1667" s="143"/>
      <c r="AG1667" s="143"/>
      <c r="AH1667" s="204"/>
      <c r="AI1667" s="201"/>
      <c r="AJ1667" s="201"/>
      <c r="AK1667" s="201"/>
      <c r="AL1667" s="201"/>
      <c r="AM1667" s="201"/>
    </row>
    <row r="1668" customFormat="1" ht="15" spans="1:39">
      <c r="A1668" s="143">
        <v>1625</v>
      </c>
      <c r="B1668" s="144">
        <v>45967</v>
      </c>
      <c r="C1668" s="169" t="s">
        <v>3148</v>
      </c>
      <c r="D1668" s="143"/>
      <c r="E1668" s="196" t="s">
        <v>5178</v>
      </c>
      <c r="F1668" s="143" t="s">
        <v>5199</v>
      </c>
      <c r="G1668" s="143"/>
      <c r="H1668" s="143" t="s">
        <v>5200</v>
      </c>
      <c r="I1668" s="143" t="s">
        <v>3218</v>
      </c>
      <c r="J1668" s="143" t="s">
        <v>1577</v>
      </c>
      <c r="K1668" s="143">
        <v>148</v>
      </c>
      <c r="L1668" s="143"/>
      <c r="M1668" s="143"/>
      <c r="N1668" s="143"/>
      <c r="O1668" s="143"/>
      <c r="P1668" s="143"/>
      <c r="Q1668" s="143"/>
      <c r="R1668" s="143"/>
      <c r="S1668" s="146"/>
      <c r="T1668" s="146"/>
      <c r="U1668" s="146"/>
      <c r="V1668" s="147"/>
      <c r="W1668" s="143" t="s">
        <v>3147</v>
      </c>
      <c r="X1668" s="143" t="s">
        <v>5199</v>
      </c>
      <c r="Y1668" s="169" t="s">
        <v>5198</v>
      </c>
      <c r="Z1668" s="143" t="s">
        <v>5199</v>
      </c>
      <c r="AA1668" s="173">
        <v>16.7</v>
      </c>
      <c r="AB1668" s="191">
        <v>45968</v>
      </c>
      <c r="AC1668" s="143"/>
      <c r="AD1668" s="143"/>
      <c r="AE1668" s="143"/>
      <c r="AF1668" s="143"/>
      <c r="AG1668" s="143"/>
      <c r="AH1668" s="204"/>
      <c r="AI1668" s="201"/>
      <c r="AJ1668" s="201"/>
      <c r="AK1668" s="201"/>
      <c r="AL1668" s="201"/>
      <c r="AM1668" s="201"/>
    </row>
    <row r="1669" customFormat="1" ht="15" spans="1:39">
      <c r="A1669" s="143">
        <v>1626</v>
      </c>
      <c r="B1669" s="144">
        <v>45967</v>
      </c>
      <c r="C1669" s="169" t="s">
        <v>3148</v>
      </c>
      <c r="D1669" s="143"/>
      <c r="E1669" s="196" t="s">
        <v>5178</v>
      </c>
      <c r="F1669" s="143" t="s">
        <v>5201</v>
      </c>
      <c r="G1669" s="143"/>
      <c r="H1669" s="143" t="s">
        <v>5202</v>
      </c>
      <c r="I1669" s="143" t="s">
        <v>3218</v>
      </c>
      <c r="J1669" s="143" t="s">
        <v>1577</v>
      </c>
      <c r="K1669" s="143">
        <v>145</v>
      </c>
      <c r="L1669" s="143"/>
      <c r="M1669" s="143"/>
      <c r="N1669" s="143"/>
      <c r="O1669" s="143"/>
      <c r="P1669" s="143"/>
      <c r="Q1669" s="143"/>
      <c r="R1669" s="143"/>
      <c r="S1669" s="146"/>
      <c r="T1669" s="146"/>
      <c r="U1669" s="146"/>
      <c r="V1669" s="147"/>
      <c r="W1669" s="143" t="s">
        <v>3147</v>
      </c>
      <c r="X1669" s="143" t="s">
        <v>5201</v>
      </c>
      <c r="Y1669" s="143" t="s">
        <v>5180</v>
      </c>
      <c r="Z1669" s="143" t="s">
        <v>5201</v>
      </c>
      <c r="AA1669" s="173">
        <v>25</v>
      </c>
      <c r="AB1669" s="191">
        <v>45968</v>
      </c>
      <c r="AC1669" s="143"/>
      <c r="AD1669" s="143"/>
      <c r="AE1669" s="143"/>
      <c r="AF1669" s="143"/>
      <c r="AG1669" s="143"/>
      <c r="AH1669" s="204"/>
      <c r="AI1669" s="201"/>
      <c r="AJ1669" s="201"/>
      <c r="AK1669" s="201"/>
      <c r="AL1669" s="201"/>
      <c r="AM1669" s="201"/>
    </row>
    <row r="1670" customFormat="1" ht="15" spans="1:39">
      <c r="A1670" s="143">
        <v>1627</v>
      </c>
      <c r="B1670" s="144">
        <v>45967</v>
      </c>
      <c r="C1670" s="169" t="s">
        <v>3148</v>
      </c>
      <c r="D1670" s="143"/>
      <c r="E1670" s="196" t="s">
        <v>5178</v>
      </c>
      <c r="F1670" s="143" t="s">
        <v>5203</v>
      </c>
      <c r="G1670" s="143"/>
      <c r="H1670" s="143" t="s">
        <v>5204</v>
      </c>
      <c r="I1670" s="143" t="s">
        <v>3218</v>
      </c>
      <c r="J1670" s="143" t="s">
        <v>1577</v>
      </c>
      <c r="K1670" s="143">
        <v>130</v>
      </c>
      <c r="L1670" s="143"/>
      <c r="M1670" s="143"/>
      <c r="N1670" s="143"/>
      <c r="O1670" s="143"/>
      <c r="P1670" s="143"/>
      <c r="Q1670" s="143"/>
      <c r="R1670" s="143"/>
      <c r="S1670" s="146"/>
      <c r="T1670" s="146"/>
      <c r="U1670" s="146"/>
      <c r="V1670" s="147"/>
      <c r="W1670" s="143" t="s">
        <v>3147</v>
      </c>
      <c r="X1670" s="143" t="s">
        <v>5203</v>
      </c>
      <c r="Y1670" s="169" t="s">
        <v>5087</v>
      </c>
      <c r="Z1670" s="143" t="s">
        <v>5203</v>
      </c>
      <c r="AA1670" s="173">
        <v>30.2</v>
      </c>
      <c r="AB1670" s="191">
        <v>45968</v>
      </c>
      <c r="AC1670" s="143"/>
      <c r="AD1670" s="143"/>
      <c r="AE1670" s="143"/>
      <c r="AF1670" s="143"/>
      <c r="AG1670" s="143"/>
      <c r="AH1670" s="204"/>
      <c r="AI1670" s="201"/>
      <c r="AJ1670" s="201"/>
      <c r="AK1670" s="201"/>
      <c r="AL1670" s="201"/>
      <c r="AM1670" s="201"/>
    </row>
    <row r="1671" customFormat="1" ht="15" spans="1:39">
      <c r="A1671" s="143">
        <v>1628</v>
      </c>
      <c r="B1671" s="144">
        <v>45967</v>
      </c>
      <c r="C1671" s="169" t="s">
        <v>3148</v>
      </c>
      <c r="D1671" s="143"/>
      <c r="E1671" s="196" t="s">
        <v>5178</v>
      </c>
      <c r="F1671" s="143" t="s">
        <v>5205</v>
      </c>
      <c r="G1671" s="143"/>
      <c r="H1671" s="143" t="s">
        <v>5206</v>
      </c>
      <c r="I1671" s="143" t="s">
        <v>3218</v>
      </c>
      <c r="J1671" s="143" t="s">
        <v>1577</v>
      </c>
      <c r="K1671" s="143">
        <v>145</v>
      </c>
      <c r="L1671" s="143"/>
      <c r="M1671" s="143"/>
      <c r="N1671" s="143"/>
      <c r="O1671" s="143"/>
      <c r="P1671" s="143"/>
      <c r="Q1671" s="143"/>
      <c r="R1671" s="143"/>
      <c r="S1671" s="146"/>
      <c r="T1671" s="146"/>
      <c r="U1671" s="146"/>
      <c r="V1671" s="147"/>
      <c r="W1671" s="143" t="s">
        <v>3147</v>
      </c>
      <c r="X1671" s="143" t="s">
        <v>5205</v>
      </c>
      <c r="Y1671" s="143" t="s">
        <v>5087</v>
      </c>
      <c r="Z1671" s="143" t="s">
        <v>5205</v>
      </c>
      <c r="AA1671" s="173">
        <v>22.3</v>
      </c>
      <c r="AB1671" s="191">
        <v>45968</v>
      </c>
      <c r="AC1671" s="143"/>
      <c r="AD1671" s="143"/>
      <c r="AE1671" s="143"/>
      <c r="AF1671" s="143"/>
      <c r="AG1671" s="143"/>
      <c r="AH1671" s="204"/>
      <c r="AI1671" s="201"/>
      <c r="AJ1671" s="201"/>
      <c r="AK1671" s="201"/>
      <c r="AL1671" s="201"/>
      <c r="AM1671" s="201"/>
    </row>
    <row r="1672" customFormat="1" ht="15" spans="1:39">
      <c r="A1672" s="143">
        <v>1629</v>
      </c>
      <c r="B1672" s="144">
        <v>45967</v>
      </c>
      <c r="C1672" s="169" t="s">
        <v>3148</v>
      </c>
      <c r="D1672" s="143"/>
      <c r="E1672" s="196" t="s">
        <v>5178</v>
      </c>
      <c r="F1672" s="143">
        <v>3518</v>
      </c>
      <c r="G1672" s="143"/>
      <c r="H1672" s="177" t="s">
        <v>5207</v>
      </c>
      <c r="I1672" s="143" t="s">
        <v>3218</v>
      </c>
      <c r="J1672" s="143" t="s">
        <v>1577</v>
      </c>
      <c r="K1672" s="143">
        <v>150</v>
      </c>
      <c r="L1672" s="143"/>
      <c r="M1672" s="143"/>
      <c r="N1672" s="143"/>
      <c r="O1672" s="143"/>
      <c r="P1672" s="143"/>
      <c r="Q1672" s="143"/>
      <c r="R1672" s="143"/>
      <c r="S1672" s="146"/>
      <c r="T1672" s="146"/>
      <c r="U1672" s="146"/>
      <c r="V1672" s="147"/>
      <c r="W1672" s="143" t="s">
        <v>3147</v>
      </c>
      <c r="X1672" s="143">
        <v>3518</v>
      </c>
      <c r="Y1672" s="143" t="s">
        <v>5194</v>
      </c>
      <c r="Z1672" s="143">
        <v>3518</v>
      </c>
      <c r="AA1672" s="173">
        <v>12.8</v>
      </c>
      <c r="AB1672" s="191">
        <v>45968</v>
      </c>
      <c r="AC1672" s="143"/>
      <c r="AD1672" s="143"/>
      <c r="AE1672" s="143"/>
      <c r="AF1672" s="143"/>
      <c r="AG1672" s="143"/>
      <c r="AH1672" s="204"/>
      <c r="AI1672" s="201"/>
      <c r="AJ1672" s="201"/>
      <c r="AK1672" s="201"/>
      <c r="AL1672" s="201"/>
      <c r="AM1672" s="201"/>
    </row>
    <row r="1673" customFormat="1" ht="15" spans="1:39">
      <c r="A1673" s="143">
        <v>1630</v>
      </c>
      <c r="B1673" s="144">
        <v>45967</v>
      </c>
      <c r="C1673" s="169" t="s">
        <v>3148</v>
      </c>
      <c r="D1673" s="143"/>
      <c r="E1673" s="196" t="s">
        <v>5178</v>
      </c>
      <c r="F1673" s="143">
        <v>3942</v>
      </c>
      <c r="G1673" s="143"/>
      <c r="H1673" s="177" t="s">
        <v>5208</v>
      </c>
      <c r="I1673" s="143" t="s">
        <v>3218</v>
      </c>
      <c r="J1673" s="143" t="s">
        <v>1577</v>
      </c>
      <c r="K1673" s="143">
        <v>150</v>
      </c>
      <c r="L1673" s="143"/>
      <c r="M1673" s="143"/>
      <c r="N1673" s="143"/>
      <c r="O1673" s="143"/>
      <c r="P1673" s="143"/>
      <c r="Q1673" s="143"/>
      <c r="R1673" s="143"/>
      <c r="S1673" s="146"/>
      <c r="T1673" s="146"/>
      <c r="U1673" s="146"/>
      <c r="V1673" s="147"/>
      <c r="W1673" s="143" t="s">
        <v>3147</v>
      </c>
      <c r="X1673" s="143">
        <v>3942</v>
      </c>
      <c r="Y1673" s="143" t="s">
        <v>5194</v>
      </c>
      <c r="Z1673" s="143">
        <v>3942</v>
      </c>
      <c r="AA1673" s="173">
        <v>14</v>
      </c>
      <c r="AB1673" s="191">
        <v>45968</v>
      </c>
      <c r="AC1673" s="143"/>
      <c r="AD1673" s="143"/>
      <c r="AE1673" s="143"/>
      <c r="AF1673" s="143"/>
      <c r="AG1673" s="143"/>
      <c r="AH1673" s="204"/>
      <c r="AI1673" s="201"/>
      <c r="AJ1673" s="201"/>
      <c r="AK1673" s="201"/>
      <c r="AL1673" s="201"/>
      <c r="AM1673" s="201"/>
    </row>
    <row r="1674" customFormat="1" ht="15" spans="1:39">
      <c r="A1674" s="143">
        <v>1631</v>
      </c>
      <c r="B1674" s="144">
        <v>45967</v>
      </c>
      <c r="C1674" s="169" t="s">
        <v>3148</v>
      </c>
      <c r="D1674" s="143"/>
      <c r="E1674" s="196" t="s">
        <v>5178</v>
      </c>
      <c r="F1674" s="143" t="s">
        <v>5209</v>
      </c>
      <c r="G1674" s="143"/>
      <c r="H1674" s="143" t="s">
        <v>5210</v>
      </c>
      <c r="I1674" s="143" t="s">
        <v>3218</v>
      </c>
      <c r="J1674" s="143" t="s">
        <v>1577</v>
      </c>
      <c r="K1674" s="143">
        <v>125</v>
      </c>
      <c r="L1674" s="143"/>
      <c r="M1674" s="143"/>
      <c r="N1674" s="143"/>
      <c r="O1674" s="143"/>
      <c r="P1674" s="143"/>
      <c r="Q1674" s="143"/>
      <c r="R1674" s="143"/>
      <c r="S1674" s="146"/>
      <c r="T1674" s="146"/>
      <c r="U1674" s="146"/>
      <c r="V1674" s="147"/>
      <c r="W1674" s="143" t="s">
        <v>3147</v>
      </c>
      <c r="X1674" s="143" t="s">
        <v>5209</v>
      </c>
      <c r="Y1674" s="169" t="s">
        <v>5092</v>
      </c>
      <c r="Z1674" s="143" t="s">
        <v>5209</v>
      </c>
      <c r="AA1674" s="173">
        <v>28.3</v>
      </c>
      <c r="AB1674" s="191">
        <v>45968</v>
      </c>
      <c r="AC1674" s="143"/>
      <c r="AD1674" s="143"/>
      <c r="AE1674" s="143"/>
      <c r="AF1674" s="143"/>
      <c r="AG1674" s="143"/>
      <c r="AH1674" s="204"/>
      <c r="AI1674" s="201"/>
      <c r="AJ1674" s="201"/>
      <c r="AK1674" s="201"/>
      <c r="AL1674" s="201"/>
      <c r="AM1674" s="201"/>
    </row>
    <row r="1675" customFormat="1" ht="15" spans="1:39">
      <c r="A1675" s="143">
        <v>1632</v>
      </c>
      <c r="B1675" s="144">
        <v>45967</v>
      </c>
      <c r="C1675" s="169" t="s">
        <v>3148</v>
      </c>
      <c r="D1675" s="143"/>
      <c r="E1675" s="196" t="s">
        <v>5178</v>
      </c>
      <c r="F1675" s="143" t="s">
        <v>5211</v>
      </c>
      <c r="G1675" s="143"/>
      <c r="H1675" s="143" t="s">
        <v>5212</v>
      </c>
      <c r="I1675" s="143" t="s">
        <v>3218</v>
      </c>
      <c r="J1675" s="143" t="s">
        <v>1577</v>
      </c>
      <c r="K1675" s="143">
        <v>125</v>
      </c>
      <c r="L1675" s="143"/>
      <c r="M1675" s="143"/>
      <c r="N1675" s="143"/>
      <c r="O1675" s="143"/>
      <c r="P1675" s="143"/>
      <c r="Q1675" s="143"/>
      <c r="R1675" s="143"/>
      <c r="S1675" s="146"/>
      <c r="T1675" s="146"/>
      <c r="U1675" s="146"/>
      <c r="V1675" s="147"/>
      <c r="W1675" s="143" t="s">
        <v>3147</v>
      </c>
      <c r="X1675" s="143" t="s">
        <v>5211</v>
      </c>
      <c r="Y1675" s="169" t="s">
        <v>5092</v>
      </c>
      <c r="Z1675" s="143" t="s">
        <v>5211</v>
      </c>
      <c r="AA1675" s="173">
        <v>18.2</v>
      </c>
      <c r="AB1675" s="191">
        <v>45968</v>
      </c>
      <c r="AC1675" s="143"/>
      <c r="AD1675" s="143"/>
      <c r="AE1675" s="143"/>
      <c r="AF1675" s="143"/>
      <c r="AG1675" s="143"/>
      <c r="AH1675" s="204"/>
      <c r="AI1675" s="201"/>
      <c r="AJ1675" s="201"/>
      <c r="AK1675" s="201"/>
      <c r="AL1675" s="201"/>
      <c r="AM1675" s="201"/>
    </row>
    <row r="1676" customFormat="1" ht="15" spans="1:39">
      <c r="A1676" s="143">
        <v>1633</v>
      </c>
      <c r="B1676" s="144">
        <v>45967</v>
      </c>
      <c r="C1676" s="169" t="s">
        <v>3148</v>
      </c>
      <c r="D1676" s="143"/>
      <c r="E1676" s="196" t="s">
        <v>5178</v>
      </c>
      <c r="F1676" s="143" t="s">
        <v>5213</v>
      </c>
      <c r="G1676" s="143"/>
      <c r="H1676" s="143" t="s">
        <v>5214</v>
      </c>
      <c r="I1676" s="143" t="s">
        <v>3218</v>
      </c>
      <c r="J1676" s="143" t="s">
        <v>1577</v>
      </c>
      <c r="K1676" s="143">
        <v>125</v>
      </c>
      <c r="L1676" s="143"/>
      <c r="M1676" s="143"/>
      <c r="N1676" s="143"/>
      <c r="O1676" s="143"/>
      <c r="P1676" s="143"/>
      <c r="Q1676" s="143"/>
      <c r="R1676" s="143"/>
      <c r="S1676" s="146"/>
      <c r="T1676" s="146"/>
      <c r="U1676" s="146"/>
      <c r="V1676" s="147"/>
      <c r="W1676" s="143" t="s">
        <v>3147</v>
      </c>
      <c r="X1676" s="143" t="s">
        <v>5213</v>
      </c>
      <c r="Y1676" s="169" t="s">
        <v>5092</v>
      </c>
      <c r="Z1676" s="143" t="s">
        <v>5213</v>
      </c>
      <c r="AA1676" s="173">
        <v>19.3</v>
      </c>
      <c r="AB1676" s="191">
        <v>45968</v>
      </c>
      <c r="AC1676" s="143"/>
      <c r="AD1676" s="143"/>
      <c r="AE1676" s="143"/>
      <c r="AF1676" s="143"/>
      <c r="AG1676" s="143"/>
      <c r="AH1676" s="204"/>
      <c r="AI1676" s="201"/>
      <c r="AJ1676" s="201"/>
      <c r="AK1676" s="201"/>
      <c r="AL1676" s="201"/>
      <c r="AM1676" s="201"/>
    </row>
    <row r="1677" customFormat="1" ht="15" spans="1:39">
      <c r="A1677" s="143">
        <v>1634</v>
      </c>
      <c r="B1677" s="144">
        <v>45967</v>
      </c>
      <c r="C1677" s="169" t="s">
        <v>3148</v>
      </c>
      <c r="D1677" s="143"/>
      <c r="E1677" s="196" t="s">
        <v>5178</v>
      </c>
      <c r="F1677" s="143" t="s">
        <v>5215</v>
      </c>
      <c r="G1677" s="143"/>
      <c r="H1677" s="143" t="s">
        <v>5216</v>
      </c>
      <c r="I1677" s="143" t="s">
        <v>3218</v>
      </c>
      <c r="J1677" s="143" t="s">
        <v>1577</v>
      </c>
      <c r="K1677" s="143">
        <v>130</v>
      </c>
      <c r="L1677" s="143"/>
      <c r="M1677" s="143"/>
      <c r="N1677" s="143"/>
      <c r="O1677" s="143"/>
      <c r="P1677" s="143"/>
      <c r="Q1677" s="143"/>
      <c r="R1677" s="143"/>
      <c r="S1677" s="146"/>
      <c r="T1677" s="146"/>
      <c r="U1677" s="146"/>
      <c r="V1677" s="147"/>
      <c r="W1677" s="143" t="s">
        <v>3147</v>
      </c>
      <c r="X1677" s="143" t="s">
        <v>5215</v>
      </c>
      <c r="Y1677" s="169" t="s">
        <v>5092</v>
      </c>
      <c r="Z1677" s="143" t="s">
        <v>5215</v>
      </c>
      <c r="AA1677" s="173">
        <v>17.5</v>
      </c>
      <c r="AB1677" s="191">
        <v>45968</v>
      </c>
      <c r="AC1677" s="143"/>
      <c r="AD1677" s="143"/>
      <c r="AE1677" s="143"/>
      <c r="AF1677" s="143"/>
      <c r="AG1677" s="143"/>
      <c r="AH1677" s="204"/>
      <c r="AI1677" s="201"/>
      <c r="AJ1677" s="201"/>
      <c r="AK1677" s="201"/>
      <c r="AL1677" s="201"/>
      <c r="AM1677" s="201"/>
    </row>
    <row r="1678" customFormat="1" ht="15" spans="1:39">
      <c r="A1678" s="143">
        <v>1635</v>
      </c>
      <c r="B1678" s="144">
        <v>45967</v>
      </c>
      <c r="C1678" s="169" t="s">
        <v>3148</v>
      </c>
      <c r="D1678" s="143"/>
      <c r="E1678" s="196" t="s">
        <v>5178</v>
      </c>
      <c r="F1678" s="143" t="s">
        <v>5217</v>
      </c>
      <c r="G1678" s="143"/>
      <c r="H1678" s="143" t="s">
        <v>5218</v>
      </c>
      <c r="I1678" s="143" t="s">
        <v>3218</v>
      </c>
      <c r="J1678" s="143" t="s">
        <v>1577</v>
      </c>
      <c r="K1678" s="143">
        <v>130</v>
      </c>
      <c r="L1678" s="143"/>
      <c r="M1678" s="143"/>
      <c r="N1678" s="143"/>
      <c r="O1678" s="143"/>
      <c r="P1678" s="143"/>
      <c r="Q1678" s="143"/>
      <c r="R1678" s="143"/>
      <c r="S1678" s="146"/>
      <c r="T1678" s="146"/>
      <c r="U1678" s="146"/>
      <c r="V1678" s="147"/>
      <c r="W1678" s="143" t="s">
        <v>3147</v>
      </c>
      <c r="X1678" s="143" t="s">
        <v>5217</v>
      </c>
      <c r="Y1678" s="169" t="s">
        <v>5092</v>
      </c>
      <c r="Z1678" s="143" t="s">
        <v>5217</v>
      </c>
      <c r="AA1678" s="173">
        <v>32</v>
      </c>
      <c r="AB1678" s="191">
        <v>45968</v>
      </c>
      <c r="AC1678" s="143"/>
      <c r="AD1678" s="143"/>
      <c r="AE1678" s="143"/>
      <c r="AF1678" s="143"/>
      <c r="AG1678" s="143"/>
      <c r="AH1678" s="204"/>
      <c r="AI1678" s="201"/>
      <c r="AJ1678" s="201"/>
      <c r="AK1678" s="201"/>
      <c r="AL1678" s="201"/>
      <c r="AM1678" s="201"/>
    </row>
    <row r="1679" customFormat="1" ht="15" spans="1:39">
      <c r="A1679" s="143">
        <v>1636</v>
      </c>
      <c r="B1679" s="144">
        <v>45967</v>
      </c>
      <c r="C1679" s="169" t="s">
        <v>3148</v>
      </c>
      <c r="D1679" s="143"/>
      <c r="E1679" s="196" t="s">
        <v>5178</v>
      </c>
      <c r="F1679" s="143" t="s">
        <v>5219</v>
      </c>
      <c r="G1679" s="143"/>
      <c r="H1679" s="143" t="s">
        <v>5220</v>
      </c>
      <c r="I1679" s="143" t="s">
        <v>3218</v>
      </c>
      <c r="J1679" s="143" t="s">
        <v>1577</v>
      </c>
      <c r="K1679" s="143">
        <v>130</v>
      </c>
      <c r="L1679" s="143"/>
      <c r="M1679" s="143"/>
      <c r="N1679" s="143"/>
      <c r="O1679" s="143"/>
      <c r="P1679" s="143"/>
      <c r="Q1679" s="143"/>
      <c r="R1679" s="143"/>
      <c r="S1679" s="146"/>
      <c r="T1679" s="146"/>
      <c r="U1679" s="146"/>
      <c r="V1679" s="147"/>
      <c r="W1679" s="143" t="s">
        <v>3147</v>
      </c>
      <c r="X1679" s="143" t="s">
        <v>5219</v>
      </c>
      <c r="Y1679" s="169" t="s">
        <v>5092</v>
      </c>
      <c r="Z1679" s="143" t="s">
        <v>5219</v>
      </c>
      <c r="AA1679" s="173">
        <v>30.8</v>
      </c>
      <c r="AB1679" s="191">
        <v>45968</v>
      </c>
      <c r="AC1679" s="143"/>
      <c r="AD1679" s="143"/>
      <c r="AE1679" s="143"/>
      <c r="AF1679" s="143"/>
      <c r="AG1679" s="143"/>
      <c r="AH1679" s="204"/>
      <c r="AI1679" s="201"/>
      <c r="AJ1679" s="201"/>
      <c r="AK1679" s="201"/>
      <c r="AL1679" s="201"/>
      <c r="AM1679" s="201"/>
    </row>
    <row r="1680" customFormat="1" ht="15" spans="1:39">
      <c r="A1680" s="143">
        <v>1637</v>
      </c>
      <c r="B1680" s="144">
        <v>45967</v>
      </c>
      <c r="C1680" s="169" t="s">
        <v>3148</v>
      </c>
      <c r="D1680" s="143"/>
      <c r="E1680" s="196" t="s">
        <v>5221</v>
      </c>
      <c r="F1680" s="143">
        <v>5118</v>
      </c>
      <c r="G1680" s="143"/>
      <c r="H1680" s="143" t="s">
        <v>5222</v>
      </c>
      <c r="I1680" s="143" t="s">
        <v>3497</v>
      </c>
      <c r="J1680" s="143" t="s">
        <v>282</v>
      </c>
      <c r="K1680" s="143">
        <v>145</v>
      </c>
      <c r="L1680" s="143"/>
      <c r="M1680" s="143"/>
      <c r="N1680" s="143"/>
      <c r="O1680" s="143"/>
      <c r="P1680" s="143"/>
      <c r="Q1680" s="143"/>
      <c r="R1680" s="143"/>
      <c r="S1680" s="146"/>
      <c r="T1680" s="146"/>
      <c r="U1680" s="146"/>
      <c r="V1680" s="147"/>
      <c r="W1680" s="143" t="s">
        <v>3147</v>
      </c>
      <c r="X1680" s="143">
        <v>5118</v>
      </c>
      <c r="Y1680" s="169" t="s">
        <v>5223</v>
      </c>
      <c r="Z1680" s="143">
        <v>5118</v>
      </c>
      <c r="AA1680" s="173">
        <v>47</v>
      </c>
      <c r="AB1680" s="191">
        <v>45968</v>
      </c>
      <c r="AC1680" s="143"/>
      <c r="AD1680" s="143"/>
      <c r="AE1680" s="143"/>
      <c r="AF1680" s="143"/>
      <c r="AG1680" s="143"/>
      <c r="AH1680" s="204">
        <v>4.1</v>
      </c>
      <c r="AI1680" s="201"/>
      <c r="AJ1680" s="201"/>
      <c r="AK1680" s="201"/>
      <c r="AL1680" s="201"/>
      <c r="AM1680" s="201"/>
    </row>
    <row r="1681" customFormat="1" ht="15" spans="1:39">
      <c r="A1681" s="143">
        <v>1638</v>
      </c>
      <c r="B1681" s="144">
        <v>45967</v>
      </c>
      <c r="C1681" s="169" t="s">
        <v>3148</v>
      </c>
      <c r="D1681" s="143"/>
      <c r="E1681" s="196" t="s">
        <v>5221</v>
      </c>
      <c r="F1681" s="143">
        <v>22147</v>
      </c>
      <c r="G1681" s="143"/>
      <c r="H1681" s="143" t="s">
        <v>5224</v>
      </c>
      <c r="I1681" s="143" t="s">
        <v>3497</v>
      </c>
      <c r="J1681" s="143" t="s">
        <v>282</v>
      </c>
      <c r="K1681" s="143">
        <v>145</v>
      </c>
      <c r="L1681" s="143"/>
      <c r="M1681" s="143"/>
      <c r="N1681" s="143"/>
      <c r="O1681" s="143"/>
      <c r="P1681" s="143"/>
      <c r="Q1681" s="143"/>
      <c r="R1681" s="143"/>
      <c r="S1681" s="146"/>
      <c r="T1681" s="146"/>
      <c r="U1681" s="146"/>
      <c r="V1681" s="147"/>
      <c r="W1681" s="143" t="s">
        <v>3147</v>
      </c>
      <c r="X1681" s="143">
        <v>22147</v>
      </c>
      <c r="Y1681" s="169" t="s">
        <v>5223</v>
      </c>
      <c r="Z1681" s="143">
        <v>22147</v>
      </c>
      <c r="AA1681" s="173">
        <v>43</v>
      </c>
      <c r="AB1681" s="191">
        <v>45968</v>
      </c>
      <c r="AC1681" s="143"/>
      <c r="AD1681" s="143"/>
      <c r="AE1681" s="143"/>
      <c r="AF1681" s="143"/>
      <c r="AG1681" s="143"/>
      <c r="AH1681" s="204">
        <v>4.5</v>
      </c>
      <c r="AI1681" s="201"/>
      <c r="AJ1681" s="201"/>
      <c r="AK1681" s="201"/>
      <c r="AL1681" s="201"/>
      <c r="AM1681" s="201"/>
    </row>
    <row r="1682" customFormat="1" ht="15" spans="1:39">
      <c r="A1682" s="143">
        <v>1639</v>
      </c>
      <c r="B1682" s="144">
        <v>45967</v>
      </c>
      <c r="C1682" s="169" t="s">
        <v>3148</v>
      </c>
      <c r="D1682" s="143"/>
      <c r="E1682" s="196" t="s">
        <v>5221</v>
      </c>
      <c r="F1682" s="143">
        <v>24770</v>
      </c>
      <c r="G1682" s="143"/>
      <c r="H1682" s="143" t="s">
        <v>5225</v>
      </c>
      <c r="I1682" s="143" t="s">
        <v>3497</v>
      </c>
      <c r="J1682" s="143" t="s">
        <v>282</v>
      </c>
      <c r="K1682" s="143">
        <v>145</v>
      </c>
      <c r="L1682" s="143"/>
      <c r="M1682" s="143"/>
      <c r="N1682" s="143"/>
      <c r="O1682" s="143"/>
      <c r="P1682" s="143"/>
      <c r="Q1682" s="143"/>
      <c r="R1682" s="143"/>
      <c r="S1682" s="146"/>
      <c r="T1682" s="146"/>
      <c r="U1682" s="146"/>
      <c r="V1682" s="147"/>
      <c r="W1682" s="143" t="s">
        <v>3147</v>
      </c>
      <c r="X1682" s="143">
        <v>24770</v>
      </c>
      <c r="Y1682" s="169" t="s">
        <v>5223</v>
      </c>
      <c r="Z1682" s="143">
        <v>24770</v>
      </c>
      <c r="AA1682" s="173">
        <v>44.2</v>
      </c>
      <c r="AB1682" s="191">
        <v>45968</v>
      </c>
      <c r="AC1682" s="143"/>
      <c r="AD1682" s="143"/>
      <c r="AE1682" s="143"/>
      <c r="AF1682" s="143"/>
      <c r="AG1682" s="143"/>
      <c r="AH1682" s="204">
        <v>4.1</v>
      </c>
      <c r="AI1682" s="201"/>
      <c r="AJ1682" s="201"/>
      <c r="AK1682" s="201"/>
      <c r="AL1682" s="201"/>
      <c r="AM1682" s="201"/>
    </row>
    <row r="1683" customFormat="1" ht="15" spans="1:39">
      <c r="A1683" s="143">
        <v>1640</v>
      </c>
      <c r="B1683" s="144">
        <v>45967</v>
      </c>
      <c r="C1683" s="169" t="s">
        <v>3148</v>
      </c>
      <c r="D1683" s="143"/>
      <c r="E1683" s="196" t="s">
        <v>5221</v>
      </c>
      <c r="F1683" s="143">
        <v>4027</v>
      </c>
      <c r="G1683" s="143"/>
      <c r="H1683" s="143" t="s">
        <v>5226</v>
      </c>
      <c r="I1683" s="143" t="s">
        <v>3497</v>
      </c>
      <c r="J1683" s="143" t="s">
        <v>282</v>
      </c>
      <c r="K1683" s="143">
        <v>145</v>
      </c>
      <c r="L1683" s="143"/>
      <c r="M1683" s="143"/>
      <c r="N1683" s="143"/>
      <c r="O1683" s="143"/>
      <c r="P1683" s="143"/>
      <c r="Q1683" s="143"/>
      <c r="R1683" s="143"/>
      <c r="S1683" s="146"/>
      <c r="T1683" s="146"/>
      <c r="U1683" s="146"/>
      <c r="V1683" s="147"/>
      <c r="W1683" s="143" t="s">
        <v>3147</v>
      </c>
      <c r="X1683" s="143">
        <v>4027</v>
      </c>
      <c r="Y1683" s="169" t="s">
        <v>5223</v>
      </c>
      <c r="Z1683" s="143">
        <v>4027</v>
      </c>
      <c r="AA1683" s="173">
        <v>43</v>
      </c>
      <c r="AB1683" s="191">
        <v>45968</v>
      </c>
      <c r="AC1683" s="143"/>
      <c r="AD1683" s="143"/>
      <c r="AE1683" s="143"/>
      <c r="AF1683" s="143"/>
      <c r="AG1683" s="143"/>
      <c r="AH1683" s="204">
        <v>4</v>
      </c>
      <c r="AI1683" s="201"/>
      <c r="AJ1683" s="201"/>
      <c r="AK1683" s="201"/>
      <c r="AL1683" s="201"/>
      <c r="AM1683" s="201"/>
    </row>
    <row r="1684" customFormat="1" ht="15" spans="1:39">
      <c r="A1684" s="143">
        <v>1641</v>
      </c>
      <c r="B1684" s="144">
        <v>45967</v>
      </c>
      <c r="C1684" s="169" t="s">
        <v>3148</v>
      </c>
      <c r="D1684" s="143"/>
      <c r="E1684" s="196" t="s">
        <v>5221</v>
      </c>
      <c r="F1684" s="143" t="s">
        <v>5227</v>
      </c>
      <c r="G1684" s="143"/>
      <c r="H1684" s="143" t="s">
        <v>5228</v>
      </c>
      <c r="I1684" s="143" t="s">
        <v>3497</v>
      </c>
      <c r="J1684" s="143" t="s">
        <v>282</v>
      </c>
      <c r="K1684" s="143">
        <v>145</v>
      </c>
      <c r="L1684" s="143"/>
      <c r="M1684" s="143"/>
      <c r="N1684" s="143"/>
      <c r="O1684" s="143"/>
      <c r="P1684" s="143"/>
      <c r="Q1684" s="143"/>
      <c r="R1684" s="143"/>
      <c r="S1684" s="146"/>
      <c r="T1684" s="146"/>
      <c r="U1684" s="146"/>
      <c r="V1684" s="147"/>
      <c r="W1684" s="143" t="s">
        <v>3147</v>
      </c>
      <c r="X1684" s="143" t="s">
        <v>5227</v>
      </c>
      <c r="Y1684" s="169" t="s">
        <v>5223</v>
      </c>
      <c r="Z1684" s="143" t="s">
        <v>5227</v>
      </c>
      <c r="AA1684" s="173">
        <v>11.3</v>
      </c>
      <c r="AB1684" s="191">
        <v>45968</v>
      </c>
      <c r="AC1684" s="143"/>
      <c r="AD1684" s="143"/>
      <c r="AE1684" s="143"/>
      <c r="AF1684" s="143"/>
      <c r="AG1684" s="143"/>
      <c r="AH1684" s="204"/>
      <c r="AI1684" s="201"/>
      <c r="AJ1684" s="201"/>
      <c r="AK1684" s="201"/>
      <c r="AL1684" s="201"/>
      <c r="AM1684" s="201"/>
    </row>
    <row r="1685" customFormat="1" ht="15" spans="1:39">
      <c r="A1685" s="143">
        <v>1642</v>
      </c>
      <c r="B1685" s="144">
        <v>45967</v>
      </c>
      <c r="C1685" s="169" t="s">
        <v>3148</v>
      </c>
      <c r="D1685" s="143"/>
      <c r="E1685" s="196" t="s">
        <v>5221</v>
      </c>
      <c r="F1685" s="143" t="s">
        <v>5229</v>
      </c>
      <c r="G1685" s="143"/>
      <c r="H1685" s="143" t="s">
        <v>5230</v>
      </c>
      <c r="I1685" s="143" t="s">
        <v>3497</v>
      </c>
      <c r="J1685" s="143" t="s">
        <v>282</v>
      </c>
      <c r="K1685" s="143">
        <v>145</v>
      </c>
      <c r="L1685" s="143"/>
      <c r="M1685" s="143"/>
      <c r="N1685" s="143"/>
      <c r="O1685" s="143"/>
      <c r="P1685" s="143"/>
      <c r="Q1685" s="143"/>
      <c r="R1685" s="143"/>
      <c r="S1685" s="146"/>
      <c r="T1685" s="146"/>
      <c r="U1685" s="146"/>
      <c r="V1685" s="147"/>
      <c r="W1685" s="143" t="s">
        <v>3147</v>
      </c>
      <c r="X1685" s="143" t="s">
        <v>5229</v>
      </c>
      <c r="Y1685" s="169" t="s">
        <v>5223</v>
      </c>
      <c r="Z1685" s="143" t="s">
        <v>5229</v>
      </c>
      <c r="AA1685" s="173">
        <v>45.4</v>
      </c>
      <c r="AB1685" s="191">
        <v>45968</v>
      </c>
      <c r="AC1685" s="143"/>
      <c r="AD1685" s="143"/>
      <c r="AE1685" s="143"/>
      <c r="AF1685" s="143"/>
      <c r="AG1685" s="143"/>
      <c r="AH1685" s="204">
        <v>4.5</v>
      </c>
      <c r="AI1685" s="201"/>
      <c r="AJ1685" s="201"/>
      <c r="AK1685" s="201"/>
      <c r="AL1685" s="201"/>
      <c r="AM1685" s="201"/>
    </row>
    <row r="1686" customFormat="1" ht="15" spans="1:39">
      <c r="A1686" s="143">
        <v>1643</v>
      </c>
      <c r="B1686" s="144">
        <v>45967</v>
      </c>
      <c r="C1686" s="169" t="s">
        <v>3148</v>
      </c>
      <c r="D1686" s="143"/>
      <c r="E1686" s="196" t="s">
        <v>5221</v>
      </c>
      <c r="F1686" s="143" t="s">
        <v>5231</v>
      </c>
      <c r="G1686" s="143"/>
      <c r="H1686" s="143" t="s">
        <v>5232</v>
      </c>
      <c r="I1686" s="143" t="s">
        <v>3497</v>
      </c>
      <c r="J1686" s="143" t="s">
        <v>282</v>
      </c>
      <c r="K1686" s="143">
        <v>145</v>
      </c>
      <c r="L1686" s="143"/>
      <c r="M1686" s="143"/>
      <c r="N1686" s="143"/>
      <c r="O1686" s="143"/>
      <c r="P1686" s="143"/>
      <c r="Q1686" s="143"/>
      <c r="R1686" s="143"/>
      <c r="S1686" s="146"/>
      <c r="T1686" s="146"/>
      <c r="U1686" s="146"/>
      <c r="V1686" s="147"/>
      <c r="W1686" s="143" t="s">
        <v>3147</v>
      </c>
      <c r="X1686" s="143" t="s">
        <v>5231</v>
      </c>
      <c r="Y1686" s="169" t="s">
        <v>5233</v>
      </c>
      <c r="Z1686" s="143" t="s">
        <v>5231</v>
      </c>
      <c r="AA1686" s="173">
        <v>16.8</v>
      </c>
      <c r="AB1686" s="191">
        <v>45968</v>
      </c>
      <c r="AC1686" s="143"/>
      <c r="AD1686" s="143"/>
      <c r="AE1686" s="143"/>
      <c r="AF1686" s="143"/>
      <c r="AG1686" s="143"/>
      <c r="AH1686" s="204"/>
      <c r="AI1686" s="201"/>
      <c r="AJ1686" s="201"/>
      <c r="AK1686" s="201"/>
      <c r="AL1686" s="201"/>
      <c r="AM1686" s="201"/>
    </row>
    <row r="1687" customFormat="1" ht="15" spans="1:39">
      <c r="A1687" s="143">
        <v>1644</v>
      </c>
      <c r="B1687" s="144">
        <v>45967</v>
      </c>
      <c r="C1687" s="169" t="s">
        <v>3148</v>
      </c>
      <c r="D1687" s="143"/>
      <c r="E1687" s="196" t="s">
        <v>5221</v>
      </c>
      <c r="F1687" s="143" t="s">
        <v>5234</v>
      </c>
      <c r="G1687" s="143"/>
      <c r="H1687" s="143" t="s">
        <v>5235</v>
      </c>
      <c r="I1687" s="143" t="s">
        <v>3218</v>
      </c>
      <c r="J1687" s="143" t="s">
        <v>1577</v>
      </c>
      <c r="K1687" s="143">
        <v>150</v>
      </c>
      <c r="L1687" s="143"/>
      <c r="M1687" s="143"/>
      <c r="N1687" s="143"/>
      <c r="O1687" s="143"/>
      <c r="P1687" s="143"/>
      <c r="Q1687" s="143"/>
      <c r="R1687" s="143"/>
      <c r="S1687" s="146"/>
      <c r="T1687" s="146"/>
      <c r="U1687" s="146"/>
      <c r="V1687" s="147"/>
      <c r="W1687" s="143" t="s">
        <v>3147</v>
      </c>
      <c r="X1687" s="143" t="s">
        <v>5234</v>
      </c>
      <c r="Y1687" s="169" t="s">
        <v>5233</v>
      </c>
      <c r="Z1687" s="143" t="s">
        <v>5234</v>
      </c>
      <c r="AA1687" s="173">
        <v>13.2</v>
      </c>
      <c r="AB1687" s="191">
        <v>45968</v>
      </c>
      <c r="AC1687" s="143"/>
      <c r="AD1687" s="143"/>
      <c r="AE1687" s="143"/>
      <c r="AF1687" s="143"/>
      <c r="AG1687" s="143"/>
      <c r="AH1687" s="204"/>
      <c r="AI1687" s="201"/>
      <c r="AJ1687" s="201"/>
      <c r="AK1687" s="201"/>
      <c r="AL1687" s="201"/>
      <c r="AM1687" s="201"/>
    </row>
    <row r="1688" customFormat="1" ht="15" spans="1:39">
      <c r="A1688" s="143">
        <v>1645</v>
      </c>
      <c r="B1688" s="144">
        <v>45967</v>
      </c>
      <c r="C1688" s="169" t="s">
        <v>3148</v>
      </c>
      <c r="D1688" s="143"/>
      <c r="E1688" s="196" t="s">
        <v>5221</v>
      </c>
      <c r="F1688" s="143" t="s">
        <v>5236</v>
      </c>
      <c r="G1688" s="143"/>
      <c r="H1688" s="143" t="s">
        <v>5237</v>
      </c>
      <c r="I1688" s="143" t="s">
        <v>3497</v>
      </c>
      <c r="J1688" s="143" t="s">
        <v>282</v>
      </c>
      <c r="K1688" s="143">
        <v>150</v>
      </c>
      <c r="L1688" s="143"/>
      <c r="M1688" s="143"/>
      <c r="N1688" s="143"/>
      <c r="O1688" s="143"/>
      <c r="P1688" s="143"/>
      <c r="Q1688" s="143"/>
      <c r="R1688" s="143"/>
      <c r="S1688" s="146"/>
      <c r="T1688" s="146"/>
      <c r="U1688" s="146"/>
      <c r="V1688" s="147"/>
      <c r="W1688" s="143" t="s">
        <v>3147</v>
      </c>
      <c r="X1688" s="143" t="s">
        <v>5236</v>
      </c>
      <c r="Y1688" s="169" t="s">
        <v>5233</v>
      </c>
      <c r="Z1688" s="143" t="s">
        <v>5236</v>
      </c>
      <c r="AA1688" s="173">
        <v>16.5</v>
      </c>
      <c r="AB1688" s="191">
        <v>45968</v>
      </c>
      <c r="AC1688" s="143"/>
      <c r="AD1688" s="143"/>
      <c r="AE1688" s="143"/>
      <c r="AF1688" s="143"/>
      <c r="AG1688" s="143"/>
      <c r="AH1688" s="204"/>
      <c r="AI1688" s="201"/>
      <c r="AJ1688" s="201"/>
      <c r="AK1688" s="201"/>
      <c r="AL1688" s="201"/>
      <c r="AM1688" s="201"/>
    </row>
    <row r="1689" customFormat="1" ht="15" spans="1:39">
      <c r="A1689" s="143">
        <v>1646</v>
      </c>
      <c r="B1689" s="144">
        <v>45967</v>
      </c>
      <c r="C1689" s="169" t="s">
        <v>3148</v>
      </c>
      <c r="D1689" s="143"/>
      <c r="E1689" s="196" t="s">
        <v>5221</v>
      </c>
      <c r="F1689" s="143">
        <v>11</v>
      </c>
      <c r="G1689" s="143"/>
      <c r="H1689" s="143" t="s">
        <v>5238</v>
      </c>
      <c r="I1689" s="143" t="s">
        <v>3218</v>
      </c>
      <c r="J1689" s="143" t="s">
        <v>1577</v>
      </c>
      <c r="K1689" s="143">
        <v>150</v>
      </c>
      <c r="L1689" s="143"/>
      <c r="M1689" s="143"/>
      <c r="N1689" s="143"/>
      <c r="O1689" s="143"/>
      <c r="P1689" s="143"/>
      <c r="Q1689" s="143"/>
      <c r="R1689" s="143"/>
      <c r="S1689" s="146"/>
      <c r="T1689" s="146"/>
      <c r="U1689" s="146"/>
      <c r="V1689" s="147"/>
      <c r="W1689" s="143" t="s">
        <v>3147</v>
      </c>
      <c r="X1689" s="143">
        <v>11</v>
      </c>
      <c r="Y1689" s="169" t="s">
        <v>5233</v>
      </c>
      <c r="Z1689" s="143">
        <v>11</v>
      </c>
      <c r="AA1689" s="173">
        <v>14.5</v>
      </c>
      <c r="AB1689" s="191">
        <v>45968</v>
      </c>
      <c r="AC1689" s="143"/>
      <c r="AD1689" s="143"/>
      <c r="AE1689" s="143"/>
      <c r="AF1689" s="143"/>
      <c r="AG1689" s="143"/>
      <c r="AH1689" s="204"/>
      <c r="AI1689" s="201"/>
      <c r="AJ1689" s="201"/>
      <c r="AK1689" s="201"/>
      <c r="AL1689" s="201"/>
      <c r="AM1689" s="201"/>
    </row>
    <row r="1690" customFormat="1" ht="15" spans="1:39">
      <c r="A1690" s="143">
        <v>1647</v>
      </c>
      <c r="B1690" s="144">
        <v>45967</v>
      </c>
      <c r="C1690" s="169" t="s">
        <v>3148</v>
      </c>
      <c r="D1690" s="143"/>
      <c r="E1690" s="196" t="s">
        <v>5221</v>
      </c>
      <c r="F1690" s="143" t="s">
        <v>5239</v>
      </c>
      <c r="G1690" s="143"/>
      <c r="H1690" s="143" t="s">
        <v>5240</v>
      </c>
      <c r="I1690" s="143" t="s">
        <v>3497</v>
      </c>
      <c r="J1690" s="143" t="s">
        <v>282</v>
      </c>
      <c r="K1690" s="143">
        <v>150</v>
      </c>
      <c r="L1690" s="143"/>
      <c r="M1690" s="143"/>
      <c r="N1690" s="143"/>
      <c r="O1690" s="143"/>
      <c r="P1690" s="143"/>
      <c r="Q1690" s="143"/>
      <c r="R1690" s="143"/>
      <c r="S1690" s="146"/>
      <c r="T1690" s="146"/>
      <c r="U1690" s="146"/>
      <c r="V1690" s="147"/>
      <c r="W1690" s="143" t="s">
        <v>3147</v>
      </c>
      <c r="X1690" s="143" t="s">
        <v>5239</v>
      </c>
      <c r="Y1690" s="169" t="s">
        <v>5233</v>
      </c>
      <c r="Z1690" s="143" t="s">
        <v>5239</v>
      </c>
      <c r="AA1690" s="173">
        <v>10.8</v>
      </c>
      <c r="AB1690" s="191">
        <v>45968</v>
      </c>
      <c r="AC1690" s="143"/>
      <c r="AD1690" s="143"/>
      <c r="AE1690" s="143"/>
      <c r="AF1690" s="143"/>
      <c r="AG1690" s="143"/>
      <c r="AH1690" s="204"/>
      <c r="AI1690" s="201"/>
      <c r="AJ1690" s="201"/>
      <c r="AK1690" s="201"/>
      <c r="AL1690" s="201"/>
      <c r="AM1690" s="201"/>
    </row>
    <row r="1691" customFormat="1" ht="15" spans="1:39">
      <c r="A1691" s="143">
        <v>1648</v>
      </c>
      <c r="B1691" s="144">
        <v>45967</v>
      </c>
      <c r="C1691" s="169" t="s">
        <v>3148</v>
      </c>
      <c r="D1691" s="143"/>
      <c r="E1691" s="196" t="s">
        <v>5221</v>
      </c>
      <c r="F1691" s="143" t="s">
        <v>5241</v>
      </c>
      <c r="G1691" s="143"/>
      <c r="H1691" s="143" t="s">
        <v>5242</v>
      </c>
      <c r="I1691" s="143" t="s">
        <v>3218</v>
      </c>
      <c r="J1691" s="143" t="s">
        <v>1577</v>
      </c>
      <c r="K1691" s="143">
        <v>150</v>
      </c>
      <c r="L1691" s="143"/>
      <c r="M1691" s="143"/>
      <c r="N1691" s="143"/>
      <c r="O1691" s="143"/>
      <c r="P1691" s="143"/>
      <c r="Q1691" s="143"/>
      <c r="R1691" s="143"/>
      <c r="S1691" s="146"/>
      <c r="T1691" s="146"/>
      <c r="U1691" s="146"/>
      <c r="V1691" s="147"/>
      <c r="W1691" s="143" t="s">
        <v>3147</v>
      </c>
      <c r="X1691" s="143" t="s">
        <v>5241</v>
      </c>
      <c r="Y1691" s="169" t="s">
        <v>5233</v>
      </c>
      <c r="Z1691" s="143" t="s">
        <v>5241</v>
      </c>
      <c r="AA1691" s="173">
        <v>14.8</v>
      </c>
      <c r="AB1691" s="191">
        <v>45968</v>
      </c>
      <c r="AC1691" s="143"/>
      <c r="AD1691" s="143"/>
      <c r="AE1691" s="143"/>
      <c r="AF1691" s="143"/>
      <c r="AG1691" s="143"/>
      <c r="AH1691" s="204"/>
      <c r="AI1691" s="201"/>
      <c r="AJ1691" s="201"/>
      <c r="AK1691" s="201"/>
      <c r="AL1691" s="201"/>
      <c r="AM1691" s="201"/>
    </row>
    <row r="1692" customFormat="1" ht="15" spans="1:39">
      <c r="A1692" s="143">
        <v>1649</v>
      </c>
      <c r="B1692" s="144">
        <v>45967</v>
      </c>
      <c r="C1692" s="169" t="s">
        <v>3148</v>
      </c>
      <c r="D1692" s="143"/>
      <c r="E1692" s="196" t="s">
        <v>5221</v>
      </c>
      <c r="F1692" s="143" t="s">
        <v>5243</v>
      </c>
      <c r="G1692" s="143"/>
      <c r="H1692" s="143" t="s">
        <v>5244</v>
      </c>
      <c r="I1692" s="143" t="s">
        <v>3497</v>
      </c>
      <c r="J1692" s="143" t="s">
        <v>282</v>
      </c>
      <c r="K1692" s="143">
        <v>150</v>
      </c>
      <c r="L1692" s="143"/>
      <c r="M1692" s="143"/>
      <c r="N1692" s="143"/>
      <c r="O1692" s="143"/>
      <c r="P1692" s="143"/>
      <c r="Q1692" s="143"/>
      <c r="R1692" s="143"/>
      <c r="S1692" s="146"/>
      <c r="T1692" s="146"/>
      <c r="U1692" s="146"/>
      <c r="V1692" s="147"/>
      <c r="W1692" s="143" t="s">
        <v>3147</v>
      </c>
      <c r="X1692" s="143" t="s">
        <v>5243</v>
      </c>
      <c r="Y1692" s="169" t="s">
        <v>5233</v>
      </c>
      <c r="Z1692" s="143" t="s">
        <v>5243</v>
      </c>
      <c r="AA1692" s="173">
        <v>12</v>
      </c>
      <c r="AB1692" s="191">
        <v>45968</v>
      </c>
      <c r="AC1692" s="143"/>
      <c r="AD1692" s="143"/>
      <c r="AE1692" s="143"/>
      <c r="AF1692" s="143"/>
      <c r="AG1692" s="143"/>
      <c r="AH1692" s="204"/>
      <c r="AI1692" s="201"/>
      <c r="AJ1692" s="201"/>
      <c r="AK1692" s="201"/>
      <c r="AL1692" s="201"/>
      <c r="AM1692" s="201"/>
    </row>
    <row r="1693" customFormat="1" ht="15" spans="1:39">
      <c r="A1693" s="143">
        <v>1650</v>
      </c>
      <c r="B1693" s="144">
        <v>45967</v>
      </c>
      <c r="C1693" s="169" t="s">
        <v>3148</v>
      </c>
      <c r="D1693" s="143"/>
      <c r="E1693" s="196" t="s">
        <v>5221</v>
      </c>
      <c r="F1693" s="169" t="s">
        <v>5245</v>
      </c>
      <c r="G1693" s="143"/>
      <c r="H1693" s="177" t="s">
        <v>5246</v>
      </c>
      <c r="I1693" s="143" t="s">
        <v>3218</v>
      </c>
      <c r="J1693" s="143" t="s">
        <v>1577</v>
      </c>
      <c r="K1693" s="143">
        <v>145</v>
      </c>
      <c r="L1693" s="143"/>
      <c r="M1693" s="143"/>
      <c r="N1693" s="143"/>
      <c r="O1693" s="143"/>
      <c r="P1693" s="143"/>
      <c r="Q1693" s="143"/>
      <c r="R1693" s="143"/>
      <c r="S1693" s="146"/>
      <c r="T1693" s="146"/>
      <c r="U1693" s="146"/>
      <c r="V1693" s="147"/>
      <c r="W1693" s="143" t="s">
        <v>3147</v>
      </c>
      <c r="X1693" s="169" t="s">
        <v>5245</v>
      </c>
      <c r="Y1693" s="169" t="s">
        <v>5247</v>
      </c>
      <c r="Z1693" s="169" t="s">
        <v>5245</v>
      </c>
      <c r="AA1693" s="173">
        <v>18.7</v>
      </c>
      <c r="AB1693" s="191">
        <v>45968</v>
      </c>
      <c r="AC1693" s="143"/>
      <c r="AD1693" s="143"/>
      <c r="AE1693" s="143"/>
      <c r="AF1693" s="143"/>
      <c r="AG1693" s="143"/>
      <c r="AH1693" s="204"/>
      <c r="AI1693" s="201"/>
      <c r="AJ1693" s="201"/>
      <c r="AK1693" s="201"/>
      <c r="AL1693" s="201"/>
      <c r="AM1693" s="201"/>
    </row>
    <row r="1694" customFormat="1" ht="15" spans="1:39">
      <c r="A1694" s="143">
        <v>1651</v>
      </c>
      <c r="B1694" s="144">
        <v>45967</v>
      </c>
      <c r="C1694" s="169" t="s">
        <v>3148</v>
      </c>
      <c r="D1694" s="143"/>
      <c r="E1694" s="196" t="s">
        <v>5221</v>
      </c>
      <c r="F1694" s="169" t="s">
        <v>5248</v>
      </c>
      <c r="G1694" s="143"/>
      <c r="H1694" s="177" t="s">
        <v>5249</v>
      </c>
      <c r="I1694" s="169" t="s">
        <v>5250</v>
      </c>
      <c r="J1694" s="143" t="s">
        <v>2568</v>
      </c>
      <c r="K1694" s="143">
        <v>145</v>
      </c>
      <c r="L1694" s="143"/>
      <c r="M1694" s="143"/>
      <c r="N1694" s="143"/>
      <c r="O1694" s="143"/>
      <c r="P1694" s="143"/>
      <c r="Q1694" s="143"/>
      <c r="R1694" s="143"/>
      <c r="S1694" s="146"/>
      <c r="T1694" s="146"/>
      <c r="U1694" s="146"/>
      <c r="V1694" s="147"/>
      <c r="W1694" s="143" t="s">
        <v>3147</v>
      </c>
      <c r="X1694" s="169" t="s">
        <v>5248</v>
      </c>
      <c r="Y1694" s="169" t="s">
        <v>5247</v>
      </c>
      <c r="Z1694" s="169" t="s">
        <v>5248</v>
      </c>
      <c r="AA1694" s="173">
        <v>18.7</v>
      </c>
      <c r="AB1694" s="191">
        <v>45968</v>
      </c>
      <c r="AC1694" s="143"/>
      <c r="AD1694" s="143"/>
      <c r="AE1694" s="143"/>
      <c r="AF1694" s="143"/>
      <c r="AG1694" s="143"/>
      <c r="AH1694" s="204"/>
      <c r="AI1694" s="201"/>
      <c r="AJ1694" s="201"/>
      <c r="AK1694" s="201"/>
      <c r="AL1694" s="201"/>
      <c r="AM1694" s="201"/>
    </row>
    <row r="1695" customFormat="1" ht="15" spans="1:39">
      <c r="A1695" s="143">
        <v>1652</v>
      </c>
      <c r="B1695" s="144">
        <v>45967</v>
      </c>
      <c r="C1695" s="169" t="s">
        <v>3148</v>
      </c>
      <c r="D1695" s="143"/>
      <c r="E1695" s="196" t="s">
        <v>5221</v>
      </c>
      <c r="F1695" s="169" t="s">
        <v>5251</v>
      </c>
      <c r="G1695" s="143"/>
      <c r="H1695" s="177" t="s">
        <v>5252</v>
      </c>
      <c r="I1695" s="169" t="s">
        <v>5250</v>
      </c>
      <c r="J1695" s="143" t="s">
        <v>2568</v>
      </c>
      <c r="K1695" s="143">
        <v>145</v>
      </c>
      <c r="L1695" s="143">
        <v>55</v>
      </c>
      <c r="M1695" s="143"/>
      <c r="N1695" s="143"/>
      <c r="O1695" s="143"/>
      <c r="P1695" s="143"/>
      <c r="Q1695" s="143"/>
      <c r="R1695" s="143"/>
      <c r="S1695" s="146"/>
      <c r="T1695" s="146"/>
      <c r="U1695" s="146"/>
      <c r="V1695" s="147"/>
      <c r="W1695" s="143" t="s">
        <v>3147</v>
      </c>
      <c r="X1695" s="169" t="s">
        <v>5251</v>
      </c>
      <c r="Y1695" s="169" t="s">
        <v>5247</v>
      </c>
      <c r="Z1695" s="169" t="s">
        <v>5251</v>
      </c>
      <c r="AA1695" s="173">
        <v>18.7</v>
      </c>
      <c r="AB1695" s="191">
        <v>45968</v>
      </c>
      <c r="AC1695" s="143"/>
      <c r="AD1695" s="143"/>
      <c r="AE1695" s="143"/>
      <c r="AF1695" s="143"/>
      <c r="AG1695" s="143"/>
      <c r="AH1695" s="204"/>
      <c r="AI1695" s="201"/>
      <c r="AJ1695" s="201"/>
      <c r="AK1695" s="201"/>
      <c r="AL1695" s="201"/>
      <c r="AM1695" s="201"/>
    </row>
    <row r="1696" customFormat="1" ht="15" spans="1:39">
      <c r="A1696" s="143">
        <v>1653</v>
      </c>
      <c r="B1696" s="144">
        <v>45967</v>
      </c>
      <c r="C1696" s="169" t="s">
        <v>3148</v>
      </c>
      <c r="D1696" s="143"/>
      <c r="E1696" s="196" t="s">
        <v>5221</v>
      </c>
      <c r="F1696" s="169" t="s">
        <v>5253</v>
      </c>
      <c r="G1696" s="143"/>
      <c r="H1696" s="177" t="s">
        <v>5254</v>
      </c>
      <c r="I1696" s="143" t="s">
        <v>5255</v>
      </c>
      <c r="J1696" s="143" t="s">
        <v>5256</v>
      </c>
      <c r="K1696" s="143">
        <v>145</v>
      </c>
      <c r="L1696" s="143"/>
      <c r="M1696" s="143"/>
      <c r="N1696" s="143"/>
      <c r="O1696" s="143"/>
      <c r="P1696" s="143"/>
      <c r="Q1696" s="143"/>
      <c r="R1696" s="143"/>
      <c r="S1696" s="146"/>
      <c r="T1696" s="146"/>
      <c r="U1696" s="146"/>
      <c r="V1696" s="147"/>
      <c r="W1696" s="143" t="s">
        <v>3147</v>
      </c>
      <c r="X1696" s="169" t="s">
        <v>5253</v>
      </c>
      <c r="Y1696" s="169" t="s">
        <v>5247</v>
      </c>
      <c r="Z1696" s="169" t="s">
        <v>5253</v>
      </c>
      <c r="AA1696" s="173">
        <v>18.7</v>
      </c>
      <c r="AB1696" s="191">
        <v>45968</v>
      </c>
      <c r="AC1696" s="143"/>
      <c r="AD1696" s="143"/>
      <c r="AE1696" s="143"/>
      <c r="AF1696" s="143"/>
      <c r="AG1696" s="143"/>
      <c r="AH1696" s="204"/>
      <c r="AI1696" s="201"/>
      <c r="AJ1696" s="201"/>
      <c r="AK1696" s="201"/>
      <c r="AL1696" s="201"/>
      <c r="AM1696" s="201"/>
    </row>
    <row r="1697" customFormat="1" ht="15" spans="1:39">
      <c r="A1697" s="143">
        <v>1654</v>
      </c>
      <c r="B1697" s="144">
        <v>45967</v>
      </c>
      <c r="C1697" s="169" t="s">
        <v>3148</v>
      </c>
      <c r="D1697" s="143"/>
      <c r="E1697" s="196" t="s">
        <v>5221</v>
      </c>
      <c r="F1697" s="169" t="s">
        <v>5257</v>
      </c>
      <c r="G1697" s="143"/>
      <c r="H1697" s="177" t="s">
        <v>5258</v>
      </c>
      <c r="I1697" s="143" t="s">
        <v>5255</v>
      </c>
      <c r="J1697" s="143" t="s">
        <v>5256</v>
      </c>
      <c r="K1697" s="143">
        <v>145</v>
      </c>
      <c r="L1697" s="143"/>
      <c r="M1697" s="143"/>
      <c r="N1697" s="143"/>
      <c r="O1697" s="143"/>
      <c r="P1697" s="143"/>
      <c r="Q1697" s="143"/>
      <c r="R1697" s="143"/>
      <c r="S1697" s="146"/>
      <c r="T1697" s="146"/>
      <c r="U1697" s="146"/>
      <c r="V1697" s="147"/>
      <c r="W1697" s="143" t="s">
        <v>3147</v>
      </c>
      <c r="X1697" s="169" t="s">
        <v>5257</v>
      </c>
      <c r="Y1697" s="169" t="s">
        <v>5247</v>
      </c>
      <c r="Z1697" s="169" t="s">
        <v>5257</v>
      </c>
      <c r="AA1697" s="173">
        <v>24</v>
      </c>
      <c r="AB1697" s="191">
        <v>45968</v>
      </c>
      <c r="AC1697" s="143"/>
      <c r="AD1697" s="143"/>
      <c r="AE1697" s="143"/>
      <c r="AF1697" s="143"/>
      <c r="AG1697" s="143"/>
      <c r="AH1697" s="204"/>
      <c r="AI1697" s="201"/>
      <c r="AJ1697" s="201"/>
      <c r="AK1697" s="201"/>
      <c r="AL1697" s="201"/>
      <c r="AM1697" s="201"/>
    </row>
    <row r="1698" customFormat="1" ht="15" spans="1:39">
      <c r="A1698" s="143">
        <v>1655</v>
      </c>
      <c r="B1698" s="144">
        <v>45967</v>
      </c>
      <c r="C1698" s="169" t="s">
        <v>3148</v>
      </c>
      <c r="D1698" s="143"/>
      <c r="E1698" s="196" t="s">
        <v>5221</v>
      </c>
      <c r="F1698" s="169" t="s">
        <v>5259</v>
      </c>
      <c r="G1698" s="143"/>
      <c r="H1698" s="177" t="s">
        <v>5260</v>
      </c>
      <c r="I1698" s="143" t="s">
        <v>5255</v>
      </c>
      <c r="J1698" s="143" t="s">
        <v>5256</v>
      </c>
      <c r="K1698" s="143">
        <v>145</v>
      </c>
      <c r="L1698" s="143"/>
      <c r="M1698" s="143"/>
      <c r="N1698" s="143"/>
      <c r="O1698" s="143"/>
      <c r="P1698" s="143"/>
      <c r="Q1698" s="143"/>
      <c r="R1698" s="143"/>
      <c r="S1698" s="146"/>
      <c r="T1698" s="146"/>
      <c r="U1698" s="146"/>
      <c r="V1698" s="147"/>
      <c r="W1698" s="143" t="s">
        <v>3147</v>
      </c>
      <c r="X1698" s="169" t="s">
        <v>5259</v>
      </c>
      <c r="Y1698" s="169" t="s">
        <v>5247</v>
      </c>
      <c r="Z1698" s="169" t="s">
        <v>5259</v>
      </c>
      <c r="AA1698" s="173">
        <v>18.7</v>
      </c>
      <c r="AB1698" s="191">
        <v>45968</v>
      </c>
      <c r="AC1698" s="143"/>
      <c r="AD1698" s="143"/>
      <c r="AE1698" s="143"/>
      <c r="AF1698" s="143"/>
      <c r="AG1698" s="143"/>
      <c r="AH1698" s="204"/>
      <c r="AI1698" s="201"/>
      <c r="AJ1698" s="201"/>
      <c r="AK1698" s="201"/>
      <c r="AL1698" s="201"/>
      <c r="AM1698" s="201"/>
    </row>
    <row r="1699" customFormat="1" ht="15" spans="1:39">
      <c r="A1699" s="143">
        <v>1656</v>
      </c>
      <c r="B1699" s="144">
        <v>45967</v>
      </c>
      <c r="C1699" s="169" t="s">
        <v>3148</v>
      </c>
      <c r="D1699" s="143"/>
      <c r="E1699" s="196" t="s">
        <v>5221</v>
      </c>
      <c r="F1699" s="169" t="s">
        <v>5261</v>
      </c>
      <c r="G1699" s="143"/>
      <c r="H1699" s="177" t="s">
        <v>5262</v>
      </c>
      <c r="I1699" s="143" t="s">
        <v>5255</v>
      </c>
      <c r="J1699" s="143" t="s">
        <v>5256</v>
      </c>
      <c r="K1699" s="143">
        <v>145</v>
      </c>
      <c r="L1699" s="143"/>
      <c r="M1699" s="143"/>
      <c r="N1699" s="143"/>
      <c r="O1699" s="143"/>
      <c r="P1699" s="143"/>
      <c r="Q1699" s="143"/>
      <c r="R1699" s="143"/>
      <c r="S1699" s="146"/>
      <c r="T1699" s="146"/>
      <c r="U1699" s="146"/>
      <c r="V1699" s="147"/>
      <c r="W1699" s="143" t="s">
        <v>3147</v>
      </c>
      <c r="X1699" s="169" t="s">
        <v>5261</v>
      </c>
      <c r="Y1699" s="169" t="s">
        <v>5247</v>
      </c>
      <c r="Z1699" s="169" t="s">
        <v>5261</v>
      </c>
      <c r="AA1699" s="173">
        <v>18.7</v>
      </c>
      <c r="AB1699" s="191">
        <v>45968</v>
      </c>
      <c r="AC1699" s="143"/>
      <c r="AD1699" s="143"/>
      <c r="AE1699" s="143"/>
      <c r="AF1699" s="143"/>
      <c r="AG1699" s="143"/>
      <c r="AH1699" s="204"/>
      <c r="AI1699" s="201"/>
      <c r="AJ1699" s="201"/>
      <c r="AK1699" s="201"/>
      <c r="AL1699" s="201"/>
      <c r="AM1699" s="201"/>
    </row>
    <row r="1700" customFormat="1" ht="15" spans="1:39">
      <c r="A1700" s="143">
        <v>1657</v>
      </c>
      <c r="B1700" s="144">
        <v>45967</v>
      </c>
      <c r="C1700" s="169" t="s">
        <v>3148</v>
      </c>
      <c r="D1700" s="143"/>
      <c r="E1700" s="196" t="s">
        <v>5221</v>
      </c>
      <c r="F1700" s="143" t="s">
        <v>5263</v>
      </c>
      <c r="G1700" s="143"/>
      <c r="H1700" s="177" t="s">
        <v>5264</v>
      </c>
      <c r="I1700" s="143" t="s">
        <v>3218</v>
      </c>
      <c r="J1700" s="143" t="s">
        <v>1577</v>
      </c>
      <c r="K1700" s="143">
        <v>145</v>
      </c>
      <c r="L1700" s="143"/>
      <c r="M1700" s="143"/>
      <c r="N1700" s="143"/>
      <c r="O1700" s="143"/>
      <c r="P1700" s="143"/>
      <c r="Q1700" s="143"/>
      <c r="R1700" s="143"/>
      <c r="S1700" s="146"/>
      <c r="T1700" s="146"/>
      <c r="U1700" s="146"/>
      <c r="V1700" s="147"/>
      <c r="W1700" s="143" t="s">
        <v>3147</v>
      </c>
      <c r="X1700" s="143" t="s">
        <v>5263</v>
      </c>
      <c r="Y1700" s="143" t="s">
        <v>5265</v>
      </c>
      <c r="Z1700" s="143" t="s">
        <v>5263</v>
      </c>
      <c r="AA1700" s="173">
        <v>14.7</v>
      </c>
      <c r="AB1700" s="191">
        <v>45968</v>
      </c>
      <c r="AC1700" s="143"/>
      <c r="AD1700" s="143"/>
      <c r="AE1700" s="143"/>
      <c r="AF1700" s="143"/>
      <c r="AG1700" s="143"/>
      <c r="AH1700" s="204"/>
      <c r="AI1700" s="201"/>
      <c r="AJ1700" s="201"/>
      <c r="AK1700" s="201"/>
      <c r="AL1700" s="201"/>
      <c r="AM1700" s="201"/>
    </row>
    <row r="1701" customFormat="1" ht="15" spans="1:39">
      <c r="A1701" s="143">
        <v>1658</v>
      </c>
      <c r="B1701" s="144">
        <v>45967</v>
      </c>
      <c r="C1701" s="169" t="s">
        <v>3148</v>
      </c>
      <c r="D1701" s="143"/>
      <c r="E1701" s="196" t="s">
        <v>5221</v>
      </c>
      <c r="F1701" s="143" t="s">
        <v>5266</v>
      </c>
      <c r="G1701" s="143"/>
      <c r="H1701" s="143" t="s">
        <v>5267</v>
      </c>
      <c r="I1701" s="143" t="s">
        <v>5268</v>
      </c>
      <c r="J1701" s="143" t="s">
        <v>5269</v>
      </c>
      <c r="K1701" s="143">
        <v>145</v>
      </c>
      <c r="L1701" s="143"/>
      <c r="M1701" s="143"/>
      <c r="N1701" s="143"/>
      <c r="O1701" s="143"/>
      <c r="P1701" s="143"/>
      <c r="Q1701" s="143"/>
      <c r="R1701" s="143"/>
      <c r="S1701" s="146"/>
      <c r="T1701" s="146"/>
      <c r="U1701" s="146"/>
      <c r="V1701" s="147"/>
      <c r="W1701" s="143" t="s">
        <v>3147</v>
      </c>
      <c r="X1701" s="143" t="s">
        <v>5266</v>
      </c>
      <c r="Y1701" s="143" t="s">
        <v>5265</v>
      </c>
      <c r="Z1701" s="143" t="s">
        <v>5266</v>
      </c>
      <c r="AA1701" s="173">
        <v>18.5</v>
      </c>
      <c r="AB1701" s="191">
        <v>45968</v>
      </c>
      <c r="AC1701" s="143"/>
      <c r="AD1701" s="143"/>
      <c r="AE1701" s="143"/>
      <c r="AF1701" s="143"/>
      <c r="AG1701" s="143"/>
      <c r="AH1701" s="204"/>
      <c r="AI1701" s="201"/>
      <c r="AJ1701" s="201"/>
      <c r="AK1701" s="201"/>
      <c r="AL1701" s="201"/>
      <c r="AM1701" s="201"/>
    </row>
    <row r="1702" customFormat="1" ht="15" spans="1:39">
      <c r="A1702" s="143">
        <v>1659</v>
      </c>
      <c r="B1702" s="144">
        <v>45967</v>
      </c>
      <c r="C1702" s="169" t="s">
        <v>3148</v>
      </c>
      <c r="D1702" s="143"/>
      <c r="E1702" s="196" t="s">
        <v>5221</v>
      </c>
      <c r="F1702" s="143" t="s">
        <v>5270</v>
      </c>
      <c r="G1702" s="143"/>
      <c r="H1702" s="177" t="s">
        <v>5271</v>
      </c>
      <c r="I1702" s="143" t="s">
        <v>324</v>
      </c>
      <c r="J1702" s="143" t="s">
        <v>1577</v>
      </c>
      <c r="K1702" s="143">
        <v>145</v>
      </c>
      <c r="L1702" s="143"/>
      <c r="M1702" s="143"/>
      <c r="N1702" s="143"/>
      <c r="O1702" s="143"/>
      <c r="P1702" s="143"/>
      <c r="Q1702" s="143"/>
      <c r="R1702" s="143"/>
      <c r="S1702" s="146"/>
      <c r="T1702" s="146"/>
      <c r="U1702" s="146"/>
      <c r="V1702" s="147"/>
      <c r="W1702" s="143" t="s">
        <v>3147</v>
      </c>
      <c r="X1702" s="143" t="s">
        <v>5270</v>
      </c>
      <c r="Y1702" s="169" t="s">
        <v>5198</v>
      </c>
      <c r="Z1702" s="143" t="s">
        <v>5270</v>
      </c>
      <c r="AA1702" s="173">
        <v>16.5</v>
      </c>
      <c r="AB1702" s="191">
        <v>45968</v>
      </c>
      <c r="AC1702" s="143"/>
      <c r="AD1702" s="143"/>
      <c r="AE1702" s="143"/>
      <c r="AF1702" s="143"/>
      <c r="AG1702" s="143"/>
      <c r="AH1702" s="204"/>
      <c r="AI1702" s="201"/>
      <c r="AJ1702" s="201"/>
      <c r="AK1702" s="201"/>
      <c r="AL1702" s="201"/>
      <c r="AM1702" s="201"/>
    </row>
    <row r="1703" customFormat="1" ht="15" spans="1:39">
      <c r="A1703" s="143">
        <v>1660</v>
      </c>
      <c r="B1703" s="144">
        <v>45967</v>
      </c>
      <c r="C1703" s="169" t="s">
        <v>3148</v>
      </c>
      <c r="D1703" s="143"/>
      <c r="E1703" s="196" t="s">
        <v>5221</v>
      </c>
      <c r="F1703" s="143">
        <v>7358</v>
      </c>
      <c r="G1703" s="143"/>
      <c r="H1703" s="143" t="s">
        <v>5272</v>
      </c>
      <c r="I1703" s="143" t="s">
        <v>324</v>
      </c>
      <c r="J1703" s="143" t="s">
        <v>1577</v>
      </c>
      <c r="K1703" s="143">
        <v>140</v>
      </c>
      <c r="L1703" s="143"/>
      <c r="M1703" s="143"/>
      <c r="N1703" s="143"/>
      <c r="O1703" s="143"/>
      <c r="P1703" s="143"/>
      <c r="Q1703" s="143"/>
      <c r="R1703" s="143"/>
      <c r="S1703" s="146"/>
      <c r="T1703" s="146"/>
      <c r="U1703" s="146"/>
      <c r="V1703" s="147"/>
      <c r="W1703" s="143" t="s">
        <v>3147</v>
      </c>
      <c r="X1703" s="143">
        <v>7358</v>
      </c>
      <c r="Y1703" s="169" t="s">
        <v>5273</v>
      </c>
      <c r="Z1703" s="143">
        <v>7358</v>
      </c>
      <c r="AA1703" s="173">
        <v>47</v>
      </c>
      <c r="AB1703" s="191">
        <v>45968</v>
      </c>
      <c r="AC1703" s="143"/>
      <c r="AD1703" s="143"/>
      <c r="AE1703" s="143"/>
      <c r="AF1703" s="143"/>
      <c r="AG1703" s="143"/>
      <c r="AH1703" s="204">
        <v>3.6</v>
      </c>
      <c r="AI1703" s="201"/>
      <c r="AJ1703" s="201"/>
      <c r="AK1703" s="201"/>
      <c r="AL1703" s="201"/>
      <c r="AM1703" s="201"/>
    </row>
    <row r="1704" customFormat="1" ht="15" spans="1:39">
      <c r="A1704" s="143">
        <v>1661</v>
      </c>
      <c r="B1704" s="144">
        <v>45967</v>
      </c>
      <c r="C1704" s="169" t="s">
        <v>3148</v>
      </c>
      <c r="D1704" s="143"/>
      <c r="E1704" s="196" t="s">
        <v>5221</v>
      </c>
      <c r="F1704" s="169" t="s">
        <v>5274</v>
      </c>
      <c r="G1704" s="143"/>
      <c r="H1704" s="143" t="s">
        <v>5275</v>
      </c>
      <c r="I1704" s="143" t="s">
        <v>324</v>
      </c>
      <c r="J1704" s="143" t="s">
        <v>1577</v>
      </c>
      <c r="K1704" s="143">
        <v>130</v>
      </c>
      <c r="L1704" s="143"/>
      <c r="M1704" s="143"/>
      <c r="N1704" s="143"/>
      <c r="O1704" s="143"/>
      <c r="P1704" s="143"/>
      <c r="Q1704" s="143"/>
      <c r="R1704" s="143"/>
      <c r="S1704" s="146"/>
      <c r="T1704" s="146"/>
      <c r="U1704" s="146"/>
      <c r="V1704" s="147"/>
      <c r="W1704" s="143" t="s">
        <v>3147</v>
      </c>
      <c r="X1704" s="169" t="s">
        <v>5274</v>
      </c>
      <c r="Y1704" s="169" t="s">
        <v>5273</v>
      </c>
      <c r="Z1704" s="169" t="s">
        <v>5274</v>
      </c>
      <c r="AA1704" s="173">
        <v>13.5</v>
      </c>
      <c r="AB1704" s="191">
        <v>45968</v>
      </c>
      <c r="AC1704" s="143"/>
      <c r="AD1704" s="143"/>
      <c r="AE1704" s="143"/>
      <c r="AF1704" s="143"/>
      <c r="AG1704" s="143"/>
      <c r="AH1704" s="204"/>
      <c r="AI1704" s="201"/>
      <c r="AJ1704" s="201"/>
      <c r="AK1704" s="201"/>
      <c r="AL1704" s="201"/>
      <c r="AM1704" s="201"/>
    </row>
    <row r="1705" customFormat="1" ht="15" spans="1:39">
      <c r="A1705" s="143">
        <v>1662</v>
      </c>
      <c r="B1705" s="144">
        <v>45967</v>
      </c>
      <c r="C1705" s="169" t="s">
        <v>3148</v>
      </c>
      <c r="D1705" s="143"/>
      <c r="E1705" s="196" t="s">
        <v>5221</v>
      </c>
      <c r="F1705" s="143">
        <v>7713</v>
      </c>
      <c r="G1705" s="143"/>
      <c r="H1705" s="143" t="s">
        <v>5276</v>
      </c>
      <c r="I1705" s="143" t="s">
        <v>324</v>
      </c>
      <c r="J1705" s="143" t="s">
        <v>1577</v>
      </c>
      <c r="K1705" s="143">
        <v>140</v>
      </c>
      <c r="L1705" s="143"/>
      <c r="M1705" s="143"/>
      <c r="N1705" s="143"/>
      <c r="O1705" s="143"/>
      <c r="P1705" s="143"/>
      <c r="Q1705" s="143"/>
      <c r="R1705" s="143"/>
      <c r="S1705" s="146"/>
      <c r="T1705" s="146"/>
      <c r="U1705" s="146"/>
      <c r="V1705" s="147"/>
      <c r="W1705" s="143" t="s">
        <v>3147</v>
      </c>
      <c r="X1705" s="143">
        <v>7713</v>
      </c>
      <c r="Y1705" s="169" t="s">
        <v>5273</v>
      </c>
      <c r="Z1705" s="143">
        <v>7713</v>
      </c>
      <c r="AA1705" s="173">
        <v>14.6</v>
      </c>
      <c r="AB1705" s="191">
        <v>45968</v>
      </c>
      <c r="AC1705" s="143"/>
      <c r="AD1705" s="143"/>
      <c r="AE1705" s="143"/>
      <c r="AF1705" s="143"/>
      <c r="AG1705" s="143"/>
      <c r="AH1705" s="204"/>
      <c r="AI1705" s="201"/>
      <c r="AJ1705" s="201"/>
      <c r="AK1705" s="201"/>
      <c r="AL1705" s="201"/>
      <c r="AM1705" s="201"/>
    </row>
    <row r="1706" customFormat="1" ht="15" spans="1:39">
      <c r="A1706" s="143">
        <v>1663</v>
      </c>
      <c r="B1706" s="144">
        <v>45967</v>
      </c>
      <c r="C1706" s="169" t="s">
        <v>3148</v>
      </c>
      <c r="D1706" s="143"/>
      <c r="E1706" s="196" t="s">
        <v>5221</v>
      </c>
      <c r="F1706" s="143">
        <v>5301</v>
      </c>
      <c r="G1706" s="143"/>
      <c r="H1706" s="143" t="s">
        <v>5277</v>
      </c>
      <c r="I1706" s="143" t="s">
        <v>324</v>
      </c>
      <c r="J1706" s="143" t="s">
        <v>1577</v>
      </c>
      <c r="K1706" s="143">
        <v>140</v>
      </c>
      <c r="L1706" s="143"/>
      <c r="M1706" s="143"/>
      <c r="N1706" s="143"/>
      <c r="O1706" s="143"/>
      <c r="P1706" s="143"/>
      <c r="Q1706" s="143"/>
      <c r="R1706" s="143"/>
      <c r="S1706" s="146"/>
      <c r="T1706" s="146"/>
      <c r="U1706" s="146"/>
      <c r="V1706" s="147"/>
      <c r="W1706" s="143" t="s">
        <v>3147</v>
      </c>
      <c r="X1706" s="143">
        <v>5301</v>
      </c>
      <c r="Y1706" s="169" t="s">
        <v>5273</v>
      </c>
      <c r="Z1706" s="143">
        <v>5301</v>
      </c>
      <c r="AA1706" s="173">
        <v>14.8</v>
      </c>
      <c r="AB1706" s="191">
        <v>45968</v>
      </c>
      <c r="AC1706" s="143"/>
      <c r="AD1706" s="143"/>
      <c r="AE1706" s="143"/>
      <c r="AF1706" s="143"/>
      <c r="AG1706" s="143"/>
      <c r="AH1706" s="204"/>
      <c r="AI1706" s="201"/>
      <c r="AJ1706" s="201"/>
      <c r="AK1706" s="201"/>
      <c r="AL1706" s="201"/>
      <c r="AM1706" s="201"/>
    </row>
    <row r="1707" customFormat="1" ht="15" spans="1:39">
      <c r="A1707" s="143">
        <v>1664</v>
      </c>
      <c r="B1707" s="144">
        <v>45967</v>
      </c>
      <c r="C1707" s="169" t="s">
        <v>3148</v>
      </c>
      <c r="D1707" s="143"/>
      <c r="E1707" s="196" t="s">
        <v>5221</v>
      </c>
      <c r="F1707" s="143" t="s">
        <v>5278</v>
      </c>
      <c r="G1707" s="143"/>
      <c r="H1707" s="177" t="s">
        <v>5279</v>
      </c>
      <c r="I1707" s="143" t="s">
        <v>324</v>
      </c>
      <c r="J1707" s="143" t="s">
        <v>1577</v>
      </c>
      <c r="K1707" s="143">
        <v>125</v>
      </c>
      <c r="L1707" s="143"/>
      <c r="M1707" s="143"/>
      <c r="N1707" s="143"/>
      <c r="O1707" s="143"/>
      <c r="P1707" s="143"/>
      <c r="Q1707" s="143"/>
      <c r="R1707" s="143"/>
      <c r="S1707" s="146"/>
      <c r="T1707" s="146"/>
      <c r="U1707" s="146"/>
      <c r="V1707" s="147"/>
      <c r="W1707" s="143" t="s">
        <v>3147</v>
      </c>
      <c r="X1707" s="143" t="s">
        <v>5278</v>
      </c>
      <c r="Y1707" s="169" t="s">
        <v>5273</v>
      </c>
      <c r="Z1707" s="143" t="s">
        <v>5278</v>
      </c>
      <c r="AA1707" s="173">
        <v>17.8</v>
      </c>
      <c r="AB1707" s="191">
        <v>45968</v>
      </c>
      <c r="AC1707" s="143"/>
      <c r="AD1707" s="143"/>
      <c r="AE1707" s="143"/>
      <c r="AF1707" s="143"/>
      <c r="AG1707" s="143"/>
      <c r="AH1707" s="204"/>
      <c r="AI1707" s="201"/>
      <c r="AJ1707" s="201"/>
      <c r="AK1707" s="201"/>
      <c r="AL1707" s="201"/>
      <c r="AM1707" s="201"/>
    </row>
    <row r="1708" customFormat="1" ht="15" spans="1:39">
      <c r="A1708" s="143">
        <v>1665</v>
      </c>
      <c r="B1708" s="144">
        <v>45967</v>
      </c>
      <c r="C1708" s="169" t="s">
        <v>3148</v>
      </c>
      <c r="D1708" s="143"/>
      <c r="E1708" s="196" t="s">
        <v>5221</v>
      </c>
      <c r="F1708" s="169" t="s">
        <v>5280</v>
      </c>
      <c r="G1708" s="143"/>
      <c r="H1708" s="143" t="s">
        <v>5281</v>
      </c>
      <c r="I1708" s="143" t="s">
        <v>324</v>
      </c>
      <c r="J1708" s="143" t="s">
        <v>1577</v>
      </c>
      <c r="K1708" s="143">
        <v>130</v>
      </c>
      <c r="L1708" s="143"/>
      <c r="M1708" s="143"/>
      <c r="N1708" s="143"/>
      <c r="O1708" s="143"/>
      <c r="P1708" s="143"/>
      <c r="Q1708" s="143"/>
      <c r="R1708" s="143"/>
      <c r="S1708" s="146"/>
      <c r="T1708" s="146"/>
      <c r="U1708" s="146"/>
      <c r="V1708" s="147"/>
      <c r="W1708" s="143" t="s">
        <v>3147</v>
      </c>
      <c r="X1708" s="169" t="s">
        <v>5280</v>
      </c>
      <c r="Y1708" s="169" t="s">
        <v>5273</v>
      </c>
      <c r="Z1708" s="169" t="s">
        <v>5280</v>
      </c>
      <c r="AA1708" s="173">
        <v>54.8</v>
      </c>
      <c r="AB1708" s="191">
        <v>45968</v>
      </c>
      <c r="AC1708" s="143"/>
      <c r="AD1708" s="143"/>
      <c r="AE1708" s="143"/>
      <c r="AF1708" s="143"/>
      <c r="AG1708" s="143"/>
      <c r="AH1708" s="204">
        <v>4.6</v>
      </c>
      <c r="AI1708" s="201"/>
      <c r="AJ1708" s="201"/>
      <c r="AK1708" s="201"/>
      <c r="AL1708" s="201"/>
      <c r="AM1708" s="201"/>
    </row>
    <row r="1709" customFormat="1" ht="15" spans="1:39">
      <c r="A1709" s="143">
        <v>1666</v>
      </c>
      <c r="B1709" s="144">
        <v>45967</v>
      </c>
      <c r="C1709" s="169" t="s">
        <v>3148</v>
      </c>
      <c r="D1709" s="143"/>
      <c r="E1709" s="196" t="s">
        <v>5221</v>
      </c>
      <c r="F1709" s="143">
        <v>7246</v>
      </c>
      <c r="G1709" s="143"/>
      <c r="H1709" s="143" t="s">
        <v>5282</v>
      </c>
      <c r="I1709" s="143" t="s">
        <v>324</v>
      </c>
      <c r="J1709" s="143" t="s">
        <v>1577</v>
      </c>
      <c r="K1709" s="143">
        <v>142</v>
      </c>
      <c r="L1709" s="143"/>
      <c r="M1709" s="143"/>
      <c r="N1709" s="143"/>
      <c r="O1709" s="143"/>
      <c r="P1709" s="143"/>
      <c r="Q1709" s="143"/>
      <c r="R1709" s="143"/>
      <c r="S1709" s="146"/>
      <c r="T1709" s="146"/>
      <c r="U1709" s="146"/>
      <c r="V1709" s="147"/>
      <c r="W1709" s="143" t="s">
        <v>3147</v>
      </c>
      <c r="X1709" s="143">
        <v>7246</v>
      </c>
      <c r="Y1709" s="169" t="s">
        <v>5273</v>
      </c>
      <c r="Z1709" s="143">
        <v>7246</v>
      </c>
      <c r="AA1709" s="173">
        <v>11.6</v>
      </c>
      <c r="AB1709" s="191">
        <v>45968</v>
      </c>
      <c r="AC1709" s="143"/>
      <c r="AD1709" s="143"/>
      <c r="AE1709" s="143"/>
      <c r="AF1709" s="143"/>
      <c r="AG1709" s="143"/>
      <c r="AH1709" s="204"/>
      <c r="AI1709" s="201"/>
      <c r="AJ1709" s="201"/>
      <c r="AK1709" s="201"/>
      <c r="AL1709" s="201"/>
      <c r="AM1709" s="201"/>
    </row>
    <row r="1710" customFormat="1" ht="15" spans="1:39">
      <c r="A1710" s="143">
        <v>1667</v>
      </c>
      <c r="B1710" s="144">
        <v>45967</v>
      </c>
      <c r="C1710" s="169" t="s">
        <v>3148</v>
      </c>
      <c r="D1710" s="143"/>
      <c r="E1710" s="196" t="s">
        <v>5221</v>
      </c>
      <c r="F1710" s="143">
        <v>7232</v>
      </c>
      <c r="G1710" s="143"/>
      <c r="H1710" s="143" t="s">
        <v>5283</v>
      </c>
      <c r="I1710" s="143" t="s">
        <v>324</v>
      </c>
      <c r="J1710" s="143" t="s">
        <v>1577</v>
      </c>
      <c r="K1710" s="143">
        <v>145</v>
      </c>
      <c r="L1710" s="143"/>
      <c r="M1710" s="143"/>
      <c r="N1710" s="143"/>
      <c r="O1710" s="143"/>
      <c r="P1710" s="143"/>
      <c r="Q1710" s="143"/>
      <c r="R1710" s="143"/>
      <c r="S1710" s="146"/>
      <c r="T1710" s="146"/>
      <c r="U1710" s="146"/>
      <c r="V1710" s="147"/>
      <c r="W1710" s="143" t="s">
        <v>3147</v>
      </c>
      <c r="X1710" s="143">
        <v>7232</v>
      </c>
      <c r="Y1710" s="169" t="s">
        <v>5273</v>
      </c>
      <c r="Z1710" s="143">
        <v>7232</v>
      </c>
      <c r="AA1710" s="173">
        <v>9.6</v>
      </c>
      <c r="AB1710" s="191">
        <v>45968</v>
      </c>
      <c r="AC1710" s="143"/>
      <c r="AD1710" s="143"/>
      <c r="AE1710" s="143"/>
      <c r="AF1710" s="143"/>
      <c r="AG1710" s="143"/>
      <c r="AH1710" s="204"/>
      <c r="AI1710" s="201"/>
      <c r="AJ1710" s="201"/>
      <c r="AK1710" s="201"/>
      <c r="AL1710" s="201"/>
      <c r="AM1710" s="201"/>
    </row>
    <row r="1711" customFormat="1" ht="15" spans="1:39">
      <c r="A1711" s="143">
        <v>1668</v>
      </c>
      <c r="B1711" s="144">
        <v>45967</v>
      </c>
      <c r="C1711" s="169" t="s">
        <v>3148</v>
      </c>
      <c r="D1711" s="143"/>
      <c r="E1711" s="196" t="s">
        <v>5221</v>
      </c>
      <c r="F1711" s="143">
        <v>7238</v>
      </c>
      <c r="G1711" s="143"/>
      <c r="H1711" s="143" t="s">
        <v>5284</v>
      </c>
      <c r="I1711" s="143" t="s">
        <v>324</v>
      </c>
      <c r="J1711" s="143" t="s">
        <v>1577</v>
      </c>
      <c r="K1711" s="143">
        <v>145</v>
      </c>
      <c r="L1711" s="143"/>
      <c r="M1711" s="143"/>
      <c r="N1711" s="143"/>
      <c r="O1711" s="143"/>
      <c r="P1711" s="143"/>
      <c r="Q1711" s="143"/>
      <c r="R1711" s="143"/>
      <c r="S1711" s="146"/>
      <c r="T1711" s="146"/>
      <c r="U1711" s="146"/>
      <c r="V1711" s="147"/>
      <c r="W1711" s="143" t="s">
        <v>3147</v>
      </c>
      <c r="X1711" s="143">
        <v>7238</v>
      </c>
      <c r="Y1711" s="169" t="s">
        <v>5273</v>
      </c>
      <c r="Z1711" s="143">
        <v>7238</v>
      </c>
      <c r="AA1711" s="173">
        <v>14.2</v>
      </c>
      <c r="AB1711" s="191">
        <v>45968</v>
      </c>
      <c r="AC1711" s="143"/>
      <c r="AD1711" s="143"/>
      <c r="AE1711" s="143"/>
      <c r="AF1711" s="143"/>
      <c r="AG1711" s="143"/>
      <c r="AH1711" s="204"/>
      <c r="AI1711" s="201"/>
      <c r="AJ1711" s="201"/>
      <c r="AK1711" s="201"/>
      <c r="AL1711" s="201"/>
      <c r="AM1711" s="201"/>
    </row>
    <row r="1712" customFormat="1" ht="15" spans="1:39">
      <c r="A1712" s="143">
        <v>1669</v>
      </c>
      <c r="B1712" s="144">
        <v>45967</v>
      </c>
      <c r="C1712" s="169" t="s">
        <v>3148</v>
      </c>
      <c r="D1712" s="143"/>
      <c r="E1712" s="196" t="s">
        <v>5221</v>
      </c>
      <c r="F1712" s="143">
        <v>7316</v>
      </c>
      <c r="G1712" s="143"/>
      <c r="H1712" s="143" t="s">
        <v>5285</v>
      </c>
      <c r="I1712" s="143" t="s">
        <v>324</v>
      </c>
      <c r="J1712" s="143" t="s">
        <v>1577</v>
      </c>
      <c r="K1712" s="143">
        <v>140</v>
      </c>
      <c r="L1712" s="143"/>
      <c r="M1712" s="143"/>
      <c r="N1712" s="143"/>
      <c r="O1712" s="143"/>
      <c r="P1712" s="143"/>
      <c r="Q1712" s="143"/>
      <c r="R1712" s="143"/>
      <c r="S1712" s="146"/>
      <c r="T1712" s="146"/>
      <c r="U1712" s="146"/>
      <c r="V1712" s="147"/>
      <c r="W1712" s="143" t="s">
        <v>3147</v>
      </c>
      <c r="X1712" s="143">
        <v>7316</v>
      </c>
      <c r="Y1712" s="169" t="s">
        <v>5273</v>
      </c>
      <c r="Z1712" s="143">
        <v>7316</v>
      </c>
      <c r="AA1712" s="173">
        <v>58.2</v>
      </c>
      <c r="AB1712" s="191">
        <v>45968</v>
      </c>
      <c r="AC1712" s="143"/>
      <c r="AD1712" s="143"/>
      <c r="AE1712" s="143"/>
      <c r="AF1712" s="143"/>
      <c r="AG1712" s="143"/>
      <c r="AH1712" s="204">
        <v>5.4</v>
      </c>
      <c r="AI1712" s="201"/>
      <c r="AJ1712" s="201"/>
      <c r="AK1712" s="201"/>
      <c r="AL1712" s="201"/>
      <c r="AM1712" s="201"/>
    </row>
    <row r="1713" customFormat="1" ht="15" spans="1:39">
      <c r="A1713" s="143">
        <v>1670</v>
      </c>
      <c r="B1713" s="144">
        <v>45967</v>
      </c>
      <c r="C1713" s="169" t="s">
        <v>3148</v>
      </c>
      <c r="D1713" s="143"/>
      <c r="E1713" s="196" t="s">
        <v>5221</v>
      </c>
      <c r="F1713" s="169" t="s">
        <v>5286</v>
      </c>
      <c r="G1713" s="143"/>
      <c r="H1713" s="143" t="s">
        <v>5287</v>
      </c>
      <c r="I1713" s="143" t="s">
        <v>324</v>
      </c>
      <c r="J1713" s="143" t="s">
        <v>1577</v>
      </c>
      <c r="K1713" s="143">
        <v>130</v>
      </c>
      <c r="L1713" s="143"/>
      <c r="M1713" s="143"/>
      <c r="N1713" s="143"/>
      <c r="O1713" s="143"/>
      <c r="P1713" s="143"/>
      <c r="Q1713" s="143"/>
      <c r="R1713" s="143"/>
      <c r="S1713" s="146"/>
      <c r="T1713" s="146"/>
      <c r="U1713" s="146"/>
      <c r="V1713" s="147"/>
      <c r="W1713" s="143" t="s">
        <v>3147</v>
      </c>
      <c r="X1713" s="169" t="s">
        <v>5286</v>
      </c>
      <c r="Y1713" s="169" t="s">
        <v>5273</v>
      </c>
      <c r="Z1713" s="169" t="s">
        <v>5286</v>
      </c>
      <c r="AA1713" s="173">
        <v>41.5</v>
      </c>
      <c r="AB1713" s="191">
        <v>45968</v>
      </c>
      <c r="AC1713" s="143"/>
      <c r="AD1713" s="143"/>
      <c r="AE1713" s="143"/>
      <c r="AF1713" s="143"/>
      <c r="AG1713" s="143"/>
      <c r="AH1713" s="204">
        <v>4.6</v>
      </c>
      <c r="AI1713" s="201"/>
      <c r="AJ1713" s="201"/>
      <c r="AK1713" s="201"/>
      <c r="AL1713" s="201"/>
      <c r="AM1713" s="201"/>
    </row>
    <row r="1714" customFormat="1" ht="15" spans="1:39">
      <c r="A1714" s="143">
        <v>1671</v>
      </c>
      <c r="B1714" s="144">
        <v>45967</v>
      </c>
      <c r="C1714" s="169" t="s">
        <v>3148</v>
      </c>
      <c r="D1714" s="143"/>
      <c r="E1714" s="196" t="s">
        <v>5221</v>
      </c>
      <c r="F1714" s="143">
        <v>7567</v>
      </c>
      <c r="G1714" s="143"/>
      <c r="H1714" s="143" t="s">
        <v>5288</v>
      </c>
      <c r="I1714" s="143" t="s">
        <v>324</v>
      </c>
      <c r="J1714" s="143" t="s">
        <v>1577</v>
      </c>
      <c r="K1714" s="143">
        <v>130</v>
      </c>
      <c r="L1714" s="143"/>
      <c r="M1714" s="143"/>
      <c r="N1714" s="143"/>
      <c r="O1714" s="143"/>
      <c r="P1714" s="143"/>
      <c r="Q1714" s="143"/>
      <c r="R1714" s="143"/>
      <c r="S1714" s="146"/>
      <c r="T1714" s="146"/>
      <c r="U1714" s="146"/>
      <c r="V1714" s="147"/>
      <c r="W1714" s="143" t="s">
        <v>3147</v>
      </c>
      <c r="X1714" s="143">
        <v>7567</v>
      </c>
      <c r="Y1714" s="169" t="s">
        <v>5273</v>
      </c>
      <c r="Z1714" s="143">
        <v>7567</v>
      </c>
      <c r="AA1714" s="173">
        <v>46</v>
      </c>
      <c r="AB1714" s="191">
        <v>45968</v>
      </c>
      <c r="AC1714" s="143"/>
      <c r="AD1714" s="143"/>
      <c r="AE1714" s="143"/>
      <c r="AF1714" s="143"/>
      <c r="AG1714" s="143"/>
      <c r="AH1714" s="204">
        <v>5</v>
      </c>
      <c r="AI1714" s="201"/>
      <c r="AJ1714" s="201"/>
      <c r="AK1714" s="201"/>
      <c r="AL1714" s="201"/>
      <c r="AM1714" s="201"/>
    </row>
    <row r="1715" customFormat="1" ht="15" spans="1:39">
      <c r="A1715" s="143">
        <v>1672</v>
      </c>
      <c r="B1715" s="144">
        <v>45967</v>
      </c>
      <c r="C1715" s="169" t="s">
        <v>3148</v>
      </c>
      <c r="D1715" s="143"/>
      <c r="E1715" s="196" t="s">
        <v>5221</v>
      </c>
      <c r="F1715" s="143">
        <v>7566</v>
      </c>
      <c r="G1715" s="143"/>
      <c r="H1715" s="143" t="s">
        <v>5289</v>
      </c>
      <c r="I1715" s="143" t="s">
        <v>324</v>
      </c>
      <c r="J1715" s="143" t="s">
        <v>1577</v>
      </c>
      <c r="K1715" s="143">
        <v>140</v>
      </c>
      <c r="L1715" s="143"/>
      <c r="M1715" s="143"/>
      <c r="N1715" s="143"/>
      <c r="O1715" s="143"/>
      <c r="P1715" s="143"/>
      <c r="Q1715" s="143"/>
      <c r="R1715" s="143"/>
      <c r="S1715" s="146"/>
      <c r="T1715" s="146"/>
      <c r="U1715" s="146"/>
      <c r="V1715" s="147"/>
      <c r="W1715" s="143" t="s">
        <v>3147</v>
      </c>
      <c r="X1715" s="143">
        <v>7566</v>
      </c>
      <c r="Y1715" s="169" t="s">
        <v>5273</v>
      </c>
      <c r="Z1715" s="143">
        <v>7566</v>
      </c>
      <c r="AA1715" s="173">
        <v>43.7</v>
      </c>
      <c r="AB1715" s="191">
        <v>45968</v>
      </c>
      <c r="AC1715" s="143"/>
      <c r="AD1715" s="143"/>
      <c r="AE1715" s="143"/>
      <c r="AF1715" s="143"/>
      <c r="AG1715" s="143"/>
      <c r="AH1715" s="204">
        <v>4.5</v>
      </c>
      <c r="AI1715" s="201"/>
      <c r="AJ1715" s="201"/>
      <c r="AK1715" s="201"/>
      <c r="AL1715" s="201"/>
      <c r="AM1715" s="201"/>
    </row>
    <row r="1716" customFormat="1" ht="15" spans="1:39">
      <c r="A1716" s="143">
        <v>1673</v>
      </c>
      <c r="B1716" s="144">
        <v>45967</v>
      </c>
      <c r="C1716" s="169" t="s">
        <v>3148</v>
      </c>
      <c r="D1716" s="143"/>
      <c r="E1716" s="196" t="s">
        <v>5221</v>
      </c>
      <c r="F1716" s="143">
        <v>2042</v>
      </c>
      <c r="G1716" s="143"/>
      <c r="H1716" s="177" t="s">
        <v>5290</v>
      </c>
      <c r="I1716" s="143" t="s">
        <v>324</v>
      </c>
      <c r="J1716" s="143" t="s">
        <v>5291</v>
      </c>
      <c r="K1716" s="143">
        <v>150</v>
      </c>
      <c r="L1716" s="143"/>
      <c r="M1716" s="143"/>
      <c r="N1716" s="143"/>
      <c r="O1716" s="143"/>
      <c r="P1716" s="143"/>
      <c r="Q1716" s="143"/>
      <c r="R1716" s="143"/>
      <c r="S1716" s="146"/>
      <c r="T1716" s="146"/>
      <c r="U1716" s="146"/>
      <c r="V1716" s="147"/>
      <c r="W1716" s="143" t="s">
        <v>3147</v>
      </c>
      <c r="X1716" s="143">
        <v>2042</v>
      </c>
      <c r="Y1716" s="143" t="s">
        <v>5194</v>
      </c>
      <c r="Z1716" s="143">
        <v>2042</v>
      </c>
      <c r="AA1716" s="173">
        <v>8.3</v>
      </c>
      <c r="AB1716" s="191">
        <v>45968</v>
      </c>
      <c r="AC1716" s="143"/>
      <c r="AD1716" s="143"/>
      <c r="AE1716" s="143"/>
      <c r="AF1716" s="143"/>
      <c r="AG1716" s="143"/>
      <c r="AH1716" s="204"/>
      <c r="AI1716" s="201"/>
      <c r="AJ1716" s="201"/>
      <c r="AK1716" s="201"/>
      <c r="AL1716" s="201"/>
      <c r="AM1716" s="201"/>
    </row>
    <row r="1717" ht="15" spans="1:39">
      <c r="A1717" s="143">
        <v>1674</v>
      </c>
      <c r="B1717" s="144">
        <v>45971</v>
      </c>
      <c r="C1717" s="143" t="s">
        <v>3148</v>
      </c>
      <c r="E1717" s="196" t="s">
        <v>5292</v>
      </c>
      <c r="F1717" s="177">
        <v>6145</v>
      </c>
      <c r="H1717" s="143" t="s">
        <v>5293</v>
      </c>
      <c r="I1717" s="143" t="s">
        <v>3742</v>
      </c>
      <c r="J1717" s="143" t="s">
        <v>3657</v>
      </c>
      <c r="K1717" s="143">
        <v>150</v>
      </c>
      <c r="L1717" s="143">
        <v>170</v>
      </c>
      <c r="W1717" s="143" t="s">
        <v>3147</v>
      </c>
      <c r="X1717" s="143">
        <v>6145</v>
      </c>
      <c r="Y1717" s="143" t="s">
        <v>3746</v>
      </c>
      <c r="Z1717" s="143">
        <v>6145</v>
      </c>
      <c r="AA1717" s="173">
        <v>10.6</v>
      </c>
    </row>
    <row r="1718" ht="15" spans="1:39">
      <c r="A1718" s="143">
        <v>1675</v>
      </c>
      <c r="B1718" s="144">
        <v>45971</v>
      </c>
      <c r="C1718" s="143" t="s">
        <v>3148</v>
      </c>
      <c r="E1718" s="196" t="s">
        <v>5292</v>
      </c>
      <c r="F1718" s="177" t="s">
        <v>5294</v>
      </c>
      <c r="H1718" s="143" t="s">
        <v>5295</v>
      </c>
      <c r="I1718" s="143" t="s">
        <v>3224</v>
      </c>
      <c r="J1718" s="143" t="s">
        <v>1577</v>
      </c>
      <c r="K1718" s="143">
        <v>150</v>
      </c>
      <c r="L1718" s="143">
        <v>260</v>
      </c>
      <c r="W1718" s="143" t="s">
        <v>3147</v>
      </c>
      <c r="X1718" s="143" t="s">
        <v>5294</v>
      </c>
      <c r="Y1718" s="143" t="s">
        <v>3746</v>
      </c>
      <c r="Z1718" s="143" t="s">
        <v>5294</v>
      </c>
      <c r="AA1718" s="173">
        <v>10.8</v>
      </c>
    </row>
    <row r="1719" ht="15" spans="1:39">
      <c r="A1719" s="143">
        <v>1676</v>
      </c>
      <c r="B1719" s="144">
        <v>45971</v>
      </c>
      <c r="C1719" s="143" t="s">
        <v>3148</v>
      </c>
      <c r="E1719" s="196" t="s">
        <v>5292</v>
      </c>
      <c r="F1719" s="177">
        <v>9018</v>
      </c>
      <c r="H1719" s="143" t="s">
        <v>5296</v>
      </c>
      <c r="I1719" s="143" t="s">
        <v>5297</v>
      </c>
      <c r="J1719" s="143" t="s">
        <v>500</v>
      </c>
      <c r="K1719" s="143">
        <v>150</v>
      </c>
      <c r="L1719" s="143">
        <v>180</v>
      </c>
      <c r="W1719" s="143" t="s">
        <v>3147</v>
      </c>
      <c r="X1719" s="143">
        <v>9018</v>
      </c>
      <c r="Y1719" s="143" t="s">
        <v>3746</v>
      </c>
      <c r="Z1719" s="143">
        <v>9018</v>
      </c>
      <c r="AA1719" s="173">
        <v>10.5</v>
      </c>
    </row>
    <row r="1720" ht="15" spans="1:39">
      <c r="A1720" s="143">
        <v>1677</v>
      </c>
      <c r="B1720" s="144">
        <v>45971</v>
      </c>
      <c r="C1720" s="143" t="s">
        <v>3148</v>
      </c>
      <c r="E1720" s="196" t="s">
        <v>5292</v>
      </c>
      <c r="F1720" s="177" t="s">
        <v>5298</v>
      </c>
      <c r="H1720" s="143" t="s">
        <v>5299</v>
      </c>
      <c r="I1720" s="143" t="s">
        <v>3218</v>
      </c>
      <c r="J1720" s="143" t="s">
        <v>1577</v>
      </c>
      <c r="K1720" s="143">
        <v>150</v>
      </c>
      <c r="L1720" s="143">
        <v>160</v>
      </c>
      <c r="W1720" s="143" t="s">
        <v>3147</v>
      </c>
      <c r="X1720" s="143" t="s">
        <v>5300</v>
      </c>
      <c r="Y1720" s="143" t="s">
        <v>5301</v>
      </c>
      <c r="Z1720" s="143" t="s">
        <v>5300</v>
      </c>
      <c r="AA1720" s="173">
        <v>9.8</v>
      </c>
      <c r="AB1720" s="191">
        <v>46150</v>
      </c>
      <c r="AH1720" s="143" t="s">
        <v>5302</v>
      </c>
    </row>
    <row r="1721" ht="15" spans="1:39">
      <c r="A1721" s="143">
        <v>1678</v>
      </c>
      <c r="B1721" s="144">
        <v>45971</v>
      </c>
      <c r="C1721" s="143" t="s">
        <v>3148</v>
      </c>
      <c r="E1721" s="196" t="s">
        <v>5292</v>
      </c>
      <c r="F1721" s="178" t="s">
        <v>5303</v>
      </c>
      <c r="H1721" s="143" t="s">
        <v>5304</v>
      </c>
      <c r="I1721" s="143" t="s">
        <v>3224</v>
      </c>
      <c r="J1721" s="143" t="s">
        <v>1577</v>
      </c>
      <c r="K1721" s="143">
        <v>150</v>
      </c>
      <c r="L1721" s="143">
        <v>180</v>
      </c>
      <c r="W1721" s="143" t="s">
        <v>3147</v>
      </c>
      <c r="X1721" s="169" t="s">
        <v>5303</v>
      </c>
      <c r="Y1721" s="143" t="s">
        <v>5301</v>
      </c>
      <c r="Z1721" s="169" t="s">
        <v>5303</v>
      </c>
      <c r="AA1721" s="173">
        <v>9.6</v>
      </c>
    </row>
    <row r="1722" ht="15" spans="1:39">
      <c r="A1722" s="143">
        <v>1679</v>
      </c>
      <c r="B1722" s="144">
        <v>45971</v>
      </c>
      <c r="C1722" s="143" t="s">
        <v>3148</v>
      </c>
      <c r="E1722" s="196" t="s">
        <v>5292</v>
      </c>
      <c r="F1722" s="178" t="s">
        <v>5305</v>
      </c>
      <c r="H1722" s="143" t="s">
        <v>5306</v>
      </c>
      <c r="I1722" s="143" t="s">
        <v>3390</v>
      </c>
      <c r="J1722" s="143" t="s">
        <v>3657</v>
      </c>
      <c r="K1722" s="143">
        <v>150</v>
      </c>
      <c r="L1722" s="143">
        <v>180</v>
      </c>
      <c r="W1722" s="143" t="s">
        <v>3147</v>
      </c>
      <c r="X1722" s="169" t="s">
        <v>5305</v>
      </c>
      <c r="Y1722" s="143" t="s">
        <v>5301</v>
      </c>
      <c r="Z1722" s="169" t="s">
        <v>5305</v>
      </c>
      <c r="AA1722" s="173">
        <v>10.5</v>
      </c>
    </row>
    <row r="1723" ht="15" spans="1:39">
      <c r="A1723" s="143">
        <v>1680</v>
      </c>
      <c r="B1723" s="144">
        <v>45971</v>
      </c>
      <c r="C1723" s="143" t="s">
        <v>3148</v>
      </c>
      <c r="E1723" s="196" t="s">
        <v>5292</v>
      </c>
      <c r="F1723" s="178" t="s">
        <v>5307</v>
      </c>
      <c r="H1723" s="143" t="s">
        <v>5308</v>
      </c>
      <c r="I1723" s="143" t="s">
        <v>3170</v>
      </c>
      <c r="J1723" s="143" t="s">
        <v>3727</v>
      </c>
      <c r="K1723" s="143">
        <v>150</v>
      </c>
      <c r="L1723" s="143">
        <v>160</v>
      </c>
      <c r="W1723" s="143" t="s">
        <v>3147</v>
      </c>
      <c r="X1723" s="169" t="s">
        <v>5307</v>
      </c>
      <c r="Y1723" s="143" t="s">
        <v>5301</v>
      </c>
      <c r="Z1723" s="169" t="s">
        <v>5307</v>
      </c>
      <c r="AA1723" s="173">
        <v>10.2</v>
      </c>
    </row>
    <row r="1724" ht="15" spans="1:39">
      <c r="A1724" s="143">
        <v>1681</v>
      </c>
      <c r="B1724" s="144">
        <v>45971</v>
      </c>
      <c r="C1724" s="143" t="s">
        <v>3148</v>
      </c>
      <c r="E1724" s="196" t="s">
        <v>5292</v>
      </c>
      <c r="F1724" s="178" t="s">
        <v>5309</v>
      </c>
      <c r="H1724" s="143" t="s">
        <v>5310</v>
      </c>
      <c r="I1724" s="143" t="s">
        <v>3218</v>
      </c>
      <c r="J1724" s="143" t="s">
        <v>1577</v>
      </c>
      <c r="K1724" s="143">
        <v>150</v>
      </c>
      <c r="L1724" s="143">
        <v>130</v>
      </c>
      <c r="W1724" s="143" t="s">
        <v>3147</v>
      </c>
      <c r="X1724" s="169" t="s">
        <v>5309</v>
      </c>
      <c r="Y1724" s="143" t="s">
        <v>5301</v>
      </c>
      <c r="Z1724" s="169" t="s">
        <v>5309</v>
      </c>
      <c r="AA1724" s="173">
        <v>10</v>
      </c>
    </row>
    <row r="1725" ht="15" spans="1:39">
      <c r="A1725" s="143">
        <v>1682</v>
      </c>
      <c r="B1725" s="144">
        <v>45971</v>
      </c>
      <c r="C1725" s="143" t="s">
        <v>3148</v>
      </c>
      <c r="E1725" s="196" t="s">
        <v>5292</v>
      </c>
      <c r="F1725" s="178" t="s">
        <v>5311</v>
      </c>
      <c r="H1725" s="143" t="s">
        <v>5312</v>
      </c>
      <c r="I1725" s="143" t="s">
        <v>3218</v>
      </c>
      <c r="J1725" s="143" t="s">
        <v>1577</v>
      </c>
      <c r="K1725" s="143">
        <v>150</v>
      </c>
      <c r="L1725" s="143">
        <v>150</v>
      </c>
      <c r="W1725" s="143" t="s">
        <v>3147</v>
      </c>
      <c r="X1725" s="169" t="s">
        <v>5311</v>
      </c>
      <c r="Y1725" s="143" t="s">
        <v>5301</v>
      </c>
      <c r="Z1725" s="169" t="s">
        <v>5311</v>
      </c>
      <c r="AA1725" s="173">
        <v>8.6</v>
      </c>
    </row>
    <row r="1726" ht="15" spans="1:39">
      <c r="A1726" s="143">
        <v>1683</v>
      </c>
      <c r="B1726" s="144">
        <v>45971</v>
      </c>
      <c r="C1726" s="143" t="s">
        <v>3148</v>
      </c>
      <c r="E1726" s="196" t="s">
        <v>5292</v>
      </c>
      <c r="F1726" s="178" t="s">
        <v>4735</v>
      </c>
      <c r="H1726" s="143" t="s">
        <v>5313</v>
      </c>
      <c r="I1726" s="143" t="s">
        <v>5314</v>
      </c>
      <c r="J1726" s="143" t="s">
        <v>484</v>
      </c>
      <c r="K1726" s="143">
        <v>150</v>
      </c>
      <c r="L1726" s="143">
        <v>170</v>
      </c>
      <c r="W1726" s="143" t="s">
        <v>3147</v>
      </c>
      <c r="X1726" s="169" t="s">
        <v>4735</v>
      </c>
      <c r="Y1726" s="143" t="s">
        <v>5301</v>
      </c>
      <c r="Z1726" s="169" t="s">
        <v>4735</v>
      </c>
      <c r="AA1726" s="173">
        <v>10.2</v>
      </c>
    </row>
    <row r="1727" ht="15" spans="1:39">
      <c r="A1727" s="143">
        <v>1684</v>
      </c>
      <c r="B1727" s="144">
        <v>45971</v>
      </c>
      <c r="C1727" s="143" t="s">
        <v>3148</v>
      </c>
      <c r="E1727" s="196" t="s">
        <v>5292</v>
      </c>
      <c r="F1727" s="178" t="s">
        <v>5315</v>
      </c>
      <c r="H1727" s="143" t="s">
        <v>5316</v>
      </c>
      <c r="I1727" s="143" t="s">
        <v>3170</v>
      </c>
      <c r="J1727" s="143" t="s">
        <v>3727</v>
      </c>
      <c r="K1727" s="143">
        <v>150</v>
      </c>
      <c r="L1727" s="143">
        <v>195</v>
      </c>
      <c r="W1727" s="143" t="s">
        <v>3147</v>
      </c>
      <c r="X1727" s="169" t="s">
        <v>5315</v>
      </c>
      <c r="Y1727" s="143" t="s">
        <v>5301</v>
      </c>
      <c r="Z1727" s="169" t="s">
        <v>5315</v>
      </c>
      <c r="AA1727" s="173">
        <v>10.8</v>
      </c>
    </row>
    <row r="1728" ht="15" spans="1:39">
      <c r="A1728" s="143">
        <v>1685</v>
      </c>
      <c r="B1728" s="144">
        <v>45971</v>
      </c>
      <c r="C1728" s="143" t="s">
        <v>3148</v>
      </c>
      <c r="E1728" s="196" t="s">
        <v>5292</v>
      </c>
      <c r="F1728" s="177" t="s">
        <v>5317</v>
      </c>
      <c r="H1728" s="143" t="s">
        <v>5318</v>
      </c>
      <c r="I1728" s="143" t="s">
        <v>3218</v>
      </c>
      <c r="J1728" s="143" t="s">
        <v>1577</v>
      </c>
      <c r="K1728" s="143">
        <v>150</v>
      </c>
      <c r="L1728" s="143">
        <v>155</v>
      </c>
      <c r="W1728" s="143" t="s">
        <v>3147</v>
      </c>
      <c r="X1728" s="143" t="s">
        <v>5319</v>
      </c>
      <c r="Y1728" s="143" t="s">
        <v>5301</v>
      </c>
      <c r="Z1728" s="143" t="s">
        <v>5319</v>
      </c>
      <c r="AA1728" s="173">
        <v>6.8</v>
      </c>
    </row>
    <row r="1729" ht="15" spans="1:34">
      <c r="A1729" s="143">
        <v>1686</v>
      </c>
      <c r="B1729" s="144">
        <v>45971</v>
      </c>
      <c r="C1729" s="143" t="s">
        <v>3148</v>
      </c>
      <c r="E1729" s="196" t="s">
        <v>5292</v>
      </c>
      <c r="F1729" s="178" t="s">
        <v>5320</v>
      </c>
      <c r="H1729" s="143" t="s">
        <v>5321</v>
      </c>
      <c r="I1729" s="143" t="s">
        <v>3170</v>
      </c>
      <c r="J1729" s="143" t="s">
        <v>3727</v>
      </c>
      <c r="K1729" s="143">
        <v>150</v>
      </c>
      <c r="L1729" s="143">
        <v>160</v>
      </c>
      <c r="W1729" s="143" t="s">
        <v>3147</v>
      </c>
      <c r="X1729" s="169" t="s">
        <v>5320</v>
      </c>
      <c r="Y1729" s="143" t="s">
        <v>5301</v>
      </c>
      <c r="Z1729" s="169" t="s">
        <v>5320</v>
      </c>
      <c r="AA1729" s="173">
        <v>12.8</v>
      </c>
    </row>
    <row r="1730" ht="15" spans="1:34">
      <c r="A1730" s="143">
        <v>1687</v>
      </c>
      <c r="B1730" s="144">
        <v>45971</v>
      </c>
      <c r="C1730" s="143" t="s">
        <v>3148</v>
      </c>
      <c r="E1730" s="196" t="s">
        <v>5292</v>
      </c>
      <c r="F1730" s="178" t="s">
        <v>5322</v>
      </c>
      <c r="H1730" s="143" t="s">
        <v>5323</v>
      </c>
      <c r="I1730" s="143" t="s">
        <v>3170</v>
      </c>
      <c r="J1730" s="143" t="s">
        <v>3727</v>
      </c>
      <c r="K1730" s="143">
        <v>150</v>
      </c>
      <c r="L1730" s="143">
        <v>130</v>
      </c>
      <c r="W1730" s="143" t="s">
        <v>3147</v>
      </c>
      <c r="X1730" s="169" t="s">
        <v>5322</v>
      </c>
      <c r="Y1730" s="143" t="s">
        <v>5301</v>
      </c>
      <c r="Z1730" s="169" t="s">
        <v>5322</v>
      </c>
      <c r="AA1730" s="173">
        <v>10.8</v>
      </c>
    </row>
    <row r="1731" ht="15" spans="1:34">
      <c r="A1731" s="143">
        <v>1688</v>
      </c>
      <c r="B1731" s="144">
        <v>45971</v>
      </c>
      <c r="C1731" s="143" t="s">
        <v>3148</v>
      </c>
      <c r="E1731" s="196" t="s">
        <v>5292</v>
      </c>
      <c r="F1731" s="178" t="s">
        <v>5324</v>
      </c>
      <c r="H1731" s="143" t="s">
        <v>5325</v>
      </c>
      <c r="I1731" s="143" t="s">
        <v>3218</v>
      </c>
      <c r="J1731" s="143" t="s">
        <v>1577</v>
      </c>
      <c r="K1731" s="143">
        <v>150</v>
      </c>
      <c r="L1731" s="143">
        <v>160</v>
      </c>
      <c r="W1731" s="143" t="s">
        <v>3147</v>
      </c>
      <c r="X1731" s="169" t="s">
        <v>5324</v>
      </c>
      <c r="Y1731" s="143" t="s">
        <v>5301</v>
      </c>
      <c r="Z1731" s="169" t="s">
        <v>5324</v>
      </c>
      <c r="AA1731" s="173">
        <v>8</v>
      </c>
    </row>
    <row r="1732" ht="15" spans="1:34">
      <c r="A1732" s="143">
        <v>1689</v>
      </c>
      <c r="B1732" s="144">
        <v>45971</v>
      </c>
      <c r="C1732" s="143" t="s">
        <v>3148</v>
      </c>
      <c r="E1732" s="196" t="s">
        <v>5292</v>
      </c>
      <c r="F1732" s="178" t="s">
        <v>5326</v>
      </c>
      <c r="H1732" s="143" t="s">
        <v>5327</v>
      </c>
      <c r="I1732" s="143" t="s">
        <v>3170</v>
      </c>
      <c r="J1732" s="143" t="s">
        <v>3727</v>
      </c>
      <c r="K1732" s="143">
        <v>150</v>
      </c>
      <c r="L1732" s="143">
        <v>175</v>
      </c>
      <c r="W1732" s="143" t="s">
        <v>3147</v>
      </c>
      <c r="X1732" s="169" t="s">
        <v>5326</v>
      </c>
      <c r="Y1732" s="143" t="s">
        <v>5301</v>
      </c>
      <c r="Z1732" s="169" t="s">
        <v>5326</v>
      </c>
      <c r="AA1732" s="173">
        <v>12</v>
      </c>
    </row>
    <row r="1733" ht="15" spans="1:34">
      <c r="A1733" s="143">
        <v>1690</v>
      </c>
      <c r="B1733" s="144">
        <v>45971</v>
      </c>
      <c r="C1733" s="143" t="s">
        <v>3148</v>
      </c>
      <c r="E1733" s="196" t="s">
        <v>5292</v>
      </c>
      <c r="F1733" s="178" t="s">
        <v>5328</v>
      </c>
      <c r="H1733" s="143" t="s">
        <v>5329</v>
      </c>
      <c r="I1733" s="143" t="s">
        <v>3170</v>
      </c>
      <c r="J1733" s="143" t="s">
        <v>3727</v>
      </c>
      <c r="K1733" s="143">
        <v>150</v>
      </c>
      <c r="L1733" s="143">
        <v>230</v>
      </c>
      <c r="W1733" s="143" t="s">
        <v>3147</v>
      </c>
      <c r="X1733" s="169" t="s">
        <v>5328</v>
      </c>
      <c r="Y1733" s="143" t="s">
        <v>5301</v>
      </c>
      <c r="Z1733" s="169" t="s">
        <v>5328</v>
      </c>
      <c r="AA1733" s="173">
        <v>16.6</v>
      </c>
    </row>
    <row r="1734" ht="15" spans="1:34">
      <c r="A1734" s="143">
        <v>1691</v>
      </c>
      <c r="B1734" s="144">
        <v>45971</v>
      </c>
      <c r="C1734" s="143" t="s">
        <v>3148</v>
      </c>
      <c r="E1734" s="196" t="s">
        <v>5292</v>
      </c>
      <c r="F1734" s="177" t="s">
        <v>5330</v>
      </c>
      <c r="H1734" s="143" t="s">
        <v>5331</v>
      </c>
      <c r="I1734" s="143" t="s">
        <v>3170</v>
      </c>
      <c r="J1734" s="143" t="s">
        <v>3727</v>
      </c>
      <c r="K1734" s="143">
        <v>150</v>
      </c>
      <c r="L1734" s="143">
        <v>180</v>
      </c>
      <c r="W1734" s="143" t="s">
        <v>3147</v>
      </c>
      <c r="X1734" s="143" t="s">
        <v>5332</v>
      </c>
      <c r="Y1734" s="143" t="s">
        <v>5301</v>
      </c>
      <c r="Z1734" s="143" t="s">
        <v>5332</v>
      </c>
      <c r="AA1734" s="173">
        <v>9</v>
      </c>
    </row>
    <row r="1735" ht="15" spans="1:34">
      <c r="A1735" s="143">
        <v>1692</v>
      </c>
      <c r="B1735" s="144">
        <v>45971</v>
      </c>
      <c r="C1735" s="143" t="s">
        <v>3148</v>
      </c>
      <c r="E1735" s="145" t="s">
        <v>5333</v>
      </c>
      <c r="F1735" s="178" t="s">
        <v>5334</v>
      </c>
      <c r="H1735" s="143" t="s">
        <v>5335</v>
      </c>
      <c r="I1735" s="143" t="s">
        <v>3218</v>
      </c>
      <c r="J1735" s="143" t="s">
        <v>1577</v>
      </c>
      <c r="K1735" s="143">
        <v>150</v>
      </c>
      <c r="L1735" s="143">
        <v>160</v>
      </c>
      <c r="W1735" s="143" t="s">
        <v>3147</v>
      </c>
      <c r="X1735" s="169" t="s">
        <v>5334</v>
      </c>
      <c r="Y1735" s="143" t="s">
        <v>5301</v>
      </c>
      <c r="Z1735" s="169" t="s">
        <v>5334</v>
      </c>
      <c r="AA1735" s="173">
        <v>7.8</v>
      </c>
    </row>
    <row r="1736" ht="15" spans="1:34">
      <c r="A1736" s="143">
        <v>1693</v>
      </c>
      <c r="B1736" s="144">
        <v>45971</v>
      </c>
      <c r="C1736" s="143" t="s">
        <v>3148</v>
      </c>
      <c r="E1736" s="145" t="s">
        <v>5333</v>
      </c>
      <c r="F1736" s="177" t="s">
        <v>5336</v>
      </c>
      <c r="H1736" s="143" t="s">
        <v>5337</v>
      </c>
      <c r="I1736" s="143" t="s">
        <v>3218</v>
      </c>
      <c r="J1736" s="143" t="s">
        <v>1577</v>
      </c>
      <c r="K1736" s="143">
        <v>160</v>
      </c>
      <c r="L1736" s="143">
        <v>135</v>
      </c>
      <c r="W1736" s="143" t="s">
        <v>3147</v>
      </c>
      <c r="X1736" s="143" t="s">
        <v>5338</v>
      </c>
      <c r="Y1736" s="143" t="s">
        <v>5301</v>
      </c>
      <c r="Z1736" s="143" t="s">
        <v>5338</v>
      </c>
      <c r="AA1736" s="173">
        <v>6.5</v>
      </c>
    </row>
    <row r="1737" ht="15" spans="1:34">
      <c r="A1737" s="143">
        <v>1694</v>
      </c>
      <c r="B1737" s="144">
        <v>45971</v>
      </c>
      <c r="C1737" s="143" t="s">
        <v>3148</v>
      </c>
      <c r="E1737" s="145" t="s">
        <v>5333</v>
      </c>
      <c r="F1737" s="177" t="s">
        <v>5339</v>
      </c>
      <c r="H1737" s="143" t="s">
        <v>5340</v>
      </c>
      <c r="I1737" s="143" t="s">
        <v>3742</v>
      </c>
      <c r="J1737" s="143" t="s">
        <v>2776</v>
      </c>
      <c r="K1737" s="143">
        <v>150</v>
      </c>
      <c r="L1737" s="143">
        <v>120</v>
      </c>
      <c r="W1737" s="143" t="s">
        <v>3147</v>
      </c>
      <c r="X1737" s="143" t="s">
        <v>2642</v>
      </c>
      <c r="Y1737" s="143" t="s">
        <v>5301</v>
      </c>
      <c r="Z1737" s="143" t="s">
        <v>2642</v>
      </c>
      <c r="AA1737" s="173">
        <v>5.4</v>
      </c>
    </row>
    <row r="1738" ht="15" spans="1:34">
      <c r="A1738" s="143">
        <v>1695</v>
      </c>
      <c r="B1738" s="144">
        <v>45971</v>
      </c>
      <c r="C1738" s="143" t="s">
        <v>3148</v>
      </c>
      <c r="E1738" s="145" t="s">
        <v>5333</v>
      </c>
      <c r="F1738" s="178" t="s">
        <v>5341</v>
      </c>
      <c r="H1738" s="143" t="s">
        <v>5342</v>
      </c>
      <c r="I1738" s="143" t="s">
        <v>3218</v>
      </c>
      <c r="J1738" s="143" t="s">
        <v>1577</v>
      </c>
      <c r="K1738" s="143">
        <v>150</v>
      </c>
      <c r="L1738" s="143">
        <v>130</v>
      </c>
      <c r="W1738" s="143" t="s">
        <v>3147</v>
      </c>
      <c r="X1738" s="169" t="s">
        <v>5341</v>
      </c>
      <c r="Y1738" s="143" t="s">
        <v>5301</v>
      </c>
      <c r="Z1738" s="169" t="s">
        <v>5341</v>
      </c>
      <c r="AA1738" s="173">
        <v>7.5</v>
      </c>
      <c r="AB1738" s="191">
        <v>46150</v>
      </c>
      <c r="AH1738" s="143" t="s">
        <v>5302</v>
      </c>
    </row>
    <row r="1739" ht="15" spans="1:34">
      <c r="A1739" s="143">
        <v>1696</v>
      </c>
      <c r="B1739" s="144">
        <v>45971</v>
      </c>
      <c r="C1739" s="143" t="s">
        <v>3148</v>
      </c>
      <c r="E1739" s="145" t="s">
        <v>5333</v>
      </c>
      <c r="F1739" s="178" t="s">
        <v>5343</v>
      </c>
      <c r="H1739" s="143" t="s">
        <v>5344</v>
      </c>
      <c r="I1739" s="143" t="s">
        <v>3218</v>
      </c>
      <c r="J1739" s="143" t="s">
        <v>1577</v>
      </c>
      <c r="K1739" s="143">
        <v>150</v>
      </c>
      <c r="L1739" s="143">
        <v>210</v>
      </c>
      <c r="W1739" s="143" t="s">
        <v>3147</v>
      </c>
      <c r="X1739" s="169" t="s">
        <v>5343</v>
      </c>
      <c r="Y1739" s="143" t="s">
        <v>5301</v>
      </c>
      <c r="Z1739" s="169" t="s">
        <v>5343</v>
      </c>
      <c r="AA1739" s="173">
        <v>8.8</v>
      </c>
    </row>
    <row r="1740" ht="15" spans="1:34">
      <c r="A1740" s="143">
        <v>1697</v>
      </c>
      <c r="B1740" s="144">
        <v>45971</v>
      </c>
      <c r="C1740" s="143" t="s">
        <v>3148</v>
      </c>
      <c r="E1740" s="145" t="s">
        <v>5333</v>
      </c>
      <c r="F1740" s="178" t="s">
        <v>5345</v>
      </c>
      <c r="H1740" s="143" t="s">
        <v>5346</v>
      </c>
      <c r="I1740" s="143" t="s">
        <v>3218</v>
      </c>
      <c r="J1740" s="143" t="s">
        <v>1577</v>
      </c>
      <c r="K1740" s="143">
        <v>150</v>
      </c>
      <c r="L1740" s="143">
        <v>135</v>
      </c>
      <c r="W1740" s="143" t="s">
        <v>3147</v>
      </c>
      <c r="X1740" s="169" t="s">
        <v>5345</v>
      </c>
      <c r="Y1740" s="143" t="s">
        <v>5301</v>
      </c>
      <c r="Z1740" s="169" t="s">
        <v>5345</v>
      </c>
      <c r="AA1740" s="173">
        <v>6.3</v>
      </c>
    </row>
    <row r="1741" ht="15" spans="1:34">
      <c r="A1741" s="143">
        <v>1698</v>
      </c>
      <c r="B1741" s="144">
        <v>45971</v>
      </c>
      <c r="C1741" s="143" t="s">
        <v>3148</v>
      </c>
      <c r="E1741" s="145" t="s">
        <v>5333</v>
      </c>
      <c r="F1741" s="178" t="s">
        <v>5347</v>
      </c>
      <c r="H1741" s="143" t="s">
        <v>5348</v>
      </c>
      <c r="I1741" s="143" t="s">
        <v>5349</v>
      </c>
      <c r="J1741" s="143" t="s">
        <v>2917</v>
      </c>
      <c r="K1741" s="143">
        <v>150</v>
      </c>
      <c r="L1741" s="143">
        <v>97</v>
      </c>
      <c r="W1741" s="143" t="s">
        <v>3147</v>
      </c>
      <c r="X1741" s="169" t="s">
        <v>5350</v>
      </c>
      <c r="Y1741" s="143" t="s">
        <v>5301</v>
      </c>
      <c r="Z1741" s="169" t="s">
        <v>5350</v>
      </c>
      <c r="AA1741" s="173">
        <v>7.6</v>
      </c>
    </row>
    <row r="1742" ht="15" spans="1:34">
      <c r="A1742" s="143">
        <v>1699</v>
      </c>
      <c r="B1742" s="144">
        <v>45971</v>
      </c>
      <c r="C1742" s="143" t="s">
        <v>3148</v>
      </c>
      <c r="E1742" s="145" t="s">
        <v>5333</v>
      </c>
      <c r="F1742" s="178" t="s">
        <v>4735</v>
      </c>
      <c r="H1742" s="143" t="s">
        <v>5351</v>
      </c>
      <c r="I1742" s="155" t="s">
        <v>3418</v>
      </c>
      <c r="J1742" s="143" t="s">
        <v>2917</v>
      </c>
      <c r="K1742" s="143">
        <v>150</v>
      </c>
      <c r="W1742" s="143" t="s">
        <v>3147</v>
      </c>
      <c r="X1742" s="169" t="s">
        <v>4735</v>
      </c>
      <c r="Y1742" s="169" t="s">
        <v>5352</v>
      </c>
      <c r="Z1742" s="169" t="s">
        <v>4735</v>
      </c>
      <c r="AA1742" s="173">
        <v>9.8</v>
      </c>
    </row>
    <row r="1743" ht="15" spans="1:34">
      <c r="A1743" s="143">
        <v>1700</v>
      </c>
      <c r="B1743" s="144">
        <v>45971</v>
      </c>
      <c r="C1743" s="143" t="s">
        <v>3148</v>
      </c>
      <c r="E1743" s="145" t="s">
        <v>5333</v>
      </c>
      <c r="F1743" s="178" t="s">
        <v>5353</v>
      </c>
      <c r="H1743" s="143" t="s">
        <v>5354</v>
      </c>
      <c r="I1743" s="155" t="s">
        <v>3418</v>
      </c>
      <c r="J1743" s="143" t="s">
        <v>2917</v>
      </c>
      <c r="K1743" s="143">
        <v>150</v>
      </c>
      <c r="L1743" s="143">
        <v>230</v>
      </c>
      <c r="W1743" s="143" t="s">
        <v>3147</v>
      </c>
      <c r="X1743" s="169" t="s">
        <v>5353</v>
      </c>
      <c r="Y1743" s="169" t="s">
        <v>5352</v>
      </c>
      <c r="Z1743" s="169" t="s">
        <v>5353</v>
      </c>
      <c r="AA1743" s="173">
        <v>7.2</v>
      </c>
    </row>
    <row r="1744" ht="15" spans="1:34">
      <c r="A1744" s="143">
        <v>1701</v>
      </c>
      <c r="B1744" s="144">
        <v>45971</v>
      </c>
      <c r="C1744" s="143" t="s">
        <v>3148</v>
      </c>
      <c r="E1744" s="145" t="s">
        <v>5333</v>
      </c>
      <c r="F1744" s="177" t="s">
        <v>5355</v>
      </c>
      <c r="H1744" s="143" t="s">
        <v>5356</v>
      </c>
      <c r="I1744" s="155" t="s">
        <v>3218</v>
      </c>
      <c r="J1744" s="143" t="s">
        <v>1577</v>
      </c>
      <c r="K1744" s="143">
        <v>150</v>
      </c>
      <c r="W1744" s="143" t="s">
        <v>3147</v>
      </c>
      <c r="X1744" s="143" t="s">
        <v>5357</v>
      </c>
      <c r="Y1744" s="169" t="s">
        <v>5352</v>
      </c>
      <c r="Z1744" s="143" t="s">
        <v>5357</v>
      </c>
      <c r="AA1744" s="173">
        <v>8.6</v>
      </c>
    </row>
    <row r="1745" ht="15" spans="1:28">
      <c r="A1745" s="143">
        <v>1702</v>
      </c>
      <c r="B1745" s="144">
        <v>45971</v>
      </c>
      <c r="C1745" s="143" t="s">
        <v>3148</v>
      </c>
      <c r="E1745" s="145" t="s">
        <v>5333</v>
      </c>
      <c r="F1745" s="178" t="s">
        <v>5358</v>
      </c>
      <c r="H1745" s="143" t="s">
        <v>5359</v>
      </c>
      <c r="I1745" s="155" t="s">
        <v>3218</v>
      </c>
      <c r="J1745" s="143" t="s">
        <v>1577</v>
      </c>
      <c r="K1745" s="143">
        <v>150</v>
      </c>
      <c r="L1745" s="143">
        <v>245</v>
      </c>
      <c r="W1745" s="143" t="s">
        <v>3147</v>
      </c>
      <c r="X1745" s="169" t="s">
        <v>5358</v>
      </c>
      <c r="Y1745" s="169" t="s">
        <v>5352</v>
      </c>
      <c r="Z1745" s="169" t="s">
        <v>5358</v>
      </c>
      <c r="AA1745" s="173">
        <v>8.6</v>
      </c>
    </row>
    <row r="1746" ht="15" spans="1:28">
      <c r="A1746" s="143">
        <v>1703</v>
      </c>
      <c r="B1746" s="144">
        <v>45971</v>
      </c>
      <c r="C1746" s="143" t="s">
        <v>3148</v>
      </c>
      <c r="E1746" s="145" t="s">
        <v>5333</v>
      </c>
      <c r="F1746" s="177" t="s">
        <v>4631</v>
      </c>
      <c r="H1746" s="143" t="s">
        <v>5360</v>
      </c>
      <c r="I1746" s="155" t="s">
        <v>3218</v>
      </c>
      <c r="J1746" s="143" t="s">
        <v>1577</v>
      </c>
      <c r="K1746" s="143">
        <v>150</v>
      </c>
      <c r="L1746" s="143">
        <v>300</v>
      </c>
      <c r="W1746" s="143" t="s">
        <v>3147</v>
      </c>
      <c r="X1746" s="169" t="s">
        <v>4631</v>
      </c>
      <c r="Y1746" s="169" t="s">
        <v>5352</v>
      </c>
      <c r="Z1746" s="143" t="s">
        <v>4631</v>
      </c>
      <c r="AA1746" s="173">
        <v>10.6</v>
      </c>
    </row>
    <row r="1747" ht="15" spans="1:28">
      <c r="A1747" s="143">
        <v>1704</v>
      </c>
      <c r="B1747" s="144">
        <v>45971</v>
      </c>
      <c r="C1747" s="143" t="s">
        <v>3148</v>
      </c>
      <c r="E1747" s="145" t="s">
        <v>5333</v>
      </c>
      <c r="F1747" s="178" t="s">
        <v>5361</v>
      </c>
      <c r="H1747" s="143" t="s">
        <v>5362</v>
      </c>
      <c r="I1747" s="155" t="s">
        <v>3390</v>
      </c>
      <c r="J1747" s="143" t="s">
        <v>2776</v>
      </c>
      <c r="K1747" s="143">
        <v>150</v>
      </c>
      <c r="W1747" s="143" t="s">
        <v>3147</v>
      </c>
      <c r="X1747" s="169" t="s">
        <v>5361</v>
      </c>
      <c r="Y1747" s="169" t="s">
        <v>5352</v>
      </c>
      <c r="Z1747" s="169" t="s">
        <v>5361</v>
      </c>
      <c r="AA1747" s="173">
        <v>7.8</v>
      </c>
    </row>
    <row r="1748" ht="15" spans="1:28">
      <c r="A1748" s="143">
        <v>1705</v>
      </c>
      <c r="B1748" s="144">
        <v>45971</v>
      </c>
      <c r="C1748" s="143" t="s">
        <v>3148</v>
      </c>
      <c r="E1748" s="145" t="s">
        <v>5333</v>
      </c>
      <c r="F1748" s="178" t="s">
        <v>5363</v>
      </c>
      <c r="H1748" s="143" t="s">
        <v>5364</v>
      </c>
      <c r="I1748" s="155" t="s">
        <v>3390</v>
      </c>
      <c r="J1748" s="143" t="s">
        <v>2776</v>
      </c>
      <c r="K1748" s="143">
        <v>115</v>
      </c>
      <c r="L1748" s="143">
        <v>400</v>
      </c>
      <c r="W1748" s="143" t="s">
        <v>3147</v>
      </c>
      <c r="X1748" s="169" t="s">
        <v>5363</v>
      </c>
      <c r="Y1748" s="169" t="s">
        <v>5352</v>
      </c>
      <c r="Z1748" s="169" t="s">
        <v>5363</v>
      </c>
      <c r="AA1748" s="173">
        <v>10.3</v>
      </c>
    </row>
    <row r="1749" ht="15" spans="1:28">
      <c r="A1749" s="143">
        <v>1706</v>
      </c>
      <c r="B1749" s="144">
        <v>45971</v>
      </c>
      <c r="C1749" s="143" t="s">
        <v>3148</v>
      </c>
      <c r="E1749" s="145" t="s">
        <v>5333</v>
      </c>
      <c r="F1749" s="178" t="s">
        <v>5307</v>
      </c>
      <c r="H1749" s="143" t="s">
        <v>5365</v>
      </c>
      <c r="I1749" s="155" t="s">
        <v>3390</v>
      </c>
      <c r="J1749" s="143" t="s">
        <v>2776</v>
      </c>
      <c r="K1749" s="143">
        <v>150</v>
      </c>
      <c r="W1749" s="143" t="s">
        <v>3147</v>
      </c>
      <c r="X1749" s="169" t="s">
        <v>5307</v>
      </c>
      <c r="Y1749" s="169" t="s">
        <v>5352</v>
      </c>
      <c r="Z1749" s="169" t="s">
        <v>5307</v>
      </c>
      <c r="AA1749" s="173">
        <v>10.7</v>
      </c>
    </row>
    <row r="1750" ht="15" spans="1:28">
      <c r="A1750" s="143">
        <v>1707</v>
      </c>
      <c r="B1750" s="144">
        <v>45971</v>
      </c>
      <c r="C1750" s="143" t="s">
        <v>3148</v>
      </c>
      <c r="E1750" s="145" t="s">
        <v>5333</v>
      </c>
      <c r="F1750" s="178" t="s">
        <v>5366</v>
      </c>
      <c r="H1750" s="143" t="s">
        <v>5367</v>
      </c>
      <c r="I1750" s="155" t="s">
        <v>3218</v>
      </c>
      <c r="J1750" s="143" t="s">
        <v>1577</v>
      </c>
      <c r="K1750" s="143">
        <v>150</v>
      </c>
      <c r="L1750" s="143">
        <v>250</v>
      </c>
      <c r="W1750" s="143" t="s">
        <v>3147</v>
      </c>
      <c r="X1750" s="169" t="s">
        <v>5366</v>
      </c>
      <c r="Y1750" s="169" t="s">
        <v>5352</v>
      </c>
      <c r="Z1750" s="169" t="s">
        <v>5366</v>
      </c>
      <c r="AA1750" s="173">
        <v>12.2</v>
      </c>
    </row>
    <row r="1751" ht="15" spans="1:28">
      <c r="A1751" s="143">
        <v>1708</v>
      </c>
      <c r="B1751" s="144">
        <v>45971</v>
      </c>
      <c r="C1751" s="143" t="s">
        <v>3148</v>
      </c>
      <c r="E1751" s="145" t="s">
        <v>5333</v>
      </c>
      <c r="F1751" s="178" t="s">
        <v>5368</v>
      </c>
      <c r="H1751" s="143" t="s">
        <v>5369</v>
      </c>
      <c r="I1751" s="155" t="s">
        <v>3390</v>
      </c>
      <c r="J1751" s="143" t="s">
        <v>2776</v>
      </c>
      <c r="K1751" s="143">
        <v>150</v>
      </c>
      <c r="L1751" s="143">
        <v>195</v>
      </c>
      <c r="W1751" s="143" t="s">
        <v>3147</v>
      </c>
      <c r="X1751" s="169" t="s">
        <v>5368</v>
      </c>
      <c r="Y1751" s="169" t="s">
        <v>5352</v>
      </c>
      <c r="Z1751" s="169" t="s">
        <v>5368</v>
      </c>
      <c r="AA1751" s="173">
        <v>11.6</v>
      </c>
    </row>
    <row r="1752" ht="15" spans="1:28">
      <c r="A1752" s="143">
        <v>1709</v>
      </c>
      <c r="B1752" s="144">
        <v>45971</v>
      </c>
      <c r="C1752" s="143" t="s">
        <v>3148</v>
      </c>
      <c r="E1752" s="145" t="s">
        <v>5333</v>
      </c>
      <c r="F1752" s="177" t="s">
        <v>5370</v>
      </c>
      <c r="H1752" s="143" t="s">
        <v>5371</v>
      </c>
      <c r="I1752" s="155" t="s">
        <v>3390</v>
      </c>
      <c r="J1752" s="143" t="s">
        <v>2776</v>
      </c>
      <c r="K1752" s="143">
        <v>150</v>
      </c>
      <c r="L1752" s="143">
        <v>400</v>
      </c>
      <c r="W1752" s="143" t="s">
        <v>3147</v>
      </c>
      <c r="X1752" s="143" t="s">
        <v>5372</v>
      </c>
      <c r="Y1752" s="169" t="s">
        <v>5352</v>
      </c>
      <c r="Z1752" s="143" t="s">
        <v>5372</v>
      </c>
      <c r="AA1752" s="173">
        <v>11.8</v>
      </c>
    </row>
    <row r="1753" ht="15" spans="1:28">
      <c r="A1753" s="143">
        <v>1710</v>
      </c>
      <c r="B1753" s="144">
        <v>45971</v>
      </c>
      <c r="C1753" s="143" t="s">
        <v>3148</v>
      </c>
      <c r="E1753" s="145" t="s">
        <v>5333</v>
      </c>
      <c r="F1753" s="178" t="s">
        <v>5373</v>
      </c>
      <c r="H1753" s="143" t="s">
        <v>5374</v>
      </c>
      <c r="I1753" s="155" t="s">
        <v>3218</v>
      </c>
      <c r="J1753" s="143" t="s">
        <v>1577</v>
      </c>
      <c r="K1753" s="143">
        <v>150</v>
      </c>
      <c r="L1753" s="143">
        <v>260</v>
      </c>
      <c r="W1753" s="143" t="s">
        <v>3147</v>
      </c>
      <c r="X1753" s="169" t="s">
        <v>5373</v>
      </c>
      <c r="Y1753" s="169" t="s">
        <v>5352</v>
      </c>
      <c r="Z1753" s="169" t="s">
        <v>5373</v>
      </c>
      <c r="AA1753" s="173">
        <v>8.2</v>
      </c>
    </row>
    <row r="1754" ht="15" spans="1:28">
      <c r="A1754" s="143">
        <v>1711</v>
      </c>
      <c r="B1754" s="144">
        <v>45971</v>
      </c>
      <c r="C1754" s="143" t="s">
        <v>3148</v>
      </c>
      <c r="E1754" s="145" t="s">
        <v>5333</v>
      </c>
      <c r="F1754" s="178" t="s">
        <v>5375</v>
      </c>
      <c r="H1754" s="143" t="s">
        <v>5376</v>
      </c>
      <c r="I1754" s="155" t="s">
        <v>3418</v>
      </c>
      <c r="J1754" s="143" t="s">
        <v>2917</v>
      </c>
      <c r="K1754" s="143">
        <v>150</v>
      </c>
      <c r="L1754" s="143">
        <v>214</v>
      </c>
      <c r="W1754" s="143" t="s">
        <v>3147</v>
      </c>
      <c r="X1754" s="169" t="s">
        <v>5375</v>
      </c>
      <c r="Y1754" s="169" t="s">
        <v>5352</v>
      </c>
      <c r="Z1754" s="169" t="s">
        <v>5375</v>
      </c>
      <c r="AA1754" s="173">
        <v>11</v>
      </c>
    </row>
    <row r="1755" ht="15" spans="1:28">
      <c r="A1755" s="143">
        <v>1712</v>
      </c>
      <c r="B1755" s="144">
        <v>45971</v>
      </c>
      <c r="C1755" s="169" t="s">
        <v>3646</v>
      </c>
      <c r="D1755" s="143" t="s">
        <v>41</v>
      </c>
      <c r="E1755" s="169" t="s">
        <v>5377</v>
      </c>
      <c r="F1755" s="177" t="s">
        <v>5378</v>
      </c>
      <c r="G1755" s="169" t="s">
        <v>5377</v>
      </c>
      <c r="H1755" s="143" t="s">
        <v>5379</v>
      </c>
      <c r="I1755" s="143" t="s">
        <v>324</v>
      </c>
      <c r="J1755" s="143" t="s">
        <v>1577</v>
      </c>
      <c r="K1755" s="143">
        <v>150</v>
      </c>
      <c r="W1755" s="169" t="s">
        <v>3147</v>
      </c>
      <c r="X1755" s="143" t="s">
        <v>5380</v>
      </c>
      <c r="Y1755" s="169" t="s">
        <v>5381</v>
      </c>
      <c r="Z1755" s="143" t="s">
        <v>5380</v>
      </c>
      <c r="AA1755" s="173">
        <v>11.5</v>
      </c>
    </row>
    <row r="1756" ht="15" spans="1:28">
      <c r="A1756" s="143">
        <v>1713</v>
      </c>
      <c r="B1756" s="144">
        <v>45971</v>
      </c>
      <c r="C1756" s="169" t="s">
        <v>3646</v>
      </c>
      <c r="D1756" s="143" t="s">
        <v>41</v>
      </c>
      <c r="E1756" s="169" t="s">
        <v>5377</v>
      </c>
      <c r="F1756" s="177" t="s">
        <v>5382</v>
      </c>
      <c r="G1756" s="169" t="s">
        <v>5377</v>
      </c>
      <c r="H1756" s="143" t="s">
        <v>5383</v>
      </c>
      <c r="I1756" s="143" t="s">
        <v>324</v>
      </c>
      <c r="J1756" s="143" t="s">
        <v>1577</v>
      </c>
      <c r="K1756" s="143">
        <v>150</v>
      </c>
      <c r="W1756" s="169" t="s">
        <v>3147</v>
      </c>
      <c r="X1756" s="143" t="s">
        <v>5384</v>
      </c>
      <c r="Y1756" s="169" t="s">
        <v>5381</v>
      </c>
      <c r="Z1756" s="143" t="s">
        <v>5384</v>
      </c>
      <c r="AA1756" s="173">
        <v>10.5</v>
      </c>
    </row>
    <row r="1757" ht="15" spans="1:28">
      <c r="A1757" s="143">
        <v>1714</v>
      </c>
      <c r="B1757" s="144">
        <v>45971</v>
      </c>
      <c r="C1757" s="169" t="s">
        <v>3646</v>
      </c>
      <c r="D1757" s="143" t="s">
        <v>41</v>
      </c>
      <c r="E1757" s="169" t="s">
        <v>5377</v>
      </c>
      <c r="F1757" s="177" t="s">
        <v>5385</v>
      </c>
      <c r="G1757" s="169" t="s">
        <v>5377</v>
      </c>
      <c r="H1757" s="143" t="s">
        <v>5386</v>
      </c>
      <c r="I1757" s="143" t="s">
        <v>324</v>
      </c>
      <c r="J1757" s="143" t="s">
        <v>1577</v>
      </c>
      <c r="K1757" s="143">
        <v>150</v>
      </c>
      <c r="W1757" s="169" t="s">
        <v>3147</v>
      </c>
      <c r="X1757" s="143" t="s">
        <v>5387</v>
      </c>
      <c r="Y1757" s="169" t="s">
        <v>5381</v>
      </c>
      <c r="Z1757" s="143" t="s">
        <v>5387</v>
      </c>
      <c r="AA1757" s="173">
        <v>10.5</v>
      </c>
    </row>
    <row r="1758" ht="15" spans="1:28">
      <c r="A1758" s="143">
        <v>1715</v>
      </c>
      <c r="B1758" s="144">
        <v>45971</v>
      </c>
      <c r="C1758" s="169" t="s">
        <v>3646</v>
      </c>
      <c r="D1758" s="143" t="s">
        <v>41</v>
      </c>
      <c r="E1758" s="169" t="s">
        <v>5377</v>
      </c>
      <c r="F1758" s="177">
        <v>8804</v>
      </c>
      <c r="G1758" s="169" t="s">
        <v>5377</v>
      </c>
      <c r="H1758" s="143" t="s">
        <v>5388</v>
      </c>
      <c r="I1758" s="143" t="s">
        <v>324</v>
      </c>
      <c r="J1758" s="143" t="s">
        <v>1577</v>
      </c>
      <c r="K1758" s="143">
        <v>150</v>
      </c>
      <c r="W1758" s="169" t="s">
        <v>3147</v>
      </c>
      <c r="X1758" s="143">
        <v>8804</v>
      </c>
      <c r="Y1758" s="169" t="s">
        <v>5381</v>
      </c>
      <c r="Z1758" s="143">
        <v>8804</v>
      </c>
      <c r="AA1758" s="173">
        <v>10.5</v>
      </c>
      <c r="AB1758" s="191">
        <v>46051</v>
      </c>
    </row>
    <row r="1759" ht="15" spans="1:28">
      <c r="A1759" s="143">
        <v>1716</v>
      </c>
      <c r="B1759" s="144">
        <v>45971</v>
      </c>
      <c r="C1759" s="169" t="s">
        <v>3646</v>
      </c>
      <c r="D1759" s="143" t="s">
        <v>41</v>
      </c>
      <c r="E1759" s="169" t="s">
        <v>5377</v>
      </c>
      <c r="F1759" s="177" t="s">
        <v>5389</v>
      </c>
      <c r="G1759" s="169" t="s">
        <v>5377</v>
      </c>
      <c r="H1759" s="143" t="s">
        <v>5390</v>
      </c>
      <c r="I1759" s="143" t="s">
        <v>324</v>
      </c>
      <c r="J1759" s="143" t="s">
        <v>1577</v>
      </c>
      <c r="K1759" s="143">
        <v>150</v>
      </c>
      <c r="W1759" s="169" t="s">
        <v>3147</v>
      </c>
      <c r="X1759" s="143" t="s">
        <v>5389</v>
      </c>
      <c r="Y1759" s="169" t="s">
        <v>5381</v>
      </c>
      <c r="Z1759" s="143" t="s">
        <v>5389</v>
      </c>
      <c r="AA1759" s="173">
        <v>11.5</v>
      </c>
    </row>
    <row r="1760" ht="15" spans="1:28">
      <c r="A1760" s="143">
        <v>1717</v>
      </c>
      <c r="B1760" s="144">
        <v>45971</v>
      </c>
      <c r="C1760" s="169" t="s">
        <v>3646</v>
      </c>
      <c r="D1760" s="143" t="s">
        <v>41</v>
      </c>
      <c r="E1760" s="169" t="s">
        <v>5377</v>
      </c>
      <c r="F1760" s="177" t="s">
        <v>5391</v>
      </c>
      <c r="G1760" s="169" t="s">
        <v>5377</v>
      </c>
      <c r="H1760" s="143" t="s">
        <v>5392</v>
      </c>
      <c r="I1760" s="143" t="s">
        <v>324</v>
      </c>
      <c r="J1760" s="143" t="s">
        <v>1577</v>
      </c>
      <c r="K1760" s="143">
        <v>150</v>
      </c>
      <c r="W1760" s="169" t="s">
        <v>3147</v>
      </c>
      <c r="X1760" s="143" t="s">
        <v>5393</v>
      </c>
      <c r="Y1760" s="169" t="s">
        <v>5381</v>
      </c>
      <c r="Z1760" s="143" t="s">
        <v>5393</v>
      </c>
      <c r="AA1760" s="173">
        <v>10.5</v>
      </c>
    </row>
    <row r="1761" ht="15" spans="1:28">
      <c r="A1761" s="143">
        <v>1718</v>
      </c>
      <c r="B1761" s="144">
        <v>45971</v>
      </c>
      <c r="C1761" s="169" t="s">
        <v>3646</v>
      </c>
      <c r="D1761" s="143" t="s">
        <v>41</v>
      </c>
      <c r="E1761" s="169" t="s">
        <v>5377</v>
      </c>
      <c r="F1761" s="177" t="s">
        <v>5394</v>
      </c>
      <c r="G1761" s="169" t="s">
        <v>5377</v>
      </c>
      <c r="H1761" s="143" t="s">
        <v>5395</v>
      </c>
      <c r="I1761" s="143" t="s">
        <v>324</v>
      </c>
      <c r="J1761" s="143" t="s">
        <v>1577</v>
      </c>
      <c r="K1761" s="143">
        <v>150</v>
      </c>
      <c r="W1761" s="169" t="s">
        <v>3147</v>
      </c>
      <c r="X1761" s="143" t="s">
        <v>5396</v>
      </c>
      <c r="Y1761" s="169" t="s">
        <v>5381</v>
      </c>
      <c r="Z1761" s="143" t="s">
        <v>5396</v>
      </c>
      <c r="AA1761" s="173">
        <v>10.5</v>
      </c>
    </row>
    <row r="1762" ht="15" spans="1:28">
      <c r="A1762" s="143">
        <v>1719</v>
      </c>
      <c r="B1762" s="144">
        <v>45971</v>
      </c>
      <c r="C1762" s="169" t="s">
        <v>3646</v>
      </c>
      <c r="D1762" s="143" t="s">
        <v>41</v>
      </c>
      <c r="E1762" s="169" t="s">
        <v>5377</v>
      </c>
      <c r="F1762" s="177" t="s">
        <v>5397</v>
      </c>
      <c r="G1762" s="169" t="s">
        <v>5377</v>
      </c>
      <c r="H1762" s="143" t="s">
        <v>5398</v>
      </c>
      <c r="I1762" s="143" t="s">
        <v>324</v>
      </c>
      <c r="J1762" s="143" t="s">
        <v>1577</v>
      </c>
      <c r="K1762" s="143">
        <v>150</v>
      </c>
      <c r="W1762" s="169" t="s">
        <v>3147</v>
      </c>
      <c r="X1762" s="143" t="s">
        <v>5399</v>
      </c>
      <c r="Y1762" s="169" t="s">
        <v>5381</v>
      </c>
      <c r="Z1762" s="143" t="s">
        <v>5399</v>
      </c>
      <c r="AA1762" s="173">
        <v>10.5</v>
      </c>
    </row>
    <row r="1763" ht="15" spans="1:28">
      <c r="A1763" s="143">
        <v>1720</v>
      </c>
      <c r="B1763" s="144">
        <v>45971</v>
      </c>
      <c r="C1763" s="169" t="s">
        <v>3646</v>
      </c>
      <c r="D1763" s="143" t="s">
        <v>41</v>
      </c>
      <c r="E1763" s="169" t="s">
        <v>5377</v>
      </c>
      <c r="F1763" s="177" t="s">
        <v>5400</v>
      </c>
      <c r="G1763" s="169" t="s">
        <v>5377</v>
      </c>
      <c r="H1763" s="143" t="s">
        <v>5401</v>
      </c>
      <c r="I1763" s="143" t="s">
        <v>324</v>
      </c>
      <c r="J1763" s="143" t="s">
        <v>1577</v>
      </c>
      <c r="K1763" s="143">
        <v>150</v>
      </c>
      <c r="W1763" s="169" t="s">
        <v>3147</v>
      </c>
      <c r="X1763" s="143" t="s">
        <v>5402</v>
      </c>
      <c r="Y1763" s="169" t="s">
        <v>5381</v>
      </c>
      <c r="Z1763" s="143" t="s">
        <v>5402</v>
      </c>
      <c r="AA1763" s="173">
        <v>10.5</v>
      </c>
      <c r="AB1763" s="191">
        <v>46051</v>
      </c>
    </row>
    <row r="1764" ht="15" spans="1:28">
      <c r="A1764" s="143">
        <v>1721</v>
      </c>
      <c r="B1764" s="144">
        <v>45971</v>
      </c>
      <c r="C1764" s="169" t="s">
        <v>3646</v>
      </c>
      <c r="D1764" s="143" t="s">
        <v>41</v>
      </c>
      <c r="E1764" s="169" t="s">
        <v>5377</v>
      </c>
      <c r="F1764" s="177" t="s">
        <v>5403</v>
      </c>
      <c r="G1764" s="169" t="s">
        <v>5377</v>
      </c>
      <c r="H1764" s="143" t="s">
        <v>5404</v>
      </c>
      <c r="I1764" s="143" t="s">
        <v>324</v>
      </c>
      <c r="J1764" s="143" t="s">
        <v>1577</v>
      </c>
      <c r="K1764" s="143">
        <v>150</v>
      </c>
      <c r="W1764" s="169" t="s">
        <v>3147</v>
      </c>
      <c r="X1764" s="143" t="s">
        <v>5405</v>
      </c>
      <c r="Y1764" s="169" t="s">
        <v>5381</v>
      </c>
      <c r="Z1764" s="143" t="s">
        <v>5405</v>
      </c>
      <c r="AA1764" s="173">
        <v>10.5</v>
      </c>
    </row>
    <row r="1765" ht="15" spans="1:28">
      <c r="A1765" s="143">
        <v>1722</v>
      </c>
      <c r="B1765" s="144">
        <v>45971</v>
      </c>
      <c r="C1765" s="169" t="s">
        <v>3646</v>
      </c>
      <c r="D1765" s="143" t="s">
        <v>41</v>
      </c>
      <c r="E1765" s="169" t="s">
        <v>5377</v>
      </c>
      <c r="F1765" s="177" t="s">
        <v>5406</v>
      </c>
      <c r="G1765" s="169" t="s">
        <v>5377</v>
      </c>
      <c r="H1765" s="143" t="s">
        <v>5407</v>
      </c>
      <c r="I1765" s="143" t="s">
        <v>324</v>
      </c>
      <c r="J1765" s="143" t="s">
        <v>1577</v>
      </c>
      <c r="K1765" s="143">
        <v>150</v>
      </c>
      <c r="W1765" s="169" t="s">
        <v>3147</v>
      </c>
      <c r="X1765" s="143" t="s">
        <v>5408</v>
      </c>
      <c r="Y1765" s="169" t="s">
        <v>5381</v>
      </c>
      <c r="Z1765" s="143" t="s">
        <v>5408</v>
      </c>
      <c r="AA1765" s="173">
        <v>10.5</v>
      </c>
    </row>
    <row r="1766" ht="15" spans="1:28">
      <c r="A1766" s="143">
        <v>1723</v>
      </c>
      <c r="B1766" s="144">
        <v>45971</v>
      </c>
      <c r="C1766" s="169" t="s">
        <v>3646</v>
      </c>
      <c r="D1766" s="143" t="s">
        <v>41</v>
      </c>
      <c r="E1766" s="169" t="s">
        <v>5377</v>
      </c>
      <c r="F1766" s="177" t="s">
        <v>5409</v>
      </c>
      <c r="G1766" s="169" t="s">
        <v>5377</v>
      </c>
      <c r="H1766" s="143" t="s">
        <v>5410</v>
      </c>
      <c r="I1766" s="143" t="s">
        <v>324</v>
      </c>
      <c r="J1766" s="143" t="s">
        <v>1577</v>
      </c>
      <c r="K1766" s="143">
        <v>150</v>
      </c>
      <c r="W1766" s="169" t="s">
        <v>3147</v>
      </c>
      <c r="X1766" s="143" t="s">
        <v>5411</v>
      </c>
      <c r="Y1766" s="169" t="s">
        <v>5381</v>
      </c>
      <c r="Z1766" s="143" t="s">
        <v>5411</v>
      </c>
      <c r="AA1766" s="173">
        <v>10.5</v>
      </c>
    </row>
    <row r="1767" ht="15" spans="1:28">
      <c r="A1767" s="143">
        <v>1724</v>
      </c>
      <c r="B1767" s="144">
        <v>45971</v>
      </c>
      <c r="C1767" s="169" t="s">
        <v>3646</v>
      </c>
      <c r="D1767" s="143" t="s">
        <v>41</v>
      </c>
      <c r="E1767" s="169" t="s">
        <v>5377</v>
      </c>
      <c r="F1767" s="177" t="s">
        <v>5412</v>
      </c>
      <c r="G1767" s="169" t="s">
        <v>5377</v>
      </c>
      <c r="H1767" s="143" t="s">
        <v>5413</v>
      </c>
      <c r="I1767" s="143" t="s">
        <v>324</v>
      </c>
      <c r="J1767" s="143" t="s">
        <v>1577</v>
      </c>
      <c r="K1767" s="143">
        <v>150</v>
      </c>
      <c r="W1767" s="169" t="s">
        <v>3147</v>
      </c>
      <c r="X1767" s="143" t="s">
        <v>5412</v>
      </c>
      <c r="Y1767" s="169" t="s">
        <v>5381</v>
      </c>
      <c r="Z1767" s="143" t="s">
        <v>5412</v>
      </c>
      <c r="AA1767" s="173">
        <v>10.5</v>
      </c>
    </row>
    <row r="1768" ht="15" spans="1:28">
      <c r="A1768" s="143">
        <v>1725</v>
      </c>
      <c r="B1768" s="144">
        <v>45971</v>
      </c>
      <c r="C1768" s="169" t="s">
        <v>3646</v>
      </c>
      <c r="D1768" s="143" t="s">
        <v>41</v>
      </c>
      <c r="E1768" s="169" t="s">
        <v>5377</v>
      </c>
      <c r="F1768" s="177" t="s">
        <v>5414</v>
      </c>
      <c r="G1768" s="169" t="s">
        <v>5377</v>
      </c>
      <c r="H1768" s="143" t="s">
        <v>5415</v>
      </c>
      <c r="I1768" s="143" t="s">
        <v>324</v>
      </c>
      <c r="J1768" s="143" t="s">
        <v>1577</v>
      </c>
      <c r="K1768" s="143">
        <v>150</v>
      </c>
      <c r="W1768" s="169" t="s">
        <v>3147</v>
      </c>
      <c r="X1768" s="143" t="s">
        <v>5416</v>
      </c>
      <c r="Y1768" s="169" t="s">
        <v>5381</v>
      </c>
      <c r="Z1768" s="143" t="s">
        <v>5416</v>
      </c>
      <c r="AA1768" s="173">
        <v>10.5</v>
      </c>
    </row>
    <row r="1769" ht="15" spans="1:28">
      <c r="A1769" s="143">
        <v>1726</v>
      </c>
      <c r="B1769" s="144">
        <v>45971</v>
      </c>
      <c r="C1769" s="169" t="s">
        <v>3646</v>
      </c>
      <c r="D1769" s="143" t="s">
        <v>41</v>
      </c>
      <c r="E1769" s="169" t="s">
        <v>5377</v>
      </c>
      <c r="F1769" s="177" t="s">
        <v>5417</v>
      </c>
      <c r="G1769" s="169" t="s">
        <v>5377</v>
      </c>
      <c r="H1769" s="143" t="s">
        <v>5418</v>
      </c>
      <c r="I1769" s="143" t="s">
        <v>324</v>
      </c>
      <c r="J1769" s="143" t="s">
        <v>1577</v>
      </c>
      <c r="K1769" s="143">
        <v>150</v>
      </c>
      <c r="W1769" s="169" t="s">
        <v>3147</v>
      </c>
      <c r="X1769" s="143" t="s">
        <v>5419</v>
      </c>
      <c r="Y1769" s="169" t="s">
        <v>5381</v>
      </c>
      <c r="Z1769" s="143" t="s">
        <v>5419</v>
      </c>
      <c r="AA1769" s="173">
        <v>10.5</v>
      </c>
    </row>
    <row r="1770" ht="15" spans="1:28">
      <c r="A1770" s="143">
        <v>1727</v>
      </c>
      <c r="B1770" s="144">
        <v>45971</v>
      </c>
      <c r="C1770" s="169" t="s">
        <v>3646</v>
      </c>
      <c r="D1770" s="143" t="s">
        <v>41</v>
      </c>
      <c r="E1770" s="169" t="s">
        <v>5377</v>
      </c>
      <c r="F1770" s="177" t="s">
        <v>5420</v>
      </c>
      <c r="G1770" s="169" t="s">
        <v>5377</v>
      </c>
      <c r="H1770" s="143" t="s">
        <v>5421</v>
      </c>
      <c r="I1770" s="143" t="s">
        <v>324</v>
      </c>
      <c r="J1770" s="143" t="s">
        <v>1577</v>
      </c>
      <c r="K1770" s="143">
        <v>150</v>
      </c>
      <c r="W1770" s="169" t="s">
        <v>3147</v>
      </c>
      <c r="X1770" s="143" t="s">
        <v>5422</v>
      </c>
      <c r="Y1770" s="169" t="s">
        <v>5381</v>
      </c>
      <c r="Z1770" s="143" t="s">
        <v>5422</v>
      </c>
      <c r="AA1770" s="173">
        <v>13</v>
      </c>
    </row>
    <row r="1771" ht="15" spans="1:28">
      <c r="A1771" s="143">
        <v>1728</v>
      </c>
      <c r="B1771" s="144">
        <v>45971</v>
      </c>
      <c r="C1771" s="169" t="s">
        <v>3646</v>
      </c>
      <c r="D1771" s="143" t="s">
        <v>41</v>
      </c>
      <c r="E1771" s="169" t="s">
        <v>5377</v>
      </c>
      <c r="F1771" s="177" t="s">
        <v>5423</v>
      </c>
      <c r="G1771" s="169" t="s">
        <v>5377</v>
      </c>
      <c r="H1771" s="143" t="s">
        <v>5424</v>
      </c>
      <c r="I1771" s="143" t="s">
        <v>324</v>
      </c>
      <c r="J1771" s="143" t="s">
        <v>1577</v>
      </c>
      <c r="K1771" s="143">
        <v>150</v>
      </c>
      <c r="W1771" s="169" t="s">
        <v>3147</v>
      </c>
      <c r="X1771" s="143" t="s">
        <v>5425</v>
      </c>
      <c r="Y1771" s="169" t="s">
        <v>5381</v>
      </c>
      <c r="Z1771" s="143" t="s">
        <v>5425</v>
      </c>
      <c r="AA1771" s="173">
        <v>10.5</v>
      </c>
    </row>
    <row r="1772" ht="15" spans="1:28">
      <c r="A1772" s="143">
        <v>1729</v>
      </c>
      <c r="B1772" s="144">
        <v>45971</v>
      </c>
      <c r="C1772" s="169" t="s">
        <v>3646</v>
      </c>
      <c r="D1772" s="143" t="s">
        <v>41</v>
      </c>
      <c r="E1772" s="169" t="s">
        <v>5377</v>
      </c>
      <c r="F1772" s="177" t="s">
        <v>5426</v>
      </c>
      <c r="G1772" s="169" t="s">
        <v>5377</v>
      </c>
      <c r="H1772" s="143" t="s">
        <v>5427</v>
      </c>
      <c r="I1772" s="143" t="s">
        <v>324</v>
      </c>
      <c r="J1772" s="143" t="s">
        <v>1577</v>
      </c>
      <c r="K1772" s="143">
        <v>150</v>
      </c>
      <c r="W1772" s="169" t="s">
        <v>3147</v>
      </c>
      <c r="X1772" s="143" t="s">
        <v>5428</v>
      </c>
      <c r="Y1772" s="169" t="s">
        <v>5381</v>
      </c>
      <c r="Z1772" s="143" t="s">
        <v>5428</v>
      </c>
      <c r="AA1772" s="173">
        <v>10.5</v>
      </c>
    </row>
    <row r="1773" ht="15" spans="1:28">
      <c r="A1773" s="143">
        <v>1730</v>
      </c>
      <c r="B1773" s="144">
        <v>45971</v>
      </c>
      <c r="C1773" s="169" t="s">
        <v>3646</v>
      </c>
      <c r="D1773" s="143" t="s">
        <v>41</v>
      </c>
      <c r="E1773" s="169" t="s">
        <v>5377</v>
      </c>
      <c r="F1773" s="177">
        <v>8860</v>
      </c>
      <c r="G1773" s="169" t="s">
        <v>5377</v>
      </c>
      <c r="H1773" s="143" t="s">
        <v>5429</v>
      </c>
      <c r="I1773" s="143" t="s">
        <v>324</v>
      </c>
      <c r="J1773" s="143" t="s">
        <v>1577</v>
      </c>
      <c r="K1773" s="143">
        <v>150</v>
      </c>
      <c r="W1773" s="169" t="s">
        <v>3147</v>
      </c>
      <c r="X1773" s="143">
        <v>8860</v>
      </c>
      <c r="Y1773" s="169" t="s">
        <v>5381</v>
      </c>
      <c r="Z1773" s="143">
        <v>8860</v>
      </c>
      <c r="AA1773" s="173">
        <v>10.5</v>
      </c>
    </row>
    <row r="1774" ht="15" spans="1:28">
      <c r="A1774" s="143">
        <v>1731</v>
      </c>
      <c r="B1774" s="144">
        <v>45971</v>
      </c>
      <c r="C1774" s="169" t="s">
        <v>3646</v>
      </c>
      <c r="D1774" s="143" t="s">
        <v>41</v>
      </c>
      <c r="E1774" s="169" t="s">
        <v>5377</v>
      </c>
      <c r="F1774" s="177" t="s">
        <v>5430</v>
      </c>
      <c r="G1774" s="169" t="s">
        <v>5377</v>
      </c>
      <c r="H1774" s="143" t="s">
        <v>5431</v>
      </c>
      <c r="I1774" s="143" t="s">
        <v>324</v>
      </c>
      <c r="J1774" s="143" t="s">
        <v>1577</v>
      </c>
      <c r="K1774" s="143">
        <v>150</v>
      </c>
      <c r="W1774" s="169" t="s">
        <v>3147</v>
      </c>
      <c r="X1774" s="143" t="s">
        <v>5432</v>
      </c>
      <c r="Y1774" s="169" t="s">
        <v>5381</v>
      </c>
      <c r="Z1774" s="143" t="s">
        <v>5432</v>
      </c>
      <c r="AA1774" s="173">
        <v>10.5</v>
      </c>
    </row>
    <row r="1775" ht="15" spans="1:28">
      <c r="A1775" s="143">
        <v>1732</v>
      </c>
      <c r="B1775" s="144">
        <v>45971</v>
      </c>
      <c r="C1775" s="169" t="s">
        <v>3646</v>
      </c>
      <c r="D1775" s="143" t="s">
        <v>41</v>
      </c>
      <c r="E1775" s="169" t="s">
        <v>5377</v>
      </c>
      <c r="F1775" s="177" t="s">
        <v>5433</v>
      </c>
      <c r="G1775" s="169" t="s">
        <v>5377</v>
      </c>
      <c r="H1775" s="143" t="s">
        <v>5434</v>
      </c>
      <c r="I1775" s="143" t="s">
        <v>324</v>
      </c>
      <c r="J1775" s="143" t="s">
        <v>1577</v>
      </c>
      <c r="K1775" s="143">
        <v>150</v>
      </c>
      <c r="W1775" s="169" t="s">
        <v>3147</v>
      </c>
      <c r="X1775" s="143" t="s">
        <v>5435</v>
      </c>
      <c r="Y1775" s="169" t="s">
        <v>5381</v>
      </c>
      <c r="Z1775" s="143" t="s">
        <v>5435</v>
      </c>
      <c r="AA1775" s="173">
        <v>13</v>
      </c>
    </row>
    <row r="1776" ht="15" spans="1:28">
      <c r="A1776" s="143">
        <v>1733</v>
      </c>
      <c r="B1776" s="144">
        <v>45971</v>
      </c>
      <c r="C1776" s="169" t="s">
        <v>3646</v>
      </c>
      <c r="D1776" s="143" t="s">
        <v>41</v>
      </c>
      <c r="E1776" s="169" t="s">
        <v>5377</v>
      </c>
      <c r="F1776" s="177" t="s">
        <v>5436</v>
      </c>
      <c r="G1776" s="169" t="s">
        <v>5377</v>
      </c>
      <c r="H1776" s="143" t="s">
        <v>5437</v>
      </c>
      <c r="I1776" s="143" t="s">
        <v>324</v>
      </c>
      <c r="J1776" s="143" t="s">
        <v>1577</v>
      </c>
      <c r="K1776" s="143">
        <v>150</v>
      </c>
      <c r="W1776" s="169" t="s">
        <v>3147</v>
      </c>
      <c r="X1776" s="143" t="s">
        <v>5438</v>
      </c>
      <c r="Y1776" s="169" t="s">
        <v>5381</v>
      </c>
      <c r="Z1776" s="143" t="s">
        <v>5438</v>
      </c>
      <c r="AA1776" s="173">
        <v>10.5</v>
      </c>
    </row>
    <row r="1777" ht="15" spans="1:28">
      <c r="A1777" s="143">
        <v>1734</v>
      </c>
      <c r="B1777" s="144">
        <v>45971</v>
      </c>
      <c r="C1777" s="169" t="s">
        <v>3646</v>
      </c>
      <c r="D1777" s="143" t="s">
        <v>41</v>
      </c>
      <c r="E1777" s="169" t="s">
        <v>5377</v>
      </c>
      <c r="F1777" s="177" t="s">
        <v>5439</v>
      </c>
      <c r="G1777" s="169" t="s">
        <v>5377</v>
      </c>
      <c r="H1777" s="143" t="s">
        <v>5440</v>
      </c>
      <c r="I1777" s="143" t="s">
        <v>324</v>
      </c>
      <c r="J1777" s="143" t="s">
        <v>1577</v>
      </c>
      <c r="K1777" s="143">
        <v>150</v>
      </c>
      <c r="W1777" s="169" t="s">
        <v>3147</v>
      </c>
      <c r="X1777" s="143" t="s">
        <v>5441</v>
      </c>
      <c r="Y1777" s="169" t="s">
        <v>5381</v>
      </c>
      <c r="Z1777" s="143" t="s">
        <v>5441</v>
      </c>
      <c r="AA1777" s="173">
        <v>11.5</v>
      </c>
    </row>
    <row r="1778" ht="15" spans="1:28">
      <c r="A1778" s="143">
        <v>1735</v>
      </c>
      <c r="B1778" s="144">
        <v>45971</v>
      </c>
      <c r="C1778" s="169" t="s">
        <v>3646</v>
      </c>
      <c r="D1778" s="143" t="s">
        <v>41</v>
      </c>
      <c r="E1778" s="169" t="s">
        <v>5377</v>
      </c>
      <c r="F1778" s="177" t="s">
        <v>5442</v>
      </c>
      <c r="G1778" s="169" t="s">
        <v>5377</v>
      </c>
      <c r="H1778" s="143" t="s">
        <v>5443</v>
      </c>
      <c r="I1778" s="143" t="s">
        <v>324</v>
      </c>
      <c r="J1778" s="143" t="s">
        <v>1577</v>
      </c>
      <c r="K1778" s="143">
        <v>150</v>
      </c>
      <c r="W1778" s="169" t="s">
        <v>3147</v>
      </c>
      <c r="X1778" s="143" t="s">
        <v>5444</v>
      </c>
      <c r="Y1778" s="169" t="s">
        <v>5381</v>
      </c>
      <c r="Z1778" s="143" t="s">
        <v>5444</v>
      </c>
      <c r="AA1778" s="173">
        <v>10.5</v>
      </c>
    </row>
    <row r="1779" ht="15" spans="1:28">
      <c r="A1779" s="143">
        <v>1736</v>
      </c>
      <c r="B1779" s="144">
        <v>45971</v>
      </c>
      <c r="C1779" s="169" t="s">
        <v>3646</v>
      </c>
      <c r="D1779" s="143" t="s">
        <v>41</v>
      </c>
      <c r="E1779" s="169" t="s">
        <v>5377</v>
      </c>
      <c r="F1779" s="177" t="s">
        <v>5445</v>
      </c>
      <c r="G1779" s="169" t="s">
        <v>5377</v>
      </c>
      <c r="H1779" s="143" t="s">
        <v>5446</v>
      </c>
      <c r="I1779" s="143" t="s">
        <v>324</v>
      </c>
      <c r="J1779" s="143" t="s">
        <v>1577</v>
      </c>
      <c r="K1779" s="143">
        <v>150</v>
      </c>
      <c r="W1779" s="169" t="s">
        <v>3147</v>
      </c>
      <c r="X1779" s="143" t="s">
        <v>5447</v>
      </c>
      <c r="Y1779" s="169" t="s">
        <v>5381</v>
      </c>
      <c r="Z1779" s="143" t="s">
        <v>5447</v>
      </c>
      <c r="AA1779" s="173">
        <v>10.5</v>
      </c>
    </row>
    <row r="1780" ht="15" spans="1:28">
      <c r="A1780" s="143">
        <v>1737</v>
      </c>
      <c r="B1780" s="144">
        <v>45971</v>
      </c>
      <c r="C1780" s="169" t="s">
        <v>3646</v>
      </c>
      <c r="D1780" s="143" t="s">
        <v>41</v>
      </c>
      <c r="E1780" s="169" t="s">
        <v>5377</v>
      </c>
      <c r="F1780" s="177" t="s">
        <v>5448</v>
      </c>
      <c r="G1780" s="169" t="s">
        <v>5377</v>
      </c>
      <c r="H1780" s="143" t="s">
        <v>5449</v>
      </c>
      <c r="I1780" s="143" t="s">
        <v>324</v>
      </c>
      <c r="J1780" s="143" t="s">
        <v>1577</v>
      </c>
      <c r="K1780" s="143">
        <v>150</v>
      </c>
      <c r="W1780" s="169" t="s">
        <v>3147</v>
      </c>
      <c r="X1780" s="143" t="s">
        <v>5450</v>
      </c>
      <c r="Y1780" s="169" t="s">
        <v>5381</v>
      </c>
      <c r="Z1780" s="143" t="s">
        <v>5450</v>
      </c>
      <c r="AA1780" s="173">
        <v>10.5</v>
      </c>
    </row>
    <row r="1781" ht="15" spans="1:28">
      <c r="A1781" s="143">
        <v>1738</v>
      </c>
      <c r="B1781" s="144">
        <v>45971</v>
      </c>
      <c r="C1781" s="169" t="s">
        <v>3646</v>
      </c>
      <c r="D1781" s="143" t="s">
        <v>41</v>
      </c>
      <c r="E1781" s="169" t="s">
        <v>5377</v>
      </c>
      <c r="F1781" s="177" t="s">
        <v>5451</v>
      </c>
      <c r="G1781" s="169" t="s">
        <v>5377</v>
      </c>
      <c r="H1781" s="143" t="s">
        <v>5452</v>
      </c>
      <c r="I1781" s="143" t="s">
        <v>324</v>
      </c>
      <c r="J1781" s="143" t="s">
        <v>1577</v>
      </c>
      <c r="K1781" s="143">
        <v>150</v>
      </c>
      <c r="W1781" s="169" t="s">
        <v>3147</v>
      </c>
      <c r="X1781" s="143" t="s">
        <v>5453</v>
      </c>
      <c r="Y1781" s="169" t="s">
        <v>5381</v>
      </c>
      <c r="Z1781" s="143" t="s">
        <v>5453</v>
      </c>
      <c r="AA1781" s="173">
        <v>10.5</v>
      </c>
    </row>
    <row r="1782" ht="15" spans="1:28">
      <c r="A1782" s="143">
        <v>1739</v>
      </c>
      <c r="B1782" s="144">
        <v>45971</v>
      </c>
      <c r="C1782" s="169" t="s">
        <v>3646</v>
      </c>
      <c r="D1782" s="143" t="s">
        <v>41</v>
      </c>
      <c r="E1782" s="169" t="s">
        <v>5377</v>
      </c>
      <c r="F1782" s="177" t="s">
        <v>5454</v>
      </c>
      <c r="G1782" s="169" t="s">
        <v>5377</v>
      </c>
      <c r="H1782" s="143" t="s">
        <v>5455</v>
      </c>
      <c r="I1782" s="143" t="s">
        <v>324</v>
      </c>
      <c r="J1782" s="143" t="s">
        <v>1577</v>
      </c>
      <c r="K1782" s="143">
        <v>150</v>
      </c>
      <c r="W1782" s="169" t="s">
        <v>3147</v>
      </c>
      <c r="X1782" s="143" t="s">
        <v>5456</v>
      </c>
      <c r="Y1782" s="169" t="s">
        <v>5381</v>
      </c>
      <c r="Z1782" s="143" t="s">
        <v>5456</v>
      </c>
      <c r="AA1782" s="173">
        <v>10.5</v>
      </c>
      <c r="AB1782" s="191">
        <v>46051</v>
      </c>
    </row>
    <row r="1783" ht="15" spans="1:28">
      <c r="A1783" s="143">
        <v>1740</v>
      </c>
      <c r="B1783" s="144">
        <v>45971</v>
      </c>
      <c r="C1783" s="169" t="s">
        <v>3646</v>
      </c>
      <c r="D1783" s="143" t="s">
        <v>41</v>
      </c>
      <c r="E1783" s="169" t="s">
        <v>5377</v>
      </c>
      <c r="F1783" s="177" t="s">
        <v>5457</v>
      </c>
      <c r="G1783" s="169" t="s">
        <v>5377</v>
      </c>
      <c r="H1783" s="143" t="s">
        <v>5458</v>
      </c>
      <c r="I1783" s="143" t="s">
        <v>324</v>
      </c>
      <c r="J1783" s="143" t="s">
        <v>1577</v>
      </c>
      <c r="K1783" s="143">
        <v>150</v>
      </c>
      <c r="W1783" s="169" t="s">
        <v>3147</v>
      </c>
      <c r="X1783" s="143" t="s">
        <v>5459</v>
      </c>
      <c r="Y1783" s="169" t="s">
        <v>5381</v>
      </c>
      <c r="Z1783" s="143" t="s">
        <v>5459</v>
      </c>
      <c r="AA1783" s="173">
        <v>11.5</v>
      </c>
    </row>
    <row r="1784" ht="15" spans="1:28">
      <c r="A1784" s="143">
        <v>1741</v>
      </c>
      <c r="B1784" s="144">
        <v>45971</v>
      </c>
      <c r="C1784" s="169" t="s">
        <v>3646</v>
      </c>
      <c r="D1784" s="143" t="s">
        <v>41</v>
      </c>
      <c r="E1784" s="169" t="s">
        <v>5377</v>
      </c>
      <c r="F1784" s="177" t="s">
        <v>5460</v>
      </c>
      <c r="G1784" s="169" t="s">
        <v>5377</v>
      </c>
      <c r="H1784" s="143" t="s">
        <v>5461</v>
      </c>
      <c r="I1784" s="143" t="s">
        <v>324</v>
      </c>
      <c r="J1784" s="143" t="s">
        <v>1577</v>
      </c>
      <c r="K1784" s="143">
        <v>150</v>
      </c>
      <c r="W1784" s="169" t="s">
        <v>3147</v>
      </c>
      <c r="X1784" s="143" t="s">
        <v>5462</v>
      </c>
      <c r="Y1784" s="169" t="s">
        <v>5381</v>
      </c>
      <c r="Z1784" s="143" t="s">
        <v>5462</v>
      </c>
      <c r="AA1784" s="173">
        <v>11.5</v>
      </c>
    </row>
    <row r="1785" ht="15" spans="1:28">
      <c r="A1785" s="143">
        <v>1742</v>
      </c>
      <c r="B1785" s="144">
        <v>45971</v>
      </c>
      <c r="C1785" s="169" t="s">
        <v>3646</v>
      </c>
      <c r="D1785" s="143" t="s">
        <v>41</v>
      </c>
      <c r="E1785" s="169" t="s">
        <v>5377</v>
      </c>
      <c r="F1785" s="177" t="s">
        <v>5463</v>
      </c>
      <c r="G1785" s="169" t="s">
        <v>5377</v>
      </c>
      <c r="H1785" s="143" t="s">
        <v>5464</v>
      </c>
      <c r="I1785" s="143" t="s">
        <v>324</v>
      </c>
      <c r="J1785" s="143" t="s">
        <v>1577</v>
      </c>
      <c r="K1785" s="143">
        <v>150</v>
      </c>
      <c r="W1785" s="169" t="s">
        <v>3147</v>
      </c>
      <c r="X1785" s="143" t="s">
        <v>5465</v>
      </c>
      <c r="Y1785" s="169" t="s">
        <v>5381</v>
      </c>
      <c r="Z1785" s="143" t="s">
        <v>5465</v>
      </c>
      <c r="AA1785" s="173">
        <v>11.5</v>
      </c>
    </row>
    <row r="1786" ht="15" spans="1:28">
      <c r="A1786" s="143">
        <v>1743</v>
      </c>
      <c r="B1786" s="144">
        <v>45971</v>
      </c>
      <c r="C1786" s="169" t="s">
        <v>3646</v>
      </c>
      <c r="D1786" s="143" t="s">
        <v>41</v>
      </c>
      <c r="E1786" s="169" t="s">
        <v>5377</v>
      </c>
      <c r="F1786" s="177" t="s">
        <v>5466</v>
      </c>
      <c r="G1786" s="169" t="s">
        <v>5377</v>
      </c>
      <c r="H1786" s="143" t="s">
        <v>5467</v>
      </c>
      <c r="I1786" s="143" t="s">
        <v>324</v>
      </c>
      <c r="J1786" s="143" t="s">
        <v>1577</v>
      </c>
      <c r="K1786" s="143">
        <v>150</v>
      </c>
      <c r="W1786" s="169" t="s">
        <v>3147</v>
      </c>
      <c r="X1786" s="143" t="s">
        <v>5468</v>
      </c>
      <c r="Y1786" s="169" t="s">
        <v>5381</v>
      </c>
      <c r="Z1786" s="143" t="s">
        <v>5468</v>
      </c>
      <c r="AA1786" s="173">
        <v>13</v>
      </c>
    </row>
    <row r="1787" ht="15" spans="1:28">
      <c r="A1787" s="143">
        <v>1744</v>
      </c>
      <c r="B1787" s="144">
        <v>45971</v>
      </c>
      <c r="C1787" s="169" t="s">
        <v>3646</v>
      </c>
      <c r="D1787" s="143" t="s">
        <v>41</v>
      </c>
      <c r="E1787" s="169" t="s">
        <v>5377</v>
      </c>
      <c r="F1787" s="177">
        <v>9909</v>
      </c>
      <c r="G1787" s="169" t="s">
        <v>5377</v>
      </c>
      <c r="H1787" s="143" t="s">
        <v>5469</v>
      </c>
      <c r="I1787" s="143" t="s">
        <v>324</v>
      </c>
      <c r="J1787" s="143" t="s">
        <v>1577</v>
      </c>
      <c r="K1787" s="143">
        <v>150</v>
      </c>
      <c r="W1787" s="169" t="s">
        <v>3147</v>
      </c>
      <c r="X1787" s="143">
        <v>9909</v>
      </c>
      <c r="Y1787" s="169" t="s">
        <v>5381</v>
      </c>
      <c r="Z1787" s="143">
        <v>9909</v>
      </c>
      <c r="AA1787" s="173">
        <v>13</v>
      </c>
    </row>
    <row r="1788" ht="15" spans="1:28">
      <c r="A1788" s="143">
        <v>1745</v>
      </c>
      <c r="B1788" s="144">
        <v>45971</v>
      </c>
      <c r="C1788" s="169" t="s">
        <v>3646</v>
      </c>
      <c r="D1788" s="143" t="s">
        <v>41</v>
      </c>
      <c r="E1788" s="169" t="s">
        <v>5377</v>
      </c>
      <c r="F1788" s="177" t="s">
        <v>5470</v>
      </c>
      <c r="G1788" s="169" t="s">
        <v>5377</v>
      </c>
      <c r="H1788" s="143" t="s">
        <v>5471</v>
      </c>
      <c r="I1788" s="143" t="s">
        <v>324</v>
      </c>
      <c r="J1788" s="143" t="s">
        <v>1577</v>
      </c>
      <c r="K1788" s="143">
        <v>150</v>
      </c>
      <c r="W1788" s="169" t="s">
        <v>3147</v>
      </c>
      <c r="X1788" s="143" t="s">
        <v>5472</v>
      </c>
      <c r="Y1788" s="169" t="s">
        <v>5381</v>
      </c>
      <c r="Z1788" s="143" t="s">
        <v>5472</v>
      </c>
      <c r="AA1788" s="173">
        <v>10.8</v>
      </c>
      <c r="AB1788" s="191">
        <v>46051</v>
      </c>
    </row>
    <row r="1789" ht="15" spans="1:28">
      <c r="A1789" s="143">
        <v>1746</v>
      </c>
      <c r="B1789" s="144">
        <v>45971</v>
      </c>
      <c r="C1789" s="169" t="s">
        <v>3646</v>
      </c>
      <c r="D1789" s="143" t="s">
        <v>41</v>
      </c>
      <c r="E1789" s="169" t="s">
        <v>5377</v>
      </c>
      <c r="F1789" s="177" t="s">
        <v>5473</v>
      </c>
      <c r="G1789" s="169" t="s">
        <v>5377</v>
      </c>
      <c r="H1789" s="143" t="s">
        <v>5474</v>
      </c>
      <c r="I1789" s="169" t="s">
        <v>5475</v>
      </c>
      <c r="J1789" s="182" t="s">
        <v>5476</v>
      </c>
      <c r="K1789" s="143">
        <v>160</v>
      </c>
      <c r="W1789" s="169" t="s">
        <v>3147</v>
      </c>
      <c r="X1789" s="143" t="s">
        <v>5477</v>
      </c>
      <c r="Y1789" s="169" t="s">
        <v>5381</v>
      </c>
      <c r="Z1789" s="143" t="s">
        <v>5477</v>
      </c>
      <c r="AA1789" s="173">
        <v>9.3</v>
      </c>
    </row>
    <row r="1790" ht="15" spans="1:28">
      <c r="A1790" s="143">
        <v>1747</v>
      </c>
      <c r="B1790" s="144">
        <v>45971</v>
      </c>
      <c r="C1790" s="169" t="s">
        <v>3646</v>
      </c>
      <c r="D1790" s="143" t="s">
        <v>41</v>
      </c>
      <c r="E1790" s="169" t="s">
        <v>5377</v>
      </c>
      <c r="F1790" s="177" t="s">
        <v>5478</v>
      </c>
      <c r="G1790" s="169" t="s">
        <v>5377</v>
      </c>
      <c r="H1790" s="143" t="s">
        <v>5479</v>
      </c>
      <c r="I1790" s="169" t="s">
        <v>5475</v>
      </c>
      <c r="J1790" s="182" t="s">
        <v>5476</v>
      </c>
      <c r="K1790" s="143">
        <v>160</v>
      </c>
      <c r="W1790" s="169" t="s">
        <v>3147</v>
      </c>
      <c r="X1790" s="143" t="s">
        <v>5480</v>
      </c>
      <c r="Y1790" s="169" t="s">
        <v>5381</v>
      </c>
      <c r="Z1790" s="143" t="s">
        <v>5480</v>
      </c>
      <c r="AA1790" s="173">
        <v>9.3</v>
      </c>
    </row>
    <row r="1791" ht="15" spans="1:28">
      <c r="A1791" s="143">
        <v>1748</v>
      </c>
      <c r="B1791" s="144">
        <v>45971</v>
      </c>
      <c r="C1791" s="169" t="s">
        <v>3646</v>
      </c>
      <c r="D1791" s="143" t="s">
        <v>41</v>
      </c>
      <c r="E1791" s="169" t="s">
        <v>5377</v>
      </c>
      <c r="F1791" s="177" t="s">
        <v>5481</v>
      </c>
      <c r="G1791" s="169" t="s">
        <v>5377</v>
      </c>
      <c r="H1791" s="143" t="s">
        <v>5482</v>
      </c>
      <c r="I1791" s="169" t="s">
        <v>5475</v>
      </c>
      <c r="J1791" s="182" t="s">
        <v>5476</v>
      </c>
      <c r="K1791" s="143">
        <v>160</v>
      </c>
      <c r="W1791" s="169" t="s">
        <v>3147</v>
      </c>
      <c r="X1791" s="143" t="s">
        <v>5483</v>
      </c>
      <c r="Y1791" s="169" t="s">
        <v>5381</v>
      </c>
      <c r="Z1791" s="143" t="s">
        <v>5483</v>
      </c>
      <c r="AA1791" s="173">
        <v>9.3</v>
      </c>
    </row>
    <row r="1792" ht="15" spans="1:28">
      <c r="A1792" s="143">
        <v>1749</v>
      </c>
      <c r="B1792" s="144">
        <v>45971</v>
      </c>
      <c r="C1792" s="169" t="s">
        <v>3646</v>
      </c>
      <c r="D1792" s="143" t="s">
        <v>41</v>
      </c>
      <c r="E1792" s="169" t="s">
        <v>5377</v>
      </c>
      <c r="F1792" s="177" t="s">
        <v>5484</v>
      </c>
      <c r="G1792" s="169" t="s">
        <v>5377</v>
      </c>
      <c r="H1792" s="143" t="s">
        <v>5485</v>
      </c>
      <c r="I1792" s="169" t="s">
        <v>5475</v>
      </c>
      <c r="J1792" s="182" t="s">
        <v>5476</v>
      </c>
      <c r="K1792" s="143">
        <v>160</v>
      </c>
      <c r="W1792" s="169" t="s">
        <v>3147</v>
      </c>
      <c r="X1792" s="143" t="s">
        <v>5486</v>
      </c>
      <c r="Y1792" s="169" t="s">
        <v>5381</v>
      </c>
      <c r="Z1792" s="143" t="s">
        <v>5486</v>
      </c>
      <c r="AA1792" s="173">
        <v>9.3</v>
      </c>
    </row>
    <row r="1793" ht="15" spans="1:27">
      <c r="A1793" s="143">
        <v>1750</v>
      </c>
      <c r="B1793" s="144">
        <v>45971</v>
      </c>
      <c r="C1793" s="169" t="s">
        <v>3646</v>
      </c>
      <c r="D1793" s="143" t="s">
        <v>41</v>
      </c>
      <c r="E1793" s="169" t="s">
        <v>5377</v>
      </c>
      <c r="F1793" s="177" t="s">
        <v>5487</v>
      </c>
      <c r="G1793" s="169" t="s">
        <v>5377</v>
      </c>
      <c r="H1793" s="143" t="s">
        <v>5488</v>
      </c>
      <c r="I1793" s="143" t="s">
        <v>324</v>
      </c>
      <c r="J1793" s="143" t="s">
        <v>1577</v>
      </c>
      <c r="K1793" s="143">
        <v>150</v>
      </c>
      <c r="W1793" s="169" t="s">
        <v>3147</v>
      </c>
      <c r="X1793" s="143" t="s">
        <v>5489</v>
      </c>
      <c r="Y1793" s="169" t="s">
        <v>5381</v>
      </c>
      <c r="Z1793" s="143" t="s">
        <v>5489</v>
      </c>
      <c r="AA1793" s="173">
        <v>11.5</v>
      </c>
    </row>
    <row r="1794" ht="15" spans="1:27">
      <c r="A1794" s="143">
        <v>1751</v>
      </c>
      <c r="B1794" s="144">
        <v>45971</v>
      </c>
      <c r="C1794" s="169" t="s">
        <v>3646</v>
      </c>
      <c r="D1794" s="143" t="s">
        <v>41</v>
      </c>
      <c r="E1794" s="169" t="s">
        <v>5377</v>
      </c>
      <c r="F1794" s="177">
        <v>6834</v>
      </c>
      <c r="G1794" s="169" t="s">
        <v>5377</v>
      </c>
      <c r="H1794" s="143" t="s">
        <v>5490</v>
      </c>
      <c r="I1794" s="143" t="s">
        <v>5491</v>
      </c>
      <c r="J1794" s="143" t="s">
        <v>2815</v>
      </c>
      <c r="K1794" s="143">
        <v>150</v>
      </c>
      <c r="W1794" s="169" t="s">
        <v>3147</v>
      </c>
      <c r="X1794" s="143">
        <v>6834</v>
      </c>
      <c r="Y1794" s="169" t="s">
        <v>5381</v>
      </c>
      <c r="Z1794" s="143">
        <v>6834</v>
      </c>
      <c r="AA1794" s="173">
        <v>10.8</v>
      </c>
    </row>
    <row r="1795" ht="15" spans="1:27">
      <c r="A1795" s="143">
        <v>1752</v>
      </c>
      <c r="B1795" s="144">
        <v>45971</v>
      </c>
      <c r="C1795" s="169" t="s">
        <v>3646</v>
      </c>
      <c r="D1795" s="143" t="s">
        <v>41</v>
      </c>
      <c r="E1795" s="169" t="s">
        <v>5377</v>
      </c>
      <c r="F1795" s="177" t="s">
        <v>5492</v>
      </c>
      <c r="G1795" s="169" t="s">
        <v>5377</v>
      </c>
      <c r="H1795" s="143" t="s">
        <v>5493</v>
      </c>
      <c r="I1795" s="143" t="s">
        <v>5491</v>
      </c>
      <c r="J1795" s="143" t="s">
        <v>2815</v>
      </c>
      <c r="K1795" s="143">
        <v>150</v>
      </c>
      <c r="W1795" s="169" t="s">
        <v>3147</v>
      </c>
      <c r="X1795" s="143" t="s">
        <v>5494</v>
      </c>
      <c r="Y1795" s="169" t="s">
        <v>5381</v>
      </c>
      <c r="Z1795" s="143" t="s">
        <v>5494</v>
      </c>
      <c r="AA1795" s="173">
        <v>10.8</v>
      </c>
    </row>
    <row r="1796" ht="15" spans="1:27">
      <c r="A1796" s="143">
        <v>1753</v>
      </c>
      <c r="B1796" s="144">
        <v>45971</v>
      </c>
      <c r="C1796" s="169" t="s">
        <v>3646</v>
      </c>
      <c r="D1796" s="143" t="s">
        <v>41</v>
      </c>
      <c r="E1796" s="169" t="s">
        <v>5377</v>
      </c>
      <c r="F1796" s="177">
        <v>9914</v>
      </c>
      <c r="G1796" s="169" t="s">
        <v>5377</v>
      </c>
      <c r="H1796" s="143" t="s">
        <v>5495</v>
      </c>
      <c r="I1796" s="143" t="s">
        <v>5491</v>
      </c>
      <c r="J1796" s="143" t="s">
        <v>2815</v>
      </c>
      <c r="K1796" s="143">
        <v>150</v>
      </c>
      <c r="W1796" s="169" t="s">
        <v>3147</v>
      </c>
      <c r="X1796" s="143">
        <v>9914</v>
      </c>
      <c r="Y1796" s="169" t="s">
        <v>5381</v>
      </c>
      <c r="Z1796" s="143">
        <v>9914</v>
      </c>
      <c r="AA1796" s="173">
        <v>10.3</v>
      </c>
    </row>
    <row r="1797" ht="15" spans="1:27">
      <c r="A1797" s="143">
        <v>1754</v>
      </c>
      <c r="B1797" s="144">
        <v>45971</v>
      </c>
      <c r="C1797" s="169" t="s">
        <v>3646</v>
      </c>
      <c r="D1797" s="143" t="s">
        <v>41</v>
      </c>
      <c r="E1797" s="169" t="s">
        <v>5377</v>
      </c>
      <c r="F1797" s="177" t="s">
        <v>5496</v>
      </c>
      <c r="G1797" s="169" t="s">
        <v>5377</v>
      </c>
      <c r="H1797" s="143" t="s">
        <v>5497</v>
      </c>
      <c r="I1797" s="143" t="s">
        <v>5491</v>
      </c>
      <c r="J1797" s="143" t="s">
        <v>2815</v>
      </c>
      <c r="K1797" s="143">
        <v>150</v>
      </c>
      <c r="W1797" s="169" t="s">
        <v>3147</v>
      </c>
      <c r="X1797" s="143" t="s">
        <v>5498</v>
      </c>
      <c r="Y1797" s="169" t="s">
        <v>5381</v>
      </c>
      <c r="Z1797" s="143" t="s">
        <v>5498</v>
      </c>
      <c r="AA1797" s="173">
        <v>10.3</v>
      </c>
    </row>
    <row r="1798" ht="15" spans="1:27">
      <c r="A1798" s="143">
        <v>1755</v>
      </c>
      <c r="B1798" s="144">
        <v>45971</v>
      </c>
      <c r="C1798" s="169" t="s">
        <v>3646</v>
      </c>
      <c r="D1798" s="143" t="s">
        <v>41</v>
      </c>
      <c r="E1798" s="169" t="s">
        <v>5377</v>
      </c>
      <c r="F1798" s="177">
        <v>6803</v>
      </c>
      <c r="G1798" s="169" t="s">
        <v>5377</v>
      </c>
      <c r="H1798" s="143" t="s">
        <v>5499</v>
      </c>
      <c r="I1798" s="143" t="s">
        <v>5491</v>
      </c>
      <c r="J1798" s="143" t="s">
        <v>2815</v>
      </c>
      <c r="K1798" s="143">
        <v>150</v>
      </c>
      <c r="W1798" s="169" t="s">
        <v>3147</v>
      </c>
      <c r="X1798" s="143">
        <v>6803</v>
      </c>
      <c r="Y1798" s="169" t="s">
        <v>5381</v>
      </c>
      <c r="Z1798" s="143">
        <v>6803</v>
      </c>
      <c r="AA1798" s="173">
        <v>10.3</v>
      </c>
    </row>
    <row r="1799" ht="15" spans="1:27">
      <c r="A1799" s="143">
        <v>1756</v>
      </c>
      <c r="B1799" s="144">
        <v>45971</v>
      </c>
      <c r="C1799" s="169" t="s">
        <v>3646</v>
      </c>
      <c r="D1799" s="143" t="s">
        <v>41</v>
      </c>
      <c r="E1799" s="169" t="s">
        <v>5377</v>
      </c>
      <c r="F1799" s="177" t="s">
        <v>5500</v>
      </c>
      <c r="G1799" s="169" t="s">
        <v>5377</v>
      </c>
      <c r="H1799" s="143" t="s">
        <v>5501</v>
      </c>
      <c r="I1799" s="143" t="s">
        <v>5491</v>
      </c>
      <c r="J1799" s="143" t="s">
        <v>2815</v>
      </c>
      <c r="K1799" s="143">
        <v>150</v>
      </c>
      <c r="W1799" s="169" t="s">
        <v>3147</v>
      </c>
      <c r="X1799" s="143" t="s">
        <v>5502</v>
      </c>
      <c r="Y1799" s="169" t="s">
        <v>5381</v>
      </c>
      <c r="Z1799" s="143" t="s">
        <v>5502</v>
      </c>
      <c r="AA1799" s="173">
        <v>10.3</v>
      </c>
    </row>
    <row r="1800" ht="15" spans="1:27">
      <c r="A1800" s="143">
        <v>1757</v>
      </c>
      <c r="B1800" s="144">
        <v>45971</v>
      </c>
      <c r="C1800" s="169" t="s">
        <v>3646</v>
      </c>
      <c r="D1800" s="143" t="s">
        <v>41</v>
      </c>
      <c r="E1800" s="169" t="s">
        <v>5377</v>
      </c>
      <c r="F1800" s="177" t="s">
        <v>5503</v>
      </c>
      <c r="G1800" s="169" t="s">
        <v>5377</v>
      </c>
      <c r="H1800" s="143" t="s">
        <v>5504</v>
      </c>
      <c r="I1800" s="143" t="s">
        <v>5491</v>
      </c>
      <c r="J1800" s="143" t="s">
        <v>2815</v>
      </c>
      <c r="K1800" s="143">
        <v>150</v>
      </c>
      <c r="W1800" s="169" t="s">
        <v>3147</v>
      </c>
      <c r="X1800" s="143" t="s">
        <v>5505</v>
      </c>
      <c r="Y1800" s="169" t="s">
        <v>5381</v>
      </c>
      <c r="Z1800" s="143" t="s">
        <v>5505</v>
      </c>
      <c r="AA1800" s="173">
        <v>10.3</v>
      </c>
    </row>
    <row r="1801" ht="15" spans="1:27">
      <c r="A1801" s="143">
        <v>1758</v>
      </c>
      <c r="B1801" s="144">
        <v>45971</v>
      </c>
      <c r="C1801" s="169" t="s">
        <v>3646</v>
      </c>
      <c r="D1801" s="143" t="s">
        <v>41</v>
      </c>
      <c r="E1801" s="169" t="s">
        <v>5377</v>
      </c>
      <c r="F1801" s="177" t="s">
        <v>5506</v>
      </c>
      <c r="G1801" s="169" t="s">
        <v>5377</v>
      </c>
      <c r="H1801" s="143" t="s">
        <v>5507</v>
      </c>
      <c r="I1801" s="143" t="s">
        <v>5491</v>
      </c>
      <c r="J1801" s="143" t="s">
        <v>2815</v>
      </c>
      <c r="K1801" s="143">
        <v>150</v>
      </c>
      <c r="W1801" s="169" t="s">
        <v>3147</v>
      </c>
      <c r="X1801" s="143" t="s">
        <v>5508</v>
      </c>
      <c r="Y1801" s="169" t="s">
        <v>5381</v>
      </c>
      <c r="Z1801" s="143" t="s">
        <v>5508</v>
      </c>
      <c r="AA1801" s="173">
        <v>10.3</v>
      </c>
    </row>
    <row r="1802" ht="15" spans="1:27">
      <c r="A1802" s="143">
        <v>1759</v>
      </c>
      <c r="B1802" s="144">
        <v>45971</v>
      </c>
      <c r="C1802" s="169" t="s">
        <v>3646</v>
      </c>
      <c r="D1802" s="143" t="s">
        <v>41</v>
      </c>
      <c r="E1802" s="169" t="s">
        <v>5377</v>
      </c>
      <c r="F1802" s="177" t="s">
        <v>5509</v>
      </c>
      <c r="G1802" s="169" t="s">
        <v>5377</v>
      </c>
      <c r="H1802" s="143" t="s">
        <v>5510</v>
      </c>
      <c r="I1802" s="143" t="s">
        <v>5491</v>
      </c>
      <c r="J1802" s="143" t="s">
        <v>2815</v>
      </c>
      <c r="K1802" s="143">
        <v>150</v>
      </c>
      <c r="W1802" s="169" t="s">
        <v>3147</v>
      </c>
      <c r="X1802" s="143" t="s">
        <v>5511</v>
      </c>
      <c r="Y1802" s="169" t="s">
        <v>5381</v>
      </c>
      <c r="Z1802" s="143" t="s">
        <v>5511</v>
      </c>
      <c r="AA1802" s="173">
        <v>10.3</v>
      </c>
    </row>
    <row r="1803" ht="15" spans="1:27">
      <c r="A1803" s="143">
        <v>1760</v>
      </c>
      <c r="B1803" s="144">
        <v>45971</v>
      </c>
      <c r="C1803" s="169" t="s">
        <v>3646</v>
      </c>
      <c r="D1803" s="143" t="s">
        <v>41</v>
      </c>
      <c r="E1803" s="169" t="s">
        <v>5377</v>
      </c>
      <c r="F1803" s="177">
        <v>6819</v>
      </c>
      <c r="G1803" s="169" t="s">
        <v>5377</v>
      </c>
      <c r="H1803" s="143" t="s">
        <v>5512</v>
      </c>
      <c r="I1803" s="143" t="s">
        <v>5491</v>
      </c>
      <c r="J1803" s="143" t="s">
        <v>2815</v>
      </c>
      <c r="K1803" s="143">
        <v>150</v>
      </c>
      <c r="W1803" s="169" t="s">
        <v>3147</v>
      </c>
      <c r="X1803" s="143">
        <v>6819</v>
      </c>
      <c r="Y1803" s="169" t="s">
        <v>5381</v>
      </c>
      <c r="Z1803" s="143">
        <v>6819</v>
      </c>
      <c r="AA1803" s="173">
        <v>10.3</v>
      </c>
    </row>
    <row r="1804" ht="15" spans="1:27">
      <c r="A1804" s="143">
        <v>1761</v>
      </c>
      <c r="B1804" s="144">
        <v>45971</v>
      </c>
      <c r="C1804" s="169" t="s">
        <v>3646</v>
      </c>
      <c r="D1804" s="143" t="s">
        <v>41</v>
      </c>
      <c r="E1804" s="169" t="s">
        <v>5377</v>
      </c>
      <c r="F1804" s="177" t="s">
        <v>5513</v>
      </c>
      <c r="G1804" s="169" t="s">
        <v>5377</v>
      </c>
      <c r="H1804" s="143" t="s">
        <v>5514</v>
      </c>
      <c r="I1804" s="143" t="s">
        <v>5491</v>
      </c>
      <c r="J1804" s="143" t="s">
        <v>2815</v>
      </c>
      <c r="K1804" s="143">
        <v>150</v>
      </c>
      <c r="W1804" s="169" t="s">
        <v>3147</v>
      </c>
      <c r="X1804" s="143" t="s">
        <v>5515</v>
      </c>
      <c r="Y1804" s="169" t="s">
        <v>5381</v>
      </c>
      <c r="Z1804" s="143" t="s">
        <v>5515</v>
      </c>
      <c r="AA1804" s="173">
        <v>10.3</v>
      </c>
    </row>
    <row r="1805" ht="15" spans="1:27">
      <c r="A1805" s="143">
        <v>1762</v>
      </c>
      <c r="B1805" s="144">
        <v>45971</v>
      </c>
      <c r="C1805" s="169" t="s">
        <v>3646</v>
      </c>
      <c r="D1805" s="143" t="s">
        <v>41</v>
      </c>
      <c r="E1805" s="169" t="s">
        <v>5377</v>
      </c>
      <c r="F1805" s="177">
        <v>6802</v>
      </c>
      <c r="G1805" s="169" t="s">
        <v>5377</v>
      </c>
      <c r="H1805" s="143" t="s">
        <v>5516</v>
      </c>
      <c r="I1805" s="143" t="s">
        <v>5491</v>
      </c>
      <c r="J1805" s="143" t="s">
        <v>2815</v>
      </c>
      <c r="K1805" s="143">
        <v>150</v>
      </c>
      <c r="W1805" s="169" t="s">
        <v>3147</v>
      </c>
      <c r="X1805" s="143">
        <v>6802</v>
      </c>
      <c r="Y1805" s="169" t="s">
        <v>5381</v>
      </c>
      <c r="Z1805" s="143">
        <v>6802</v>
      </c>
      <c r="AA1805" s="173">
        <v>10.3</v>
      </c>
    </row>
    <row r="1806" ht="15" spans="1:27">
      <c r="A1806" s="143">
        <v>1763</v>
      </c>
      <c r="B1806" s="144">
        <v>45971</v>
      </c>
      <c r="C1806" s="169" t="s">
        <v>3646</v>
      </c>
      <c r="D1806" s="143" t="s">
        <v>41</v>
      </c>
      <c r="E1806" s="169" t="s">
        <v>5377</v>
      </c>
      <c r="F1806" s="177" t="s">
        <v>5517</v>
      </c>
      <c r="G1806" s="169" t="s">
        <v>5377</v>
      </c>
      <c r="H1806" s="143" t="s">
        <v>5518</v>
      </c>
      <c r="I1806" s="143" t="s">
        <v>5491</v>
      </c>
      <c r="J1806" s="143" t="s">
        <v>2815</v>
      </c>
      <c r="K1806" s="143">
        <v>150</v>
      </c>
      <c r="W1806" s="169" t="s">
        <v>3147</v>
      </c>
      <c r="X1806" s="143" t="s">
        <v>5517</v>
      </c>
      <c r="Y1806" s="169" t="s">
        <v>5381</v>
      </c>
      <c r="Z1806" s="143" t="s">
        <v>5517</v>
      </c>
      <c r="AA1806" s="173">
        <v>13.5</v>
      </c>
    </row>
    <row r="1807" ht="15" spans="1:27">
      <c r="A1807" s="143">
        <v>1764</v>
      </c>
      <c r="B1807" s="144">
        <v>45971</v>
      </c>
      <c r="C1807" s="169" t="s">
        <v>3646</v>
      </c>
      <c r="D1807" s="143" t="s">
        <v>41</v>
      </c>
      <c r="E1807" s="169" t="s">
        <v>5377</v>
      </c>
      <c r="F1807" s="177">
        <v>6811</v>
      </c>
      <c r="G1807" s="169" t="s">
        <v>5377</v>
      </c>
      <c r="H1807" s="143" t="s">
        <v>5519</v>
      </c>
      <c r="I1807" s="143" t="s">
        <v>5491</v>
      </c>
      <c r="J1807" s="143" t="s">
        <v>2815</v>
      </c>
      <c r="K1807" s="143">
        <v>150</v>
      </c>
      <c r="W1807" s="169" t="s">
        <v>3147</v>
      </c>
      <c r="X1807" s="143">
        <v>6811</v>
      </c>
      <c r="Y1807" s="169" t="s">
        <v>5381</v>
      </c>
      <c r="Z1807" s="143">
        <v>6811</v>
      </c>
      <c r="AA1807" s="173">
        <v>10.3</v>
      </c>
    </row>
    <row r="1808" ht="15" spans="1:27">
      <c r="A1808" s="143">
        <v>1765</v>
      </c>
      <c r="B1808" s="144">
        <v>45971</v>
      </c>
      <c r="C1808" s="169" t="s">
        <v>3646</v>
      </c>
      <c r="D1808" s="143" t="s">
        <v>41</v>
      </c>
      <c r="E1808" s="169" t="s">
        <v>5377</v>
      </c>
      <c r="F1808" s="177" t="s">
        <v>5520</v>
      </c>
      <c r="G1808" s="169" t="s">
        <v>5377</v>
      </c>
      <c r="H1808" s="143" t="s">
        <v>5521</v>
      </c>
      <c r="I1808" s="143" t="s">
        <v>5491</v>
      </c>
      <c r="J1808" s="143" t="s">
        <v>2815</v>
      </c>
      <c r="K1808" s="143">
        <v>150</v>
      </c>
      <c r="W1808" s="169" t="s">
        <v>3147</v>
      </c>
      <c r="X1808" s="143" t="s">
        <v>5522</v>
      </c>
      <c r="Y1808" s="169" t="s">
        <v>5381</v>
      </c>
      <c r="Z1808" s="143" t="s">
        <v>5522</v>
      </c>
      <c r="AA1808" s="173">
        <v>10.3</v>
      </c>
    </row>
    <row r="1809" ht="15" spans="1:34">
      <c r="A1809" s="143">
        <v>1766</v>
      </c>
      <c r="B1809" s="144">
        <v>45971</v>
      </c>
      <c r="C1809" s="169" t="s">
        <v>3646</v>
      </c>
      <c r="D1809" s="143" t="s">
        <v>41</v>
      </c>
      <c r="E1809" s="169" t="s">
        <v>5377</v>
      </c>
      <c r="F1809" s="177" t="s">
        <v>5523</v>
      </c>
      <c r="G1809" s="169" t="s">
        <v>5377</v>
      </c>
      <c r="H1809" s="143" t="s">
        <v>5524</v>
      </c>
      <c r="I1809" s="143" t="s">
        <v>5491</v>
      </c>
      <c r="J1809" s="143" t="s">
        <v>2815</v>
      </c>
      <c r="K1809" s="143">
        <v>150</v>
      </c>
      <c r="W1809" s="169" t="s">
        <v>3147</v>
      </c>
      <c r="X1809" s="143" t="s">
        <v>5525</v>
      </c>
      <c r="Y1809" s="169" t="s">
        <v>5381</v>
      </c>
      <c r="Z1809" s="143" t="s">
        <v>5525</v>
      </c>
      <c r="AA1809" s="173">
        <v>10.3</v>
      </c>
    </row>
    <row r="1810" ht="15" spans="1:34">
      <c r="A1810" s="143">
        <v>1767</v>
      </c>
      <c r="B1810" s="144">
        <v>45971</v>
      </c>
      <c r="C1810" s="169" t="s">
        <v>3646</v>
      </c>
      <c r="D1810" s="143" t="s">
        <v>41</v>
      </c>
      <c r="E1810" s="169" t="s">
        <v>5377</v>
      </c>
      <c r="F1810" s="177" t="s">
        <v>5526</v>
      </c>
      <c r="G1810" s="169" t="s">
        <v>5377</v>
      </c>
      <c r="H1810" s="143" t="s">
        <v>5527</v>
      </c>
      <c r="I1810" s="143" t="s">
        <v>5491</v>
      </c>
      <c r="J1810" s="143" t="s">
        <v>2815</v>
      </c>
      <c r="K1810" s="143">
        <v>150</v>
      </c>
      <c r="W1810" s="169" t="s">
        <v>3147</v>
      </c>
      <c r="X1810" s="143" t="s">
        <v>5528</v>
      </c>
      <c r="Y1810" s="169" t="s">
        <v>5381</v>
      </c>
      <c r="Z1810" s="143" t="s">
        <v>5528</v>
      </c>
      <c r="AA1810" s="173">
        <v>10.3</v>
      </c>
    </row>
    <row r="1811" ht="15" spans="1:34">
      <c r="A1811" s="143">
        <v>1768</v>
      </c>
      <c r="B1811" s="144">
        <v>45971</v>
      </c>
      <c r="C1811" s="169" t="s">
        <v>3646</v>
      </c>
      <c r="D1811" s="143" t="s">
        <v>41</v>
      </c>
      <c r="E1811" s="169" t="s">
        <v>5377</v>
      </c>
      <c r="F1811" s="177" t="s">
        <v>5529</v>
      </c>
      <c r="G1811" s="169" t="s">
        <v>5377</v>
      </c>
      <c r="H1811" s="143" t="s">
        <v>5530</v>
      </c>
      <c r="I1811" s="143" t="s">
        <v>5491</v>
      </c>
      <c r="J1811" s="143" t="s">
        <v>2815</v>
      </c>
      <c r="K1811" s="143">
        <v>150</v>
      </c>
      <c r="W1811" s="169" t="s">
        <v>3147</v>
      </c>
      <c r="X1811" s="143" t="s">
        <v>5531</v>
      </c>
      <c r="Y1811" s="169" t="s">
        <v>5381</v>
      </c>
      <c r="Z1811" s="143" t="s">
        <v>5531</v>
      </c>
      <c r="AA1811" s="173">
        <v>10.3</v>
      </c>
    </row>
    <row r="1812" ht="15" spans="1:34">
      <c r="A1812" s="143">
        <v>1769</v>
      </c>
      <c r="B1812" s="144">
        <v>45971</v>
      </c>
      <c r="C1812" s="169" t="s">
        <v>3646</v>
      </c>
      <c r="D1812" s="143" t="s">
        <v>41</v>
      </c>
      <c r="E1812" s="169" t="s">
        <v>5377</v>
      </c>
      <c r="F1812" s="177">
        <v>6847</v>
      </c>
      <c r="G1812" s="169" t="s">
        <v>5377</v>
      </c>
      <c r="H1812" s="143" t="s">
        <v>5532</v>
      </c>
      <c r="I1812" s="143" t="s">
        <v>5491</v>
      </c>
      <c r="J1812" s="143" t="s">
        <v>2815</v>
      </c>
      <c r="K1812" s="143">
        <v>150</v>
      </c>
      <c r="W1812" s="169" t="s">
        <v>3147</v>
      </c>
      <c r="X1812" s="143">
        <v>6847</v>
      </c>
      <c r="Y1812" s="169" t="s">
        <v>5381</v>
      </c>
      <c r="Z1812" s="143">
        <v>6847</v>
      </c>
      <c r="AA1812" s="173">
        <v>10.3</v>
      </c>
    </row>
    <row r="1813" ht="15" spans="1:34">
      <c r="A1813" s="143">
        <v>1770</v>
      </c>
      <c r="B1813" s="144">
        <v>45971</v>
      </c>
      <c r="C1813" s="169" t="s">
        <v>3646</v>
      </c>
      <c r="D1813" s="143" t="s">
        <v>41</v>
      </c>
      <c r="E1813" s="169" t="s">
        <v>5377</v>
      </c>
      <c r="F1813" s="177">
        <v>6841</v>
      </c>
      <c r="G1813" s="169" t="s">
        <v>5377</v>
      </c>
      <c r="H1813" s="143" t="s">
        <v>5533</v>
      </c>
      <c r="I1813" s="143" t="s">
        <v>5491</v>
      </c>
      <c r="J1813" s="143" t="s">
        <v>2815</v>
      </c>
      <c r="K1813" s="143">
        <v>150</v>
      </c>
      <c r="W1813" s="169" t="s">
        <v>3147</v>
      </c>
      <c r="X1813" s="143">
        <v>6841</v>
      </c>
      <c r="Y1813" s="169" t="s">
        <v>5381</v>
      </c>
      <c r="Z1813" s="143">
        <v>6841</v>
      </c>
      <c r="AA1813" s="173">
        <v>10.3</v>
      </c>
    </row>
    <row r="1814" ht="15" spans="1:34">
      <c r="A1814" s="143">
        <v>1771</v>
      </c>
      <c r="B1814" s="144">
        <v>45971</v>
      </c>
      <c r="C1814" s="169" t="s">
        <v>3646</v>
      </c>
      <c r="D1814" s="143" t="s">
        <v>41</v>
      </c>
      <c r="E1814" s="169" t="s">
        <v>5377</v>
      </c>
      <c r="F1814" s="177" t="s">
        <v>5534</v>
      </c>
      <c r="G1814" s="169" t="s">
        <v>5377</v>
      </c>
      <c r="H1814" s="143" t="s">
        <v>5535</v>
      </c>
      <c r="I1814" s="143" t="s">
        <v>5491</v>
      </c>
      <c r="J1814" s="143" t="s">
        <v>2815</v>
      </c>
      <c r="K1814" s="143">
        <v>150</v>
      </c>
      <c r="W1814" s="169" t="s">
        <v>3147</v>
      </c>
      <c r="X1814" s="143" t="s">
        <v>5536</v>
      </c>
      <c r="Y1814" s="169" t="s">
        <v>5381</v>
      </c>
      <c r="Z1814" s="143" t="s">
        <v>5536</v>
      </c>
      <c r="AA1814" s="173">
        <v>10.3</v>
      </c>
    </row>
    <row r="1815" ht="15" spans="1:34">
      <c r="A1815" s="143">
        <v>1772</v>
      </c>
      <c r="B1815" s="144">
        <v>45971</v>
      </c>
      <c r="C1815" s="169" t="s">
        <v>3646</v>
      </c>
      <c r="D1815" s="143" t="s">
        <v>41</v>
      </c>
      <c r="E1815" s="169" t="s">
        <v>5377</v>
      </c>
      <c r="F1815" s="177" t="s">
        <v>5537</v>
      </c>
      <c r="G1815" s="169" t="s">
        <v>5377</v>
      </c>
      <c r="H1815" s="143" t="s">
        <v>5538</v>
      </c>
      <c r="I1815" s="143" t="s">
        <v>5491</v>
      </c>
      <c r="J1815" s="143" t="s">
        <v>2815</v>
      </c>
      <c r="K1815" s="143">
        <v>150</v>
      </c>
      <c r="W1815" s="169" t="s">
        <v>3147</v>
      </c>
      <c r="X1815" s="143" t="s">
        <v>5539</v>
      </c>
      <c r="Y1815" s="169" t="s">
        <v>5381</v>
      </c>
      <c r="Z1815" s="143" t="s">
        <v>5539</v>
      </c>
      <c r="AA1815" s="173">
        <v>10.3</v>
      </c>
    </row>
    <row r="1816" ht="15" spans="1:34">
      <c r="A1816" s="143">
        <v>1773</v>
      </c>
      <c r="B1816" s="144">
        <v>45971</v>
      </c>
      <c r="C1816" s="143" t="s">
        <v>3148</v>
      </c>
      <c r="E1816" s="196" t="s">
        <v>5540</v>
      </c>
      <c r="F1816" s="177" t="s">
        <v>5541</v>
      </c>
      <c r="G1816" s="169"/>
      <c r="H1816" s="143" t="s">
        <v>5542</v>
      </c>
      <c r="I1816" s="155" t="s">
        <v>4238</v>
      </c>
      <c r="J1816" s="143" t="s">
        <v>4239</v>
      </c>
      <c r="K1816" s="143">
        <v>150</v>
      </c>
      <c r="L1816" s="143">
        <v>180</v>
      </c>
      <c r="Q1816" s="204">
        <v>3.5</v>
      </c>
      <c r="W1816" s="143" t="s">
        <v>3147</v>
      </c>
      <c r="X1816" s="143" t="s">
        <v>5541</v>
      </c>
      <c r="Y1816" s="143" t="s">
        <v>5543</v>
      </c>
      <c r="Z1816" s="143" t="s">
        <v>5541</v>
      </c>
      <c r="AA1816" s="173">
        <v>33.2</v>
      </c>
      <c r="AH1816" s="143" t="s">
        <v>609</v>
      </c>
    </row>
    <row r="1817" ht="15" spans="1:34">
      <c r="A1817" s="143">
        <v>1774</v>
      </c>
      <c r="B1817" s="144">
        <v>45971</v>
      </c>
      <c r="C1817" s="143" t="s">
        <v>3148</v>
      </c>
      <c r="E1817" s="196" t="s">
        <v>5540</v>
      </c>
      <c r="F1817" s="177" t="s">
        <v>5544</v>
      </c>
      <c r="H1817" s="143" t="s">
        <v>5545</v>
      </c>
      <c r="I1817" s="155" t="s">
        <v>4238</v>
      </c>
      <c r="J1817" s="143" t="s">
        <v>4239</v>
      </c>
      <c r="K1817" s="143">
        <v>150</v>
      </c>
      <c r="L1817" s="143">
        <v>150</v>
      </c>
      <c r="Q1817" s="204">
        <v>4.4</v>
      </c>
      <c r="W1817" s="143" t="s">
        <v>3147</v>
      </c>
      <c r="X1817" s="143" t="s">
        <v>5544</v>
      </c>
      <c r="Y1817" s="143" t="s">
        <v>5543</v>
      </c>
      <c r="Z1817" s="143" t="s">
        <v>5544</v>
      </c>
      <c r="AA1817" s="173">
        <v>43</v>
      </c>
    </row>
    <row r="1818" ht="15" spans="1:34">
      <c r="A1818" s="143">
        <v>1775</v>
      </c>
      <c r="B1818" s="144">
        <v>45971</v>
      </c>
      <c r="C1818" s="143" t="s">
        <v>3148</v>
      </c>
      <c r="E1818" s="196" t="s">
        <v>5540</v>
      </c>
      <c r="F1818" s="177" t="s">
        <v>5546</v>
      </c>
      <c r="H1818" s="143" t="s">
        <v>5547</v>
      </c>
      <c r="I1818" s="155" t="s">
        <v>4238</v>
      </c>
      <c r="J1818" s="143" t="s">
        <v>4239</v>
      </c>
      <c r="K1818" s="143">
        <v>150</v>
      </c>
      <c r="L1818" s="143">
        <v>150</v>
      </c>
      <c r="Q1818" s="204">
        <v>4.4</v>
      </c>
      <c r="W1818" s="143" t="s">
        <v>3147</v>
      </c>
      <c r="X1818" s="143" t="s">
        <v>5546</v>
      </c>
      <c r="Y1818" s="143" t="s">
        <v>5543</v>
      </c>
      <c r="Z1818" s="143" t="s">
        <v>5546</v>
      </c>
      <c r="AA1818" s="173">
        <v>43</v>
      </c>
    </row>
    <row r="1819" ht="15" spans="1:34">
      <c r="A1819" s="143">
        <v>1776</v>
      </c>
      <c r="B1819" s="144">
        <v>45971</v>
      </c>
      <c r="C1819" s="143" t="s">
        <v>3148</v>
      </c>
      <c r="E1819" s="196" t="s">
        <v>5540</v>
      </c>
      <c r="F1819" s="177" t="s">
        <v>5548</v>
      </c>
      <c r="H1819" s="209" t="s">
        <v>5549</v>
      </c>
      <c r="I1819" s="155" t="s">
        <v>5550</v>
      </c>
      <c r="J1819" s="143" t="s">
        <v>5551</v>
      </c>
      <c r="K1819" s="143">
        <v>150</v>
      </c>
      <c r="L1819" s="143">
        <v>180</v>
      </c>
      <c r="Q1819" s="204">
        <v>3.7</v>
      </c>
      <c r="W1819" s="143" t="s">
        <v>3147</v>
      </c>
      <c r="X1819" s="143" t="s">
        <v>5548</v>
      </c>
      <c r="Y1819" s="143" t="s">
        <v>5543</v>
      </c>
      <c r="Z1819" s="143" t="s">
        <v>5548</v>
      </c>
      <c r="AA1819" s="173">
        <v>47.3</v>
      </c>
    </row>
    <row r="1820" ht="15" spans="1:34">
      <c r="A1820" s="143">
        <v>1777</v>
      </c>
      <c r="B1820" s="144">
        <v>45971</v>
      </c>
      <c r="C1820" s="143" t="s">
        <v>3148</v>
      </c>
      <c r="E1820" s="196" t="s">
        <v>5540</v>
      </c>
      <c r="F1820" s="177" t="s">
        <v>5552</v>
      </c>
      <c r="H1820" s="143" t="s">
        <v>5553</v>
      </c>
      <c r="I1820" s="155" t="s">
        <v>2086</v>
      </c>
      <c r="J1820" s="143" t="s">
        <v>5551</v>
      </c>
      <c r="K1820" s="143">
        <v>150</v>
      </c>
      <c r="L1820" s="143">
        <v>180</v>
      </c>
      <c r="Q1820" s="204">
        <v>3.7</v>
      </c>
      <c r="W1820" s="143" t="s">
        <v>3147</v>
      </c>
      <c r="X1820" s="143" t="s">
        <v>5552</v>
      </c>
      <c r="Y1820" s="143" t="s">
        <v>5543</v>
      </c>
      <c r="Z1820" s="143" t="s">
        <v>5552</v>
      </c>
      <c r="AA1820" s="173">
        <v>47.2</v>
      </c>
    </row>
    <row r="1821" ht="15" spans="1:34">
      <c r="A1821" s="143">
        <v>1778</v>
      </c>
      <c r="B1821" s="144">
        <v>45971</v>
      </c>
      <c r="C1821" s="143" t="s">
        <v>3148</v>
      </c>
      <c r="E1821" s="196" t="s">
        <v>5540</v>
      </c>
      <c r="F1821" s="177" t="s">
        <v>5554</v>
      </c>
      <c r="H1821" s="143" t="s">
        <v>5555</v>
      </c>
      <c r="I1821" s="155" t="s">
        <v>3390</v>
      </c>
      <c r="J1821" s="143" t="s">
        <v>4144</v>
      </c>
      <c r="K1821" s="143">
        <v>150</v>
      </c>
      <c r="L1821" s="143">
        <v>250</v>
      </c>
      <c r="Q1821" s="204">
        <v>2.6</v>
      </c>
      <c r="W1821" s="143" t="s">
        <v>3147</v>
      </c>
      <c r="X1821" s="143" t="s">
        <v>5554</v>
      </c>
      <c r="Y1821" s="143" t="s">
        <v>5543</v>
      </c>
      <c r="Z1821" s="143" t="s">
        <v>5554</v>
      </c>
      <c r="AA1821" s="173">
        <v>46.2</v>
      </c>
      <c r="AH1821" s="143" t="s">
        <v>609</v>
      </c>
    </row>
    <row r="1822" ht="15" spans="1:34">
      <c r="A1822" s="143">
        <v>1779</v>
      </c>
      <c r="B1822" s="144">
        <v>45971</v>
      </c>
      <c r="C1822" s="143" t="s">
        <v>3148</v>
      </c>
      <c r="E1822" s="196" t="s">
        <v>5540</v>
      </c>
      <c r="F1822" s="177" t="s">
        <v>5556</v>
      </c>
      <c r="H1822" s="143" t="s">
        <v>5557</v>
      </c>
      <c r="I1822" s="155" t="s">
        <v>4238</v>
      </c>
      <c r="J1822" s="143" t="s">
        <v>4239</v>
      </c>
      <c r="K1822" s="143">
        <v>150</v>
      </c>
      <c r="L1822" s="143">
        <v>165</v>
      </c>
      <c r="Q1822" s="204">
        <v>4</v>
      </c>
      <c r="W1822" s="143" t="s">
        <v>3147</v>
      </c>
      <c r="X1822" s="143" t="s">
        <v>5556</v>
      </c>
      <c r="Y1822" s="143" t="s">
        <v>5543</v>
      </c>
      <c r="Z1822" s="143" t="s">
        <v>5556</v>
      </c>
      <c r="AA1822" s="173">
        <v>39.6</v>
      </c>
    </row>
    <row r="1823" ht="15" spans="1:34">
      <c r="A1823" s="143">
        <v>1780</v>
      </c>
      <c r="B1823" s="144">
        <v>45971</v>
      </c>
      <c r="C1823" s="143" t="s">
        <v>3148</v>
      </c>
      <c r="E1823" s="196" t="s">
        <v>5540</v>
      </c>
      <c r="F1823" s="177" t="s">
        <v>5558</v>
      </c>
      <c r="H1823" s="143" t="s">
        <v>5559</v>
      </c>
      <c r="I1823" s="155" t="s">
        <v>4238</v>
      </c>
      <c r="J1823" s="143" t="s">
        <v>4239</v>
      </c>
      <c r="K1823" s="143">
        <v>150</v>
      </c>
      <c r="L1823" s="143">
        <v>165</v>
      </c>
      <c r="Q1823" s="204">
        <v>4</v>
      </c>
      <c r="W1823" s="143" t="s">
        <v>3147</v>
      </c>
      <c r="X1823" s="143" t="s">
        <v>5558</v>
      </c>
      <c r="Y1823" s="143" t="s">
        <v>5543</v>
      </c>
      <c r="Z1823" s="143" t="s">
        <v>5558</v>
      </c>
      <c r="AA1823" s="173">
        <v>39.6</v>
      </c>
      <c r="AH1823" s="143" t="s">
        <v>609</v>
      </c>
    </row>
    <row r="1824" ht="15" spans="1:34">
      <c r="A1824" s="143">
        <v>1781</v>
      </c>
      <c r="B1824" s="144">
        <v>45971</v>
      </c>
      <c r="C1824" s="143" t="s">
        <v>3148</v>
      </c>
      <c r="E1824" s="196" t="s">
        <v>5540</v>
      </c>
      <c r="F1824" s="177" t="s">
        <v>1010</v>
      </c>
      <c r="H1824" s="143" t="s">
        <v>5560</v>
      </c>
      <c r="I1824" s="155" t="s">
        <v>4238</v>
      </c>
      <c r="J1824" s="143" t="s">
        <v>4239</v>
      </c>
      <c r="K1824" s="143">
        <v>150</v>
      </c>
      <c r="L1824" s="143">
        <v>220</v>
      </c>
      <c r="Q1824" s="204">
        <v>3.3</v>
      </c>
      <c r="W1824" s="143" t="s">
        <v>3147</v>
      </c>
      <c r="X1824" s="143" t="s">
        <v>1010</v>
      </c>
      <c r="Y1824" s="143" t="s">
        <v>5543</v>
      </c>
      <c r="Z1824" s="143" t="s">
        <v>1010</v>
      </c>
      <c r="AA1824" s="173">
        <v>30</v>
      </c>
      <c r="AH1824" s="143" t="s">
        <v>609</v>
      </c>
    </row>
    <row r="1825" ht="15" spans="1:34">
      <c r="A1825" s="143">
        <v>1782</v>
      </c>
      <c r="B1825" s="144">
        <v>45971</v>
      </c>
      <c r="C1825" s="143" t="s">
        <v>3148</v>
      </c>
      <c r="E1825" s="196" t="s">
        <v>5540</v>
      </c>
      <c r="F1825" s="177" t="s">
        <v>5561</v>
      </c>
      <c r="H1825" s="143" t="s">
        <v>5562</v>
      </c>
      <c r="I1825" s="155" t="s">
        <v>4238</v>
      </c>
      <c r="J1825" s="143" t="s">
        <v>4239</v>
      </c>
      <c r="K1825" s="143">
        <v>150</v>
      </c>
      <c r="L1825" s="143">
        <v>190</v>
      </c>
      <c r="Q1825" s="204">
        <v>3.3</v>
      </c>
      <c r="W1825" s="143" t="s">
        <v>3147</v>
      </c>
      <c r="X1825" s="143" t="s">
        <v>5561</v>
      </c>
      <c r="Y1825" s="143" t="s">
        <v>5543</v>
      </c>
      <c r="Z1825" s="143" t="s">
        <v>5561</v>
      </c>
      <c r="AA1825" s="173">
        <v>33.2</v>
      </c>
    </row>
    <row r="1826" ht="15" spans="1:34">
      <c r="A1826" s="143">
        <v>1783</v>
      </c>
      <c r="B1826" s="144">
        <v>45971</v>
      </c>
      <c r="C1826" s="143" t="s">
        <v>3148</v>
      </c>
      <c r="E1826" s="196" t="s">
        <v>5540</v>
      </c>
      <c r="F1826" s="177" t="s">
        <v>5563</v>
      </c>
      <c r="H1826" s="143" t="s">
        <v>5564</v>
      </c>
      <c r="I1826" s="155" t="s">
        <v>4238</v>
      </c>
      <c r="J1826" s="143" t="s">
        <v>4239</v>
      </c>
      <c r="K1826" s="143">
        <v>150</v>
      </c>
      <c r="L1826" s="143">
        <v>180</v>
      </c>
      <c r="Q1826" s="204">
        <v>3.7</v>
      </c>
      <c r="W1826" s="143" t="s">
        <v>3147</v>
      </c>
      <c r="X1826" s="143" t="s">
        <v>5563</v>
      </c>
      <c r="Y1826" s="143" t="s">
        <v>5543</v>
      </c>
      <c r="Z1826" s="143" t="s">
        <v>5563</v>
      </c>
      <c r="AA1826" s="173">
        <v>32.1</v>
      </c>
    </row>
    <row r="1827" ht="15" spans="1:34">
      <c r="A1827" s="143">
        <v>1784</v>
      </c>
      <c r="B1827" s="144">
        <v>45971</v>
      </c>
      <c r="C1827" s="143" t="s">
        <v>3148</v>
      </c>
      <c r="E1827" s="196" t="s">
        <v>5540</v>
      </c>
      <c r="F1827" s="177" t="s">
        <v>5565</v>
      </c>
      <c r="H1827" s="143" t="s">
        <v>5566</v>
      </c>
      <c r="I1827" s="155" t="s">
        <v>5567</v>
      </c>
      <c r="J1827" s="143" t="s">
        <v>5568</v>
      </c>
      <c r="K1827" s="143">
        <v>120</v>
      </c>
      <c r="L1827" s="143">
        <v>220</v>
      </c>
      <c r="Q1827" s="204">
        <v>3.7</v>
      </c>
      <c r="W1827" s="143" t="s">
        <v>3147</v>
      </c>
      <c r="X1827" s="143" t="s">
        <v>5565</v>
      </c>
      <c r="Y1827" s="143" t="s">
        <v>5543</v>
      </c>
      <c r="Z1827" s="143" t="s">
        <v>5565</v>
      </c>
      <c r="AA1827" s="173">
        <v>47.8</v>
      </c>
    </row>
    <row r="1828" ht="15" spans="1:34">
      <c r="A1828" s="143">
        <v>1785</v>
      </c>
      <c r="B1828" s="144">
        <v>45971</v>
      </c>
      <c r="C1828" s="143" t="s">
        <v>3148</v>
      </c>
      <c r="E1828" s="196" t="s">
        <v>5540</v>
      </c>
      <c r="F1828" s="177" t="s">
        <v>5569</v>
      </c>
      <c r="H1828" s="143" t="s">
        <v>5570</v>
      </c>
      <c r="I1828" s="155" t="s">
        <v>3218</v>
      </c>
      <c r="J1828" s="143" t="s">
        <v>1577</v>
      </c>
      <c r="K1828" s="143">
        <v>160</v>
      </c>
      <c r="L1828" s="143">
        <v>200</v>
      </c>
      <c r="Q1828" s="204">
        <v>3.1</v>
      </c>
      <c r="W1828" s="143" t="s">
        <v>3147</v>
      </c>
      <c r="X1828" s="143" t="s">
        <v>5569</v>
      </c>
      <c r="Y1828" s="143" t="s">
        <v>5543</v>
      </c>
      <c r="Z1828" s="143" t="s">
        <v>5569</v>
      </c>
      <c r="AA1828" s="173">
        <v>32</v>
      </c>
    </row>
    <row r="1829" ht="15" spans="1:34">
      <c r="A1829" s="143">
        <v>1786</v>
      </c>
      <c r="B1829" s="144">
        <v>45971</v>
      </c>
      <c r="C1829" s="143" t="s">
        <v>3148</v>
      </c>
      <c r="E1829" s="196" t="s">
        <v>5540</v>
      </c>
      <c r="F1829" s="177" t="s">
        <v>5571</v>
      </c>
      <c r="H1829" s="143" t="s">
        <v>5572</v>
      </c>
      <c r="I1829" s="155" t="s">
        <v>4238</v>
      </c>
      <c r="J1829" s="143" t="s">
        <v>4239</v>
      </c>
      <c r="K1829" s="143">
        <v>150</v>
      </c>
      <c r="L1829" s="143">
        <v>220</v>
      </c>
      <c r="Q1829" s="204">
        <v>3.3</v>
      </c>
      <c r="W1829" s="143" t="s">
        <v>3147</v>
      </c>
      <c r="X1829" s="143" t="s">
        <v>5571</v>
      </c>
      <c r="Y1829" s="143" t="s">
        <v>5543</v>
      </c>
      <c r="Z1829" s="143" t="s">
        <v>5571</v>
      </c>
      <c r="AA1829" s="173">
        <v>30.5</v>
      </c>
    </row>
    <row r="1830" ht="15" spans="1:34">
      <c r="A1830" s="143">
        <v>1787</v>
      </c>
      <c r="B1830" s="144">
        <v>45971</v>
      </c>
      <c r="C1830" s="143" t="s">
        <v>3148</v>
      </c>
      <c r="E1830" s="196" t="s">
        <v>5540</v>
      </c>
      <c r="F1830" s="177" t="s">
        <v>5573</v>
      </c>
      <c r="H1830" s="143" t="s">
        <v>5574</v>
      </c>
      <c r="I1830" s="155" t="s">
        <v>5575</v>
      </c>
      <c r="J1830" s="143" t="s">
        <v>5576</v>
      </c>
      <c r="K1830" s="143">
        <v>160</v>
      </c>
      <c r="L1830" s="143">
        <v>170</v>
      </c>
      <c r="Q1830" s="204">
        <v>3.6</v>
      </c>
      <c r="W1830" s="143" t="s">
        <v>3147</v>
      </c>
      <c r="X1830" s="143" t="s">
        <v>5573</v>
      </c>
      <c r="Y1830" s="143" t="s">
        <v>5543</v>
      </c>
      <c r="Z1830" s="143" t="s">
        <v>5573</v>
      </c>
      <c r="AA1830" s="173">
        <v>37</v>
      </c>
    </row>
    <row r="1831" ht="15" spans="1:34">
      <c r="A1831" s="143">
        <v>1788</v>
      </c>
      <c r="B1831" s="144">
        <v>45971</v>
      </c>
      <c r="C1831" s="143" t="s">
        <v>3148</v>
      </c>
      <c r="E1831" s="196" t="s">
        <v>5540</v>
      </c>
      <c r="F1831" s="177" t="s">
        <v>5577</v>
      </c>
      <c r="H1831" s="143" t="s">
        <v>5578</v>
      </c>
      <c r="I1831" s="155" t="s">
        <v>4238</v>
      </c>
      <c r="J1831" s="143" t="s">
        <v>4239</v>
      </c>
      <c r="K1831" s="143">
        <v>150</v>
      </c>
      <c r="L1831" s="143">
        <v>165</v>
      </c>
      <c r="Q1831" s="204">
        <v>4</v>
      </c>
      <c r="W1831" s="143" t="s">
        <v>3147</v>
      </c>
      <c r="X1831" s="143" t="s">
        <v>5577</v>
      </c>
      <c r="Y1831" s="143" t="s">
        <v>5543</v>
      </c>
      <c r="Z1831" s="143" t="s">
        <v>5577</v>
      </c>
      <c r="AA1831" s="173">
        <v>33.2</v>
      </c>
    </row>
    <row r="1832" ht="15" spans="1:34">
      <c r="A1832" s="143">
        <v>1789</v>
      </c>
      <c r="B1832" s="144">
        <v>45971</v>
      </c>
      <c r="C1832" s="143" t="s">
        <v>3148</v>
      </c>
      <c r="E1832" s="196" t="s">
        <v>5540</v>
      </c>
      <c r="F1832" s="177" t="s">
        <v>1010</v>
      </c>
      <c r="H1832" s="143" t="s">
        <v>5579</v>
      </c>
      <c r="I1832" s="155" t="s">
        <v>4238</v>
      </c>
      <c r="J1832" s="143" t="s">
        <v>4239</v>
      </c>
      <c r="K1832" s="143">
        <v>150</v>
      </c>
      <c r="L1832" s="143">
        <v>220</v>
      </c>
      <c r="Q1832" s="204">
        <v>3.3</v>
      </c>
      <c r="W1832" s="143" t="s">
        <v>3147</v>
      </c>
      <c r="X1832" s="143" t="s">
        <v>1010</v>
      </c>
      <c r="Y1832" s="143" t="s">
        <v>5543</v>
      </c>
      <c r="Z1832" s="143" t="s">
        <v>1010</v>
      </c>
      <c r="AA1832" s="173">
        <v>30</v>
      </c>
      <c r="AH1832" s="143" t="s">
        <v>609</v>
      </c>
    </row>
    <row r="1833" ht="15" spans="1:34">
      <c r="A1833" s="143">
        <v>1790</v>
      </c>
      <c r="B1833" s="144">
        <v>45971</v>
      </c>
      <c r="C1833" s="143" t="s">
        <v>3148</v>
      </c>
      <c r="E1833" s="196" t="s">
        <v>5540</v>
      </c>
      <c r="F1833" s="177" t="s">
        <v>5580</v>
      </c>
      <c r="H1833" s="143" t="s">
        <v>5581</v>
      </c>
      <c r="I1833" s="155" t="s">
        <v>5582</v>
      </c>
      <c r="K1833" s="143">
        <v>150</v>
      </c>
      <c r="L1833" s="143">
        <v>260</v>
      </c>
      <c r="Q1833" s="204">
        <v>4.3</v>
      </c>
      <c r="W1833" s="143" t="s">
        <v>3147</v>
      </c>
      <c r="X1833" s="143" t="s">
        <v>5580</v>
      </c>
      <c r="Y1833" s="143" t="s">
        <v>5543</v>
      </c>
      <c r="Z1833" s="143" t="s">
        <v>5580</v>
      </c>
      <c r="AA1833" s="173">
        <v>44</v>
      </c>
      <c r="AH1833" s="143" t="s">
        <v>609</v>
      </c>
    </row>
    <row r="1834" ht="15" spans="1:34">
      <c r="A1834" s="143">
        <v>1791</v>
      </c>
      <c r="B1834" s="144">
        <v>45971</v>
      </c>
      <c r="C1834" s="143" t="s">
        <v>3148</v>
      </c>
      <c r="E1834" s="196" t="s">
        <v>5540</v>
      </c>
      <c r="F1834" s="177" t="s">
        <v>5583</v>
      </c>
      <c r="H1834" s="143" t="s">
        <v>5584</v>
      </c>
      <c r="I1834" s="155" t="s">
        <v>5582</v>
      </c>
      <c r="K1834" s="143">
        <v>165</v>
      </c>
      <c r="L1834" s="143">
        <v>140</v>
      </c>
      <c r="Q1834" s="204">
        <v>4.3</v>
      </c>
      <c r="W1834" s="143" t="s">
        <v>3147</v>
      </c>
      <c r="X1834" s="143" t="s">
        <v>5583</v>
      </c>
      <c r="Y1834" s="143" t="s">
        <v>5543</v>
      </c>
      <c r="Z1834" s="143" t="s">
        <v>5583</v>
      </c>
      <c r="AA1834" s="173">
        <v>44</v>
      </c>
    </row>
    <row r="1835" ht="15" spans="1:34">
      <c r="A1835" s="143">
        <v>1792</v>
      </c>
      <c r="B1835" s="144">
        <v>45971</v>
      </c>
      <c r="C1835" s="143" t="s">
        <v>3148</v>
      </c>
      <c r="E1835" s="196" t="s">
        <v>5540</v>
      </c>
      <c r="F1835" s="177" t="s">
        <v>5585</v>
      </c>
      <c r="H1835" s="143" t="s">
        <v>5586</v>
      </c>
      <c r="I1835" s="155" t="s">
        <v>5587</v>
      </c>
      <c r="J1835" s="143" t="s">
        <v>4239</v>
      </c>
      <c r="K1835" s="143">
        <v>150</v>
      </c>
      <c r="L1835" s="143">
        <v>220</v>
      </c>
      <c r="Q1835" s="204"/>
      <c r="W1835" s="143" t="s">
        <v>3147</v>
      </c>
      <c r="X1835" s="143" t="s">
        <v>5585</v>
      </c>
      <c r="Y1835" s="143" t="s">
        <v>5543</v>
      </c>
      <c r="Z1835" s="143" t="s">
        <v>5585</v>
      </c>
      <c r="AA1835" s="173">
        <v>15</v>
      </c>
    </row>
    <row r="1836" ht="15" spans="1:34">
      <c r="A1836" s="143">
        <v>1793</v>
      </c>
      <c r="B1836" s="144">
        <v>45971</v>
      </c>
      <c r="C1836" s="143" t="s">
        <v>3148</v>
      </c>
      <c r="E1836" s="196" t="s">
        <v>5540</v>
      </c>
      <c r="F1836" s="177" t="s">
        <v>5588</v>
      </c>
      <c r="H1836" s="143" t="s">
        <v>5589</v>
      </c>
      <c r="I1836" s="155" t="s">
        <v>5587</v>
      </c>
      <c r="J1836" s="143" t="s">
        <v>4239</v>
      </c>
      <c r="K1836" s="143">
        <v>145</v>
      </c>
      <c r="Q1836" s="204"/>
      <c r="W1836" s="143" t="s">
        <v>3147</v>
      </c>
      <c r="X1836" s="143" t="s">
        <v>5588</v>
      </c>
      <c r="Y1836" s="143" t="s">
        <v>5543</v>
      </c>
      <c r="Z1836" s="143" t="s">
        <v>5588</v>
      </c>
      <c r="AA1836" s="173">
        <v>15.5</v>
      </c>
    </row>
    <row r="1837" ht="15" spans="1:34">
      <c r="A1837" s="143">
        <v>1794</v>
      </c>
      <c r="B1837" s="144">
        <v>45971</v>
      </c>
      <c r="C1837" s="143" t="s">
        <v>3148</v>
      </c>
      <c r="E1837" s="196" t="s">
        <v>5540</v>
      </c>
      <c r="F1837" s="177" t="s">
        <v>5590</v>
      </c>
      <c r="H1837" s="143" t="s">
        <v>5591</v>
      </c>
      <c r="I1837" s="155" t="s">
        <v>5587</v>
      </c>
      <c r="J1837" s="143" t="s">
        <v>4239</v>
      </c>
      <c r="K1837" s="143">
        <v>140</v>
      </c>
      <c r="L1837" s="143">
        <v>180</v>
      </c>
      <c r="Q1837" s="204"/>
      <c r="W1837" s="143" t="s">
        <v>3147</v>
      </c>
      <c r="X1837" s="143" t="s">
        <v>5590</v>
      </c>
      <c r="Y1837" s="143" t="s">
        <v>5543</v>
      </c>
      <c r="Z1837" s="143" t="s">
        <v>5590</v>
      </c>
      <c r="AA1837" s="173">
        <v>15.5</v>
      </c>
    </row>
    <row r="1838" ht="15" spans="1:34">
      <c r="A1838" s="143">
        <v>1795</v>
      </c>
      <c r="B1838" s="144">
        <v>45971</v>
      </c>
      <c r="C1838" s="143" t="s">
        <v>3148</v>
      </c>
      <c r="E1838" s="196" t="s">
        <v>5540</v>
      </c>
      <c r="F1838" s="177" t="s">
        <v>5592</v>
      </c>
      <c r="H1838" s="143" t="s">
        <v>5593</v>
      </c>
      <c r="I1838" s="155" t="s">
        <v>3170</v>
      </c>
      <c r="J1838" s="143" t="s">
        <v>3727</v>
      </c>
      <c r="K1838" s="143">
        <v>150</v>
      </c>
      <c r="L1838" s="143">
        <v>210</v>
      </c>
      <c r="Q1838" s="204">
        <v>3</v>
      </c>
      <c r="W1838" s="143" t="s">
        <v>3147</v>
      </c>
      <c r="X1838" s="143" t="s">
        <v>5592</v>
      </c>
      <c r="Y1838" s="143" t="s">
        <v>5543</v>
      </c>
      <c r="Z1838" s="143" t="s">
        <v>5592</v>
      </c>
      <c r="AA1838" s="173">
        <v>41.8</v>
      </c>
    </row>
    <row r="1839" ht="15" spans="1:34">
      <c r="A1839" s="143">
        <v>1796</v>
      </c>
      <c r="B1839" s="144">
        <v>45971</v>
      </c>
      <c r="C1839" s="143" t="s">
        <v>3148</v>
      </c>
      <c r="E1839" s="196" t="s">
        <v>5540</v>
      </c>
      <c r="F1839" s="177" t="s">
        <v>5594</v>
      </c>
      <c r="H1839" s="143" t="s">
        <v>5595</v>
      </c>
      <c r="I1839" s="155" t="s">
        <v>3224</v>
      </c>
      <c r="J1839" s="143" t="s">
        <v>1577</v>
      </c>
      <c r="K1839" s="143">
        <v>150</v>
      </c>
      <c r="L1839" s="143">
        <v>250</v>
      </c>
      <c r="Q1839" s="204">
        <v>2.6</v>
      </c>
      <c r="W1839" s="143" t="s">
        <v>3147</v>
      </c>
      <c r="X1839" s="143" t="s">
        <v>5594</v>
      </c>
      <c r="Y1839" s="143" t="s">
        <v>5543</v>
      </c>
      <c r="Z1839" s="143" t="s">
        <v>5594</v>
      </c>
      <c r="AA1839" s="173">
        <v>41.8</v>
      </c>
      <c r="AH1839" s="143" t="s">
        <v>609</v>
      </c>
    </row>
    <row r="1840" ht="15" spans="1:34">
      <c r="A1840" s="143">
        <v>1797</v>
      </c>
      <c r="B1840" s="144">
        <v>45971</v>
      </c>
      <c r="C1840" s="143" t="s">
        <v>3148</v>
      </c>
      <c r="E1840" s="196" t="s">
        <v>5540</v>
      </c>
      <c r="F1840" s="177" t="s">
        <v>5596</v>
      </c>
      <c r="H1840" s="143" t="s">
        <v>5597</v>
      </c>
      <c r="I1840" s="155" t="s">
        <v>3390</v>
      </c>
      <c r="J1840" s="143" t="s">
        <v>3657</v>
      </c>
      <c r="K1840" s="143">
        <v>150</v>
      </c>
      <c r="L1840" s="143">
        <v>200</v>
      </c>
      <c r="Q1840" s="204">
        <v>3.3</v>
      </c>
      <c r="W1840" s="143" t="s">
        <v>3147</v>
      </c>
      <c r="X1840" s="143" t="s">
        <v>5596</v>
      </c>
      <c r="Y1840" s="143" t="s">
        <v>5543</v>
      </c>
      <c r="Z1840" s="143" t="s">
        <v>5596</v>
      </c>
      <c r="AA1840" s="173">
        <v>33.2</v>
      </c>
    </row>
    <row r="1841" ht="15" spans="1:34">
      <c r="A1841" s="143">
        <v>1798</v>
      </c>
      <c r="B1841" s="144">
        <v>45971</v>
      </c>
      <c r="C1841" s="143" t="s">
        <v>3148</v>
      </c>
      <c r="E1841" s="196" t="s">
        <v>5540</v>
      </c>
      <c r="F1841" s="177" t="s">
        <v>5598</v>
      </c>
      <c r="H1841" s="143" t="s">
        <v>5599</v>
      </c>
      <c r="I1841" s="155" t="s">
        <v>3390</v>
      </c>
      <c r="J1841" s="143" t="s">
        <v>3657</v>
      </c>
      <c r="K1841" s="143">
        <v>150</v>
      </c>
      <c r="L1841" s="143">
        <v>200</v>
      </c>
      <c r="Q1841" s="204">
        <v>3.3</v>
      </c>
      <c r="W1841" s="143" t="s">
        <v>3147</v>
      </c>
      <c r="X1841" s="143" t="s">
        <v>5598</v>
      </c>
      <c r="Y1841" s="143" t="s">
        <v>5543</v>
      </c>
      <c r="Z1841" s="143" t="s">
        <v>5598</v>
      </c>
      <c r="AA1841" s="173">
        <v>33</v>
      </c>
    </row>
    <row r="1842" ht="15" spans="1:34">
      <c r="A1842" s="143">
        <v>1799</v>
      </c>
      <c r="B1842" s="144">
        <v>45971</v>
      </c>
      <c r="C1842" s="143" t="s">
        <v>3148</v>
      </c>
      <c r="E1842" s="196" t="s">
        <v>5540</v>
      </c>
      <c r="F1842" s="177" t="s">
        <v>5600</v>
      </c>
      <c r="H1842" s="143" t="s">
        <v>5601</v>
      </c>
      <c r="I1842" s="155" t="s">
        <v>5587</v>
      </c>
      <c r="J1842" s="143" t="s">
        <v>5602</v>
      </c>
      <c r="K1842" s="143">
        <v>150</v>
      </c>
      <c r="L1842" s="143">
        <v>170</v>
      </c>
      <c r="Q1842" s="204">
        <v>3.9</v>
      </c>
      <c r="W1842" s="143" t="s">
        <v>3147</v>
      </c>
      <c r="X1842" s="143" t="s">
        <v>5600</v>
      </c>
      <c r="Y1842" s="143" t="s">
        <v>5543</v>
      </c>
      <c r="Z1842" s="143" t="s">
        <v>5600</v>
      </c>
      <c r="AA1842" s="173">
        <v>39.6</v>
      </c>
      <c r="AH1842" s="143" t="s">
        <v>609</v>
      </c>
    </row>
    <row r="1843" ht="15" spans="1:34">
      <c r="A1843" s="143">
        <v>1800</v>
      </c>
      <c r="B1843" s="144">
        <v>45971</v>
      </c>
      <c r="C1843" s="143" t="s">
        <v>3148</v>
      </c>
      <c r="E1843" s="196" t="s">
        <v>5540</v>
      </c>
      <c r="F1843" s="177" t="s">
        <v>5603</v>
      </c>
      <c r="H1843" s="143" t="s">
        <v>5604</v>
      </c>
      <c r="I1843" s="155" t="s">
        <v>3170</v>
      </c>
      <c r="J1843" s="143" t="s">
        <v>3727</v>
      </c>
      <c r="K1843" s="143">
        <v>150</v>
      </c>
      <c r="L1843" s="143">
        <v>220</v>
      </c>
      <c r="Q1843" s="204">
        <v>3</v>
      </c>
      <c r="W1843" s="143" t="s">
        <v>3147</v>
      </c>
      <c r="X1843" s="143" t="s">
        <v>5603</v>
      </c>
      <c r="Y1843" s="143" t="s">
        <v>5543</v>
      </c>
      <c r="Z1843" s="143" t="s">
        <v>5603</v>
      </c>
      <c r="AA1843" s="173">
        <v>39.6</v>
      </c>
    </row>
    <row r="1844" ht="15" spans="1:34">
      <c r="A1844" s="143">
        <v>1801</v>
      </c>
      <c r="B1844" s="144">
        <v>45971</v>
      </c>
      <c r="C1844" s="143" t="s">
        <v>3148</v>
      </c>
      <c r="E1844" s="196" t="s">
        <v>5540</v>
      </c>
      <c r="F1844" s="177" t="s">
        <v>5605</v>
      </c>
      <c r="H1844" s="143" t="s">
        <v>5606</v>
      </c>
      <c r="I1844" s="155" t="s">
        <v>3170</v>
      </c>
      <c r="J1844" s="143" t="s">
        <v>3727</v>
      </c>
      <c r="K1844" s="143">
        <v>150</v>
      </c>
      <c r="L1844" s="143">
        <v>220</v>
      </c>
      <c r="Q1844" s="204">
        <v>3</v>
      </c>
      <c r="W1844" s="143" t="s">
        <v>3147</v>
      </c>
      <c r="X1844" s="143" t="s">
        <v>5605</v>
      </c>
      <c r="Y1844" s="143" t="s">
        <v>5543</v>
      </c>
      <c r="Z1844" s="143" t="s">
        <v>5605</v>
      </c>
      <c r="AA1844" s="173">
        <v>39.6</v>
      </c>
    </row>
    <row r="1845" ht="15" spans="1:34">
      <c r="A1845" s="143">
        <v>1802</v>
      </c>
      <c r="B1845" s="144">
        <v>45971</v>
      </c>
      <c r="C1845" s="143" t="s">
        <v>3148</v>
      </c>
      <c r="E1845" s="196" t="s">
        <v>5540</v>
      </c>
      <c r="F1845" s="177" t="s">
        <v>5607</v>
      </c>
      <c r="H1845" s="209" t="s">
        <v>5608</v>
      </c>
      <c r="I1845" s="155" t="s">
        <v>5587</v>
      </c>
      <c r="J1845" s="143" t="s">
        <v>4239</v>
      </c>
      <c r="K1845" s="143">
        <v>150</v>
      </c>
      <c r="L1845" s="143">
        <v>220</v>
      </c>
      <c r="Q1845" s="204">
        <v>3</v>
      </c>
      <c r="W1845" s="143" t="s">
        <v>3147</v>
      </c>
      <c r="X1845" s="143" t="s">
        <v>5607</v>
      </c>
      <c r="Y1845" s="143" t="s">
        <v>5543</v>
      </c>
      <c r="Z1845" s="143" t="s">
        <v>5607</v>
      </c>
      <c r="AA1845" s="173">
        <v>33</v>
      </c>
    </row>
    <row r="1846" ht="15" spans="1:34">
      <c r="A1846" s="143">
        <v>1803</v>
      </c>
      <c r="B1846" s="144">
        <v>45971</v>
      </c>
      <c r="C1846" s="143" t="s">
        <v>3148</v>
      </c>
      <c r="E1846" s="196" t="s">
        <v>5540</v>
      </c>
      <c r="F1846" s="177" t="s">
        <v>5609</v>
      </c>
      <c r="H1846" s="143" t="s">
        <v>5610</v>
      </c>
      <c r="I1846" s="155" t="s">
        <v>5611</v>
      </c>
      <c r="J1846" s="143" t="s">
        <v>5612</v>
      </c>
      <c r="K1846" s="143">
        <v>145</v>
      </c>
      <c r="L1846" s="143">
        <v>220</v>
      </c>
      <c r="Q1846" s="204">
        <v>3.1</v>
      </c>
      <c r="W1846" s="143" t="s">
        <v>3147</v>
      </c>
      <c r="X1846" s="143" t="s">
        <v>5609</v>
      </c>
      <c r="Y1846" s="143" t="s">
        <v>5543</v>
      </c>
      <c r="Z1846" s="143" t="s">
        <v>5609</v>
      </c>
      <c r="AA1846" s="173">
        <v>41.3</v>
      </c>
    </row>
    <row r="1847" ht="15" spans="1:34">
      <c r="A1847" s="143">
        <v>1804</v>
      </c>
      <c r="B1847" s="144">
        <v>45971</v>
      </c>
      <c r="C1847" s="143" t="s">
        <v>3148</v>
      </c>
      <c r="E1847" s="196" t="s">
        <v>5540</v>
      </c>
      <c r="F1847" s="177" t="s">
        <v>5613</v>
      </c>
      <c r="H1847" s="143" t="s">
        <v>5614</v>
      </c>
      <c r="I1847" s="155" t="s">
        <v>510</v>
      </c>
      <c r="J1847" s="143" t="s">
        <v>5615</v>
      </c>
      <c r="K1847" s="143">
        <v>140</v>
      </c>
      <c r="L1847" s="143">
        <v>200</v>
      </c>
      <c r="Q1847" s="204">
        <v>3.6</v>
      </c>
      <c r="W1847" s="143" t="s">
        <v>3147</v>
      </c>
      <c r="X1847" s="143" t="s">
        <v>5613</v>
      </c>
      <c r="Y1847" s="143" t="s">
        <v>5543</v>
      </c>
      <c r="Z1847" s="143" t="s">
        <v>5613</v>
      </c>
      <c r="AA1847" s="173">
        <v>31.6</v>
      </c>
    </row>
    <row r="1848" ht="15" spans="1:34">
      <c r="A1848" s="143">
        <v>1805</v>
      </c>
      <c r="B1848" s="144">
        <v>45971</v>
      </c>
      <c r="C1848" s="143" t="s">
        <v>3148</v>
      </c>
      <c r="E1848" s="196" t="s">
        <v>5540</v>
      </c>
      <c r="F1848" s="177" t="s">
        <v>5616</v>
      </c>
      <c r="H1848" s="143" t="s">
        <v>5617</v>
      </c>
      <c r="I1848" s="155" t="s">
        <v>5587</v>
      </c>
      <c r="J1848" s="143" t="s">
        <v>4239</v>
      </c>
      <c r="K1848" s="143">
        <v>150</v>
      </c>
      <c r="L1848" s="143">
        <v>170</v>
      </c>
      <c r="Q1848" s="204">
        <v>3.8</v>
      </c>
      <c r="W1848" s="143" t="s">
        <v>3147</v>
      </c>
      <c r="X1848" s="143" t="s">
        <v>5616</v>
      </c>
      <c r="Y1848" s="143" t="s">
        <v>5543</v>
      </c>
      <c r="Z1848" s="143" t="s">
        <v>5616</v>
      </c>
      <c r="AA1848" s="173">
        <v>25.3</v>
      </c>
    </row>
    <row r="1849" ht="15" spans="1:34">
      <c r="A1849" s="143">
        <v>1806</v>
      </c>
      <c r="B1849" s="144">
        <v>45971</v>
      </c>
      <c r="C1849" s="143" t="s">
        <v>3148</v>
      </c>
      <c r="E1849" s="196" t="s">
        <v>5540</v>
      </c>
      <c r="F1849" s="177" t="s">
        <v>5618</v>
      </c>
      <c r="H1849" s="143" t="s">
        <v>5619</v>
      </c>
      <c r="I1849" s="155" t="s">
        <v>5587</v>
      </c>
      <c r="J1849" s="143" t="s">
        <v>4239</v>
      </c>
      <c r="K1849" s="143">
        <v>150</v>
      </c>
      <c r="L1849" s="143">
        <v>180</v>
      </c>
      <c r="Q1849" s="204">
        <v>3.8</v>
      </c>
      <c r="W1849" s="143" t="s">
        <v>3147</v>
      </c>
      <c r="X1849" s="143" t="s">
        <v>5618</v>
      </c>
      <c r="Y1849" s="143" t="s">
        <v>5543</v>
      </c>
      <c r="Z1849" s="143" t="s">
        <v>5618</v>
      </c>
      <c r="AA1849" s="173">
        <v>25.3</v>
      </c>
    </row>
    <row r="1850" ht="15" spans="1:34">
      <c r="A1850" s="143">
        <v>1807</v>
      </c>
      <c r="B1850" s="144">
        <v>45971</v>
      </c>
      <c r="C1850" s="143" t="s">
        <v>3148</v>
      </c>
      <c r="E1850" s="196" t="s">
        <v>5540</v>
      </c>
      <c r="F1850" s="177" t="s">
        <v>5620</v>
      </c>
      <c r="H1850" s="143" t="s">
        <v>5621</v>
      </c>
      <c r="I1850" s="155" t="s">
        <v>5587</v>
      </c>
      <c r="J1850" s="143" t="s">
        <v>4239</v>
      </c>
      <c r="K1850" s="143">
        <v>150</v>
      </c>
      <c r="L1850" s="143">
        <v>180</v>
      </c>
      <c r="Q1850" s="204">
        <v>3.7</v>
      </c>
      <c r="W1850" s="143" t="s">
        <v>3147</v>
      </c>
      <c r="X1850" s="143" t="s">
        <v>5620</v>
      </c>
      <c r="Y1850" s="143" t="s">
        <v>5543</v>
      </c>
      <c r="Z1850" s="143" t="s">
        <v>5620</v>
      </c>
      <c r="AA1850" s="173">
        <v>26.3</v>
      </c>
      <c r="AH1850" s="143" t="s">
        <v>609</v>
      </c>
    </row>
    <row r="1851" ht="15" spans="1:34">
      <c r="A1851" s="143">
        <v>1808</v>
      </c>
      <c r="B1851" s="144">
        <v>45971</v>
      </c>
      <c r="C1851" s="143" t="s">
        <v>3148</v>
      </c>
      <c r="E1851" s="196" t="s">
        <v>5540</v>
      </c>
      <c r="F1851" s="177" t="s">
        <v>5622</v>
      </c>
      <c r="H1851" s="143" t="s">
        <v>5623</v>
      </c>
      <c r="I1851" s="155" t="s">
        <v>5587</v>
      </c>
      <c r="J1851" s="143" t="s">
        <v>4239</v>
      </c>
      <c r="K1851" s="143">
        <v>150</v>
      </c>
      <c r="L1851" s="143">
        <v>180</v>
      </c>
      <c r="Q1851" s="204">
        <v>3.7</v>
      </c>
      <c r="W1851" s="143" t="s">
        <v>3147</v>
      </c>
      <c r="X1851" s="143" t="s">
        <v>5622</v>
      </c>
      <c r="Y1851" s="143" t="s">
        <v>5543</v>
      </c>
      <c r="Z1851" s="143" t="s">
        <v>5622</v>
      </c>
      <c r="AA1851" s="173">
        <v>26.3</v>
      </c>
    </row>
    <row r="1852" ht="15" spans="1:34">
      <c r="A1852" s="143">
        <v>1809</v>
      </c>
      <c r="B1852" s="144">
        <v>45971</v>
      </c>
      <c r="C1852" s="143" t="s">
        <v>3148</v>
      </c>
      <c r="E1852" s="196" t="s">
        <v>5540</v>
      </c>
      <c r="F1852" s="177" t="s">
        <v>5624</v>
      </c>
      <c r="H1852" s="143" t="s">
        <v>5625</v>
      </c>
      <c r="I1852" s="155" t="s">
        <v>3170</v>
      </c>
      <c r="J1852" s="143" t="s">
        <v>3727</v>
      </c>
      <c r="K1852" s="143">
        <v>150</v>
      </c>
      <c r="L1852" s="143">
        <v>130</v>
      </c>
      <c r="Q1852" s="204">
        <v>5.1</v>
      </c>
      <c r="W1852" s="143" t="s">
        <v>3147</v>
      </c>
      <c r="X1852" s="143" t="s">
        <v>5624</v>
      </c>
      <c r="Y1852" s="143" t="s">
        <v>5543</v>
      </c>
      <c r="Z1852" s="143" t="s">
        <v>5624</v>
      </c>
      <c r="AA1852" s="173">
        <v>34.3</v>
      </c>
    </row>
    <row r="1853" ht="15" spans="1:34">
      <c r="A1853" s="143">
        <v>1810</v>
      </c>
      <c r="B1853" s="144">
        <v>45971</v>
      </c>
      <c r="C1853" s="143" t="s">
        <v>3148</v>
      </c>
      <c r="E1853" s="196" t="s">
        <v>5540</v>
      </c>
      <c r="F1853" s="177" t="s">
        <v>5626</v>
      </c>
      <c r="H1853" s="143" t="s">
        <v>5627</v>
      </c>
      <c r="I1853" s="155" t="s">
        <v>4775</v>
      </c>
      <c r="J1853" s="143" t="s">
        <v>2913</v>
      </c>
      <c r="K1853" s="143">
        <v>140</v>
      </c>
      <c r="L1853" s="143">
        <v>220</v>
      </c>
      <c r="Q1853" s="204">
        <v>3.1</v>
      </c>
      <c r="W1853" s="143" t="s">
        <v>3147</v>
      </c>
      <c r="X1853" s="143" t="s">
        <v>5626</v>
      </c>
      <c r="Y1853" s="143" t="s">
        <v>5543</v>
      </c>
      <c r="Z1853" s="143" t="s">
        <v>5626</v>
      </c>
      <c r="AA1853" s="173">
        <v>46.2</v>
      </c>
    </row>
    <row r="1854" ht="15" spans="1:34">
      <c r="A1854" s="143">
        <v>1811</v>
      </c>
      <c r="B1854" s="144">
        <v>45971</v>
      </c>
      <c r="C1854" s="143" t="s">
        <v>3148</v>
      </c>
      <c r="E1854" s="196" t="s">
        <v>5540</v>
      </c>
      <c r="F1854" s="177" t="s">
        <v>5628</v>
      </c>
      <c r="H1854" s="143" t="s">
        <v>5629</v>
      </c>
      <c r="I1854" s="155" t="s">
        <v>3170</v>
      </c>
      <c r="J1854" s="143" t="s">
        <v>3727</v>
      </c>
      <c r="K1854" s="143">
        <v>150</v>
      </c>
      <c r="L1854" s="143">
        <v>200</v>
      </c>
      <c r="Q1854" s="204">
        <v>3.3</v>
      </c>
      <c r="W1854" s="143" t="s">
        <v>3147</v>
      </c>
      <c r="X1854" s="143" t="s">
        <v>5628</v>
      </c>
      <c r="Y1854" s="143" t="s">
        <v>5543</v>
      </c>
      <c r="Z1854" s="143" t="s">
        <v>5628</v>
      </c>
      <c r="AA1854" s="173">
        <v>38.8</v>
      </c>
    </row>
    <row r="1855" ht="15" spans="1:34">
      <c r="A1855" s="143">
        <v>1812</v>
      </c>
      <c r="B1855" s="144">
        <v>45971</v>
      </c>
      <c r="C1855" s="143" t="s">
        <v>3148</v>
      </c>
      <c r="E1855" s="196" t="s">
        <v>5540</v>
      </c>
      <c r="F1855" s="177" t="s">
        <v>5630</v>
      </c>
      <c r="H1855" s="143" t="s">
        <v>5631</v>
      </c>
      <c r="I1855" s="155" t="s">
        <v>4238</v>
      </c>
      <c r="J1855" s="143" t="s">
        <v>5602</v>
      </c>
      <c r="K1855" s="143">
        <v>150</v>
      </c>
      <c r="L1855" s="143">
        <v>180</v>
      </c>
      <c r="Q1855" s="204">
        <v>3.8</v>
      </c>
      <c r="W1855" s="143" t="s">
        <v>3147</v>
      </c>
      <c r="X1855" s="143" t="s">
        <v>5630</v>
      </c>
      <c r="Y1855" s="143" t="s">
        <v>5543</v>
      </c>
      <c r="Z1855" s="143" t="s">
        <v>5630</v>
      </c>
      <c r="AA1855" s="173">
        <v>30</v>
      </c>
    </row>
    <row r="1856" ht="15" spans="1:34">
      <c r="A1856" s="143">
        <v>1813</v>
      </c>
      <c r="B1856" s="144">
        <v>45971</v>
      </c>
      <c r="C1856" s="143" t="s">
        <v>3148</v>
      </c>
      <c r="E1856" s="196" t="s">
        <v>5540</v>
      </c>
      <c r="F1856" s="177" t="s">
        <v>5632</v>
      </c>
      <c r="H1856" s="143" t="s">
        <v>5633</v>
      </c>
      <c r="I1856" s="155" t="s">
        <v>5587</v>
      </c>
      <c r="J1856" s="143" t="s">
        <v>5602</v>
      </c>
      <c r="K1856" s="143">
        <v>150</v>
      </c>
      <c r="L1856" s="143">
        <v>220</v>
      </c>
      <c r="Q1856" s="204">
        <v>3</v>
      </c>
      <c r="W1856" s="143" t="s">
        <v>3147</v>
      </c>
      <c r="X1856" s="143" t="s">
        <v>5632</v>
      </c>
      <c r="Y1856" s="143" t="s">
        <v>5543</v>
      </c>
      <c r="Z1856" s="143" t="s">
        <v>5632</v>
      </c>
      <c r="AA1856" s="173">
        <v>30</v>
      </c>
    </row>
    <row r="1857" ht="15" spans="1:34">
      <c r="A1857" s="143">
        <v>1814</v>
      </c>
      <c r="B1857" s="144">
        <v>45971</v>
      </c>
      <c r="C1857" s="143" t="s">
        <v>3148</v>
      </c>
      <c r="E1857" s="196" t="s">
        <v>5540</v>
      </c>
      <c r="F1857" s="177" t="s">
        <v>5630</v>
      </c>
      <c r="H1857" s="143" t="s">
        <v>5634</v>
      </c>
      <c r="I1857" s="155" t="s">
        <v>5587</v>
      </c>
      <c r="J1857" s="143" t="s">
        <v>5602</v>
      </c>
      <c r="K1857" s="143">
        <v>150</v>
      </c>
      <c r="L1857" s="143">
        <v>180</v>
      </c>
      <c r="Q1857" s="204">
        <v>3.8</v>
      </c>
      <c r="W1857" s="143" t="s">
        <v>3147</v>
      </c>
      <c r="X1857" s="143" t="s">
        <v>5630</v>
      </c>
      <c r="Y1857" s="143" t="s">
        <v>5543</v>
      </c>
      <c r="Z1857" s="143" t="s">
        <v>5630</v>
      </c>
      <c r="AA1857" s="173">
        <v>30</v>
      </c>
    </row>
    <row r="1858" ht="15" spans="1:34">
      <c r="A1858" s="143">
        <v>1815</v>
      </c>
      <c r="B1858" s="144">
        <v>45971</v>
      </c>
      <c r="C1858" s="143" t="s">
        <v>3148</v>
      </c>
      <c r="E1858" s="196" t="s">
        <v>5540</v>
      </c>
      <c r="F1858" s="177" t="s">
        <v>5624</v>
      </c>
      <c r="H1858" s="143" t="s">
        <v>5635</v>
      </c>
      <c r="I1858" s="155" t="s">
        <v>3170</v>
      </c>
      <c r="J1858" s="143" t="s">
        <v>3727</v>
      </c>
      <c r="K1858" s="143">
        <v>150</v>
      </c>
      <c r="L1858" s="143">
        <v>130</v>
      </c>
      <c r="Q1858" s="204">
        <v>5.1</v>
      </c>
      <c r="W1858" s="143" t="s">
        <v>3147</v>
      </c>
      <c r="X1858" s="143" t="s">
        <v>5624</v>
      </c>
      <c r="Y1858" s="143" t="s">
        <v>5543</v>
      </c>
      <c r="Z1858" s="143" t="s">
        <v>5624</v>
      </c>
      <c r="AA1858" s="173">
        <v>34.3</v>
      </c>
    </row>
    <row r="1859" ht="15" spans="1:34">
      <c r="A1859" s="143">
        <v>1816</v>
      </c>
      <c r="B1859" s="144">
        <v>45971</v>
      </c>
      <c r="C1859" s="143" t="s">
        <v>3148</v>
      </c>
      <c r="E1859" s="196" t="s">
        <v>5540</v>
      </c>
      <c r="F1859" s="177" t="s">
        <v>5636</v>
      </c>
      <c r="H1859" s="143" t="s">
        <v>5637</v>
      </c>
      <c r="I1859" s="155" t="s">
        <v>5587</v>
      </c>
      <c r="J1859" s="143" t="s">
        <v>5602</v>
      </c>
      <c r="K1859" s="143">
        <v>150</v>
      </c>
      <c r="L1859" s="143">
        <v>190</v>
      </c>
      <c r="Q1859" s="204">
        <v>3.5</v>
      </c>
      <c r="W1859" s="143" t="s">
        <v>3147</v>
      </c>
      <c r="X1859" s="143" t="s">
        <v>5636</v>
      </c>
      <c r="Y1859" s="143" t="s">
        <v>5543</v>
      </c>
      <c r="Z1859" s="143" t="s">
        <v>5636</v>
      </c>
      <c r="AA1859" s="173">
        <v>31</v>
      </c>
    </row>
    <row r="1860" ht="15" spans="1:34">
      <c r="A1860" s="143">
        <v>1817</v>
      </c>
      <c r="B1860" s="144">
        <v>45971</v>
      </c>
      <c r="C1860" s="143" t="s">
        <v>3148</v>
      </c>
      <c r="E1860" s="196" t="s">
        <v>5540</v>
      </c>
      <c r="F1860" s="177" t="s">
        <v>5638</v>
      </c>
      <c r="H1860" s="143" t="s">
        <v>5639</v>
      </c>
      <c r="I1860" s="155" t="s">
        <v>3170</v>
      </c>
      <c r="J1860" s="143" t="s">
        <v>3727</v>
      </c>
      <c r="K1860" s="143">
        <v>150</v>
      </c>
      <c r="L1860" s="143">
        <v>130</v>
      </c>
      <c r="Q1860" s="204">
        <v>5.1</v>
      </c>
      <c r="W1860" s="143" t="s">
        <v>3147</v>
      </c>
      <c r="X1860" s="143" t="s">
        <v>5638</v>
      </c>
      <c r="Y1860" s="143" t="s">
        <v>5543</v>
      </c>
      <c r="Z1860" s="143" t="s">
        <v>5638</v>
      </c>
      <c r="AA1860" s="173">
        <v>34.8</v>
      </c>
    </row>
    <row r="1861" ht="15" spans="1:34">
      <c r="A1861" s="143">
        <v>1818</v>
      </c>
      <c r="B1861" s="144">
        <v>45971</v>
      </c>
      <c r="C1861" s="143" t="s">
        <v>3148</v>
      </c>
      <c r="E1861" s="196" t="s">
        <v>5540</v>
      </c>
      <c r="F1861" s="177" t="s">
        <v>5640</v>
      </c>
      <c r="H1861" s="143" t="s">
        <v>5641</v>
      </c>
      <c r="I1861" s="155" t="s">
        <v>5642</v>
      </c>
      <c r="J1861" s="143" t="s">
        <v>5643</v>
      </c>
      <c r="K1861" s="143">
        <v>150</v>
      </c>
      <c r="L1861" s="143">
        <v>150</v>
      </c>
      <c r="Q1861" s="204"/>
      <c r="W1861" s="143" t="s">
        <v>3147</v>
      </c>
      <c r="X1861" s="143" t="s">
        <v>5640</v>
      </c>
      <c r="Y1861" s="143" t="s">
        <v>5543</v>
      </c>
      <c r="Z1861" s="143" t="s">
        <v>5640</v>
      </c>
      <c r="AA1861" s="173">
        <v>14</v>
      </c>
    </row>
    <row r="1862" ht="15" spans="1:34">
      <c r="A1862" s="143">
        <v>1819</v>
      </c>
      <c r="B1862" s="144">
        <v>45971</v>
      </c>
      <c r="C1862" s="143" t="s">
        <v>3148</v>
      </c>
      <c r="E1862" s="196" t="s">
        <v>5540</v>
      </c>
      <c r="F1862" s="177" t="s">
        <v>5644</v>
      </c>
      <c r="H1862" s="143" t="s">
        <v>5645</v>
      </c>
      <c r="I1862" s="155" t="s">
        <v>4238</v>
      </c>
      <c r="J1862" s="143" t="s">
        <v>5602</v>
      </c>
      <c r="K1862" s="143">
        <v>150</v>
      </c>
      <c r="L1862" s="143">
        <v>200</v>
      </c>
      <c r="Q1862" s="204">
        <v>3.3</v>
      </c>
      <c r="W1862" s="143" t="s">
        <v>3147</v>
      </c>
      <c r="X1862" s="143" t="s">
        <v>5644</v>
      </c>
      <c r="Y1862" s="143" t="s">
        <v>5543</v>
      </c>
      <c r="Z1862" s="143" t="s">
        <v>5644</v>
      </c>
      <c r="AA1862" s="173">
        <v>30</v>
      </c>
    </row>
    <row r="1863" ht="15" spans="1:34">
      <c r="A1863" s="143">
        <v>1820</v>
      </c>
      <c r="B1863" s="144">
        <v>45971</v>
      </c>
      <c r="C1863" s="143" t="s">
        <v>3148</v>
      </c>
      <c r="E1863" s="196" t="s">
        <v>5540</v>
      </c>
      <c r="F1863" s="177" t="s">
        <v>5646</v>
      </c>
      <c r="H1863" s="143" t="s">
        <v>5647</v>
      </c>
      <c r="I1863" s="155" t="s">
        <v>5648</v>
      </c>
      <c r="J1863" s="143" t="s">
        <v>316</v>
      </c>
      <c r="K1863" s="143">
        <v>155</v>
      </c>
      <c r="L1863" s="143">
        <v>220</v>
      </c>
      <c r="Q1863" s="204">
        <v>2.9</v>
      </c>
      <c r="W1863" s="143" t="s">
        <v>3147</v>
      </c>
      <c r="X1863" s="143" t="s">
        <v>5646</v>
      </c>
      <c r="Y1863" s="143" t="s">
        <v>5543</v>
      </c>
      <c r="Z1863" s="143" t="s">
        <v>5646</v>
      </c>
      <c r="AA1863" s="173">
        <v>40.8</v>
      </c>
    </row>
    <row r="1864" ht="15" spans="1:34">
      <c r="A1864" s="143">
        <v>1821</v>
      </c>
      <c r="B1864" s="144">
        <v>45971</v>
      </c>
      <c r="C1864" s="143" t="s">
        <v>3148</v>
      </c>
      <c r="E1864" s="196" t="s">
        <v>5540</v>
      </c>
      <c r="F1864" s="177" t="s">
        <v>5649</v>
      </c>
      <c r="H1864" s="143" t="s">
        <v>5650</v>
      </c>
      <c r="I1864" s="155" t="s">
        <v>4238</v>
      </c>
      <c r="J1864" s="143" t="s">
        <v>5602</v>
      </c>
      <c r="K1864" s="143">
        <v>150</v>
      </c>
      <c r="L1864" s="143">
        <v>180</v>
      </c>
      <c r="Q1864" s="204">
        <v>3.6</v>
      </c>
      <c r="W1864" s="143" t="s">
        <v>3147</v>
      </c>
      <c r="X1864" s="143" t="s">
        <v>5649</v>
      </c>
      <c r="Y1864" s="143" t="s">
        <v>5543</v>
      </c>
      <c r="Z1864" s="143" t="s">
        <v>5649</v>
      </c>
      <c r="AA1864" s="173">
        <v>34.3</v>
      </c>
    </row>
    <row r="1865" ht="15" spans="1:34">
      <c r="A1865" s="143">
        <v>1822</v>
      </c>
      <c r="B1865" s="144">
        <v>45971</v>
      </c>
      <c r="C1865" s="143" t="s">
        <v>3148</v>
      </c>
      <c r="E1865" s="196" t="s">
        <v>5540</v>
      </c>
      <c r="F1865" s="177" t="s">
        <v>5651</v>
      </c>
      <c r="H1865" s="143" t="s">
        <v>5652</v>
      </c>
      <c r="I1865" s="155" t="s">
        <v>5653</v>
      </c>
      <c r="J1865" s="143" t="s">
        <v>5576</v>
      </c>
      <c r="K1865" s="143">
        <v>140</v>
      </c>
      <c r="L1865" s="143">
        <v>210</v>
      </c>
      <c r="Q1865" s="204">
        <v>3.4</v>
      </c>
      <c r="W1865" s="143" t="s">
        <v>3147</v>
      </c>
      <c r="X1865" s="143" t="s">
        <v>5651</v>
      </c>
      <c r="Y1865" s="143" t="s">
        <v>5543</v>
      </c>
      <c r="Z1865" s="143" t="s">
        <v>5651</v>
      </c>
      <c r="AA1865" s="173">
        <v>28.8</v>
      </c>
    </row>
    <row r="1866" ht="15" spans="1:34">
      <c r="A1866" s="143">
        <v>1823</v>
      </c>
      <c r="B1866" s="144">
        <v>45971</v>
      </c>
      <c r="C1866" s="143" t="s">
        <v>3148</v>
      </c>
      <c r="E1866" s="196" t="s">
        <v>5540</v>
      </c>
      <c r="F1866" s="177" t="s">
        <v>5654</v>
      </c>
      <c r="H1866" s="143" t="s">
        <v>5655</v>
      </c>
      <c r="I1866" s="155" t="s">
        <v>5656</v>
      </c>
      <c r="J1866" s="143" t="s">
        <v>5657</v>
      </c>
      <c r="K1866" s="143">
        <v>150</v>
      </c>
      <c r="L1866" s="143">
        <v>200</v>
      </c>
      <c r="Q1866" s="204">
        <v>3.3</v>
      </c>
      <c r="W1866" s="143" t="s">
        <v>3147</v>
      </c>
      <c r="X1866" s="143" t="s">
        <v>5654</v>
      </c>
      <c r="Y1866" s="143" t="s">
        <v>5543</v>
      </c>
      <c r="Z1866" s="143" t="s">
        <v>5654</v>
      </c>
      <c r="AA1866" s="173">
        <v>47.8</v>
      </c>
      <c r="AH1866" s="143" t="s">
        <v>609</v>
      </c>
    </row>
    <row r="1867" ht="15" spans="1:34">
      <c r="A1867" s="143">
        <v>1824</v>
      </c>
      <c r="B1867" s="144">
        <v>45971</v>
      </c>
      <c r="C1867" s="143" t="s">
        <v>3148</v>
      </c>
      <c r="E1867" s="196" t="s">
        <v>5540</v>
      </c>
      <c r="F1867" s="177" t="s">
        <v>5658</v>
      </c>
      <c r="H1867" s="143" t="s">
        <v>5659</v>
      </c>
      <c r="I1867" s="155" t="s">
        <v>5587</v>
      </c>
      <c r="J1867" s="143" t="s">
        <v>5602</v>
      </c>
      <c r="K1867" s="143">
        <v>150</v>
      </c>
      <c r="L1867" s="143">
        <v>220</v>
      </c>
      <c r="Q1867" s="204">
        <v>3</v>
      </c>
      <c r="W1867" s="143" t="s">
        <v>3147</v>
      </c>
      <c r="X1867" s="143" t="s">
        <v>5658</v>
      </c>
      <c r="Y1867" s="143" t="s">
        <v>5543</v>
      </c>
      <c r="Z1867" s="143" t="s">
        <v>5658</v>
      </c>
      <c r="AA1867" s="173">
        <v>25</v>
      </c>
    </row>
    <row r="1868" ht="15" spans="1:34">
      <c r="A1868" s="143">
        <v>1825</v>
      </c>
      <c r="B1868" s="144">
        <v>45971</v>
      </c>
      <c r="C1868" s="143" t="s">
        <v>3148</v>
      </c>
      <c r="E1868" s="196" t="s">
        <v>5071</v>
      </c>
      <c r="F1868" s="178" t="s">
        <v>5660</v>
      </c>
      <c r="H1868" s="143" t="s">
        <v>5661</v>
      </c>
      <c r="I1868" s="143" t="s">
        <v>5662</v>
      </c>
      <c r="J1868" s="143" t="s">
        <v>4389</v>
      </c>
      <c r="K1868" s="143">
        <v>140</v>
      </c>
      <c r="L1868" s="143">
        <v>300</v>
      </c>
      <c r="W1868" s="143" t="s">
        <v>3147</v>
      </c>
      <c r="X1868" s="169" t="s">
        <v>5663</v>
      </c>
      <c r="Y1868" s="169" t="s">
        <v>5664</v>
      </c>
      <c r="Z1868" s="169" t="s">
        <v>5663</v>
      </c>
      <c r="AA1868" s="173">
        <v>30.6</v>
      </c>
    </row>
    <row r="1869" ht="15" spans="1:34">
      <c r="A1869" s="143">
        <v>1826</v>
      </c>
      <c r="B1869" s="144">
        <v>45971</v>
      </c>
      <c r="C1869" s="143" t="s">
        <v>3148</v>
      </c>
      <c r="E1869" s="196" t="s">
        <v>5071</v>
      </c>
      <c r="F1869" s="178" t="s">
        <v>5665</v>
      </c>
      <c r="H1869" s="143" t="s">
        <v>5666</v>
      </c>
      <c r="I1869" s="143" t="s">
        <v>5662</v>
      </c>
      <c r="J1869" s="143" t="s">
        <v>4389</v>
      </c>
      <c r="K1869" s="143">
        <v>155</v>
      </c>
      <c r="L1869" s="143">
        <v>300</v>
      </c>
      <c r="W1869" s="143" t="s">
        <v>3147</v>
      </c>
      <c r="X1869" s="169" t="s">
        <v>5665</v>
      </c>
      <c r="Y1869" s="169" t="s">
        <v>5664</v>
      </c>
      <c r="Z1869" s="169" t="s">
        <v>5665</v>
      </c>
      <c r="AA1869" s="173">
        <v>26.5</v>
      </c>
    </row>
    <row r="1870" ht="15" spans="1:34">
      <c r="A1870" s="143">
        <v>1827</v>
      </c>
      <c r="B1870" s="144">
        <v>45971</v>
      </c>
      <c r="C1870" s="143" t="s">
        <v>3148</v>
      </c>
      <c r="E1870" s="196" t="s">
        <v>5667</v>
      </c>
      <c r="F1870" s="177" t="s">
        <v>5668</v>
      </c>
      <c r="H1870" s="143" t="s">
        <v>5669</v>
      </c>
      <c r="I1870" s="143" t="s">
        <v>5670</v>
      </c>
      <c r="J1870" s="143" t="s">
        <v>5671</v>
      </c>
      <c r="K1870" s="143">
        <v>150</v>
      </c>
      <c r="L1870" s="143">
        <v>345</v>
      </c>
      <c r="W1870" s="143" t="s">
        <v>3147</v>
      </c>
      <c r="X1870" s="143" t="s">
        <v>5668</v>
      </c>
      <c r="Y1870" s="169" t="s">
        <v>5664</v>
      </c>
      <c r="Z1870" s="143" t="s">
        <v>5668</v>
      </c>
      <c r="AA1870" s="204">
        <v>25.2</v>
      </c>
    </row>
    <row r="1871" ht="15" spans="1:34">
      <c r="A1871" s="143">
        <v>1828</v>
      </c>
      <c r="B1871" s="144">
        <v>45971</v>
      </c>
      <c r="C1871" s="143" t="s">
        <v>3148</v>
      </c>
      <c r="E1871" s="196" t="s">
        <v>5667</v>
      </c>
      <c r="F1871" s="178" t="s">
        <v>5672</v>
      </c>
      <c r="H1871" s="143" t="s">
        <v>5673</v>
      </c>
      <c r="I1871" s="155" t="s">
        <v>5674</v>
      </c>
      <c r="J1871" s="143" t="s">
        <v>5675</v>
      </c>
      <c r="K1871" s="143">
        <v>150</v>
      </c>
      <c r="L1871" s="143">
        <v>350</v>
      </c>
      <c r="W1871" s="143" t="s">
        <v>3147</v>
      </c>
      <c r="X1871" s="169" t="s">
        <v>5676</v>
      </c>
      <c r="Y1871" s="169" t="s">
        <v>5664</v>
      </c>
      <c r="Z1871" s="169" t="s">
        <v>5676</v>
      </c>
      <c r="AA1871" s="173">
        <v>36.4</v>
      </c>
    </row>
    <row r="1872" ht="15" spans="1:34">
      <c r="A1872" s="143">
        <v>1829</v>
      </c>
      <c r="B1872" s="144">
        <v>45971</v>
      </c>
      <c r="C1872" s="143" t="s">
        <v>3148</v>
      </c>
      <c r="E1872" s="196" t="s">
        <v>5667</v>
      </c>
      <c r="F1872" s="177" t="s">
        <v>5677</v>
      </c>
      <c r="H1872" s="143" t="s">
        <v>5678</v>
      </c>
      <c r="I1872" s="143" t="s">
        <v>5679</v>
      </c>
      <c r="J1872" s="143" t="s">
        <v>5680</v>
      </c>
      <c r="K1872" s="143">
        <v>150</v>
      </c>
      <c r="L1872" s="143">
        <v>300</v>
      </c>
      <c r="W1872" s="143" t="s">
        <v>3147</v>
      </c>
      <c r="X1872" s="143" t="s">
        <v>5681</v>
      </c>
      <c r="Y1872" s="169" t="s">
        <v>5664</v>
      </c>
      <c r="Z1872" s="143" t="s">
        <v>5681</v>
      </c>
      <c r="AA1872" s="173">
        <v>17.8</v>
      </c>
    </row>
    <row r="1873" ht="15" spans="1:27">
      <c r="A1873" s="143">
        <v>1830</v>
      </c>
      <c r="B1873" s="144">
        <v>45971</v>
      </c>
      <c r="C1873" s="143" t="s">
        <v>3148</v>
      </c>
      <c r="E1873" s="196" t="s">
        <v>5667</v>
      </c>
      <c r="F1873" s="177" t="s">
        <v>5682</v>
      </c>
      <c r="H1873" s="143" t="s">
        <v>5683</v>
      </c>
      <c r="I1873" s="143" t="s">
        <v>5684</v>
      </c>
      <c r="J1873" s="143" t="s">
        <v>5685</v>
      </c>
      <c r="K1873" s="143">
        <v>150</v>
      </c>
      <c r="L1873" s="143">
        <v>310</v>
      </c>
      <c r="W1873" s="143" t="s">
        <v>3147</v>
      </c>
      <c r="X1873" s="143" t="s">
        <v>5686</v>
      </c>
      <c r="Y1873" s="143" t="s">
        <v>3147</v>
      </c>
      <c r="Z1873" s="143" t="s">
        <v>5686</v>
      </c>
      <c r="AA1873" s="173">
        <v>16.5</v>
      </c>
    </row>
    <row r="1874" ht="15" spans="1:27">
      <c r="A1874" s="143">
        <v>1831</v>
      </c>
      <c r="B1874" s="144">
        <v>45971</v>
      </c>
      <c r="C1874" s="143" t="s">
        <v>3148</v>
      </c>
      <c r="E1874" s="196" t="s">
        <v>5667</v>
      </c>
      <c r="F1874" s="177" t="s">
        <v>5687</v>
      </c>
      <c r="H1874" s="143" t="s">
        <v>5688</v>
      </c>
      <c r="I1874" s="143" t="s">
        <v>5684</v>
      </c>
      <c r="J1874" s="143" t="s">
        <v>5685</v>
      </c>
      <c r="K1874" s="143">
        <v>150</v>
      </c>
      <c r="L1874" s="143">
        <v>310</v>
      </c>
      <c r="W1874" s="143" t="s">
        <v>3147</v>
      </c>
      <c r="X1874" s="143" t="s">
        <v>5689</v>
      </c>
      <c r="Y1874" s="143" t="s">
        <v>3147</v>
      </c>
      <c r="Z1874" s="143" t="s">
        <v>5689</v>
      </c>
      <c r="AA1874" s="173">
        <v>17.8</v>
      </c>
    </row>
    <row r="1875" ht="15" spans="1:27">
      <c r="A1875" s="143">
        <v>1832</v>
      </c>
      <c r="B1875" s="144">
        <v>45971</v>
      </c>
      <c r="C1875" s="143" t="s">
        <v>3148</v>
      </c>
      <c r="E1875" s="196" t="s">
        <v>5667</v>
      </c>
      <c r="F1875" s="177" t="s">
        <v>5690</v>
      </c>
      <c r="H1875" s="143" t="s">
        <v>5691</v>
      </c>
      <c r="I1875" s="143" t="s">
        <v>5684</v>
      </c>
      <c r="J1875" s="143" t="s">
        <v>5685</v>
      </c>
      <c r="K1875" s="143">
        <v>150</v>
      </c>
      <c r="L1875" s="143">
        <v>310</v>
      </c>
      <c r="W1875" s="143" t="s">
        <v>3147</v>
      </c>
      <c r="X1875" s="143" t="s">
        <v>5692</v>
      </c>
      <c r="Y1875" s="143" t="s">
        <v>3147</v>
      </c>
      <c r="Z1875" s="143" t="s">
        <v>5692</v>
      </c>
      <c r="AA1875" s="173">
        <v>17.8</v>
      </c>
    </row>
    <row r="1876" ht="15" spans="1:27">
      <c r="A1876" s="143">
        <v>1833</v>
      </c>
      <c r="B1876" s="144">
        <v>45971</v>
      </c>
      <c r="C1876" s="143" t="s">
        <v>3148</v>
      </c>
      <c r="E1876" s="196" t="s">
        <v>5667</v>
      </c>
      <c r="F1876" s="177" t="s">
        <v>5693</v>
      </c>
      <c r="H1876" s="143" t="s">
        <v>5694</v>
      </c>
      <c r="I1876" s="143" t="s">
        <v>5684</v>
      </c>
      <c r="J1876" s="143" t="s">
        <v>5685</v>
      </c>
      <c r="K1876" s="143">
        <v>150</v>
      </c>
      <c r="L1876" s="143">
        <v>310</v>
      </c>
      <c r="W1876" s="143" t="s">
        <v>3147</v>
      </c>
      <c r="X1876" s="143" t="s">
        <v>5695</v>
      </c>
      <c r="Y1876" s="143" t="s">
        <v>3147</v>
      </c>
      <c r="Z1876" s="143" t="s">
        <v>5695</v>
      </c>
      <c r="AA1876" s="173">
        <v>18</v>
      </c>
    </row>
    <row r="1877" ht="15" spans="1:27">
      <c r="A1877" s="143">
        <v>1834</v>
      </c>
      <c r="B1877" s="144">
        <v>45971</v>
      </c>
      <c r="C1877" s="143" t="s">
        <v>3148</v>
      </c>
      <c r="E1877" s="196" t="s">
        <v>5667</v>
      </c>
      <c r="F1877" s="177" t="s">
        <v>5696</v>
      </c>
      <c r="H1877" s="143" t="s">
        <v>5697</v>
      </c>
      <c r="I1877" s="155" t="s">
        <v>5698</v>
      </c>
      <c r="J1877" s="143" t="s">
        <v>5675</v>
      </c>
      <c r="K1877" s="143">
        <v>180</v>
      </c>
      <c r="L1877" s="143">
        <v>310</v>
      </c>
      <c r="W1877" s="143" t="s">
        <v>3147</v>
      </c>
      <c r="X1877" s="143" t="s">
        <v>5696</v>
      </c>
      <c r="Y1877" s="169" t="s">
        <v>5699</v>
      </c>
      <c r="Z1877" s="143" t="s">
        <v>5696</v>
      </c>
      <c r="AA1877" s="173">
        <v>15.8</v>
      </c>
    </row>
    <row r="1878" ht="15" spans="1:27">
      <c r="A1878" s="143">
        <v>1835</v>
      </c>
      <c r="B1878" s="144">
        <v>45971</v>
      </c>
      <c r="C1878" s="143" t="s">
        <v>3148</v>
      </c>
      <c r="E1878" s="196" t="s">
        <v>5667</v>
      </c>
      <c r="F1878" s="177" t="s">
        <v>5700</v>
      </c>
      <c r="H1878" s="143" t="s">
        <v>5701</v>
      </c>
      <c r="I1878" s="155" t="s">
        <v>5698</v>
      </c>
      <c r="J1878" s="143" t="s">
        <v>5675</v>
      </c>
      <c r="K1878" s="143">
        <v>180</v>
      </c>
      <c r="L1878" s="143">
        <v>310</v>
      </c>
      <c r="W1878" s="143" t="s">
        <v>3147</v>
      </c>
      <c r="X1878" s="143" t="s">
        <v>5700</v>
      </c>
      <c r="Y1878" s="169" t="s">
        <v>5699</v>
      </c>
      <c r="Z1878" s="143" t="s">
        <v>5700</v>
      </c>
      <c r="AA1878" s="173">
        <v>16.3</v>
      </c>
    </row>
    <row r="1879" ht="15" spans="1:27">
      <c r="A1879" s="143">
        <v>1836</v>
      </c>
      <c r="B1879" s="144">
        <v>45971</v>
      </c>
      <c r="C1879" s="143" t="s">
        <v>3148</v>
      </c>
      <c r="E1879" s="196" t="s">
        <v>5667</v>
      </c>
      <c r="F1879" s="177" t="s">
        <v>5702</v>
      </c>
      <c r="H1879" s="143" t="s">
        <v>5703</v>
      </c>
      <c r="I1879" s="155" t="s">
        <v>5698</v>
      </c>
      <c r="J1879" s="143" t="s">
        <v>5675</v>
      </c>
      <c r="K1879" s="143">
        <v>180</v>
      </c>
      <c r="L1879" s="143">
        <v>320</v>
      </c>
      <c r="W1879" s="143" t="s">
        <v>3147</v>
      </c>
      <c r="X1879" s="143" t="s">
        <v>5702</v>
      </c>
      <c r="Y1879" s="169" t="s">
        <v>5699</v>
      </c>
      <c r="Z1879" s="143" t="s">
        <v>5702</v>
      </c>
      <c r="AA1879" s="173">
        <v>15.8</v>
      </c>
    </row>
    <row r="1880" ht="15" spans="1:27">
      <c r="A1880" s="143">
        <v>1837</v>
      </c>
      <c r="B1880" s="144">
        <v>45971</v>
      </c>
      <c r="C1880" s="143" t="s">
        <v>3148</v>
      </c>
      <c r="E1880" s="196" t="s">
        <v>5667</v>
      </c>
      <c r="F1880" s="177" t="s">
        <v>5704</v>
      </c>
      <c r="H1880" s="143" t="s">
        <v>5705</v>
      </c>
      <c r="I1880" s="155" t="s">
        <v>5698</v>
      </c>
      <c r="J1880" s="143" t="s">
        <v>5675</v>
      </c>
      <c r="K1880" s="143">
        <v>180</v>
      </c>
      <c r="L1880" s="143">
        <v>320</v>
      </c>
      <c r="W1880" s="143" t="s">
        <v>3147</v>
      </c>
      <c r="X1880" s="143" t="s">
        <v>5704</v>
      </c>
      <c r="Y1880" s="169" t="s">
        <v>5699</v>
      </c>
      <c r="Z1880" s="143" t="s">
        <v>5704</v>
      </c>
      <c r="AA1880" s="173">
        <v>16.3</v>
      </c>
    </row>
    <row r="1881" ht="15" spans="1:27">
      <c r="A1881" s="143">
        <v>1838</v>
      </c>
      <c r="B1881" s="144">
        <v>45971</v>
      </c>
      <c r="C1881" s="143" t="s">
        <v>3148</v>
      </c>
      <c r="E1881" s="196" t="s">
        <v>5667</v>
      </c>
      <c r="F1881" s="177" t="s">
        <v>5706</v>
      </c>
      <c r="H1881" s="143" t="s">
        <v>5707</v>
      </c>
      <c r="I1881" s="155" t="s">
        <v>5698</v>
      </c>
      <c r="J1881" s="143" t="s">
        <v>5675</v>
      </c>
      <c r="K1881" s="143">
        <v>180</v>
      </c>
      <c r="L1881" s="143">
        <v>360</v>
      </c>
      <c r="W1881" s="143" t="s">
        <v>3147</v>
      </c>
      <c r="X1881" s="143" t="s">
        <v>5706</v>
      </c>
      <c r="Y1881" s="169" t="s">
        <v>5699</v>
      </c>
      <c r="Z1881" s="143" t="s">
        <v>5706</v>
      </c>
      <c r="AA1881" s="173">
        <v>16.3</v>
      </c>
    </row>
    <row r="1882" ht="15" spans="1:27">
      <c r="A1882" s="143">
        <v>1839</v>
      </c>
      <c r="B1882" s="144">
        <v>45971</v>
      </c>
      <c r="C1882" s="143" t="s">
        <v>3148</v>
      </c>
      <c r="E1882" s="196" t="s">
        <v>5667</v>
      </c>
      <c r="F1882" s="177" t="s">
        <v>5708</v>
      </c>
      <c r="H1882" s="143" t="s">
        <v>5709</v>
      </c>
      <c r="I1882" s="155" t="s">
        <v>5698</v>
      </c>
      <c r="J1882" s="143" t="s">
        <v>5675</v>
      </c>
      <c r="K1882" s="143">
        <v>180</v>
      </c>
      <c r="L1882" s="143">
        <v>360</v>
      </c>
      <c r="W1882" s="143" t="s">
        <v>3147</v>
      </c>
      <c r="X1882" s="143" t="s">
        <v>5708</v>
      </c>
      <c r="Y1882" s="169" t="s">
        <v>5699</v>
      </c>
      <c r="Z1882" s="143" t="s">
        <v>5708</v>
      </c>
      <c r="AA1882" s="173">
        <v>17.8</v>
      </c>
    </row>
    <row r="1883" ht="15" spans="1:27">
      <c r="A1883" s="143">
        <v>1840</v>
      </c>
      <c r="B1883" s="144">
        <v>45971</v>
      </c>
      <c r="C1883" s="143" t="s">
        <v>3148</v>
      </c>
      <c r="E1883" s="196" t="s">
        <v>5667</v>
      </c>
      <c r="F1883" s="177" t="s">
        <v>5710</v>
      </c>
      <c r="H1883" s="143" t="s">
        <v>5711</v>
      </c>
      <c r="I1883" s="155" t="s">
        <v>5698</v>
      </c>
      <c r="J1883" s="143" t="s">
        <v>5675</v>
      </c>
      <c r="K1883" s="143">
        <v>180</v>
      </c>
      <c r="L1883" s="143">
        <v>370</v>
      </c>
      <c r="W1883" s="143" t="s">
        <v>3147</v>
      </c>
      <c r="X1883" s="143" t="s">
        <v>5710</v>
      </c>
      <c r="Y1883" s="169" t="s">
        <v>5699</v>
      </c>
      <c r="Z1883" s="143" t="s">
        <v>5710</v>
      </c>
      <c r="AA1883" s="173">
        <v>16.3</v>
      </c>
    </row>
    <row r="1884" ht="15" spans="1:27">
      <c r="A1884" s="143">
        <v>1841</v>
      </c>
      <c r="B1884" s="144">
        <v>45971</v>
      </c>
      <c r="C1884" s="143" t="s">
        <v>3148</v>
      </c>
      <c r="E1884" s="196" t="s">
        <v>5667</v>
      </c>
      <c r="F1884" s="177" t="s">
        <v>5712</v>
      </c>
      <c r="H1884" s="143" t="s">
        <v>5713</v>
      </c>
      <c r="I1884" s="155" t="s">
        <v>5698</v>
      </c>
      <c r="J1884" s="143" t="s">
        <v>5675</v>
      </c>
      <c r="K1884" s="143">
        <v>180</v>
      </c>
      <c r="L1884" s="143">
        <v>370</v>
      </c>
      <c r="W1884" s="143" t="s">
        <v>3147</v>
      </c>
      <c r="X1884" s="143" t="s">
        <v>5712</v>
      </c>
      <c r="Y1884" s="169" t="s">
        <v>5699</v>
      </c>
      <c r="Z1884" s="143" t="s">
        <v>5712</v>
      </c>
      <c r="AA1884" s="173">
        <v>17.8</v>
      </c>
    </row>
    <row r="1885" ht="15" spans="1:27">
      <c r="A1885" s="143">
        <v>1842</v>
      </c>
      <c r="B1885" s="144">
        <v>45971</v>
      </c>
      <c r="C1885" s="143" t="s">
        <v>3148</v>
      </c>
      <c r="E1885" s="196" t="s">
        <v>5667</v>
      </c>
      <c r="F1885" s="177" t="s">
        <v>5714</v>
      </c>
      <c r="H1885" s="143" t="s">
        <v>5715</v>
      </c>
      <c r="I1885" s="210" t="s">
        <v>5716</v>
      </c>
      <c r="J1885" s="143" t="s">
        <v>5717</v>
      </c>
      <c r="K1885" s="143">
        <v>180</v>
      </c>
      <c r="L1885" s="143">
        <v>320</v>
      </c>
      <c r="W1885" s="143" t="s">
        <v>3147</v>
      </c>
      <c r="X1885" s="143" t="s">
        <v>5714</v>
      </c>
      <c r="Y1885" s="169" t="s">
        <v>5699</v>
      </c>
      <c r="Z1885" s="143" t="s">
        <v>5714</v>
      </c>
      <c r="AA1885" s="173">
        <v>15.2</v>
      </c>
    </row>
    <row r="1886" ht="15" spans="1:27">
      <c r="A1886" s="143">
        <v>1843</v>
      </c>
      <c r="B1886" s="144">
        <v>45971</v>
      </c>
      <c r="C1886" s="143" t="s">
        <v>3148</v>
      </c>
      <c r="E1886" s="196" t="s">
        <v>5667</v>
      </c>
      <c r="F1886" s="177" t="s">
        <v>5718</v>
      </c>
      <c r="H1886" s="143" t="s">
        <v>5719</v>
      </c>
      <c r="I1886" s="210" t="s">
        <v>5716</v>
      </c>
      <c r="J1886" s="143" t="s">
        <v>5717</v>
      </c>
      <c r="K1886" s="143">
        <v>180</v>
      </c>
      <c r="L1886" s="143">
        <v>320</v>
      </c>
      <c r="W1886" s="143" t="s">
        <v>3147</v>
      </c>
      <c r="X1886" s="143" t="s">
        <v>5718</v>
      </c>
      <c r="Y1886" s="169" t="s">
        <v>5699</v>
      </c>
      <c r="Z1886" s="143" t="s">
        <v>5718</v>
      </c>
      <c r="AA1886" s="173">
        <v>15.2</v>
      </c>
    </row>
    <row r="1887" ht="15" spans="1:27">
      <c r="A1887" s="143">
        <v>1844</v>
      </c>
      <c r="B1887" s="144">
        <v>45971</v>
      </c>
      <c r="C1887" s="143" t="s">
        <v>3148</v>
      </c>
      <c r="E1887" s="196" t="s">
        <v>5667</v>
      </c>
      <c r="F1887" s="177" t="s">
        <v>5720</v>
      </c>
      <c r="H1887" s="143" t="s">
        <v>5721</v>
      </c>
      <c r="I1887" s="210" t="s">
        <v>5722</v>
      </c>
      <c r="J1887" s="143" t="s">
        <v>3106</v>
      </c>
      <c r="K1887" s="143">
        <v>180</v>
      </c>
      <c r="L1887" s="143">
        <v>370</v>
      </c>
      <c r="W1887" s="143" t="s">
        <v>3147</v>
      </c>
      <c r="X1887" s="143" t="s">
        <v>5720</v>
      </c>
      <c r="Y1887" s="169" t="s">
        <v>5699</v>
      </c>
      <c r="Z1887" s="143" t="s">
        <v>5720</v>
      </c>
      <c r="AA1887" s="173">
        <v>15.8</v>
      </c>
    </row>
    <row r="1888" ht="15" spans="1:27">
      <c r="A1888" s="143">
        <v>1845</v>
      </c>
      <c r="B1888" s="144">
        <v>45971</v>
      </c>
      <c r="C1888" s="143" t="s">
        <v>3148</v>
      </c>
      <c r="E1888" s="196" t="s">
        <v>5667</v>
      </c>
      <c r="F1888" s="177" t="s">
        <v>5723</v>
      </c>
      <c r="H1888" s="143" t="s">
        <v>5724</v>
      </c>
      <c r="I1888" s="210" t="s">
        <v>5722</v>
      </c>
      <c r="J1888" s="143" t="s">
        <v>3106</v>
      </c>
      <c r="K1888" s="143">
        <v>180</v>
      </c>
      <c r="L1888" s="143">
        <v>370</v>
      </c>
      <c r="W1888" s="143" t="s">
        <v>3147</v>
      </c>
      <c r="X1888" s="143" t="s">
        <v>5723</v>
      </c>
      <c r="Y1888" s="169" t="s">
        <v>5699</v>
      </c>
      <c r="Z1888" s="143" t="s">
        <v>5723</v>
      </c>
      <c r="AA1888" s="173">
        <v>15.8</v>
      </c>
    </row>
    <row r="1889" ht="15" spans="1:27">
      <c r="A1889" s="143">
        <v>1846</v>
      </c>
      <c r="B1889" s="144">
        <v>45971</v>
      </c>
      <c r="C1889" s="143" t="s">
        <v>3148</v>
      </c>
      <c r="E1889" s="196" t="s">
        <v>5667</v>
      </c>
      <c r="F1889" s="177" t="s">
        <v>5725</v>
      </c>
      <c r="H1889" s="143" t="s">
        <v>5726</v>
      </c>
      <c r="I1889" s="210" t="s">
        <v>5722</v>
      </c>
      <c r="J1889" s="143" t="s">
        <v>3106</v>
      </c>
      <c r="K1889" s="143">
        <v>180</v>
      </c>
      <c r="L1889" s="143">
        <v>420</v>
      </c>
      <c r="W1889" s="143" t="s">
        <v>3147</v>
      </c>
      <c r="X1889" s="143" t="s">
        <v>5725</v>
      </c>
      <c r="Y1889" s="169" t="s">
        <v>5699</v>
      </c>
      <c r="Z1889" s="143" t="s">
        <v>5725</v>
      </c>
      <c r="AA1889" s="173">
        <v>17.2</v>
      </c>
    </row>
    <row r="1890" ht="15" spans="1:27">
      <c r="A1890" s="143">
        <v>1847</v>
      </c>
      <c r="B1890" s="144">
        <v>45971</v>
      </c>
      <c r="C1890" s="143" t="s">
        <v>3148</v>
      </c>
      <c r="E1890" s="196" t="s">
        <v>5667</v>
      </c>
      <c r="F1890" s="177" t="s">
        <v>5727</v>
      </c>
      <c r="H1890" s="143" t="s">
        <v>5728</v>
      </c>
      <c r="I1890" s="210" t="s">
        <v>5722</v>
      </c>
      <c r="J1890" s="143" t="s">
        <v>3106</v>
      </c>
      <c r="K1890" s="143">
        <v>180</v>
      </c>
      <c r="L1890" s="143">
        <v>430</v>
      </c>
      <c r="W1890" s="143" t="s">
        <v>3147</v>
      </c>
      <c r="X1890" s="143" t="s">
        <v>5727</v>
      </c>
      <c r="Y1890" s="169" t="s">
        <v>5699</v>
      </c>
      <c r="Z1890" s="143" t="s">
        <v>5727</v>
      </c>
      <c r="AA1890" s="173">
        <v>17.2</v>
      </c>
    </row>
    <row r="1891" ht="15" spans="1:27">
      <c r="A1891" s="143">
        <v>1848</v>
      </c>
      <c r="B1891" s="144">
        <v>45971</v>
      </c>
      <c r="C1891" s="143" t="s">
        <v>3148</v>
      </c>
      <c r="E1891" s="196" t="s">
        <v>5667</v>
      </c>
      <c r="F1891" s="177" t="s">
        <v>5729</v>
      </c>
      <c r="H1891" s="143" t="s">
        <v>5730</v>
      </c>
      <c r="I1891" s="155" t="s">
        <v>3157</v>
      </c>
      <c r="J1891" s="143" t="s">
        <v>3684</v>
      </c>
      <c r="K1891" s="143">
        <v>180</v>
      </c>
      <c r="L1891" s="143">
        <v>380</v>
      </c>
      <c r="W1891" s="143" t="s">
        <v>3147</v>
      </c>
      <c r="X1891" s="143" t="s">
        <v>5729</v>
      </c>
      <c r="Y1891" s="169" t="s">
        <v>5699</v>
      </c>
      <c r="Z1891" s="143" t="s">
        <v>5729</v>
      </c>
      <c r="AA1891" s="173">
        <v>23.5</v>
      </c>
    </row>
    <row r="1892" ht="15" spans="1:27">
      <c r="A1892" s="143">
        <v>1849</v>
      </c>
      <c r="B1892" s="144">
        <v>45971</v>
      </c>
      <c r="C1892" s="143" t="s">
        <v>3148</v>
      </c>
      <c r="E1892" s="196" t="s">
        <v>5667</v>
      </c>
      <c r="F1892" s="177" t="s">
        <v>5731</v>
      </c>
      <c r="H1892" s="143" t="s">
        <v>5732</v>
      </c>
      <c r="I1892" s="155" t="s">
        <v>3157</v>
      </c>
      <c r="J1892" s="143" t="s">
        <v>3111</v>
      </c>
      <c r="K1892" s="143">
        <v>180</v>
      </c>
      <c r="L1892" s="143">
        <v>380</v>
      </c>
      <c r="W1892" s="143" t="s">
        <v>3147</v>
      </c>
      <c r="X1892" s="143" t="s">
        <v>5731</v>
      </c>
      <c r="Y1892" s="169" t="s">
        <v>5699</v>
      </c>
      <c r="Z1892" s="143" t="s">
        <v>5731</v>
      </c>
      <c r="AA1892" s="173">
        <v>23.5</v>
      </c>
    </row>
    <row r="1893" ht="15" spans="1:27">
      <c r="A1893" s="143">
        <v>1850</v>
      </c>
      <c r="B1893" s="144">
        <v>45971</v>
      </c>
      <c r="C1893" s="143" t="s">
        <v>3148</v>
      </c>
      <c r="E1893" s="196" t="s">
        <v>5667</v>
      </c>
      <c r="F1893" s="177" t="s">
        <v>5733</v>
      </c>
      <c r="H1893" s="143" t="s">
        <v>5734</v>
      </c>
      <c r="I1893" s="155" t="s">
        <v>5735</v>
      </c>
      <c r="J1893" s="143" t="s">
        <v>3111</v>
      </c>
      <c r="K1893" s="143">
        <v>180</v>
      </c>
      <c r="L1893" s="143">
        <v>220</v>
      </c>
      <c r="W1893" s="143" t="s">
        <v>3147</v>
      </c>
      <c r="X1893" s="143" t="s">
        <v>5733</v>
      </c>
      <c r="Y1893" s="169" t="s">
        <v>5699</v>
      </c>
      <c r="Z1893" s="143" t="s">
        <v>5733</v>
      </c>
      <c r="AA1893" s="173">
        <v>17.2</v>
      </c>
    </row>
    <row r="1894" ht="15" spans="1:27">
      <c r="A1894" s="143">
        <v>1851</v>
      </c>
      <c r="B1894" s="144">
        <v>45971</v>
      </c>
      <c r="C1894" s="143" t="s">
        <v>3148</v>
      </c>
      <c r="E1894" s="196" t="s">
        <v>5667</v>
      </c>
      <c r="F1894" s="177" t="s">
        <v>5736</v>
      </c>
      <c r="H1894" s="143" t="s">
        <v>5737</v>
      </c>
      <c r="I1894" s="155" t="s">
        <v>5735</v>
      </c>
      <c r="J1894" s="143" t="s">
        <v>3111</v>
      </c>
      <c r="K1894" s="143">
        <v>180</v>
      </c>
      <c r="L1894" s="143">
        <v>250</v>
      </c>
      <c r="W1894" s="143" t="s">
        <v>3147</v>
      </c>
      <c r="X1894" s="143" t="s">
        <v>5736</v>
      </c>
      <c r="Y1894" s="169" t="s">
        <v>5699</v>
      </c>
      <c r="Z1894" s="143" t="s">
        <v>5736</v>
      </c>
      <c r="AA1894" s="173">
        <v>17.2</v>
      </c>
    </row>
    <row r="1895" ht="15" spans="1:27">
      <c r="A1895" s="143">
        <v>1852</v>
      </c>
      <c r="B1895" s="144">
        <v>45971</v>
      </c>
      <c r="C1895" s="143" t="s">
        <v>3148</v>
      </c>
      <c r="E1895" s="196" t="s">
        <v>5667</v>
      </c>
      <c r="F1895" s="177" t="s">
        <v>5738</v>
      </c>
      <c r="H1895" s="143" t="s">
        <v>5739</v>
      </c>
      <c r="I1895" s="155" t="s">
        <v>5735</v>
      </c>
      <c r="J1895" s="143" t="s">
        <v>3111</v>
      </c>
      <c r="K1895" s="143">
        <v>180</v>
      </c>
      <c r="L1895" s="143">
        <v>250</v>
      </c>
      <c r="W1895" s="143" t="s">
        <v>3147</v>
      </c>
      <c r="X1895" s="143" t="s">
        <v>5738</v>
      </c>
      <c r="Y1895" s="169" t="s">
        <v>5699</v>
      </c>
      <c r="Z1895" s="143" t="s">
        <v>5738</v>
      </c>
      <c r="AA1895" s="173">
        <v>17.5</v>
      </c>
    </row>
    <row r="1896" ht="15" spans="1:27">
      <c r="A1896" s="143">
        <v>1853</v>
      </c>
      <c r="B1896" s="144">
        <v>45971</v>
      </c>
      <c r="C1896" s="143" t="s">
        <v>3148</v>
      </c>
      <c r="E1896" s="196" t="s">
        <v>5667</v>
      </c>
      <c r="F1896" s="177" t="s">
        <v>5740</v>
      </c>
      <c r="H1896" s="143" t="s">
        <v>5741</v>
      </c>
      <c r="I1896" s="155" t="s">
        <v>5735</v>
      </c>
      <c r="J1896" s="143" t="s">
        <v>3111</v>
      </c>
      <c r="K1896" s="143">
        <v>180</v>
      </c>
      <c r="L1896" s="143">
        <v>240</v>
      </c>
      <c r="W1896" s="143" t="s">
        <v>3147</v>
      </c>
      <c r="X1896" s="143" t="s">
        <v>5740</v>
      </c>
      <c r="Y1896" s="169" t="s">
        <v>5699</v>
      </c>
      <c r="Z1896" s="143" t="s">
        <v>5740</v>
      </c>
      <c r="AA1896" s="173">
        <v>17.8</v>
      </c>
    </row>
    <row r="1897" ht="15" spans="1:27">
      <c r="A1897" s="143">
        <v>1854</v>
      </c>
      <c r="B1897" s="144">
        <v>45971</v>
      </c>
      <c r="C1897" s="143" t="s">
        <v>3148</v>
      </c>
      <c r="E1897" s="196" t="s">
        <v>5667</v>
      </c>
      <c r="F1897" s="177" t="s">
        <v>5742</v>
      </c>
      <c r="H1897" s="143" t="s">
        <v>5743</v>
      </c>
      <c r="I1897" s="155" t="s">
        <v>5735</v>
      </c>
      <c r="J1897" s="143" t="s">
        <v>3111</v>
      </c>
      <c r="K1897" s="143">
        <v>180</v>
      </c>
      <c r="L1897" s="143">
        <v>270</v>
      </c>
      <c r="W1897" s="143" t="s">
        <v>3147</v>
      </c>
      <c r="X1897" s="143" t="s">
        <v>5742</v>
      </c>
      <c r="Y1897" s="169" t="s">
        <v>5699</v>
      </c>
      <c r="Z1897" s="143" t="s">
        <v>5742</v>
      </c>
      <c r="AA1897" s="173">
        <v>18.8</v>
      </c>
    </row>
    <row r="1898" ht="15" spans="1:27">
      <c r="A1898" s="143">
        <v>1855</v>
      </c>
      <c r="B1898" s="144">
        <v>45971</v>
      </c>
      <c r="C1898" s="143" t="s">
        <v>3148</v>
      </c>
      <c r="E1898" s="196" t="s">
        <v>5667</v>
      </c>
      <c r="F1898" s="177" t="s">
        <v>5744</v>
      </c>
      <c r="H1898" s="143" t="s">
        <v>5745</v>
      </c>
      <c r="I1898" s="155" t="s">
        <v>5746</v>
      </c>
      <c r="J1898" s="143" t="s">
        <v>3111</v>
      </c>
      <c r="K1898" s="143">
        <v>180</v>
      </c>
      <c r="L1898" s="143">
        <v>340</v>
      </c>
      <c r="W1898" s="143" t="s">
        <v>3147</v>
      </c>
      <c r="X1898" s="143" t="s">
        <v>5744</v>
      </c>
      <c r="Y1898" s="169" t="s">
        <v>5699</v>
      </c>
      <c r="Z1898" s="143" t="s">
        <v>5744</v>
      </c>
      <c r="AA1898" s="173">
        <v>21.5</v>
      </c>
    </row>
    <row r="1899" ht="15" spans="1:27">
      <c r="A1899" s="143">
        <v>1856</v>
      </c>
      <c r="B1899" s="144">
        <v>45971</v>
      </c>
      <c r="C1899" s="143" t="s">
        <v>3148</v>
      </c>
      <c r="E1899" s="196" t="s">
        <v>5667</v>
      </c>
      <c r="F1899" s="177" t="s">
        <v>5747</v>
      </c>
      <c r="H1899" s="143" t="s">
        <v>5748</v>
      </c>
      <c r="I1899" s="155" t="s">
        <v>5746</v>
      </c>
      <c r="J1899" s="143" t="s">
        <v>3111</v>
      </c>
      <c r="K1899" s="143">
        <v>180</v>
      </c>
      <c r="L1899" s="143">
        <v>360</v>
      </c>
      <c r="W1899" s="143" t="s">
        <v>3147</v>
      </c>
      <c r="X1899" s="143" t="s">
        <v>5747</v>
      </c>
      <c r="Y1899" s="169" t="s">
        <v>5699</v>
      </c>
      <c r="Z1899" s="143" t="s">
        <v>5747</v>
      </c>
      <c r="AA1899" s="173">
        <v>21.5</v>
      </c>
    </row>
    <row r="1900" ht="15" spans="1:27">
      <c r="A1900" s="143">
        <v>1857</v>
      </c>
      <c r="B1900" s="144">
        <v>45971</v>
      </c>
      <c r="C1900" s="143" t="s">
        <v>3148</v>
      </c>
      <c r="E1900" s="196" t="s">
        <v>5667</v>
      </c>
      <c r="F1900" s="177" t="s">
        <v>5749</v>
      </c>
      <c r="H1900" s="143" t="s">
        <v>5750</v>
      </c>
      <c r="I1900" s="155" t="s">
        <v>5735</v>
      </c>
      <c r="J1900" s="143" t="s">
        <v>3111</v>
      </c>
      <c r="K1900" s="143">
        <v>180</v>
      </c>
      <c r="L1900" s="143">
        <v>360</v>
      </c>
      <c r="W1900" s="143" t="s">
        <v>3147</v>
      </c>
      <c r="X1900" s="143" t="s">
        <v>5749</v>
      </c>
      <c r="Y1900" s="169" t="s">
        <v>5699</v>
      </c>
      <c r="Z1900" s="143" t="s">
        <v>5749</v>
      </c>
      <c r="AA1900" s="173">
        <v>20.3</v>
      </c>
    </row>
    <row r="1901" ht="15" spans="1:27">
      <c r="A1901" s="143">
        <v>1858</v>
      </c>
      <c r="B1901" s="144">
        <v>45971</v>
      </c>
      <c r="C1901" s="143" t="s">
        <v>3148</v>
      </c>
      <c r="E1901" s="196" t="s">
        <v>5667</v>
      </c>
      <c r="F1901" s="177" t="s">
        <v>5751</v>
      </c>
      <c r="H1901" s="143" t="s">
        <v>5752</v>
      </c>
      <c r="I1901" s="155" t="s">
        <v>5735</v>
      </c>
      <c r="J1901" s="143" t="s">
        <v>3111</v>
      </c>
      <c r="K1901" s="143">
        <v>180</v>
      </c>
      <c r="L1901" s="143">
        <v>310</v>
      </c>
      <c r="W1901" s="143" t="s">
        <v>3147</v>
      </c>
      <c r="X1901" s="143" t="s">
        <v>5751</v>
      </c>
      <c r="Y1901" s="169" t="s">
        <v>5699</v>
      </c>
      <c r="Z1901" s="143" t="s">
        <v>5751</v>
      </c>
      <c r="AA1901" s="173">
        <v>20.3</v>
      </c>
    </row>
    <row r="1902" spans="1:27">
      <c r="A1902" s="143">
        <v>1859</v>
      </c>
      <c r="B1902" s="144">
        <v>45971</v>
      </c>
      <c r="C1902" s="169" t="s">
        <v>3646</v>
      </c>
      <c r="D1902" s="143" t="s">
        <v>41</v>
      </c>
      <c r="E1902" s="169" t="s">
        <v>5753</v>
      </c>
      <c r="F1902" s="169" t="s">
        <v>5754</v>
      </c>
      <c r="G1902" s="169" t="s">
        <v>5753</v>
      </c>
      <c r="H1902" s="177" t="s">
        <v>5755</v>
      </c>
      <c r="I1902" s="145" t="s">
        <v>5756</v>
      </c>
      <c r="K1902" s="143">
        <v>145</v>
      </c>
      <c r="S1902" s="211"/>
      <c r="T1902" s="211"/>
      <c r="U1902" s="211"/>
      <c r="V1902" s="212"/>
      <c r="W1902" s="169" t="s">
        <v>3147</v>
      </c>
      <c r="X1902" s="169" t="s">
        <v>5754</v>
      </c>
      <c r="Y1902" s="169" t="s">
        <v>5757</v>
      </c>
      <c r="Z1902" s="169" t="s">
        <v>5754</v>
      </c>
      <c r="AA1902" s="213">
        <v>10.3</v>
      </c>
    </row>
    <row r="1903" spans="1:27">
      <c r="A1903" s="143">
        <v>1860</v>
      </c>
      <c r="B1903" s="144">
        <v>45971</v>
      </c>
      <c r="C1903" s="169" t="s">
        <v>3646</v>
      </c>
      <c r="D1903" s="143" t="s">
        <v>41</v>
      </c>
      <c r="E1903" s="169" t="s">
        <v>5753</v>
      </c>
      <c r="F1903" s="169" t="s">
        <v>5758</v>
      </c>
      <c r="G1903" s="169" t="s">
        <v>5753</v>
      </c>
      <c r="H1903" s="143" t="s">
        <v>5759</v>
      </c>
      <c r="I1903" s="196" t="s">
        <v>5760</v>
      </c>
      <c r="K1903" s="143">
        <v>145</v>
      </c>
      <c r="S1903" s="211"/>
      <c r="T1903" s="211"/>
      <c r="U1903" s="211"/>
      <c r="V1903" s="212"/>
      <c r="W1903" s="169" t="s">
        <v>3147</v>
      </c>
      <c r="X1903" s="169" t="s">
        <v>5758</v>
      </c>
      <c r="Y1903" s="169" t="s">
        <v>5757</v>
      </c>
      <c r="Z1903" s="169" t="s">
        <v>5758</v>
      </c>
      <c r="AA1903" s="213">
        <v>13.8</v>
      </c>
    </row>
    <row r="1904" spans="1:27">
      <c r="A1904" s="143">
        <v>1861</v>
      </c>
      <c r="B1904" s="144">
        <v>45971</v>
      </c>
      <c r="C1904" s="169" t="s">
        <v>3646</v>
      </c>
      <c r="D1904" s="143" t="s">
        <v>41</v>
      </c>
      <c r="E1904" s="169" t="s">
        <v>5753</v>
      </c>
      <c r="F1904" s="169" t="s">
        <v>5761</v>
      </c>
      <c r="G1904" s="169" t="s">
        <v>5753</v>
      </c>
      <c r="H1904" s="143" t="s">
        <v>5762</v>
      </c>
      <c r="I1904" s="145" t="s">
        <v>5756</v>
      </c>
      <c r="K1904" s="143">
        <v>145</v>
      </c>
      <c r="S1904" s="211"/>
      <c r="T1904" s="211"/>
      <c r="U1904" s="211"/>
      <c r="V1904" s="212"/>
      <c r="W1904" s="169" t="s">
        <v>3147</v>
      </c>
      <c r="X1904" s="169" t="s">
        <v>5761</v>
      </c>
      <c r="Y1904" s="169" t="s">
        <v>5757</v>
      </c>
      <c r="Z1904" s="169" t="s">
        <v>5761</v>
      </c>
      <c r="AA1904" s="213">
        <v>11</v>
      </c>
    </row>
    <row r="1905" spans="1:27">
      <c r="A1905" s="143">
        <v>1862</v>
      </c>
      <c r="B1905" s="144">
        <v>45971</v>
      </c>
      <c r="C1905" s="169" t="s">
        <v>3646</v>
      </c>
      <c r="D1905" s="143" t="s">
        <v>41</v>
      </c>
      <c r="E1905" s="169" t="s">
        <v>5753</v>
      </c>
      <c r="F1905" s="169" t="s">
        <v>5763</v>
      </c>
      <c r="G1905" s="169" t="s">
        <v>5753</v>
      </c>
      <c r="H1905" s="143" t="s">
        <v>5764</v>
      </c>
      <c r="I1905" s="196" t="s">
        <v>5760</v>
      </c>
      <c r="K1905" s="143">
        <v>145</v>
      </c>
      <c r="S1905" s="211"/>
      <c r="T1905" s="211"/>
      <c r="U1905" s="211"/>
      <c r="V1905" s="212"/>
      <c r="W1905" s="169" t="s">
        <v>3147</v>
      </c>
      <c r="X1905" s="169" t="s">
        <v>5763</v>
      </c>
      <c r="Y1905" s="169" t="s">
        <v>5757</v>
      </c>
      <c r="Z1905" s="169" t="s">
        <v>5763</v>
      </c>
      <c r="AA1905" s="213">
        <v>11</v>
      </c>
    </row>
    <row r="1906" spans="1:27">
      <c r="A1906" s="143">
        <v>1863</v>
      </c>
      <c r="B1906" s="144">
        <v>45971</v>
      </c>
      <c r="C1906" s="169" t="s">
        <v>3646</v>
      </c>
      <c r="D1906" s="143" t="s">
        <v>41</v>
      </c>
      <c r="E1906" s="169" t="s">
        <v>5753</v>
      </c>
      <c r="F1906" s="169" t="s">
        <v>5765</v>
      </c>
      <c r="G1906" s="169" t="s">
        <v>5753</v>
      </c>
      <c r="H1906" s="143" t="s">
        <v>5766</v>
      </c>
      <c r="I1906" s="196" t="s">
        <v>5760</v>
      </c>
      <c r="K1906" s="143">
        <v>145</v>
      </c>
      <c r="S1906" s="211"/>
      <c r="T1906" s="211"/>
      <c r="U1906" s="211"/>
      <c r="V1906" s="212"/>
      <c r="W1906" s="169" t="s">
        <v>3147</v>
      </c>
      <c r="X1906" s="169" t="s">
        <v>5765</v>
      </c>
      <c r="Y1906" s="169" t="s">
        <v>5757</v>
      </c>
      <c r="Z1906" s="169" t="s">
        <v>5765</v>
      </c>
      <c r="AA1906" s="213">
        <v>11</v>
      </c>
    </row>
    <row r="1907" spans="1:27">
      <c r="A1907" s="143">
        <v>1864</v>
      </c>
      <c r="B1907" s="144">
        <v>45971</v>
      </c>
      <c r="C1907" s="169" t="s">
        <v>3646</v>
      </c>
      <c r="D1907" s="143" t="s">
        <v>41</v>
      </c>
      <c r="E1907" s="169" t="s">
        <v>5753</v>
      </c>
      <c r="F1907" s="169" t="s">
        <v>5767</v>
      </c>
      <c r="G1907" s="169" t="s">
        <v>5753</v>
      </c>
      <c r="H1907" s="143" t="s">
        <v>5768</v>
      </c>
      <c r="I1907" s="143" t="s">
        <v>5769</v>
      </c>
      <c r="J1907" s="143" t="s">
        <v>5770</v>
      </c>
      <c r="K1907" s="143">
        <v>145</v>
      </c>
      <c r="S1907" s="211"/>
      <c r="T1907" s="211"/>
      <c r="U1907" s="211"/>
      <c r="V1907" s="212"/>
      <c r="W1907" s="169" t="s">
        <v>3147</v>
      </c>
      <c r="X1907" s="169" t="s">
        <v>5767</v>
      </c>
      <c r="Y1907" s="169" t="s">
        <v>5757</v>
      </c>
      <c r="Z1907" s="169" t="s">
        <v>5767</v>
      </c>
      <c r="AA1907" s="213">
        <v>15.8</v>
      </c>
    </row>
    <row r="1908" spans="1:27">
      <c r="A1908" s="143">
        <v>1865</v>
      </c>
      <c r="B1908" s="144">
        <v>45971</v>
      </c>
      <c r="C1908" s="169" t="s">
        <v>3646</v>
      </c>
      <c r="D1908" s="143" t="s">
        <v>41</v>
      </c>
      <c r="E1908" s="169" t="s">
        <v>5753</v>
      </c>
      <c r="F1908" s="169" t="s">
        <v>5771</v>
      </c>
      <c r="G1908" s="169" t="s">
        <v>5753</v>
      </c>
      <c r="H1908" s="143" t="s">
        <v>5772</v>
      </c>
      <c r="I1908" s="143" t="s">
        <v>5773</v>
      </c>
      <c r="J1908" s="143" t="s">
        <v>5774</v>
      </c>
      <c r="K1908" s="143">
        <v>145</v>
      </c>
      <c r="S1908" s="211"/>
      <c r="T1908" s="211"/>
      <c r="U1908" s="211"/>
      <c r="V1908" s="212"/>
      <c r="W1908" s="169" t="s">
        <v>3147</v>
      </c>
      <c r="X1908" s="169" t="s">
        <v>5771</v>
      </c>
      <c r="Y1908" s="169" t="s">
        <v>5757</v>
      </c>
      <c r="Z1908" s="169" t="s">
        <v>5771</v>
      </c>
      <c r="AA1908" s="213">
        <v>15.8</v>
      </c>
    </row>
    <row r="1909" spans="1:27">
      <c r="A1909" s="143">
        <v>1866</v>
      </c>
      <c r="B1909" s="144">
        <v>45971</v>
      </c>
      <c r="C1909" s="169" t="s">
        <v>3646</v>
      </c>
      <c r="D1909" s="143" t="s">
        <v>41</v>
      </c>
      <c r="E1909" s="169" t="s">
        <v>5753</v>
      </c>
      <c r="F1909" s="169" t="s">
        <v>5775</v>
      </c>
      <c r="G1909" s="169" t="s">
        <v>5753</v>
      </c>
      <c r="H1909" s="143" t="s">
        <v>5776</v>
      </c>
      <c r="I1909" s="143" t="s">
        <v>5769</v>
      </c>
      <c r="J1909" s="143" t="s">
        <v>5770</v>
      </c>
      <c r="K1909" s="143">
        <v>145</v>
      </c>
      <c r="S1909" s="211"/>
      <c r="T1909" s="211"/>
      <c r="U1909" s="211"/>
      <c r="V1909" s="212"/>
      <c r="W1909" s="169" t="s">
        <v>3147</v>
      </c>
      <c r="X1909" s="169" t="s">
        <v>5775</v>
      </c>
      <c r="Y1909" s="169" t="s">
        <v>5757</v>
      </c>
      <c r="Z1909" s="169" t="s">
        <v>5775</v>
      </c>
      <c r="AA1909" s="213">
        <v>16.2</v>
      </c>
    </row>
    <row r="1910" spans="1:27">
      <c r="A1910" s="143">
        <v>1867</v>
      </c>
      <c r="B1910" s="144">
        <v>45971</v>
      </c>
      <c r="C1910" s="169" t="s">
        <v>3646</v>
      </c>
      <c r="D1910" s="143" t="s">
        <v>41</v>
      </c>
      <c r="E1910" s="169" t="s">
        <v>5753</v>
      </c>
      <c r="F1910" s="169" t="s">
        <v>5777</v>
      </c>
      <c r="G1910" s="169" t="s">
        <v>5753</v>
      </c>
      <c r="H1910" s="143" t="s">
        <v>5778</v>
      </c>
      <c r="I1910" s="143" t="s">
        <v>5769</v>
      </c>
      <c r="J1910" s="143" t="s">
        <v>5770</v>
      </c>
      <c r="K1910" s="143">
        <v>145</v>
      </c>
      <c r="S1910" s="211"/>
      <c r="T1910" s="211"/>
      <c r="U1910" s="211"/>
      <c r="V1910" s="212"/>
      <c r="W1910" s="169" t="s">
        <v>3147</v>
      </c>
      <c r="X1910" s="169" t="s">
        <v>5777</v>
      </c>
      <c r="Y1910" s="169" t="s">
        <v>5757</v>
      </c>
      <c r="Z1910" s="169" t="s">
        <v>5777</v>
      </c>
      <c r="AA1910" s="213">
        <v>16.2</v>
      </c>
    </row>
    <row r="1911" spans="1:27">
      <c r="A1911" s="143">
        <v>1868</v>
      </c>
      <c r="B1911" s="144">
        <v>45971</v>
      </c>
      <c r="C1911" s="169" t="s">
        <v>3646</v>
      </c>
      <c r="D1911" s="143" t="s">
        <v>41</v>
      </c>
      <c r="E1911" s="169" t="s">
        <v>5753</v>
      </c>
      <c r="F1911" s="169" t="s">
        <v>5779</v>
      </c>
      <c r="G1911" s="169" t="s">
        <v>5753</v>
      </c>
      <c r="H1911" s="143" t="s">
        <v>5780</v>
      </c>
      <c r="I1911" s="143" t="s">
        <v>5781</v>
      </c>
      <c r="J1911" s="143" t="s">
        <v>5782</v>
      </c>
      <c r="K1911" s="143">
        <v>145</v>
      </c>
      <c r="S1911" s="211"/>
      <c r="T1911" s="211"/>
      <c r="U1911" s="211"/>
      <c r="V1911" s="212"/>
      <c r="W1911" s="169" t="s">
        <v>3147</v>
      </c>
      <c r="X1911" s="169" t="s">
        <v>5779</v>
      </c>
      <c r="Y1911" s="169" t="s">
        <v>5757</v>
      </c>
      <c r="Z1911" s="169" t="s">
        <v>5779</v>
      </c>
      <c r="AA1911" s="213">
        <v>20</v>
      </c>
    </row>
    <row r="1912" spans="1:27">
      <c r="A1912" s="143">
        <v>1869</v>
      </c>
      <c r="B1912" s="144">
        <v>45971</v>
      </c>
      <c r="C1912" s="169" t="s">
        <v>3646</v>
      </c>
      <c r="D1912" s="143" t="s">
        <v>41</v>
      </c>
      <c r="E1912" s="169" t="s">
        <v>5753</v>
      </c>
      <c r="F1912" s="169" t="s">
        <v>5783</v>
      </c>
      <c r="G1912" s="169" t="s">
        <v>5753</v>
      </c>
      <c r="H1912" s="143" t="s">
        <v>5784</v>
      </c>
      <c r="I1912" s="143" t="s">
        <v>5769</v>
      </c>
      <c r="J1912" s="143" t="s">
        <v>5770</v>
      </c>
      <c r="K1912" s="143">
        <v>145</v>
      </c>
      <c r="S1912" s="211"/>
      <c r="T1912" s="211"/>
      <c r="U1912" s="211"/>
      <c r="V1912" s="212"/>
      <c r="W1912" s="169" t="s">
        <v>3147</v>
      </c>
      <c r="X1912" s="169" t="s">
        <v>5783</v>
      </c>
      <c r="Y1912" s="169" t="s">
        <v>5757</v>
      </c>
      <c r="Z1912" s="169" t="s">
        <v>5783</v>
      </c>
      <c r="AA1912" s="213">
        <v>16.2</v>
      </c>
    </row>
    <row r="1913" spans="1:27">
      <c r="A1913" s="143">
        <v>1870</v>
      </c>
      <c r="B1913" s="144">
        <v>45971</v>
      </c>
      <c r="C1913" s="169" t="s">
        <v>3646</v>
      </c>
      <c r="D1913" s="143" t="s">
        <v>41</v>
      </c>
      <c r="E1913" s="169" t="s">
        <v>5753</v>
      </c>
      <c r="F1913" s="169" t="s">
        <v>5785</v>
      </c>
      <c r="G1913" s="169" t="s">
        <v>5753</v>
      </c>
      <c r="H1913" s="143" t="s">
        <v>5786</v>
      </c>
      <c r="I1913" s="196" t="s">
        <v>5760</v>
      </c>
      <c r="K1913" s="143">
        <v>145</v>
      </c>
      <c r="S1913" s="211"/>
      <c r="T1913" s="211"/>
      <c r="U1913" s="211"/>
      <c r="V1913" s="212"/>
      <c r="W1913" s="169" t="s">
        <v>3147</v>
      </c>
      <c r="X1913" s="169" t="s">
        <v>5785</v>
      </c>
      <c r="Y1913" s="169" t="s">
        <v>5757</v>
      </c>
      <c r="Z1913" s="169" t="s">
        <v>5785</v>
      </c>
      <c r="AA1913" s="213">
        <v>11</v>
      </c>
    </row>
    <row r="1914" spans="1:27">
      <c r="A1914" s="143">
        <v>1871</v>
      </c>
      <c r="B1914" s="144">
        <v>45971</v>
      </c>
      <c r="C1914" s="169" t="s">
        <v>3646</v>
      </c>
      <c r="D1914" s="143" t="s">
        <v>41</v>
      </c>
      <c r="E1914" s="169" t="s">
        <v>5753</v>
      </c>
      <c r="F1914" s="143" t="s">
        <v>5787</v>
      </c>
      <c r="G1914" s="169" t="s">
        <v>5753</v>
      </c>
      <c r="H1914" s="143" t="s">
        <v>5788</v>
      </c>
      <c r="I1914" s="143" t="s">
        <v>5789</v>
      </c>
      <c r="J1914" s="143" t="s">
        <v>5790</v>
      </c>
      <c r="S1914" s="211"/>
      <c r="T1914" s="211"/>
      <c r="U1914" s="211"/>
      <c r="V1914" s="212"/>
      <c r="W1914" s="169" t="s">
        <v>3147</v>
      </c>
      <c r="X1914" s="143" t="s">
        <v>5787</v>
      </c>
      <c r="Y1914" s="169" t="s">
        <v>3147</v>
      </c>
      <c r="Z1914" s="143" t="s">
        <v>5787</v>
      </c>
    </row>
    <row r="1915" spans="1:27">
      <c r="A1915" s="143">
        <v>1872</v>
      </c>
      <c r="B1915" s="144">
        <v>45971</v>
      </c>
      <c r="C1915" s="169" t="s">
        <v>3646</v>
      </c>
      <c r="D1915" s="143" t="s">
        <v>41</v>
      </c>
      <c r="E1915" s="169" t="s">
        <v>5753</v>
      </c>
      <c r="F1915" s="143" t="s">
        <v>5791</v>
      </c>
      <c r="G1915" s="169" t="s">
        <v>5753</v>
      </c>
      <c r="H1915" s="143" t="s">
        <v>5792</v>
      </c>
      <c r="I1915" s="143" t="s">
        <v>5789</v>
      </c>
      <c r="J1915" s="143" t="s">
        <v>5790</v>
      </c>
      <c r="S1915" s="211"/>
      <c r="T1915" s="211"/>
      <c r="U1915" s="211"/>
      <c r="V1915" s="212"/>
      <c r="W1915" s="169" t="s">
        <v>3147</v>
      </c>
      <c r="X1915" s="143" t="s">
        <v>5791</v>
      </c>
      <c r="Y1915" s="169" t="s">
        <v>3147</v>
      </c>
      <c r="Z1915" s="143" t="s">
        <v>5791</v>
      </c>
    </row>
    <row r="1916" spans="1:27">
      <c r="A1916" s="143">
        <v>1873</v>
      </c>
      <c r="B1916" s="144">
        <v>45971</v>
      </c>
      <c r="C1916" s="169" t="s">
        <v>3646</v>
      </c>
      <c r="D1916" s="143" t="s">
        <v>41</v>
      </c>
      <c r="E1916" s="169" t="s">
        <v>5753</v>
      </c>
      <c r="F1916" s="143" t="s">
        <v>5793</v>
      </c>
      <c r="G1916" s="169" t="s">
        <v>5753</v>
      </c>
      <c r="H1916" s="143" t="s">
        <v>5794</v>
      </c>
      <c r="I1916" s="143" t="s">
        <v>5789</v>
      </c>
      <c r="J1916" s="143" t="s">
        <v>5790</v>
      </c>
      <c r="S1916" s="211"/>
      <c r="T1916" s="211"/>
      <c r="U1916" s="211"/>
      <c r="V1916" s="212"/>
      <c r="W1916" s="169" t="s">
        <v>3147</v>
      </c>
      <c r="X1916" s="143" t="s">
        <v>5793</v>
      </c>
      <c r="Y1916" s="169" t="s">
        <v>3147</v>
      </c>
      <c r="Z1916" s="143" t="s">
        <v>5793</v>
      </c>
    </row>
    <row r="1917" spans="1:27">
      <c r="A1917" s="143">
        <v>1874</v>
      </c>
      <c r="B1917" s="144">
        <v>45971</v>
      </c>
      <c r="C1917" s="169" t="s">
        <v>3646</v>
      </c>
      <c r="D1917" s="143" t="s">
        <v>41</v>
      </c>
      <c r="E1917" s="169" t="s">
        <v>5753</v>
      </c>
      <c r="F1917" s="143" t="s">
        <v>5795</v>
      </c>
      <c r="G1917" s="169" t="s">
        <v>5753</v>
      </c>
      <c r="H1917" s="143" t="s">
        <v>5796</v>
      </c>
      <c r="I1917" s="143" t="s">
        <v>5789</v>
      </c>
      <c r="J1917" s="143" t="s">
        <v>5790</v>
      </c>
      <c r="S1917" s="211"/>
      <c r="T1917" s="211"/>
      <c r="U1917" s="211"/>
      <c r="V1917" s="212"/>
      <c r="W1917" s="169" t="s">
        <v>3147</v>
      </c>
      <c r="X1917" s="143" t="s">
        <v>5795</v>
      </c>
      <c r="Y1917" s="169" t="s">
        <v>3147</v>
      </c>
      <c r="Z1917" s="143" t="s">
        <v>5795</v>
      </c>
    </row>
    <row r="1918" spans="1:27">
      <c r="A1918" s="143">
        <v>1875</v>
      </c>
      <c r="B1918" s="144">
        <v>45971</v>
      </c>
      <c r="C1918" s="169" t="s">
        <v>3646</v>
      </c>
      <c r="D1918" s="143" t="s">
        <v>41</v>
      </c>
      <c r="E1918" s="169" t="s">
        <v>5753</v>
      </c>
      <c r="F1918" s="143" t="s">
        <v>5797</v>
      </c>
      <c r="G1918" s="169" t="s">
        <v>5753</v>
      </c>
      <c r="H1918" s="143" t="s">
        <v>5798</v>
      </c>
      <c r="I1918" s="143" t="s">
        <v>5789</v>
      </c>
      <c r="J1918" s="143" t="s">
        <v>5790</v>
      </c>
      <c r="K1918" s="143">
        <v>145</v>
      </c>
      <c r="S1918" s="211"/>
      <c r="T1918" s="211"/>
      <c r="U1918" s="211"/>
      <c r="V1918" s="212"/>
      <c r="W1918" s="169" t="s">
        <v>3147</v>
      </c>
      <c r="X1918" s="143" t="s">
        <v>5797</v>
      </c>
      <c r="Y1918" s="169" t="s">
        <v>3147</v>
      </c>
      <c r="Z1918" s="143" t="s">
        <v>5797</v>
      </c>
    </row>
    <row r="1919" spans="1:27">
      <c r="A1919" s="143">
        <v>1876</v>
      </c>
      <c r="B1919" s="144">
        <v>45971</v>
      </c>
      <c r="C1919" s="169" t="s">
        <v>3646</v>
      </c>
      <c r="D1919" s="143" t="s">
        <v>41</v>
      </c>
      <c r="E1919" s="169" t="s">
        <v>5753</v>
      </c>
      <c r="F1919" s="143" t="s">
        <v>5799</v>
      </c>
      <c r="G1919" s="169" t="s">
        <v>5753</v>
      </c>
      <c r="H1919" s="143" t="s">
        <v>5800</v>
      </c>
      <c r="I1919" s="143" t="s">
        <v>5789</v>
      </c>
      <c r="J1919" s="143" t="s">
        <v>5790</v>
      </c>
      <c r="K1919" s="143">
        <v>145</v>
      </c>
      <c r="S1919" s="211"/>
      <c r="T1919" s="211"/>
      <c r="U1919" s="211"/>
      <c r="V1919" s="212"/>
      <c r="W1919" s="169" t="s">
        <v>3147</v>
      </c>
      <c r="X1919" s="143" t="s">
        <v>5799</v>
      </c>
      <c r="Y1919" s="169" t="s">
        <v>3147</v>
      </c>
      <c r="Z1919" s="143" t="s">
        <v>5799</v>
      </c>
    </row>
    <row r="1920" spans="1:27">
      <c r="A1920" s="143">
        <v>1877</v>
      </c>
      <c r="B1920" s="144">
        <v>45971</v>
      </c>
      <c r="C1920" s="169" t="s">
        <v>3646</v>
      </c>
      <c r="D1920" s="143" t="s">
        <v>41</v>
      </c>
      <c r="E1920" s="169" t="s">
        <v>5753</v>
      </c>
      <c r="F1920" s="143" t="s">
        <v>5801</v>
      </c>
      <c r="G1920" s="169" t="s">
        <v>5753</v>
      </c>
      <c r="H1920" s="143" t="s">
        <v>5802</v>
      </c>
      <c r="I1920" s="143" t="s">
        <v>5789</v>
      </c>
      <c r="J1920" s="143" t="s">
        <v>5790</v>
      </c>
      <c r="S1920" s="211"/>
      <c r="T1920" s="211"/>
      <c r="U1920" s="211"/>
      <c r="V1920" s="212"/>
      <c r="W1920" s="169" t="s">
        <v>3147</v>
      </c>
      <c r="X1920" s="143" t="s">
        <v>5801</v>
      </c>
      <c r="Y1920" s="169" t="s">
        <v>3147</v>
      </c>
      <c r="Z1920" s="143" t="s">
        <v>5801</v>
      </c>
    </row>
    <row r="1921" spans="1:26">
      <c r="A1921" s="143">
        <v>1878</v>
      </c>
      <c r="B1921" s="144">
        <v>45971</v>
      </c>
      <c r="C1921" s="169" t="s">
        <v>3646</v>
      </c>
      <c r="D1921" s="143" t="s">
        <v>41</v>
      </c>
      <c r="E1921" s="169" t="s">
        <v>5753</v>
      </c>
      <c r="F1921" s="143" t="s">
        <v>5803</v>
      </c>
      <c r="G1921" s="169" t="s">
        <v>5753</v>
      </c>
      <c r="H1921" s="143" t="s">
        <v>5804</v>
      </c>
      <c r="I1921" s="143" t="s">
        <v>324</v>
      </c>
      <c r="J1921" s="143" t="s">
        <v>325</v>
      </c>
      <c r="K1921" s="143">
        <v>145</v>
      </c>
      <c r="L1921" s="143">
        <v>90</v>
      </c>
      <c r="S1921" s="211"/>
      <c r="T1921" s="211"/>
      <c r="U1921" s="211"/>
      <c r="V1921" s="212"/>
      <c r="W1921" s="169" t="s">
        <v>3147</v>
      </c>
      <c r="X1921" s="143" t="s">
        <v>5803</v>
      </c>
      <c r="Y1921" s="169" t="s">
        <v>3147</v>
      </c>
      <c r="Z1921" s="143" t="s">
        <v>5803</v>
      </c>
    </row>
    <row r="1922" spans="1:26">
      <c r="A1922" s="143">
        <v>1879</v>
      </c>
      <c r="B1922" s="144">
        <v>45971</v>
      </c>
      <c r="C1922" s="169" t="s">
        <v>3646</v>
      </c>
      <c r="D1922" s="143" t="s">
        <v>41</v>
      </c>
      <c r="E1922" s="169" t="s">
        <v>5753</v>
      </c>
      <c r="F1922" s="143" t="s">
        <v>5805</v>
      </c>
      <c r="G1922" s="169" t="s">
        <v>5753</v>
      </c>
      <c r="H1922" s="143" t="s">
        <v>5806</v>
      </c>
      <c r="I1922" s="143" t="s">
        <v>324</v>
      </c>
      <c r="J1922" s="143" t="s">
        <v>325</v>
      </c>
      <c r="K1922" s="143">
        <v>145</v>
      </c>
      <c r="L1922" s="143">
        <v>90</v>
      </c>
      <c r="S1922" s="211"/>
      <c r="T1922" s="211"/>
      <c r="U1922" s="211"/>
      <c r="V1922" s="212"/>
      <c r="W1922" s="169" t="s">
        <v>3147</v>
      </c>
      <c r="X1922" s="143" t="s">
        <v>5805</v>
      </c>
      <c r="Y1922" s="169" t="s">
        <v>3147</v>
      </c>
      <c r="Z1922" s="143" t="s">
        <v>5805</v>
      </c>
    </row>
    <row r="1923" spans="1:26">
      <c r="A1923" s="143">
        <v>1880</v>
      </c>
      <c r="B1923" s="144">
        <v>45971</v>
      </c>
      <c r="C1923" s="169" t="s">
        <v>3646</v>
      </c>
      <c r="D1923" s="143" t="s">
        <v>41</v>
      </c>
      <c r="E1923" s="169" t="s">
        <v>5753</v>
      </c>
      <c r="F1923" s="143" t="s">
        <v>5807</v>
      </c>
      <c r="G1923" s="169" t="s">
        <v>5753</v>
      </c>
      <c r="H1923" s="143" t="s">
        <v>5808</v>
      </c>
      <c r="I1923" s="143" t="s">
        <v>324</v>
      </c>
      <c r="J1923" s="143" t="s">
        <v>325</v>
      </c>
      <c r="K1923" s="143">
        <v>145</v>
      </c>
      <c r="L1923" s="143">
        <v>120</v>
      </c>
      <c r="S1923" s="211"/>
      <c r="T1923" s="211"/>
      <c r="U1923" s="211"/>
      <c r="V1923" s="212"/>
      <c r="W1923" s="169" t="s">
        <v>3147</v>
      </c>
      <c r="X1923" s="143" t="s">
        <v>5807</v>
      </c>
      <c r="Y1923" s="169" t="s">
        <v>3147</v>
      </c>
      <c r="Z1923" s="143" t="s">
        <v>5807</v>
      </c>
    </row>
    <row r="1924" spans="1:26">
      <c r="A1924" s="143">
        <v>1881</v>
      </c>
      <c r="B1924" s="144">
        <v>45971</v>
      </c>
      <c r="C1924" s="169" t="s">
        <v>3646</v>
      </c>
      <c r="D1924" s="143" t="s">
        <v>41</v>
      </c>
      <c r="E1924" s="169" t="s">
        <v>5753</v>
      </c>
      <c r="F1924" s="143" t="s">
        <v>5809</v>
      </c>
      <c r="G1924" s="169" t="s">
        <v>5753</v>
      </c>
      <c r="H1924" s="143" t="s">
        <v>5810</v>
      </c>
      <c r="I1924" s="143" t="s">
        <v>324</v>
      </c>
      <c r="J1924" s="143" t="s">
        <v>325</v>
      </c>
      <c r="K1924" s="143">
        <v>145</v>
      </c>
      <c r="S1924" s="211"/>
      <c r="T1924" s="211"/>
      <c r="U1924" s="211"/>
      <c r="V1924" s="212"/>
      <c r="W1924" s="169" t="s">
        <v>3147</v>
      </c>
      <c r="X1924" s="143" t="s">
        <v>5809</v>
      </c>
      <c r="Y1924" s="169" t="s">
        <v>3147</v>
      </c>
      <c r="Z1924" s="143" t="s">
        <v>5809</v>
      </c>
    </row>
    <row r="1925" spans="1:26">
      <c r="A1925" s="143">
        <v>1882</v>
      </c>
      <c r="B1925" s="144">
        <v>45971</v>
      </c>
      <c r="C1925" s="169" t="s">
        <v>3646</v>
      </c>
      <c r="D1925" s="143" t="s">
        <v>41</v>
      </c>
      <c r="E1925" s="169" t="s">
        <v>5753</v>
      </c>
      <c r="F1925" s="143" t="s">
        <v>5811</v>
      </c>
      <c r="G1925" s="169" t="s">
        <v>5753</v>
      </c>
      <c r="H1925" s="143" t="s">
        <v>5812</v>
      </c>
      <c r="I1925" s="143" t="s">
        <v>324</v>
      </c>
      <c r="J1925" s="143" t="s">
        <v>325</v>
      </c>
      <c r="K1925" s="143">
        <v>145</v>
      </c>
      <c r="S1925" s="211"/>
      <c r="T1925" s="211"/>
      <c r="U1925" s="211"/>
      <c r="V1925" s="212"/>
      <c r="W1925" s="169" t="s">
        <v>3147</v>
      </c>
      <c r="X1925" s="143" t="s">
        <v>5811</v>
      </c>
      <c r="Y1925" s="169" t="s">
        <v>3147</v>
      </c>
      <c r="Z1925" s="143" t="s">
        <v>5811</v>
      </c>
    </row>
    <row r="1926" spans="1:26">
      <c r="A1926" s="143">
        <v>1883</v>
      </c>
      <c r="B1926" s="144">
        <v>45971</v>
      </c>
      <c r="C1926" s="169" t="s">
        <v>3646</v>
      </c>
      <c r="D1926" s="143" t="s">
        <v>41</v>
      </c>
      <c r="E1926" s="169" t="s">
        <v>5753</v>
      </c>
      <c r="F1926" s="143" t="s">
        <v>5813</v>
      </c>
      <c r="G1926" s="169" t="s">
        <v>5753</v>
      </c>
      <c r="H1926" s="143" t="s">
        <v>5814</v>
      </c>
      <c r="I1926" s="143" t="s">
        <v>324</v>
      </c>
      <c r="J1926" s="143" t="s">
        <v>325</v>
      </c>
      <c r="K1926" s="143">
        <v>145</v>
      </c>
      <c r="S1926" s="211"/>
      <c r="T1926" s="211"/>
      <c r="U1926" s="211"/>
      <c r="V1926" s="212"/>
      <c r="W1926" s="169" t="s">
        <v>3147</v>
      </c>
      <c r="X1926" s="143" t="s">
        <v>5813</v>
      </c>
      <c r="Y1926" s="169" t="s">
        <v>3147</v>
      </c>
      <c r="Z1926" s="143" t="s">
        <v>5813</v>
      </c>
    </row>
    <row r="1927" spans="1:26">
      <c r="A1927" s="143">
        <v>1884</v>
      </c>
      <c r="B1927" s="144">
        <v>45971</v>
      </c>
      <c r="C1927" s="169" t="s">
        <v>3646</v>
      </c>
      <c r="D1927" s="143" t="s">
        <v>41</v>
      </c>
      <c r="E1927" s="169" t="s">
        <v>5753</v>
      </c>
      <c r="F1927" s="143" t="s">
        <v>5815</v>
      </c>
      <c r="G1927" s="169" t="s">
        <v>5753</v>
      </c>
      <c r="H1927" s="143" t="s">
        <v>5816</v>
      </c>
      <c r="I1927" s="143" t="s">
        <v>324</v>
      </c>
      <c r="J1927" s="143" t="s">
        <v>325</v>
      </c>
      <c r="K1927" s="143">
        <v>145</v>
      </c>
      <c r="L1927" s="143">
        <v>120</v>
      </c>
      <c r="S1927" s="211"/>
      <c r="T1927" s="211"/>
      <c r="U1927" s="211"/>
      <c r="V1927" s="212"/>
      <c r="W1927" s="169" t="s">
        <v>3147</v>
      </c>
      <c r="X1927" s="143" t="s">
        <v>5815</v>
      </c>
      <c r="Y1927" s="169" t="s">
        <v>3147</v>
      </c>
      <c r="Z1927" s="143" t="s">
        <v>5815</v>
      </c>
    </row>
    <row r="1928" spans="1:26">
      <c r="A1928" s="143">
        <v>1885</v>
      </c>
      <c r="B1928" s="144">
        <v>45971</v>
      </c>
      <c r="C1928" s="169" t="s">
        <v>3646</v>
      </c>
      <c r="D1928" s="143" t="s">
        <v>41</v>
      </c>
      <c r="E1928" s="169" t="s">
        <v>5753</v>
      </c>
      <c r="F1928" s="143" t="s">
        <v>5817</v>
      </c>
      <c r="G1928" s="169" t="s">
        <v>5753</v>
      </c>
      <c r="H1928" s="143" t="s">
        <v>5818</v>
      </c>
      <c r="I1928" s="143" t="s">
        <v>324</v>
      </c>
      <c r="J1928" s="143" t="s">
        <v>325</v>
      </c>
      <c r="K1928" s="143">
        <v>145</v>
      </c>
      <c r="L1928" s="143">
        <v>120</v>
      </c>
      <c r="S1928" s="211"/>
      <c r="T1928" s="211"/>
      <c r="U1928" s="211"/>
      <c r="V1928" s="212"/>
      <c r="W1928" s="169" t="s">
        <v>3147</v>
      </c>
      <c r="X1928" s="143" t="s">
        <v>5817</v>
      </c>
      <c r="Y1928" s="169" t="s">
        <v>3147</v>
      </c>
      <c r="Z1928" s="143" t="s">
        <v>5817</v>
      </c>
    </row>
    <row r="1929" spans="1:26">
      <c r="A1929" s="143">
        <v>1886</v>
      </c>
      <c r="B1929" s="144">
        <v>45971</v>
      </c>
      <c r="C1929" s="169" t="s">
        <v>3646</v>
      </c>
      <c r="D1929" s="143" t="s">
        <v>41</v>
      </c>
      <c r="E1929" s="169" t="s">
        <v>5753</v>
      </c>
      <c r="F1929" s="143" t="s">
        <v>5819</v>
      </c>
      <c r="G1929" s="169" t="s">
        <v>5753</v>
      </c>
      <c r="H1929" s="143" t="s">
        <v>5820</v>
      </c>
      <c r="I1929" s="143" t="s">
        <v>324</v>
      </c>
      <c r="J1929" s="143" t="s">
        <v>325</v>
      </c>
      <c r="K1929" s="143">
        <v>145</v>
      </c>
      <c r="L1929" s="143">
        <v>125</v>
      </c>
      <c r="S1929" s="211"/>
      <c r="T1929" s="211"/>
      <c r="U1929" s="211"/>
      <c r="V1929" s="212"/>
      <c r="W1929" s="169" t="s">
        <v>3147</v>
      </c>
      <c r="X1929" s="143" t="s">
        <v>5819</v>
      </c>
      <c r="Y1929" s="169" t="s">
        <v>3147</v>
      </c>
      <c r="Z1929" s="143" t="s">
        <v>5819</v>
      </c>
    </row>
    <row r="1930" spans="1:26">
      <c r="A1930" s="143">
        <v>1887</v>
      </c>
      <c r="B1930" s="144">
        <v>45971</v>
      </c>
      <c r="C1930" s="169" t="s">
        <v>3646</v>
      </c>
      <c r="D1930" s="143" t="s">
        <v>41</v>
      </c>
      <c r="E1930" s="169" t="s">
        <v>5753</v>
      </c>
      <c r="F1930" s="143" t="s">
        <v>5821</v>
      </c>
      <c r="G1930" s="169" t="s">
        <v>5753</v>
      </c>
      <c r="H1930" s="143" t="s">
        <v>5822</v>
      </c>
      <c r="I1930" s="143" t="s">
        <v>5823</v>
      </c>
      <c r="J1930" s="143" t="s">
        <v>5824</v>
      </c>
      <c r="K1930" s="143">
        <v>145</v>
      </c>
      <c r="S1930" s="211"/>
      <c r="T1930" s="211"/>
      <c r="U1930" s="211"/>
      <c r="V1930" s="212"/>
      <c r="W1930" s="169" t="s">
        <v>3147</v>
      </c>
      <c r="X1930" s="143" t="s">
        <v>5821</v>
      </c>
      <c r="Y1930" s="169" t="s">
        <v>3147</v>
      </c>
      <c r="Z1930" s="143" t="s">
        <v>5821</v>
      </c>
    </row>
    <row r="1931" spans="1:26">
      <c r="A1931" s="143">
        <v>1888</v>
      </c>
      <c r="B1931" s="144">
        <v>45971</v>
      </c>
      <c r="C1931" s="169" t="s">
        <v>3646</v>
      </c>
      <c r="D1931" s="143" t="s">
        <v>41</v>
      </c>
      <c r="E1931" s="169" t="s">
        <v>5753</v>
      </c>
      <c r="F1931" s="143" t="s">
        <v>5825</v>
      </c>
      <c r="G1931" s="169" t="s">
        <v>5753</v>
      </c>
      <c r="H1931" s="143" t="s">
        <v>5826</v>
      </c>
      <c r="I1931" s="143" t="s">
        <v>324</v>
      </c>
      <c r="J1931" s="143" t="s">
        <v>325</v>
      </c>
      <c r="K1931" s="143">
        <v>145</v>
      </c>
      <c r="S1931" s="211"/>
      <c r="T1931" s="211"/>
      <c r="U1931" s="211"/>
      <c r="V1931" s="212"/>
      <c r="W1931" s="169" t="s">
        <v>3147</v>
      </c>
      <c r="X1931" s="143" t="s">
        <v>5825</v>
      </c>
      <c r="Y1931" s="169" t="s">
        <v>3147</v>
      </c>
      <c r="Z1931" s="143" t="s">
        <v>5825</v>
      </c>
    </row>
    <row r="1932" spans="1:26">
      <c r="A1932" s="143">
        <v>1889</v>
      </c>
      <c r="B1932" s="144">
        <v>45971</v>
      </c>
      <c r="C1932" s="169" t="s">
        <v>3646</v>
      </c>
      <c r="D1932" s="143" t="s">
        <v>41</v>
      </c>
      <c r="E1932" s="169" t="s">
        <v>5753</v>
      </c>
      <c r="F1932" s="143" t="s">
        <v>5827</v>
      </c>
      <c r="G1932" s="169" t="s">
        <v>5753</v>
      </c>
      <c r="H1932" s="143" t="s">
        <v>5828</v>
      </c>
      <c r="I1932" s="143" t="s">
        <v>324</v>
      </c>
      <c r="J1932" s="143" t="s">
        <v>325</v>
      </c>
      <c r="K1932" s="143">
        <v>145</v>
      </c>
      <c r="L1932" s="143">
        <v>100</v>
      </c>
      <c r="S1932" s="211"/>
      <c r="T1932" s="211"/>
      <c r="U1932" s="211"/>
      <c r="V1932" s="212"/>
      <c r="W1932" s="169" t="s">
        <v>3147</v>
      </c>
      <c r="X1932" s="143" t="s">
        <v>5827</v>
      </c>
      <c r="Y1932" s="169" t="s">
        <v>3147</v>
      </c>
      <c r="Z1932" s="143" t="s">
        <v>5827</v>
      </c>
    </row>
    <row r="1933" spans="1:26">
      <c r="A1933" s="143">
        <v>1890</v>
      </c>
      <c r="B1933" s="144">
        <v>45971</v>
      </c>
      <c r="C1933" s="169" t="s">
        <v>3646</v>
      </c>
      <c r="D1933" s="143" t="s">
        <v>41</v>
      </c>
      <c r="E1933" s="169" t="s">
        <v>5753</v>
      </c>
      <c r="F1933" s="143" t="s">
        <v>5829</v>
      </c>
      <c r="G1933" s="169" t="s">
        <v>5753</v>
      </c>
      <c r="H1933" s="143" t="s">
        <v>5830</v>
      </c>
      <c r="I1933" s="143" t="s">
        <v>324</v>
      </c>
      <c r="J1933" s="143" t="s">
        <v>325</v>
      </c>
      <c r="K1933" s="143">
        <v>145</v>
      </c>
      <c r="L1933" s="143">
        <v>100</v>
      </c>
      <c r="S1933" s="211"/>
      <c r="T1933" s="211"/>
      <c r="U1933" s="211"/>
      <c r="V1933" s="212"/>
      <c r="W1933" s="169" t="s">
        <v>3147</v>
      </c>
      <c r="X1933" s="143" t="s">
        <v>5829</v>
      </c>
      <c r="Y1933" s="169" t="s">
        <v>3147</v>
      </c>
      <c r="Z1933" s="143" t="s">
        <v>5829</v>
      </c>
    </row>
    <row r="1934" spans="1:26">
      <c r="A1934" s="143">
        <v>1891</v>
      </c>
      <c r="B1934" s="144">
        <v>45971</v>
      </c>
      <c r="C1934" s="169" t="s">
        <v>3646</v>
      </c>
      <c r="D1934" s="143" t="s">
        <v>41</v>
      </c>
      <c r="E1934" s="169" t="s">
        <v>5753</v>
      </c>
      <c r="F1934" s="143" t="s">
        <v>5831</v>
      </c>
      <c r="G1934" s="169" t="s">
        <v>5753</v>
      </c>
      <c r="H1934" s="143" t="s">
        <v>5832</v>
      </c>
      <c r="I1934" s="143" t="s">
        <v>324</v>
      </c>
      <c r="J1934" s="143" t="s">
        <v>325</v>
      </c>
      <c r="K1934" s="143">
        <v>145</v>
      </c>
      <c r="L1934" s="143">
        <v>90</v>
      </c>
      <c r="S1934" s="211"/>
      <c r="T1934" s="211"/>
      <c r="U1934" s="211"/>
      <c r="V1934" s="212"/>
      <c r="W1934" s="169" t="s">
        <v>3147</v>
      </c>
      <c r="X1934" s="143" t="s">
        <v>5831</v>
      </c>
      <c r="Y1934" s="169" t="s">
        <v>3147</v>
      </c>
      <c r="Z1934" s="143" t="s">
        <v>5831</v>
      </c>
    </row>
    <row r="1935" spans="1:26">
      <c r="A1935" s="143">
        <v>1892</v>
      </c>
      <c r="B1935" s="144">
        <v>45971</v>
      </c>
      <c r="C1935" s="169" t="s">
        <v>3646</v>
      </c>
      <c r="D1935" s="143" t="s">
        <v>41</v>
      </c>
      <c r="E1935" s="169" t="s">
        <v>5753</v>
      </c>
      <c r="F1935" s="143" t="s">
        <v>5833</v>
      </c>
      <c r="G1935" s="169" t="s">
        <v>5753</v>
      </c>
      <c r="H1935" s="143" t="s">
        <v>5834</v>
      </c>
      <c r="I1935" s="143" t="s">
        <v>324</v>
      </c>
      <c r="J1935" s="143" t="s">
        <v>325</v>
      </c>
      <c r="K1935" s="143">
        <v>145</v>
      </c>
      <c r="L1935" s="143">
        <v>90</v>
      </c>
      <c r="S1935" s="211"/>
      <c r="T1935" s="211"/>
      <c r="U1935" s="211"/>
      <c r="V1935" s="212"/>
      <c r="W1935" s="169" t="s">
        <v>3147</v>
      </c>
      <c r="X1935" s="143" t="s">
        <v>5833</v>
      </c>
      <c r="Y1935" s="169" t="s">
        <v>3147</v>
      </c>
      <c r="Z1935" s="143" t="s">
        <v>5833</v>
      </c>
    </row>
    <row r="1936" spans="1:26">
      <c r="A1936" s="143">
        <v>1893</v>
      </c>
      <c r="B1936" s="144">
        <v>45971</v>
      </c>
      <c r="C1936" s="169" t="s">
        <v>3646</v>
      </c>
      <c r="D1936" s="143" t="s">
        <v>41</v>
      </c>
      <c r="E1936" s="169" t="s">
        <v>5753</v>
      </c>
      <c r="F1936" s="143" t="s">
        <v>5835</v>
      </c>
      <c r="G1936" s="169" t="s">
        <v>5753</v>
      </c>
      <c r="H1936" s="143" t="s">
        <v>5836</v>
      </c>
      <c r="I1936" s="143" t="s">
        <v>324</v>
      </c>
      <c r="J1936" s="143" t="s">
        <v>325</v>
      </c>
      <c r="K1936" s="143">
        <v>145</v>
      </c>
      <c r="L1936" s="143">
        <v>90</v>
      </c>
      <c r="S1936" s="211"/>
      <c r="T1936" s="211"/>
      <c r="U1936" s="211"/>
      <c r="V1936" s="212"/>
      <c r="W1936" s="169" t="s">
        <v>3147</v>
      </c>
      <c r="X1936" s="143" t="s">
        <v>5835</v>
      </c>
      <c r="Y1936" s="169" t="s">
        <v>3147</v>
      </c>
      <c r="Z1936" s="143" t="s">
        <v>5835</v>
      </c>
    </row>
    <row r="1937" spans="1:26">
      <c r="A1937" s="143">
        <v>1894</v>
      </c>
      <c r="B1937" s="144">
        <v>45971</v>
      </c>
      <c r="C1937" s="169" t="s">
        <v>3646</v>
      </c>
      <c r="D1937" s="143" t="s">
        <v>41</v>
      </c>
      <c r="E1937" s="169" t="s">
        <v>5753</v>
      </c>
      <c r="F1937" s="143" t="s">
        <v>5837</v>
      </c>
      <c r="G1937" s="169" t="s">
        <v>5753</v>
      </c>
      <c r="H1937" s="143" t="s">
        <v>5838</v>
      </c>
      <c r="I1937" s="182" t="s">
        <v>45</v>
      </c>
      <c r="J1937" s="182" t="s">
        <v>46</v>
      </c>
      <c r="K1937" s="143">
        <v>145</v>
      </c>
      <c r="L1937" s="143">
        <v>100</v>
      </c>
      <c r="S1937" s="211"/>
      <c r="T1937" s="211"/>
      <c r="U1937" s="211"/>
      <c r="V1937" s="212"/>
      <c r="W1937" s="169" t="s">
        <v>3147</v>
      </c>
      <c r="X1937" s="143" t="s">
        <v>5837</v>
      </c>
      <c r="Y1937" s="169" t="s">
        <v>3147</v>
      </c>
      <c r="Z1937" s="143" t="s">
        <v>5837</v>
      </c>
    </row>
    <row r="1938" spans="1:26">
      <c r="A1938" s="143">
        <v>1895</v>
      </c>
      <c r="B1938" s="144">
        <v>45971</v>
      </c>
      <c r="C1938" s="169" t="s">
        <v>3646</v>
      </c>
      <c r="D1938" s="143" t="s">
        <v>41</v>
      </c>
      <c r="E1938" s="169" t="s">
        <v>5753</v>
      </c>
      <c r="F1938" s="143" t="s">
        <v>5839</v>
      </c>
      <c r="G1938" s="169" t="s">
        <v>5753</v>
      </c>
      <c r="H1938" s="143" t="s">
        <v>5840</v>
      </c>
      <c r="I1938" s="143" t="s">
        <v>4368</v>
      </c>
      <c r="J1938" s="143" t="s">
        <v>2332</v>
      </c>
      <c r="K1938" s="143">
        <v>145</v>
      </c>
      <c r="S1938" s="211"/>
      <c r="T1938" s="211"/>
      <c r="U1938" s="211"/>
      <c r="V1938" s="212"/>
      <c r="W1938" s="169" t="s">
        <v>3147</v>
      </c>
      <c r="X1938" s="143" t="s">
        <v>5839</v>
      </c>
      <c r="Y1938" s="169" t="s">
        <v>3147</v>
      </c>
      <c r="Z1938" s="143" t="s">
        <v>5839</v>
      </c>
    </row>
    <row r="1939" spans="1:26">
      <c r="A1939" s="143">
        <v>1896</v>
      </c>
      <c r="B1939" s="144">
        <v>45971</v>
      </c>
      <c r="C1939" s="169" t="s">
        <v>3646</v>
      </c>
      <c r="D1939" s="143" t="s">
        <v>41</v>
      </c>
      <c r="E1939" s="169" t="s">
        <v>5753</v>
      </c>
      <c r="F1939" s="143" t="s">
        <v>5841</v>
      </c>
      <c r="G1939" s="169" t="s">
        <v>5753</v>
      </c>
      <c r="H1939" s="143" t="s">
        <v>5842</v>
      </c>
      <c r="I1939" s="143" t="s">
        <v>324</v>
      </c>
      <c r="J1939" s="143" t="s">
        <v>325</v>
      </c>
      <c r="K1939" s="143">
        <v>145</v>
      </c>
      <c r="S1939" s="211"/>
      <c r="T1939" s="211"/>
      <c r="U1939" s="211"/>
      <c r="V1939" s="212"/>
      <c r="W1939" s="169" t="s">
        <v>3147</v>
      </c>
      <c r="X1939" s="143" t="s">
        <v>5841</v>
      </c>
      <c r="Y1939" s="169" t="s">
        <v>3147</v>
      </c>
      <c r="Z1939" s="143" t="s">
        <v>5841</v>
      </c>
    </row>
    <row r="1940" spans="1:26">
      <c r="A1940" s="143">
        <v>1897</v>
      </c>
      <c r="B1940" s="144">
        <v>45971</v>
      </c>
      <c r="C1940" s="169" t="s">
        <v>3646</v>
      </c>
      <c r="D1940" s="143" t="s">
        <v>41</v>
      </c>
      <c r="E1940" s="169" t="s">
        <v>5753</v>
      </c>
      <c r="F1940" s="143" t="s">
        <v>5843</v>
      </c>
      <c r="G1940" s="169" t="s">
        <v>5753</v>
      </c>
      <c r="H1940" s="143" t="s">
        <v>5844</v>
      </c>
      <c r="I1940" s="143" t="s">
        <v>324</v>
      </c>
      <c r="J1940" s="143" t="s">
        <v>325</v>
      </c>
      <c r="K1940" s="143">
        <v>145</v>
      </c>
      <c r="S1940" s="211"/>
      <c r="T1940" s="211"/>
      <c r="U1940" s="211"/>
      <c r="V1940" s="212"/>
      <c r="W1940" s="169" t="s">
        <v>3147</v>
      </c>
      <c r="X1940" s="143" t="s">
        <v>5843</v>
      </c>
      <c r="Y1940" s="169" t="s">
        <v>3147</v>
      </c>
      <c r="Z1940" s="143" t="s">
        <v>5843</v>
      </c>
    </row>
    <row r="1941" spans="1:26">
      <c r="A1941" s="143">
        <v>1898</v>
      </c>
      <c r="B1941" s="144">
        <v>45971</v>
      </c>
      <c r="C1941" s="169" t="s">
        <v>3646</v>
      </c>
      <c r="D1941" s="143" t="s">
        <v>41</v>
      </c>
      <c r="E1941" s="169" t="s">
        <v>5753</v>
      </c>
      <c r="F1941" s="143" t="s">
        <v>5845</v>
      </c>
      <c r="G1941" s="169" t="s">
        <v>5753</v>
      </c>
      <c r="H1941" s="143" t="s">
        <v>5846</v>
      </c>
      <c r="I1941" s="143" t="s">
        <v>324</v>
      </c>
      <c r="J1941" s="143" t="s">
        <v>325</v>
      </c>
      <c r="K1941" s="143">
        <v>145</v>
      </c>
      <c r="L1941" s="143">
        <v>95</v>
      </c>
      <c r="S1941" s="211"/>
      <c r="T1941" s="211"/>
      <c r="U1941" s="211"/>
      <c r="V1941" s="212"/>
      <c r="W1941" s="169" t="s">
        <v>3147</v>
      </c>
      <c r="X1941" s="143" t="s">
        <v>5845</v>
      </c>
      <c r="Y1941" s="169" t="s">
        <v>3147</v>
      </c>
      <c r="Z1941" s="143" t="s">
        <v>5845</v>
      </c>
    </row>
    <row r="1942" spans="1:26">
      <c r="A1942" s="143">
        <v>1899</v>
      </c>
      <c r="B1942" s="144">
        <v>45971</v>
      </c>
      <c r="C1942" s="169" t="s">
        <v>3646</v>
      </c>
      <c r="D1942" s="143" t="s">
        <v>41</v>
      </c>
      <c r="E1942" s="169" t="s">
        <v>5753</v>
      </c>
      <c r="F1942" s="143" t="s">
        <v>5847</v>
      </c>
      <c r="G1942" s="169" t="s">
        <v>5753</v>
      </c>
      <c r="H1942" s="143" t="s">
        <v>5848</v>
      </c>
      <c r="I1942" s="182" t="s">
        <v>45</v>
      </c>
      <c r="J1942" s="182" t="s">
        <v>46</v>
      </c>
      <c r="K1942" s="143">
        <v>145</v>
      </c>
      <c r="L1942" s="143">
        <v>95</v>
      </c>
      <c r="S1942" s="211"/>
      <c r="T1942" s="211"/>
      <c r="U1942" s="211"/>
      <c r="V1942" s="212"/>
      <c r="W1942" s="169" t="s">
        <v>3147</v>
      </c>
      <c r="X1942" s="143" t="s">
        <v>5847</v>
      </c>
      <c r="Y1942" s="169" t="s">
        <v>3147</v>
      </c>
      <c r="Z1942" s="143" t="s">
        <v>5847</v>
      </c>
    </row>
    <row r="1943" spans="1:26">
      <c r="A1943" s="143">
        <v>1900</v>
      </c>
      <c r="B1943" s="144">
        <v>45971</v>
      </c>
      <c r="C1943" s="169" t="s">
        <v>3646</v>
      </c>
      <c r="D1943" s="143" t="s">
        <v>41</v>
      </c>
      <c r="E1943" s="169" t="s">
        <v>5753</v>
      </c>
      <c r="F1943" s="143" t="s">
        <v>5849</v>
      </c>
      <c r="G1943" s="169" t="s">
        <v>5753</v>
      </c>
      <c r="H1943" s="143" t="s">
        <v>5850</v>
      </c>
      <c r="I1943" s="143" t="s">
        <v>5851</v>
      </c>
      <c r="J1943" s="143" t="s">
        <v>2634</v>
      </c>
      <c r="K1943" s="143">
        <v>145</v>
      </c>
      <c r="L1943" s="143">
        <v>110</v>
      </c>
      <c r="S1943" s="211"/>
      <c r="T1943" s="211"/>
      <c r="U1943" s="211"/>
      <c r="V1943" s="212"/>
      <c r="W1943" s="169" t="s">
        <v>3147</v>
      </c>
      <c r="X1943" s="143" t="s">
        <v>5849</v>
      </c>
      <c r="Y1943" s="169" t="s">
        <v>3147</v>
      </c>
      <c r="Z1943" s="143" t="s">
        <v>5849</v>
      </c>
    </row>
    <row r="1944" spans="1:26">
      <c r="A1944" s="143">
        <v>1901</v>
      </c>
      <c r="B1944" s="144">
        <v>45971</v>
      </c>
      <c r="C1944" s="169" t="s">
        <v>3646</v>
      </c>
      <c r="D1944" s="143" t="s">
        <v>41</v>
      </c>
      <c r="E1944" s="169" t="s">
        <v>5753</v>
      </c>
      <c r="F1944" s="143" t="s">
        <v>5852</v>
      </c>
      <c r="G1944" s="169" t="s">
        <v>5753</v>
      </c>
      <c r="H1944" s="143" t="s">
        <v>5853</v>
      </c>
      <c r="I1944" s="143" t="s">
        <v>5854</v>
      </c>
      <c r="J1944" s="143" t="s">
        <v>5855</v>
      </c>
      <c r="K1944" s="143">
        <v>145</v>
      </c>
      <c r="L1944" s="143">
        <v>145</v>
      </c>
      <c r="S1944" s="211"/>
      <c r="T1944" s="211"/>
      <c r="U1944" s="211"/>
      <c r="V1944" s="212"/>
      <c r="W1944" s="169" t="s">
        <v>3147</v>
      </c>
      <c r="X1944" s="143" t="s">
        <v>5852</v>
      </c>
      <c r="Y1944" s="169" t="s">
        <v>3147</v>
      </c>
      <c r="Z1944" s="143" t="s">
        <v>5852</v>
      </c>
    </row>
    <row r="1945" spans="1:26">
      <c r="A1945" s="143">
        <v>1902</v>
      </c>
      <c r="B1945" s="144">
        <v>45971</v>
      </c>
      <c r="C1945" s="169" t="s">
        <v>3646</v>
      </c>
      <c r="D1945" s="143" t="s">
        <v>41</v>
      </c>
      <c r="E1945" s="169" t="s">
        <v>5753</v>
      </c>
      <c r="F1945" s="143" t="s">
        <v>5856</v>
      </c>
      <c r="G1945" s="169" t="s">
        <v>5753</v>
      </c>
      <c r="H1945" s="143" t="s">
        <v>5857</v>
      </c>
      <c r="I1945" s="182" t="s">
        <v>45</v>
      </c>
      <c r="J1945" s="182" t="s">
        <v>46</v>
      </c>
      <c r="K1945" s="143">
        <v>145</v>
      </c>
      <c r="L1945" s="143">
        <v>95</v>
      </c>
      <c r="S1945" s="211"/>
      <c r="T1945" s="211"/>
      <c r="U1945" s="211"/>
      <c r="V1945" s="212"/>
      <c r="W1945" s="169" t="s">
        <v>3147</v>
      </c>
      <c r="X1945" s="143" t="s">
        <v>5856</v>
      </c>
      <c r="Y1945" s="169" t="s">
        <v>3147</v>
      </c>
      <c r="Z1945" s="143" t="s">
        <v>5856</v>
      </c>
    </row>
    <row r="1946" spans="1:26">
      <c r="A1946" s="143">
        <v>1903</v>
      </c>
      <c r="B1946" s="144">
        <v>45971</v>
      </c>
      <c r="C1946" s="169" t="s">
        <v>3646</v>
      </c>
      <c r="D1946" s="143" t="s">
        <v>41</v>
      </c>
      <c r="E1946" s="169" t="s">
        <v>5753</v>
      </c>
      <c r="F1946" s="143" t="s">
        <v>5858</v>
      </c>
      <c r="G1946" s="169" t="s">
        <v>5753</v>
      </c>
      <c r="H1946" s="143" t="s">
        <v>5859</v>
      </c>
      <c r="I1946" s="182" t="s">
        <v>45</v>
      </c>
      <c r="J1946" s="182" t="s">
        <v>46</v>
      </c>
      <c r="K1946" s="143">
        <v>145</v>
      </c>
      <c r="L1946" s="143">
        <v>95</v>
      </c>
      <c r="S1946" s="211"/>
      <c r="T1946" s="211"/>
      <c r="U1946" s="211"/>
      <c r="V1946" s="212"/>
      <c r="W1946" s="169" t="s">
        <v>3147</v>
      </c>
      <c r="X1946" s="143" t="s">
        <v>5858</v>
      </c>
      <c r="Y1946" s="169" t="s">
        <v>3147</v>
      </c>
      <c r="Z1946" s="143" t="s">
        <v>5858</v>
      </c>
    </row>
    <row r="1947" spans="1:26">
      <c r="A1947" s="143">
        <v>1904</v>
      </c>
      <c r="B1947" s="144">
        <v>45971</v>
      </c>
      <c r="C1947" s="169" t="s">
        <v>3646</v>
      </c>
      <c r="D1947" s="143" t="s">
        <v>41</v>
      </c>
      <c r="E1947" s="169" t="s">
        <v>5753</v>
      </c>
      <c r="F1947" s="169" t="s">
        <v>5860</v>
      </c>
      <c r="G1947" s="169" t="s">
        <v>5753</v>
      </c>
      <c r="H1947" s="143" t="s">
        <v>5861</v>
      </c>
      <c r="I1947" s="143" t="s">
        <v>324</v>
      </c>
      <c r="J1947" s="143" t="s">
        <v>325</v>
      </c>
      <c r="K1947" s="143">
        <v>145</v>
      </c>
      <c r="L1947" s="143">
        <v>90</v>
      </c>
      <c r="S1947" s="211"/>
      <c r="T1947" s="211"/>
      <c r="U1947" s="211"/>
      <c r="V1947" s="212"/>
      <c r="W1947" s="169" t="s">
        <v>3147</v>
      </c>
      <c r="X1947" s="169" t="s">
        <v>5860</v>
      </c>
      <c r="Y1947" s="169" t="s">
        <v>3147</v>
      </c>
      <c r="Z1947" s="169" t="s">
        <v>5860</v>
      </c>
    </row>
    <row r="1948" spans="1:26">
      <c r="A1948" s="143">
        <v>1905</v>
      </c>
      <c r="B1948" s="144">
        <v>45971</v>
      </c>
      <c r="C1948" s="169" t="s">
        <v>3646</v>
      </c>
      <c r="D1948" s="143" t="s">
        <v>41</v>
      </c>
      <c r="E1948" s="169" t="s">
        <v>5753</v>
      </c>
      <c r="F1948" s="143" t="s">
        <v>5862</v>
      </c>
      <c r="G1948" s="169" t="s">
        <v>5753</v>
      </c>
      <c r="H1948" s="143" t="s">
        <v>5863</v>
      </c>
      <c r="I1948" s="143" t="s">
        <v>5789</v>
      </c>
      <c r="J1948" s="143" t="s">
        <v>5790</v>
      </c>
      <c r="K1948" s="143">
        <v>145</v>
      </c>
      <c r="L1948" s="143">
        <v>120</v>
      </c>
      <c r="S1948" s="211"/>
      <c r="T1948" s="211"/>
      <c r="U1948" s="211"/>
      <c r="V1948" s="212"/>
      <c r="W1948" s="169" t="s">
        <v>3147</v>
      </c>
      <c r="X1948" s="143" t="s">
        <v>5862</v>
      </c>
      <c r="Y1948" s="169" t="s">
        <v>3147</v>
      </c>
      <c r="Z1948" s="143" t="s">
        <v>5862</v>
      </c>
    </row>
    <row r="1949" spans="1:26">
      <c r="A1949" s="143">
        <v>1906</v>
      </c>
      <c r="B1949" s="144">
        <v>45971</v>
      </c>
      <c r="C1949" s="169" t="s">
        <v>3646</v>
      </c>
      <c r="D1949" s="143" t="s">
        <v>41</v>
      </c>
      <c r="E1949" s="169" t="s">
        <v>5753</v>
      </c>
      <c r="F1949" s="143" t="s">
        <v>5864</v>
      </c>
      <c r="G1949" s="169" t="s">
        <v>5753</v>
      </c>
      <c r="H1949" s="143" t="s">
        <v>5865</v>
      </c>
      <c r="I1949" s="143" t="s">
        <v>5866</v>
      </c>
      <c r="J1949" s="143" t="s">
        <v>5867</v>
      </c>
      <c r="K1949" s="143">
        <v>145</v>
      </c>
      <c r="L1949" s="143">
        <v>110</v>
      </c>
      <c r="S1949" s="211"/>
      <c r="T1949" s="211"/>
      <c r="U1949" s="211"/>
      <c r="V1949" s="212"/>
      <c r="W1949" s="169" t="s">
        <v>3147</v>
      </c>
      <c r="X1949" s="143" t="s">
        <v>5864</v>
      </c>
      <c r="Y1949" s="169" t="s">
        <v>3147</v>
      </c>
      <c r="Z1949" s="143" t="s">
        <v>5864</v>
      </c>
    </row>
    <row r="1950" spans="1:26">
      <c r="A1950" s="143">
        <v>1907</v>
      </c>
      <c r="B1950" s="144">
        <v>45971</v>
      </c>
      <c r="C1950" s="169" t="s">
        <v>3646</v>
      </c>
      <c r="D1950" s="143" t="s">
        <v>41</v>
      </c>
      <c r="E1950" s="169" t="s">
        <v>5753</v>
      </c>
      <c r="F1950" s="143" t="s">
        <v>5868</v>
      </c>
      <c r="G1950" s="169" t="s">
        <v>5753</v>
      </c>
      <c r="H1950" s="143" t="s">
        <v>5869</v>
      </c>
      <c r="I1950" s="143" t="s">
        <v>5789</v>
      </c>
      <c r="J1950" s="143" t="s">
        <v>5790</v>
      </c>
      <c r="K1950" s="143">
        <v>145</v>
      </c>
      <c r="S1950" s="211"/>
      <c r="T1950" s="211"/>
      <c r="U1950" s="211"/>
      <c r="V1950" s="212"/>
      <c r="W1950" s="169" t="s">
        <v>3147</v>
      </c>
      <c r="X1950" s="143" t="s">
        <v>5868</v>
      </c>
      <c r="Y1950" s="169" t="s">
        <v>3147</v>
      </c>
      <c r="Z1950" s="143" t="s">
        <v>5868</v>
      </c>
    </row>
    <row r="1951" spans="1:26">
      <c r="A1951" s="143">
        <v>1908</v>
      </c>
      <c r="B1951" s="144">
        <v>45971</v>
      </c>
      <c r="C1951" s="169" t="s">
        <v>3646</v>
      </c>
      <c r="D1951" s="143" t="s">
        <v>41</v>
      </c>
      <c r="E1951" s="169" t="s">
        <v>5753</v>
      </c>
      <c r="F1951" s="143" t="s">
        <v>5870</v>
      </c>
      <c r="G1951" s="169" t="s">
        <v>5753</v>
      </c>
      <c r="H1951" s="143" t="s">
        <v>5871</v>
      </c>
      <c r="I1951" s="143" t="s">
        <v>5872</v>
      </c>
      <c r="J1951" s="143" t="s">
        <v>5873</v>
      </c>
      <c r="K1951" s="143">
        <v>145</v>
      </c>
      <c r="L1951" s="143">
        <v>170</v>
      </c>
      <c r="S1951" s="211"/>
      <c r="T1951" s="211"/>
      <c r="U1951" s="211"/>
      <c r="V1951" s="212"/>
      <c r="W1951" s="169" t="s">
        <v>3147</v>
      </c>
      <c r="X1951" s="143" t="s">
        <v>5870</v>
      </c>
      <c r="Y1951" s="169" t="s">
        <v>3147</v>
      </c>
      <c r="Z1951" s="143" t="s">
        <v>5870</v>
      </c>
    </row>
    <row r="1952" spans="1:26">
      <c r="A1952" s="143">
        <v>1909</v>
      </c>
      <c r="B1952" s="144">
        <v>45971</v>
      </c>
      <c r="C1952" s="169" t="s">
        <v>3646</v>
      </c>
      <c r="D1952" s="143" t="s">
        <v>41</v>
      </c>
      <c r="E1952" s="169" t="s">
        <v>5753</v>
      </c>
      <c r="F1952" s="143" t="s">
        <v>5874</v>
      </c>
      <c r="G1952" s="169" t="s">
        <v>5753</v>
      </c>
      <c r="H1952" s="143" t="s">
        <v>5875</v>
      </c>
      <c r="I1952" s="143" t="s">
        <v>5789</v>
      </c>
      <c r="J1952" s="143" t="s">
        <v>5790</v>
      </c>
      <c r="K1952" s="143">
        <v>145</v>
      </c>
      <c r="L1952" s="143">
        <v>120</v>
      </c>
      <c r="S1952" s="211"/>
      <c r="T1952" s="211"/>
      <c r="U1952" s="211"/>
      <c r="V1952" s="212"/>
      <c r="W1952" s="169" t="s">
        <v>3147</v>
      </c>
      <c r="X1952" s="143" t="s">
        <v>5874</v>
      </c>
      <c r="Y1952" s="169" t="s">
        <v>3147</v>
      </c>
      <c r="Z1952" s="143" t="s">
        <v>5874</v>
      </c>
    </row>
    <row r="1953" spans="1:26">
      <c r="A1953" s="143">
        <v>1910</v>
      </c>
      <c r="B1953" s="144">
        <v>45971</v>
      </c>
      <c r="C1953" s="169" t="s">
        <v>3646</v>
      </c>
      <c r="D1953" s="143" t="s">
        <v>41</v>
      </c>
      <c r="E1953" s="169" t="s">
        <v>5753</v>
      </c>
      <c r="F1953" s="143" t="s">
        <v>5876</v>
      </c>
      <c r="G1953" s="169" t="s">
        <v>5753</v>
      </c>
      <c r="H1953" s="143" t="s">
        <v>5877</v>
      </c>
      <c r="I1953" s="143" t="s">
        <v>5866</v>
      </c>
      <c r="J1953" s="143" t="s">
        <v>5867</v>
      </c>
      <c r="K1953" s="143">
        <v>145</v>
      </c>
      <c r="S1953" s="211"/>
      <c r="T1953" s="211"/>
      <c r="U1953" s="211"/>
      <c r="V1953" s="212"/>
      <c r="W1953" s="169" t="s">
        <v>3147</v>
      </c>
      <c r="X1953" s="143" t="s">
        <v>5876</v>
      </c>
      <c r="Y1953" s="169" t="s">
        <v>3147</v>
      </c>
      <c r="Z1953" s="143" t="s">
        <v>5876</v>
      </c>
    </row>
    <row r="1954" spans="1:26">
      <c r="A1954" s="143">
        <v>1911</v>
      </c>
      <c r="B1954" s="144">
        <v>45971</v>
      </c>
      <c r="C1954" s="169" t="s">
        <v>3646</v>
      </c>
      <c r="D1954" s="143" t="s">
        <v>41</v>
      </c>
      <c r="E1954" s="169" t="s">
        <v>5753</v>
      </c>
      <c r="F1954" s="143" t="s">
        <v>5878</v>
      </c>
      <c r="G1954" s="169" t="s">
        <v>5753</v>
      </c>
      <c r="H1954" s="143" t="s">
        <v>5879</v>
      </c>
      <c r="I1954" s="143" t="s">
        <v>5866</v>
      </c>
      <c r="J1954" s="143" t="s">
        <v>5867</v>
      </c>
      <c r="K1954" s="143">
        <v>145</v>
      </c>
      <c r="S1954" s="211"/>
      <c r="T1954" s="211"/>
      <c r="U1954" s="211"/>
      <c r="V1954" s="212"/>
      <c r="W1954" s="169" t="s">
        <v>3147</v>
      </c>
      <c r="X1954" s="143" t="s">
        <v>5878</v>
      </c>
      <c r="Y1954" s="169" t="s">
        <v>3147</v>
      </c>
      <c r="Z1954" s="143" t="s">
        <v>5878</v>
      </c>
    </row>
    <row r="1955" spans="1:26">
      <c r="A1955" s="143">
        <v>1912</v>
      </c>
      <c r="B1955" s="144">
        <v>45971</v>
      </c>
      <c r="C1955" s="169" t="s">
        <v>3646</v>
      </c>
      <c r="D1955" s="143" t="s">
        <v>41</v>
      </c>
      <c r="E1955" s="169" t="s">
        <v>5753</v>
      </c>
      <c r="F1955" s="143" t="s">
        <v>5880</v>
      </c>
      <c r="G1955" s="169" t="s">
        <v>5753</v>
      </c>
      <c r="H1955" s="143" t="s">
        <v>5881</v>
      </c>
      <c r="I1955" s="143" t="s">
        <v>5789</v>
      </c>
      <c r="J1955" s="143" t="s">
        <v>5790</v>
      </c>
      <c r="K1955" s="143">
        <v>145</v>
      </c>
      <c r="S1955" s="211"/>
      <c r="T1955" s="211"/>
      <c r="U1955" s="211"/>
      <c r="V1955" s="212"/>
      <c r="W1955" s="169" t="s">
        <v>3147</v>
      </c>
      <c r="X1955" s="143" t="s">
        <v>5880</v>
      </c>
      <c r="Y1955" s="169" t="s">
        <v>3147</v>
      </c>
      <c r="Z1955" s="143" t="s">
        <v>5880</v>
      </c>
    </row>
    <row r="1956" spans="1:26">
      <c r="A1956" s="143">
        <v>1913</v>
      </c>
      <c r="B1956" s="144">
        <v>45971</v>
      </c>
      <c r="C1956" s="169" t="s">
        <v>3646</v>
      </c>
      <c r="D1956" s="143" t="s">
        <v>41</v>
      </c>
      <c r="E1956" s="169" t="s">
        <v>5753</v>
      </c>
      <c r="F1956" s="143" t="s">
        <v>5882</v>
      </c>
      <c r="G1956" s="169" t="s">
        <v>5753</v>
      </c>
      <c r="H1956" s="143" t="s">
        <v>5883</v>
      </c>
      <c r="I1956" s="143" t="s">
        <v>324</v>
      </c>
      <c r="J1956" s="143" t="s">
        <v>325</v>
      </c>
      <c r="K1956" s="143">
        <v>145</v>
      </c>
      <c r="S1956" s="211"/>
      <c r="T1956" s="211"/>
      <c r="U1956" s="211"/>
      <c r="V1956" s="212"/>
      <c r="W1956" s="169" t="s">
        <v>3147</v>
      </c>
      <c r="X1956" s="143" t="s">
        <v>5882</v>
      </c>
      <c r="Y1956" s="169" t="s">
        <v>3147</v>
      </c>
      <c r="Z1956" s="143" t="s">
        <v>5882</v>
      </c>
    </row>
    <row r="1957" spans="1:26">
      <c r="A1957" s="143">
        <v>1914</v>
      </c>
      <c r="B1957" s="144">
        <v>45971</v>
      </c>
      <c r="C1957" s="169" t="s">
        <v>3646</v>
      </c>
      <c r="D1957" s="143" t="s">
        <v>41</v>
      </c>
      <c r="E1957" s="169" t="s">
        <v>5753</v>
      </c>
      <c r="F1957" s="143" t="s">
        <v>5884</v>
      </c>
      <c r="G1957" s="169" t="s">
        <v>5753</v>
      </c>
      <c r="H1957" s="143" t="s">
        <v>5885</v>
      </c>
      <c r="I1957" s="143" t="s">
        <v>324</v>
      </c>
      <c r="J1957" s="143" t="s">
        <v>325</v>
      </c>
      <c r="K1957" s="143">
        <v>145</v>
      </c>
      <c r="L1957" s="143">
        <v>125</v>
      </c>
      <c r="S1957" s="211"/>
      <c r="T1957" s="211"/>
      <c r="U1957" s="211"/>
      <c r="V1957" s="212"/>
      <c r="W1957" s="169" t="s">
        <v>3147</v>
      </c>
      <c r="X1957" s="143" t="s">
        <v>5884</v>
      </c>
      <c r="Y1957" s="169" t="s">
        <v>3147</v>
      </c>
      <c r="Z1957" s="143" t="s">
        <v>5884</v>
      </c>
    </row>
    <row r="1958" spans="1:26">
      <c r="A1958" s="143">
        <v>1915</v>
      </c>
      <c r="B1958" s="144">
        <v>45971</v>
      </c>
      <c r="C1958" s="169" t="s">
        <v>3646</v>
      </c>
      <c r="D1958" s="143" t="s">
        <v>41</v>
      </c>
      <c r="E1958" s="169" t="s">
        <v>5753</v>
      </c>
      <c r="F1958" s="143" t="s">
        <v>5886</v>
      </c>
      <c r="G1958" s="169" t="s">
        <v>5753</v>
      </c>
      <c r="H1958" s="143" t="s">
        <v>5887</v>
      </c>
      <c r="I1958" s="143" t="s">
        <v>5866</v>
      </c>
      <c r="J1958" s="143" t="s">
        <v>5867</v>
      </c>
      <c r="K1958" s="143">
        <v>145</v>
      </c>
      <c r="L1958" s="143">
        <v>110</v>
      </c>
      <c r="S1958" s="211"/>
      <c r="T1958" s="211"/>
      <c r="U1958" s="211"/>
      <c r="V1958" s="212"/>
      <c r="W1958" s="169" t="s">
        <v>3147</v>
      </c>
      <c r="X1958" s="143" t="s">
        <v>5886</v>
      </c>
      <c r="Y1958" s="169" t="s">
        <v>3147</v>
      </c>
      <c r="Z1958" s="143" t="s">
        <v>5886</v>
      </c>
    </row>
    <row r="1959" spans="1:26">
      <c r="A1959" s="143">
        <v>1916</v>
      </c>
      <c r="B1959" s="144">
        <v>45971</v>
      </c>
      <c r="C1959" s="169" t="s">
        <v>3646</v>
      </c>
      <c r="D1959" s="143" t="s">
        <v>41</v>
      </c>
      <c r="E1959" s="169" t="s">
        <v>5753</v>
      </c>
      <c r="F1959" s="143" t="s">
        <v>5888</v>
      </c>
      <c r="G1959" s="169" t="s">
        <v>5753</v>
      </c>
      <c r="H1959" s="143" t="s">
        <v>5889</v>
      </c>
      <c r="I1959" s="143" t="s">
        <v>5866</v>
      </c>
      <c r="J1959" s="143" t="s">
        <v>5867</v>
      </c>
      <c r="K1959" s="143">
        <v>145</v>
      </c>
      <c r="S1959" s="211"/>
      <c r="T1959" s="211"/>
      <c r="U1959" s="211"/>
      <c r="V1959" s="212"/>
      <c r="W1959" s="169" t="s">
        <v>3147</v>
      </c>
      <c r="X1959" s="143" t="s">
        <v>5888</v>
      </c>
      <c r="Y1959" s="169" t="s">
        <v>3147</v>
      </c>
      <c r="Z1959" s="143" t="s">
        <v>5888</v>
      </c>
    </row>
    <row r="1960" spans="1:26">
      <c r="A1960" s="143">
        <v>1917</v>
      </c>
      <c r="B1960" s="144">
        <v>45971</v>
      </c>
      <c r="C1960" s="169" t="s">
        <v>3646</v>
      </c>
      <c r="D1960" s="143" t="s">
        <v>41</v>
      </c>
      <c r="E1960" s="169" t="s">
        <v>5753</v>
      </c>
      <c r="F1960" s="143" t="s">
        <v>5890</v>
      </c>
      <c r="G1960" s="169" t="s">
        <v>5753</v>
      </c>
      <c r="H1960" s="143" t="s">
        <v>5891</v>
      </c>
      <c r="I1960" s="143" t="s">
        <v>5789</v>
      </c>
      <c r="J1960" s="143" t="s">
        <v>5790</v>
      </c>
      <c r="K1960" s="143">
        <v>145</v>
      </c>
      <c r="L1960" s="143">
        <v>95</v>
      </c>
      <c r="S1960" s="211"/>
      <c r="T1960" s="211"/>
      <c r="U1960" s="211"/>
      <c r="V1960" s="212"/>
      <c r="W1960" s="169" t="s">
        <v>3147</v>
      </c>
      <c r="X1960" s="143" t="s">
        <v>5890</v>
      </c>
      <c r="Y1960" s="169" t="s">
        <v>3147</v>
      </c>
      <c r="Z1960" s="143" t="s">
        <v>5890</v>
      </c>
    </row>
    <row r="1961" spans="1:26">
      <c r="A1961" s="143">
        <v>1918</v>
      </c>
      <c r="B1961" s="144">
        <v>45971</v>
      </c>
      <c r="C1961" s="169" t="s">
        <v>3646</v>
      </c>
      <c r="D1961" s="143" t="s">
        <v>41</v>
      </c>
      <c r="E1961" s="169" t="s">
        <v>5753</v>
      </c>
      <c r="F1961" s="143" t="s">
        <v>5892</v>
      </c>
      <c r="G1961" s="169" t="s">
        <v>5753</v>
      </c>
      <c r="H1961" s="143" t="s">
        <v>5893</v>
      </c>
      <c r="I1961" s="143" t="s">
        <v>5789</v>
      </c>
      <c r="J1961" s="143" t="s">
        <v>5790</v>
      </c>
      <c r="K1961" s="143">
        <v>145</v>
      </c>
      <c r="S1961" s="211"/>
      <c r="T1961" s="211"/>
      <c r="U1961" s="211"/>
      <c r="V1961" s="212"/>
      <c r="W1961" s="169" t="s">
        <v>3147</v>
      </c>
      <c r="X1961" s="143" t="s">
        <v>5892</v>
      </c>
      <c r="Y1961" s="169" t="s">
        <v>3147</v>
      </c>
      <c r="Z1961" s="143" t="s">
        <v>5892</v>
      </c>
    </row>
    <row r="1962" spans="1:26">
      <c r="A1962" s="143">
        <v>1919</v>
      </c>
      <c r="B1962" s="144">
        <v>45971</v>
      </c>
      <c r="C1962" s="169" t="s">
        <v>3646</v>
      </c>
      <c r="D1962" s="143" t="s">
        <v>41</v>
      </c>
      <c r="E1962" s="169" t="s">
        <v>5753</v>
      </c>
      <c r="F1962" s="143" t="s">
        <v>5894</v>
      </c>
      <c r="G1962" s="169" t="s">
        <v>5753</v>
      </c>
      <c r="H1962" s="143" t="s">
        <v>5895</v>
      </c>
      <c r="I1962" s="143" t="s">
        <v>5789</v>
      </c>
      <c r="J1962" s="143" t="s">
        <v>5790</v>
      </c>
      <c r="K1962" s="143">
        <v>145</v>
      </c>
      <c r="S1962" s="211"/>
      <c r="T1962" s="211"/>
      <c r="U1962" s="211"/>
      <c r="V1962" s="212"/>
      <c r="W1962" s="169" t="s">
        <v>3147</v>
      </c>
      <c r="X1962" s="143" t="s">
        <v>5894</v>
      </c>
      <c r="Y1962" s="169" t="s">
        <v>3147</v>
      </c>
      <c r="Z1962" s="143" t="s">
        <v>5894</v>
      </c>
    </row>
    <row r="1963" spans="1:26">
      <c r="A1963" s="143">
        <v>1920</v>
      </c>
      <c r="B1963" s="144">
        <v>45971</v>
      </c>
      <c r="C1963" s="169" t="s">
        <v>3646</v>
      </c>
      <c r="D1963" s="143" t="s">
        <v>41</v>
      </c>
      <c r="E1963" s="169" t="s">
        <v>5753</v>
      </c>
      <c r="F1963" s="143" t="s">
        <v>5896</v>
      </c>
      <c r="G1963" s="169" t="s">
        <v>5753</v>
      </c>
      <c r="H1963" s="143" t="s">
        <v>5897</v>
      </c>
      <c r="I1963" s="143" t="s">
        <v>324</v>
      </c>
      <c r="J1963" s="143" t="s">
        <v>325</v>
      </c>
      <c r="S1963" s="211"/>
      <c r="T1963" s="211"/>
      <c r="U1963" s="211"/>
      <c r="V1963" s="212"/>
      <c r="W1963" s="169" t="s">
        <v>3147</v>
      </c>
      <c r="X1963" s="143" t="s">
        <v>5896</v>
      </c>
      <c r="Y1963" s="169" t="s">
        <v>3147</v>
      </c>
      <c r="Z1963" s="143" t="s">
        <v>5896</v>
      </c>
    </row>
    <row r="1964" spans="1:26">
      <c r="A1964" s="143">
        <v>1921</v>
      </c>
      <c r="B1964" s="144">
        <v>45971</v>
      </c>
      <c r="C1964" s="169" t="s">
        <v>3646</v>
      </c>
      <c r="D1964" s="143" t="s">
        <v>41</v>
      </c>
      <c r="E1964" s="169" t="s">
        <v>5753</v>
      </c>
      <c r="F1964" s="143" t="s">
        <v>5898</v>
      </c>
      <c r="G1964" s="169" t="s">
        <v>5753</v>
      </c>
      <c r="H1964" s="143" t="s">
        <v>5899</v>
      </c>
      <c r="I1964" s="143" t="s">
        <v>324</v>
      </c>
      <c r="J1964" s="143" t="s">
        <v>325</v>
      </c>
      <c r="K1964" s="143">
        <v>145</v>
      </c>
      <c r="S1964" s="211"/>
      <c r="T1964" s="211"/>
      <c r="U1964" s="211"/>
      <c r="V1964" s="212"/>
      <c r="W1964" s="169" t="s">
        <v>3147</v>
      </c>
      <c r="X1964" s="143" t="s">
        <v>5898</v>
      </c>
      <c r="Y1964" s="169" t="s">
        <v>3147</v>
      </c>
      <c r="Z1964" s="143" t="s">
        <v>5898</v>
      </c>
    </row>
    <row r="1965" spans="1:26">
      <c r="A1965" s="143">
        <v>1922</v>
      </c>
      <c r="B1965" s="144">
        <v>45971</v>
      </c>
      <c r="C1965" s="169" t="s">
        <v>3646</v>
      </c>
      <c r="D1965" s="143" t="s">
        <v>41</v>
      </c>
      <c r="E1965" s="169" t="s">
        <v>5753</v>
      </c>
      <c r="F1965" s="143" t="s">
        <v>5900</v>
      </c>
      <c r="G1965" s="169" t="s">
        <v>5753</v>
      </c>
      <c r="H1965" s="143" t="s">
        <v>5901</v>
      </c>
      <c r="I1965" s="143" t="s">
        <v>324</v>
      </c>
      <c r="J1965" s="143" t="s">
        <v>325</v>
      </c>
      <c r="K1965" s="143">
        <v>145</v>
      </c>
      <c r="S1965" s="211"/>
      <c r="T1965" s="211"/>
      <c r="U1965" s="211"/>
      <c r="V1965" s="212"/>
      <c r="W1965" s="169" t="s">
        <v>3147</v>
      </c>
      <c r="X1965" s="143" t="s">
        <v>5900</v>
      </c>
      <c r="Y1965" s="169" t="s">
        <v>3147</v>
      </c>
      <c r="Z1965" s="143" t="s">
        <v>5900</v>
      </c>
    </row>
    <row r="1966" spans="1:26">
      <c r="A1966" s="143">
        <v>1923</v>
      </c>
      <c r="B1966" s="144">
        <v>45971</v>
      </c>
      <c r="C1966" s="169" t="s">
        <v>3646</v>
      </c>
      <c r="D1966" s="143" t="s">
        <v>41</v>
      </c>
      <c r="E1966" s="169" t="s">
        <v>5753</v>
      </c>
      <c r="F1966" s="143" t="s">
        <v>5902</v>
      </c>
      <c r="G1966" s="169" t="s">
        <v>5753</v>
      </c>
      <c r="H1966" s="143" t="s">
        <v>5903</v>
      </c>
      <c r="I1966" s="143" t="s">
        <v>324</v>
      </c>
      <c r="J1966" s="143" t="s">
        <v>325</v>
      </c>
      <c r="K1966" s="143">
        <v>145</v>
      </c>
      <c r="S1966" s="211"/>
      <c r="T1966" s="211"/>
      <c r="U1966" s="211"/>
      <c r="V1966" s="212"/>
      <c r="W1966" s="169" t="s">
        <v>3147</v>
      </c>
      <c r="X1966" s="143" t="s">
        <v>5902</v>
      </c>
      <c r="Y1966" s="169" t="s">
        <v>3147</v>
      </c>
      <c r="Z1966" s="143" t="s">
        <v>5902</v>
      </c>
    </row>
    <row r="1967" spans="1:26">
      <c r="A1967" s="143">
        <v>1924</v>
      </c>
      <c r="B1967" s="144">
        <v>45971</v>
      </c>
      <c r="C1967" s="169" t="s">
        <v>3646</v>
      </c>
      <c r="D1967" s="143" t="s">
        <v>41</v>
      </c>
      <c r="E1967" s="169" t="s">
        <v>5753</v>
      </c>
      <c r="F1967" s="143" t="s">
        <v>5904</v>
      </c>
      <c r="G1967" s="169" t="s">
        <v>5753</v>
      </c>
      <c r="H1967" s="143" t="s">
        <v>5905</v>
      </c>
      <c r="I1967" s="143" t="s">
        <v>324</v>
      </c>
      <c r="J1967" s="143" t="s">
        <v>325</v>
      </c>
      <c r="K1967" s="143">
        <v>145</v>
      </c>
      <c r="L1967" s="143">
        <v>80</v>
      </c>
      <c r="S1967" s="211"/>
      <c r="T1967" s="211"/>
      <c r="U1967" s="211"/>
      <c r="V1967" s="212"/>
      <c r="W1967" s="169" t="s">
        <v>3147</v>
      </c>
      <c r="X1967" s="143" t="s">
        <v>5904</v>
      </c>
      <c r="Y1967" s="169" t="s">
        <v>3147</v>
      </c>
      <c r="Z1967" s="143" t="s">
        <v>5904</v>
      </c>
    </row>
    <row r="1968" spans="1:26">
      <c r="A1968" s="143">
        <v>1925</v>
      </c>
      <c r="B1968" s="144">
        <v>45971</v>
      </c>
      <c r="C1968" s="169" t="s">
        <v>3646</v>
      </c>
      <c r="D1968" s="143" t="s">
        <v>41</v>
      </c>
      <c r="E1968" s="169" t="s">
        <v>5753</v>
      </c>
      <c r="F1968" s="143" t="s">
        <v>5906</v>
      </c>
      <c r="G1968" s="169" t="s">
        <v>5753</v>
      </c>
      <c r="H1968" s="143" t="s">
        <v>5907</v>
      </c>
      <c r="I1968" s="143" t="s">
        <v>324</v>
      </c>
      <c r="J1968" s="143" t="s">
        <v>325</v>
      </c>
      <c r="K1968" s="143">
        <v>145</v>
      </c>
      <c r="S1968" s="211"/>
      <c r="T1968" s="211"/>
      <c r="U1968" s="211"/>
      <c r="V1968" s="212"/>
      <c r="W1968" s="169" t="s">
        <v>3147</v>
      </c>
      <c r="X1968" s="143" t="s">
        <v>5906</v>
      </c>
      <c r="Y1968" s="169" t="s">
        <v>3147</v>
      </c>
      <c r="Z1968" s="143" t="s">
        <v>5906</v>
      </c>
    </row>
    <row r="1969" spans="1:27">
      <c r="A1969" s="143">
        <v>1926</v>
      </c>
      <c r="B1969" s="144">
        <v>45971</v>
      </c>
      <c r="C1969" s="169" t="s">
        <v>3646</v>
      </c>
      <c r="D1969" s="143" t="s">
        <v>41</v>
      </c>
      <c r="E1969" s="169" t="s">
        <v>5753</v>
      </c>
      <c r="F1969" s="143" t="s">
        <v>5908</v>
      </c>
      <c r="G1969" s="169" t="s">
        <v>5753</v>
      </c>
      <c r="H1969" s="143" t="s">
        <v>5909</v>
      </c>
      <c r="I1969" s="143" t="s">
        <v>324</v>
      </c>
      <c r="J1969" s="143" t="s">
        <v>325</v>
      </c>
      <c r="K1969" s="143">
        <v>145</v>
      </c>
      <c r="S1969" s="211"/>
      <c r="T1969" s="211"/>
      <c r="U1969" s="211"/>
      <c r="V1969" s="212"/>
      <c r="W1969" s="169" t="s">
        <v>3147</v>
      </c>
      <c r="X1969" s="143" t="s">
        <v>5908</v>
      </c>
      <c r="Y1969" s="169" t="s">
        <v>3147</v>
      </c>
      <c r="Z1969" s="143" t="s">
        <v>5908</v>
      </c>
    </row>
    <row r="1970" spans="1:27">
      <c r="A1970" s="143">
        <v>1927</v>
      </c>
      <c r="B1970" s="144">
        <v>45971</v>
      </c>
      <c r="C1970" s="169" t="s">
        <v>3646</v>
      </c>
      <c r="D1970" s="143" t="s">
        <v>41</v>
      </c>
      <c r="E1970" s="169" t="s">
        <v>5753</v>
      </c>
      <c r="F1970" s="143" t="s">
        <v>5910</v>
      </c>
      <c r="G1970" s="169" t="s">
        <v>5753</v>
      </c>
      <c r="H1970" s="143" t="s">
        <v>5911</v>
      </c>
      <c r="I1970" s="143" t="s">
        <v>324</v>
      </c>
      <c r="J1970" s="143" t="s">
        <v>325</v>
      </c>
      <c r="K1970" s="143">
        <v>145</v>
      </c>
      <c r="L1970" s="143">
        <v>125</v>
      </c>
      <c r="S1970" s="211"/>
      <c r="T1970" s="211"/>
      <c r="U1970" s="211"/>
      <c r="V1970" s="212"/>
      <c r="W1970" s="169" t="s">
        <v>3147</v>
      </c>
      <c r="X1970" s="143" t="s">
        <v>5910</v>
      </c>
      <c r="Y1970" s="169" t="s">
        <v>3147</v>
      </c>
      <c r="Z1970" s="143" t="s">
        <v>5910</v>
      </c>
    </row>
    <row r="1971" spans="1:27">
      <c r="A1971" s="143">
        <v>1928</v>
      </c>
      <c r="B1971" s="144">
        <v>45971</v>
      </c>
      <c r="C1971" s="169" t="s">
        <v>3646</v>
      </c>
      <c r="D1971" s="143" t="s">
        <v>41</v>
      </c>
      <c r="E1971" s="169" t="s">
        <v>5753</v>
      </c>
      <c r="F1971" s="143" t="s">
        <v>5912</v>
      </c>
      <c r="G1971" s="169" t="s">
        <v>5753</v>
      </c>
      <c r="H1971" s="143" t="s">
        <v>5913</v>
      </c>
      <c r="I1971" s="143" t="s">
        <v>5914</v>
      </c>
      <c r="J1971" s="143" t="s">
        <v>2528</v>
      </c>
      <c r="K1971" s="143">
        <v>145</v>
      </c>
      <c r="S1971" s="211"/>
      <c r="T1971" s="211"/>
      <c r="U1971" s="211"/>
      <c r="V1971" s="212"/>
      <c r="W1971" s="169" t="s">
        <v>3147</v>
      </c>
      <c r="X1971" s="143" t="s">
        <v>5912</v>
      </c>
      <c r="Y1971" s="169" t="s">
        <v>3147</v>
      </c>
      <c r="Z1971" s="143" t="s">
        <v>5912</v>
      </c>
    </row>
    <row r="1972" spans="1:27">
      <c r="A1972" s="143">
        <v>1929</v>
      </c>
      <c r="B1972" s="144">
        <v>45971</v>
      </c>
      <c r="C1972" s="169" t="s">
        <v>3646</v>
      </c>
      <c r="D1972" s="143" t="s">
        <v>41</v>
      </c>
      <c r="E1972" s="169" t="s">
        <v>5753</v>
      </c>
      <c r="F1972" s="143" t="s">
        <v>5915</v>
      </c>
      <c r="G1972" s="169" t="s">
        <v>5753</v>
      </c>
      <c r="H1972" s="143" t="s">
        <v>5916</v>
      </c>
      <c r="I1972" s="143" t="s">
        <v>5914</v>
      </c>
      <c r="J1972" s="143" t="s">
        <v>2528</v>
      </c>
      <c r="K1972" s="143">
        <v>145</v>
      </c>
      <c r="S1972" s="211"/>
      <c r="T1972" s="211"/>
      <c r="U1972" s="211"/>
      <c r="V1972" s="212"/>
      <c r="W1972" s="169" t="s">
        <v>3147</v>
      </c>
      <c r="X1972" s="143" t="s">
        <v>5915</v>
      </c>
      <c r="Y1972" s="169" t="s">
        <v>3147</v>
      </c>
      <c r="Z1972" s="143" t="s">
        <v>5915</v>
      </c>
    </row>
    <row r="1973" spans="1:27">
      <c r="A1973" s="143">
        <v>1930</v>
      </c>
      <c r="B1973" s="144">
        <v>45971</v>
      </c>
      <c r="C1973" s="169" t="s">
        <v>3646</v>
      </c>
      <c r="D1973" s="143" t="s">
        <v>41</v>
      </c>
      <c r="E1973" s="169" t="s">
        <v>5753</v>
      </c>
      <c r="F1973" s="143" t="s">
        <v>5917</v>
      </c>
      <c r="G1973" s="169" t="s">
        <v>5753</v>
      </c>
      <c r="H1973" s="143" t="s">
        <v>5918</v>
      </c>
      <c r="I1973" s="143" t="s">
        <v>324</v>
      </c>
      <c r="J1973" s="143" t="s">
        <v>325</v>
      </c>
      <c r="K1973" s="143">
        <v>145</v>
      </c>
      <c r="L1973" s="143">
        <v>100</v>
      </c>
      <c r="S1973" s="211"/>
      <c r="T1973" s="211"/>
      <c r="U1973" s="211"/>
      <c r="V1973" s="212"/>
      <c r="W1973" s="169" t="s">
        <v>3147</v>
      </c>
      <c r="X1973" s="143" t="s">
        <v>5917</v>
      </c>
      <c r="Y1973" s="169" t="s">
        <v>3147</v>
      </c>
      <c r="Z1973" s="143" t="s">
        <v>5917</v>
      </c>
    </row>
    <row r="1974" ht="15" spans="1:27">
      <c r="A1974" s="143">
        <v>1931</v>
      </c>
      <c r="B1974" s="144">
        <v>45971</v>
      </c>
      <c r="C1974" s="169" t="s">
        <v>3646</v>
      </c>
      <c r="D1974" s="143" t="s">
        <v>41</v>
      </c>
      <c r="E1974" s="169" t="s">
        <v>5753</v>
      </c>
      <c r="F1974" s="143">
        <v>308</v>
      </c>
      <c r="G1974" s="169" t="s">
        <v>5753</v>
      </c>
      <c r="H1974" s="143" t="s">
        <v>5919</v>
      </c>
      <c r="I1974" s="143" t="s">
        <v>324</v>
      </c>
      <c r="K1974" s="143">
        <v>150</v>
      </c>
      <c r="L1974" s="143">
        <v>200</v>
      </c>
      <c r="S1974" s="211"/>
      <c r="T1974" s="211"/>
      <c r="U1974" s="211"/>
      <c r="V1974" s="212"/>
      <c r="W1974" s="169" t="s">
        <v>3147</v>
      </c>
      <c r="X1974" s="143">
        <v>308</v>
      </c>
      <c r="Y1974" s="169" t="s">
        <v>3147</v>
      </c>
      <c r="Z1974" s="143">
        <v>308</v>
      </c>
      <c r="AA1974" s="173">
        <v>11.5</v>
      </c>
    </row>
    <row r="1975" ht="15" spans="1:27">
      <c r="A1975" s="143">
        <v>1932</v>
      </c>
      <c r="B1975" s="144">
        <v>45971</v>
      </c>
      <c r="C1975" s="169" t="s">
        <v>3646</v>
      </c>
      <c r="D1975" s="143" t="s">
        <v>41</v>
      </c>
      <c r="E1975" s="169" t="s">
        <v>5753</v>
      </c>
      <c r="F1975" s="143">
        <v>310</v>
      </c>
      <c r="G1975" s="169" t="s">
        <v>5753</v>
      </c>
      <c r="H1975" s="143" t="s">
        <v>5920</v>
      </c>
      <c r="I1975" s="143" t="s">
        <v>5921</v>
      </c>
      <c r="K1975" s="143">
        <v>150</v>
      </c>
      <c r="L1975" s="143">
        <v>165</v>
      </c>
      <c r="S1975" s="211"/>
      <c r="T1975" s="211"/>
      <c r="U1975" s="211"/>
      <c r="V1975" s="212"/>
      <c r="W1975" s="169" t="s">
        <v>3147</v>
      </c>
      <c r="X1975" s="143">
        <v>310</v>
      </c>
      <c r="Y1975" s="169" t="s">
        <v>3147</v>
      </c>
      <c r="Z1975" s="143">
        <v>310</v>
      </c>
      <c r="AA1975" s="173">
        <v>11.5</v>
      </c>
    </row>
    <row r="1976" ht="15" spans="1:27">
      <c r="A1976" s="143">
        <v>1933</v>
      </c>
      <c r="B1976" s="144">
        <v>45971</v>
      </c>
      <c r="C1976" s="169" t="s">
        <v>3646</v>
      </c>
      <c r="D1976" s="143" t="s">
        <v>41</v>
      </c>
      <c r="E1976" s="169" t="s">
        <v>5753</v>
      </c>
      <c r="F1976" s="143">
        <v>851</v>
      </c>
      <c r="G1976" s="169" t="s">
        <v>5753</v>
      </c>
      <c r="H1976" s="143" t="s">
        <v>5922</v>
      </c>
      <c r="I1976" s="143" t="s">
        <v>5923</v>
      </c>
      <c r="K1976" s="143">
        <v>150</v>
      </c>
      <c r="S1976" s="211"/>
      <c r="T1976" s="211"/>
      <c r="U1976" s="211"/>
      <c r="V1976" s="212"/>
      <c r="W1976" s="169" t="s">
        <v>3147</v>
      </c>
      <c r="X1976" s="143">
        <v>851</v>
      </c>
      <c r="Y1976" s="169" t="s">
        <v>3147</v>
      </c>
      <c r="Z1976" s="143">
        <v>851</v>
      </c>
      <c r="AA1976" s="173">
        <v>11.5</v>
      </c>
    </row>
    <row r="1977" ht="15" spans="1:27">
      <c r="A1977" s="143">
        <v>1934</v>
      </c>
      <c r="B1977" s="144">
        <v>45971</v>
      </c>
      <c r="C1977" s="169" t="s">
        <v>3646</v>
      </c>
      <c r="D1977" s="143" t="s">
        <v>41</v>
      </c>
      <c r="E1977" s="169" t="s">
        <v>5753</v>
      </c>
      <c r="F1977" s="143">
        <v>589</v>
      </c>
      <c r="G1977" s="169" t="s">
        <v>5753</v>
      </c>
      <c r="H1977" s="143" t="s">
        <v>5924</v>
      </c>
      <c r="I1977" s="143" t="s">
        <v>3344</v>
      </c>
      <c r="K1977" s="143">
        <v>150</v>
      </c>
      <c r="L1977" s="143">
        <v>135</v>
      </c>
      <c r="S1977" s="211"/>
      <c r="T1977" s="211"/>
      <c r="U1977" s="211"/>
      <c r="V1977" s="212"/>
      <c r="W1977" s="169" t="s">
        <v>3147</v>
      </c>
      <c r="X1977" s="143">
        <v>589</v>
      </c>
      <c r="Y1977" s="169" t="s">
        <v>3147</v>
      </c>
      <c r="Z1977" s="143">
        <v>589</v>
      </c>
      <c r="AA1977" s="173">
        <v>11.5</v>
      </c>
    </row>
    <row r="1978" ht="15" spans="1:27">
      <c r="A1978" s="143">
        <v>1935</v>
      </c>
      <c r="B1978" s="144">
        <v>45971</v>
      </c>
      <c r="C1978" s="169" t="s">
        <v>3646</v>
      </c>
      <c r="D1978" s="143" t="s">
        <v>41</v>
      </c>
      <c r="E1978" s="169" t="s">
        <v>5753</v>
      </c>
      <c r="F1978" s="143">
        <v>321</v>
      </c>
      <c r="G1978" s="169" t="s">
        <v>5753</v>
      </c>
      <c r="H1978" s="143" t="s">
        <v>5925</v>
      </c>
      <c r="I1978" s="143" t="s">
        <v>4312</v>
      </c>
      <c r="K1978" s="143">
        <v>150</v>
      </c>
      <c r="L1978" s="143">
        <v>165</v>
      </c>
      <c r="S1978" s="211"/>
      <c r="T1978" s="211"/>
      <c r="U1978" s="211"/>
      <c r="V1978" s="212"/>
      <c r="W1978" s="169" t="s">
        <v>3147</v>
      </c>
      <c r="X1978" s="143">
        <v>321</v>
      </c>
      <c r="Y1978" s="169" t="s">
        <v>3147</v>
      </c>
      <c r="Z1978" s="143">
        <v>321</v>
      </c>
      <c r="AA1978" s="173">
        <v>11.5</v>
      </c>
    </row>
    <row r="1979" ht="15" spans="1:27">
      <c r="A1979" s="143">
        <v>1936</v>
      </c>
      <c r="B1979" s="144">
        <v>45971</v>
      </c>
      <c r="C1979" s="169" t="s">
        <v>3646</v>
      </c>
      <c r="D1979" s="143" t="s">
        <v>41</v>
      </c>
      <c r="E1979" s="169" t="s">
        <v>5753</v>
      </c>
      <c r="F1979" s="143">
        <v>316</v>
      </c>
      <c r="G1979" s="169" t="s">
        <v>5753</v>
      </c>
      <c r="H1979" s="143" t="s">
        <v>5926</v>
      </c>
      <c r="I1979" s="143" t="s">
        <v>4312</v>
      </c>
      <c r="K1979" s="143">
        <v>150</v>
      </c>
      <c r="L1979" s="143">
        <v>175</v>
      </c>
      <c r="S1979" s="211"/>
      <c r="T1979" s="211"/>
      <c r="U1979" s="211"/>
      <c r="V1979" s="212"/>
      <c r="W1979" s="169" t="s">
        <v>3147</v>
      </c>
      <c r="X1979" s="143">
        <v>316</v>
      </c>
      <c r="Y1979" s="169" t="s">
        <v>3147</v>
      </c>
      <c r="Z1979" s="143">
        <v>316</v>
      </c>
      <c r="AA1979" s="173">
        <v>11.5</v>
      </c>
    </row>
    <row r="1980" ht="15" spans="1:27">
      <c r="A1980" s="143">
        <v>1937</v>
      </c>
      <c r="B1980" s="144">
        <v>45971</v>
      </c>
      <c r="C1980" s="169" t="s">
        <v>3646</v>
      </c>
      <c r="D1980" s="143" t="s">
        <v>41</v>
      </c>
      <c r="E1980" s="169" t="s">
        <v>5753</v>
      </c>
      <c r="F1980" s="143">
        <v>317</v>
      </c>
      <c r="G1980" s="169" t="s">
        <v>5753</v>
      </c>
      <c r="H1980" s="143" t="s">
        <v>5927</v>
      </c>
      <c r="I1980" s="143" t="s">
        <v>4312</v>
      </c>
      <c r="K1980" s="143">
        <v>150</v>
      </c>
      <c r="L1980" s="143">
        <v>180</v>
      </c>
      <c r="S1980" s="211"/>
      <c r="T1980" s="211"/>
      <c r="U1980" s="211"/>
      <c r="V1980" s="212"/>
      <c r="W1980" s="169" t="s">
        <v>3147</v>
      </c>
      <c r="X1980" s="143">
        <v>317</v>
      </c>
      <c r="Y1980" s="169" t="s">
        <v>3147</v>
      </c>
      <c r="Z1980" s="143">
        <v>317</v>
      </c>
      <c r="AA1980" s="173">
        <v>11.5</v>
      </c>
    </row>
    <row r="1981" ht="15" spans="1:27">
      <c r="A1981" s="143">
        <v>1938</v>
      </c>
      <c r="B1981" s="144">
        <v>45971</v>
      </c>
      <c r="C1981" s="169" t="s">
        <v>3646</v>
      </c>
      <c r="D1981" s="143" t="s">
        <v>41</v>
      </c>
      <c r="E1981" s="169" t="s">
        <v>5753</v>
      </c>
      <c r="F1981" s="143">
        <v>322</v>
      </c>
      <c r="G1981" s="169" t="s">
        <v>5753</v>
      </c>
      <c r="H1981" s="143" t="s">
        <v>5928</v>
      </c>
      <c r="I1981" s="143" t="s">
        <v>4312</v>
      </c>
      <c r="K1981" s="143">
        <v>148</v>
      </c>
      <c r="L1981" s="143">
        <v>170</v>
      </c>
      <c r="S1981" s="211"/>
      <c r="T1981" s="211"/>
      <c r="U1981" s="211"/>
      <c r="V1981" s="212"/>
      <c r="W1981" s="169" t="s">
        <v>3147</v>
      </c>
      <c r="X1981" s="143">
        <v>322</v>
      </c>
      <c r="Y1981" s="169" t="s">
        <v>3147</v>
      </c>
      <c r="Z1981" s="143">
        <v>322</v>
      </c>
      <c r="AA1981" s="173">
        <v>11.5</v>
      </c>
    </row>
    <row r="1982" ht="15" spans="1:27">
      <c r="A1982" s="143">
        <v>1939</v>
      </c>
      <c r="B1982" s="144">
        <v>45971</v>
      </c>
      <c r="C1982" s="169" t="s">
        <v>3646</v>
      </c>
      <c r="D1982" s="143" t="s">
        <v>41</v>
      </c>
      <c r="E1982" s="169" t="s">
        <v>5753</v>
      </c>
      <c r="F1982" s="143">
        <v>325</v>
      </c>
      <c r="G1982" s="169" t="s">
        <v>5753</v>
      </c>
      <c r="H1982" s="143" t="s">
        <v>5929</v>
      </c>
      <c r="I1982" s="143" t="s">
        <v>5930</v>
      </c>
      <c r="K1982" s="143">
        <v>150</v>
      </c>
      <c r="L1982" s="143">
        <v>175</v>
      </c>
      <c r="S1982" s="211"/>
      <c r="T1982" s="211"/>
      <c r="U1982" s="211"/>
      <c r="V1982" s="212"/>
      <c r="W1982" s="169" t="s">
        <v>3147</v>
      </c>
      <c r="X1982" s="143">
        <v>325</v>
      </c>
      <c r="Y1982" s="169" t="s">
        <v>3147</v>
      </c>
      <c r="Z1982" s="143">
        <v>325</v>
      </c>
      <c r="AA1982" s="173">
        <v>11.5</v>
      </c>
    </row>
    <row r="1983" ht="15" spans="1:27">
      <c r="A1983" s="143">
        <v>1940</v>
      </c>
      <c r="B1983" s="144">
        <v>45971</v>
      </c>
      <c r="C1983" s="169" t="s">
        <v>3646</v>
      </c>
      <c r="D1983" s="143" t="s">
        <v>41</v>
      </c>
      <c r="E1983" s="169" t="s">
        <v>5753</v>
      </c>
      <c r="F1983" s="143">
        <v>315</v>
      </c>
      <c r="G1983" s="169" t="s">
        <v>5753</v>
      </c>
      <c r="H1983" s="143" t="s">
        <v>5931</v>
      </c>
      <c r="I1983" s="143" t="s">
        <v>4312</v>
      </c>
      <c r="K1983" s="143">
        <v>150</v>
      </c>
      <c r="L1983" s="143">
        <v>170</v>
      </c>
      <c r="S1983" s="211"/>
      <c r="T1983" s="211"/>
      <c r="U1983" s="211"/>
      <c r="V1983" s="212"/>
      <c r="W1983" s="169" t="s">
        <v>3147</v>
      </c>
      <c r="X1983" s="143">
        <v>315</v>
      </c>
      <c r="Y1983" s="169" t="s">
        <v>3147</v>
      </c>
      <c r="Z1983" s="143">
        <v>315</v>
      </c>
      <c r="AA1983" s="173">
        <v>11.5</v>
      </c>
    </row>
    <row r="1984" ht="15" spans="1:27">
      <c r="A1984" s="143">
        <v>1941</v>
      </c>
      <c r="B1984" s="144">
        <v>45971</v>
      </c>
      <c r="C1984" s="169" t="s">
        <v>3646</v>
      </c>
      <c r="D1984" s="143" t="s">
        <v>41</v>
      </c>
      <c r="E1984" s="169" t="s">
        <v>5753</v>
      </c>
      <c r="F1984" s="143">
        <v>336</v>
      </c>
      <c r="G1984" s="169" t="s">
        <v>5753</v>
      </c>
      <c r="H1984" s="143" t="s">
        <v>5932</v>
      </c>
      <c r="I1984" s="143" t="s">
        <v>5933</v>
      </c>
      <c r="K1984" s="143">
        <v>150</v>
      </c>
      <c r="L1984" s="143">
        <v>300</v>
      </c>
      <c r="S1984" s="211"/>
      <c r="T1984" s="211"/>
      <c r="U1984" s="211"/>
      <c r="V1984" s="212"/>
      <c r="W1984" s="169" t="s">
        <v>3147</v>
      </c>
      <c r="X1984" s="143">
        <v>336</v>
      </c>
      <c r="Y1984" s="169" t="s">
        <v>3147</v>
      </c>
      <c r="Z1984" s="143">
        <v>336</v>
      </c>
      <c r="AA1984" s="173">
        <v>14.6</v>
      </c>
    </row>
    <row r="1985" ht="15" spans="1:27">
      <c r="A1985" s="143">
        <v>1942</v>
      </c>
      <c r="B1985" s="144">
        <v>45971</v>
      </c>
      <c r="C1985" s="169" t="s">
        <v>3646</v>
      </c>
      <c r="D1985" s="143" t="s">
        <v>41</v>
      </c>
      <c r="E1985" s="169" t="s">
        <v>5753</v>
      </c>
      <c r="F1985" s="143">
        <v>335</v>
      </c>
      <c r="G1985" s="169" t="s">
        <v>5753</v>
      </c>
      <c r="H1985" s="143" t="s">
        <v>5934</v>
      </c>
      <c r="I1985" s="143" t="s">
        <v>5935</v>
      </c>
      <c r="K1985" s="143">
        <v>150</v>
      </c>
      <c r="L1985" s="143">
        <v>105</v>
      </c>
      <c r="S1985" s="211"/>
      <c r="T1985" s="211"/>
      <c r="U1985" s="211"/>
      <c r="V1985" s="212"/>
      <c r="W1985" s="169" t="s">
        <v>3147</v>
      </c>
      <c r="X1985" s="143">
        <v>335</v>
      </c>
      <c r="Y1985" s="169" t="s">
        <v>3147</v>
      </c>
      <c r="Z1985" s="143">
        <v>335</v>
      </c>
      <c r="AA1985" s="173">
        <v>13.5</v>
      </c>
    </row>
    <row r="1986" ht="15" spans="1:27">
      <c r="A1986" s="143">
        <v>1943</v>
      </c>
      <c r="B1986" s="144">
        <v>45971</v>
      </c>
      <c r="C1986" s="169" t="s">
        <v>3646</v>
      </c>
      <c r="D1986" s="143" t="s">
        <v>41</v>
      </c>
      <c r="E1986" s="169" t="s">
        <v>5753</v>
      </c>
      <c r="F1986" s="143">
        <v>319</v>
      </c>
      <c r="G1986" s="169" t="s">
        <v>5753</v>
      </c>
      <c r="H1986" s="143" t="s">
        <v>5936</v>
      </c>
      <c r="I1986" s="143" t="s">
        <v>5937</v>
      </c>
      <c r="K1986" s="143">
        <v>150</v>
      </c>
      <c r="S1986" s="211"/>
      <c r="T1986" s="211"/>
      <c r="U1986" s="211"/>
      <c r="V1986" s="212"/>
      <c r="W1986" s="169" t="s">
        <v>3147</v>
      </c>
      <c r="X1986" s="143">
        <v>319</v>
      </c>
      <c r="Y1986" s="169" t="s">
        <v>3147</v>
      </c>
      <c r="Z1986" s="143">
        <v>319</v>
      </c>
      <c r="AA1986" s="173">
        <v>13.5</v>
      </c>
    </row>
    <row r="1987" ht="15" spans="1:27">
      <c r="A1987" s="143">
        <v>1944</v>
      </c>
      <c r="B1987" s="144">
        <v>45971</v>
      </c>
      <c r="C1987" s="169" t="s">
        <v>3646</v>
      </c>
      <c r="D1987" s="143" t="s">
        <v>41</v>
      </c>
      <c r="E1987" s="169" t="s">
        <v>5753</v>
      </c>
      <c r="F1987" s="143">
        <v>891</v>
      </c>
      <c r="G1987" s="169" t="s">
        <v>5753</v>
      </c>
      <c r="H1987" s="143" t="s">
        <v>5938</v>
      </c>
      <c r="I1987" s="143" t="s">
        <v>3418</v>
      </c>
      <c r="K1987" s="143">
        <v>150</v>
      </c>
      <c r="L1987" s="143">
        <v>170</v>
      </c>
      <c r="S1987" s="211"/>
      <c r="T1987" s="211"/>
      <c r="U1987" s="211"/>
      <c r="V1987" s="212"/>
      <c r="W1987" s="169" t="s">
        <v>3147</v>
      </c>
      <c r="X1987" s="143">
        <v>891</v>
      </c>
      <c r="Y1987" s="169" t="s">
        <v>3147</v>
      </c>
      <c r="Z1987" s="143">
        <v>891</v>
      </c>
      <c r="AA1987" s="173">
        <v>13.5</v>
      </c>
    </row>
    <row r="1988" ht="15" spans="1:27">
      <c r="A1988" s="143">
        <v>1945</v>
      </c>
      <c r="B1988" s="144">
        <v>45971</v>
      </c>
      <c r="C1988" s="169" t="s">
        <v>3646</v>
      </c>
      <c r="D1988" s="143" t="s">
        <v>41</v>
      </c>
      <c r="E1988" s="169" t="s">
        <v>5753</v>
      </c>
      <c r="F1988" s="143">
        <v>831</v>
      </c>
      <c r="G1988" s="169" t="s">
        <v>5753</v>
      </c>
      <c r="H1988" s="143" t="s">
        <v>5939</v>
      </c>
      <c r="I1988" s="143" t="s">
        <v>3224</v>
      </c>
      <c r="K1988" s="143">
        <v>150</v>
      </c>
      <c r="S1988" s="211"/>
      <c r="T1988" s="211"/>
      <c r="U1988" s="211"/>
      <c r="V1988" s="212"/>
      <c r="W1988" s="169" t="s">
        <v>3147</v>
      </c>
      <c r="X1988" s="143">
        <v>831</v>
      </c>
      <c r="Y1988" s="169" t="s">
        <v>3147</v>
      </c>
      <c r="Z1988" s="143">
        <v>831</v>
      </c>
      <c r="AA1988" s="173">
        <v>10.5</v>
      </c>
    </row>
    <row r="1989" ht="15" spans="1:27">
      <c r="A1989" s="143">
        <v>1946</v>
      </c>
      <c r="B1989" s="144">
        <v>45971</v>
      </c>
      <c r="C1989" s="169" t="s">
        <v>3646</v>
      </c>
      <c r="D1989" s="143" t="s">
        <v>41</v>
      </c>
      <c r="E1989" s="169" t="s">
        <v>5753</v>
      </c>
      <c r="F1989" s="143">
        <v>832</v>
      </c>
      <c r="G1989" s="169" t="s">
        <v>5753</v>
      </c>
      <c r="H1989" s="143" t="s">
        <v>5940</v>
      </c>
      <c r="I1989" s="143" t="s">
        <v>5941</v>
      </c>
      <c r="K1989" s="143">
        <v>150</v>
      </c>
      <c r="S1989" s="211"/>
      <c r="T1989" s="211"/>
      <c r="U1989" s="211"/>
      <c r="V1989" s="212"/>
      <c r="W1989" s="169" t="s">
        <v>3147</v>
      </c>
      <c r="X1989" s="143">
        <v>832</v>
      </c>
      <c r="Y1989" s="169" t="s">
        <v>3147</v>
      </c>
      <c r="Z1989" s="143">
        <v>832</v>
      </c>
      <c r="AA1989" s="173">
        <v>11.8</v>
      </c>
    </row>
    <row r="1990" ht="15" spans="1:27">
      <c r="A1990" s="143">
        <v>1947</v>
      </c>
      <c r="B1990" s="144">
        <v>45971</v>
      </c>
      <c r="C1990" s="169" t="s">
        <v>3646</v>
      </c>
      <c r="D1990" s="143" t="s">
        <v>41</v>
      </c>
      <c r="E1990" s="169" t="s">
        <v>5753</v>
      </c>
      <c r="F1990" s="143">
        <v>838</v>
      </c>
      <c r="G1990" s="169" t="s">
        <v>5753</v>
      </c>
      <c r="H1990" s="143" t="s">
        <v>5942</v>
      </c>
      <c r="I1990" s="143" t="s">
        <v>5943</v>
      </c>
      <c r="K1990" s="143">
        <v>150</v>
      </c>
      <c r="S1990" s="211"/>
      <c r="T1990" s="211"/>
      <c r="U1990" s="211"/>
      <c r="V1990" s="212"/>
      <c r="W1990" s="169" t="s">
        <v>3147</v>
      </c>
      <c r="X1990" s="143">
        <v>838</v>
      </c>
      <c r="Y1990" s="169" t="s">
        <v>3147</v>
      </c>
      <c r="Z1990" s="143">
        <v>838</v>
      </c>
      <c r="AA1990" s="173">
        <v>11.8</v>
      </c>
    </row>
    <row r="1991" ht="15" spans="1:27">
      <c r="A1991" s="143">
        <v>1948</v>
      </c>
      <c r="B1991" s="144">
        <v>45971</v>
      </c>
      <c r="C1991" s="169" t="s">
        <v>3646</v>
      </c>
      <c r="D1991" s="143" t="s">
        <v>41</v>
      </c>
      <c r="E1991" s="169" t="s">
        <v>5753</v>
      </c>
      <c r="F1991" s="143">
        <v>576</v>
      </c>
      <c r="G1991" s="169" t="s">
        <v>5753</v>
      </c>
      <c r="H1991" s="143" t="s">
        <v>5944</v>
      </c>
      <c r="I1991" s="143" t="s">
        <v>5945</v>
      </c>
      <c r="K1991" s="143">
        <v>148</v>
      </c>
      <c r="S1991" s="211"/>
      <c r="T1991" s="211"/>
      <c r="U1991" s="211"/>
      <c r="V1991" s="212"/>
      <c r="W1991" s="169" t="s">
        <v>3147</v>
      </c>
      <c r="X1991" s="143">
        <v>576</v>
      </c>
      <c r="Y1991" s="169" t="s">
        <v>3147</v>
      </c>
      <c r="Z1991" s="143">
        <v>576</v>
      </c>
      <c r="AA1991" s="173">
        <v>10.5</v>
      </c>
    </row>
    <row r="1992" ht="15" spans="1:27">
      <c r="A1992" s="143">
        <v>1949</v>
      </c>
      <c r="B1992" s="144">
        <v>45971</v>
      </c>
      <c r="C1992" s="169" t="s">
        <v>3646</v>
      </c>
      <c r="D1992" s="143" t="s">
        <v>41</v>
      </c>
      <c r="E1992" s="169" t="s">
        <v>5753</v>
      </c>
      <c r="F1992" s="143">
        <v>577</v>
      </c>
      <c r="G1992" s="169" t="s">
        <v>5753</v>
      </c>
      <c r="H1992" s="143" t="s">
        <v>5946</v>
      </c>
      <c r="I1992" s="143" t="s">
        <v>5945</v>
      </c>
      <c r="K1992" s="143">
        <v>148</v>
      </c>
      <c r="S1992" s="211"/>
      <c r="T1992" s="211"/>
      <c r="U1992" s="211"/>
      <c r="V1992" s="212"/>
      <c r="W1992" s="169" t="s">
        <v>3147</v>
      </c>
      <c r="X1992" s="143">
        <v>577</v>
      </c>
      <c r="Y1992" s="169" t="s">
        <v>3147</v>
      </c>
      <c r="Z1992" s="143">
        <v>577</v>
      </c>
      <c r="AA1992" s="173">
        <v>10.5</v>
      </c>
    </row>
    <row r="1993" ht="15" spans="1:27">
      <c r="A1993" s="143">
        <v>1950</v>
      </c>
      <c r="B1993" s="144">
        <v>45971</v>
      </c>
      <c r="C1993" s="169" t="s">
        <v>3646</v>
      </c>
      <c r="D1993" s="143" t="s">
        <v>41</v>
      </c>
      <c r="E1993" s="169" t="s">
        <v>5753</v>
      </c>
      <c r="F1993" s="143">
        <v>569</v>
      </c>
      <c r="G1993" s="169" t="s">
        <v>5753</v>
      </c>
      <c r="H1993" s="143" t="s">
        <v>5947</v>
      </c>
      <c r="I1993" s="143" t="s">
        <v>4529</v>
      </c>
      <c r="K1993" s="143">
        <v>150</v>
      </c>
      <c r="S1993" s="211"/>
      <c r="T1993" s="211"/>
      <c r="U1993" s="211"/>
      <c r="V1993" s="212"/>
      <c r="W1993" s="169" t="s">
        <v>3147</v>
      </c>
      <c r="X1993" s="143">
        <v>569</v>
      </c>
      <c r="Y1993" s="169" t="s">
        <v>3147</v>
      </c>
      <c r="Z1993" s="143">
        <v>569</v>
      </c>
      <c r="AA1993" s="173">
        <v>12.8</v>
      </c>
    </row>
    <row r="1994" ht="15" spans="1:27">
      <c r="A1994" s="143">
        <v>1951</v>
      </c>
      <c r="B1994" s="144">
        <v>45971</v>
      </c>
      <c r="C1994" s="169" t="s">
        <v>3646</v>
      </c>
      <c r="D1994" s="143" t="s">
        <v>41</v>
      </c>
      <c r="E1994" s="169" t="s">
        <v>5753</v>
      </c>
      <c r="F1994" s="143">
        <v>592</v>
      </c>
      <c r="G1994" s="169" t="s">
        <v>5753</v>
      </c>
      <c r="H1994" s="143" t="s">
        <v>5948</v>
      </c>
      <c r="I1994" s="143" t="s">
        <v>5949</v>
      </c>
      <c r="K1994" s="143">
        <v>148</v>
      </c>
      <c r="L1994" s="143">
        <v>165</v>
      </c>
      <c r="S1994" s="211"/>
      <c r="T1994" s="211"/>
      <c r="U1994" s="211"/>
      <c r="V1994" s="212"/>
      <c r="W1994" s="169" t="s">
        <v>3147</v>
      </c>
      <c r="X1994" s="143">
        <v>592</v>
      </c>
      <c r="Y1994" s="169" t="s">
        <v>3147</v>
      </c>
      <c r="Z1994" s="143">
        <v>592</v>
      </c>
      <c r="AA1994" s="173">
        <v>10.5</v>
      </c>
    </row>
    <row r="1995" ht="15" spans="1:27">
      <c r="A1995" s="143">
        <v>1952</v>
      </c>
      <c r="B1995" s="144">
        <v>45971</v>
      </c>
      <c r="C1995" s="169" t="s">
        <v>3646</v>
      </c>
      <c r="D1995" s="143" t="s">
        <v>41</v>
      </c>
      <c r="E1995" s="169" t="s">
        <v>5753</v>
      </c>
      <c r="F1995" s="143">
        <v>595</v>
      </c>
      <c r="G1995" s="169" t="s">
        <v>5753</v>
      </c>
      <c r="H1995" s="143" t="s">
        <v>5950</v>
      </c>
      <c r="I1995" s="143" t="s">
        <v>5949</v>
      </c>
      <c r="K1995" s="143">
        <v>148</v>
      </c>
      <c r="S1995" s="211"/>
      <c r="T1995" s="211"/>
      <c r="U1995" s="211"/>
      <c r="V1995" s="212"/>
      <c r="W1995" s="169" t="s">
        <v>3147</v>
      </c>
      <c r="X1995" s="143">
        <v>595</v>
      </c>
      <c r="Y1995" s="169" t="s">
        <v>3147</v>
      </c>
      <c r="Z1995" s="143">
        <v>595</v>
      </c>
      <c r="AA1995" s="173">
        <v>10.5</v>
      </c>
    </row>
    <row r="1996" ht="15" spans="1:27">
      <c r="A1996" s="143">
        <v>1953</v>
      </c>
      <c r="B1996" s="144">
        <v>45971</v>
      </c>
      <c r="C1996" s="169" t="s">
        <v>3646</v>
      </c>
      <c r="D1996" s="143" t="s">
        <v>41</v>
      </c>
      <c r="E1996" s="169" t="s">
        <v>5753</v>
      </c>
      <c r="F1996" s="143">
        <v>598</v>
      </c>
      <c r="G1996" s="169" t="s">
        <v>5753</v>
      </c>
      <c r="H1996" s="143" t="s">
        <v>5951</v>
      </c>
      <c r="I1996" s="143" t="s">
        <v>4235</v>
      </c>
      <c r="K1996" s="143">
        <v>148</v>
      </c>
      <c r="S1996" s="211"/>
      <c r="T1996" s="211"/>
      <c r="U1996" s="211"/>
      <c r="V1996" s="212"/>
      <c r="W1996" s="169" t="s">
        <v>3147</v>
      </c>
      <c r="X1996" s="143">
        <v>598</v>
      </c>
      <c r="Y1996" s="169" t="s">
        <v>3147</v>
      </c>
      <c r="Z1996" s="143">
        <v>598</v>
      </c>
      <c r="AA1996" s="173">
        <v>10.5</v>
      </c>
    </row>
    <row r="1997" ht="15" spans="1:27">
      <c r="A1997" s="143">
        <v>1954</v>
      </c>
      <c r="B1997" s="144">
        <v>45971</v>
      </c>
      <c r="C1997" s="169" t="s">
        <v>3646</v>
      </c>
      <c r="D1997" s="143" t="s">
        <v>41</v>
      </c>
      <c r="E1997" s="169" t="s">
        <v>5753</v>
      </c>
      <c r="F1997" s="143">
        <v>596</v>
      </c>
      <c r="G1997" s="169" t="s">
        <v>5753</v>
      </c>
      <c r="H1997" s="143" t="s">
        <v>5952</v>
      </c>
      <c r="I1997" s="143" t="s">
        <v>4235</v>
      </c>
      <c r="K1997" s="143">
        <v>148</v>
      </c>
      <c r="S1997" s="211"/>
      <c r="T1997" s="211"/>
      <c r="U1997" s="211"/>
      <c r="V1997" s="212"/>
      <c r="W1997" s="169" t="s">
        <v>3147</v>
      </c>
      <c r="X1997" s="143">
        <v>596</v>
      </c>
      <c r="Y1997" s="169" t="s">
        <v>3147</v>
      </c>
      <c r="Z1997" s="143">
        <v>596</v>
      </c>
      <c r="AA1997" s="173">
        <v>10.5</v>
      </c>
    </row>
    <row r="1998" ht="15" spans="1:27">
      <c r="A1998" s="143">
        <v>1955</v>
      </c>
      <c r="B1998" s="144">
        <v>45971</v>
      </c>
      <c r="C1998" s="169" t="s">
        <v>3646</v>
      </c>
      <c r="D1998" s="143" t="s">
        <v>41</v>
      </c>
      <c r="E1998" s="169" t="s">
        <v>5753</v>
      </c>
      <c r="F1998" s="143">
        <v>593</v>
      </c>
      <c r="G1998" s="169" t="s">
        <v>5753</v>
      </c>
      <c r="H1998" s="143" t="s">
        <v>5953</v>
      </c>
      <c r="I1998" s="143" t="s">
        <v>5954</v>
      </c>
      <c r="K1998" s="143">
        <v>148</v>
      </c>
      <c r="L1998" s="143">
        <v>150</v>
      </c>
      <c r="S1998" s="211"/>
      <c r="T1998" s="211"/>
      <c r="U1998" s="211"/>
      <c r="V1998" s="212"/>
      <c r="W1998" s="169" t="s">
        <v>3147</v>
      </c>
      <c r="X1998" s="143">
        <v>593</v>
      </c>
      <c r="Y1998" s="169" t="s">
        <v>3147</v>
      </c>
      <c r="Z1998" s="143">
        <v>593</v>
      </c>
      <c r="AA1998" s="173">
        <v>10.5</v>
      </c>
    </row>
    <row r="1999" ht="15" spans="1:27">
      <c r="A1999" s="143">
        <v>1956</v>
      </c>
      <c r="B1999" s="144">
        <v>45971</v>
      </c>
      <c r="C1999" s="169" t="s">
        <v>3646</v>
      </c>
      <c r="D1999" s="143" t="s">
        <v>41</v>
      </c>
      <c r="E1999" s="169" t="s">
        <v>5753</v>
      </c>
      <c r="F1999" s="143">
        <v>572</v>
      </c>
      <c r="G1999" s="169" t="s">
        <v>5753</v>
      </c>
      <c r="H1999" s="143" t="s">
        <v>5955</v>
      </c>
      <c r="I1999" s="143" t="s">
        <v>4312</v>
      </c>
      <c r="K1999" s="143">
        <v>148</v>
      </c>
      <c r="S1999" s="211"/>
      <c r="T1999" s="211"/>
      <c r="U1999" s="211"/>
      <c r="V1999" s="212"/>
      <c r="W1999" s="169" t="s">
        <v>3147</v>
      </c>
      <c r="X1999" s="143">
        <v>572</v>
      </c>
      <c r="Y1999" s="169" t="s">
        <v>3147</v>
      </c>
      <c r="Z1999" s="143">
        <v>572</v>
      </c>
      <c r="AA1999" s="173">
        <v>10.5</v>
      </c>
    </row>
    <row r="2000" ht="15" spans="1:27">
      <c r="A2000" s="143">
        <v>1957</v>
      </c>
      <c r="B2000" s="144">
        <v>45971</v>
      </c>
      <c r="C2000" s="169" t="s">
        <v>3646</v>
      </c>
      <c r="D2000" s="143" t="s">
        <v>41</v>
      </c>
      <c r="E2000" s="169" t="s">
        <v>5753</v>
      </c>
      <c r="F2000" s="143">
        <v>575</v>
      </c>
      <c r="G2000" s="169" t="s">
        <v>5753</v>
      </c>
      <c r="H2000" s="143" t="s">
        <v>5956</v>
      </c>
      <c r="I2000" s="143" t="s">
        <v>4312</v>
      </c>
      <c r="K2000" s="143">
        <v>148</v>
      </c>
      <c r="S2000" s="211"/>
      <c r="T2000" s="211"/>
      <c r="U2000" s="211"/>
      <c r="V2000" s="212"/>
      <c r="W2000" s="169" t="s">
        <v>3147</v>
      </c>
      <c r="X2000" s="143">
        <v>575</v>
      </c>
      <c r="Y2000" s="169" t="s">
        <v>3147</v>
      </c>
      <c r="Z2000" s="143">
        <v>575</v>
      </c>
      <c r="AA2000" s="173">
        <v>10.5</v>
      </c>
    </row>
    <row r="2001" ht="15" spans="1:27">
      <c r="A2001" s="143">
        <v>1958</v>
      </c>
      <c r="B2001" s="144">
        <v>45971</v>
      </c>
      <c r="C2001" s="169" t="s">
        <v>3646</v>
      </c>
      <c r="D2001" s="143" t="s">
        <v>41</v>
      </c>
      <c r="E2001" s="169" t="s">
        <v>5753</v>
      </c>
      <c r="F2001" s="143">
        <v>311</v>
      </c>
      <c r="G2001" s="169" t="s">
        <v>5753</v>
      </c>
      <c r="H2001" s="143" t="s">
        <v>5957</v>
      </c>
      <c r="I2001" s="143" t="s">
        <v>4589</v>
      </c>
      <c r="K2001" s="143">
        <v>150</v>
      </c>
      <c r="S2001" s="211"/>
      <c r="T2001" s="211"/>
      <c r="U2001" s="211"/>
      <c r="V2001" s="212"/>
      <c r="W2001" s="169" t="s">
        <v>3147</v>
      </c>
      <c r="X2001" s="143">
        <v>311</v>
      </c>
      <c r="Y2001" s="169" t="s">
        <v>3147</v>
      </c>
      <c r="Z2001" s="143">
        <v>311</v>
      </c>
      <c r="AA2001" s="173">
        <v>12.8</v>
      </c>
    </row>
    <row r="2002" ht="15" spans="1:27">
      <c r="A2002" s="143">
        <v>1959</v>
      </c>
      <c r="B2002" s="144">
        <v>45971</v>
      </c>
      <c r="C2002" s="169" t="s">
        <v>3646</v>
      </c>
      <c r="D2002" s="143" t="s">
        <v>41</v>
      </c>
      <c r="E2002" s="169" t="s">
        <v>5753</v>
      </c>
      <c r="F2002" s="143">
        <v>312</v>
      </c>
      <c r="G2002" s="169" t="s">
        <v>5753</v>
      </c>
      <c r="H2002" s="143" t="s">
        <v>5958</v>
      </c>
      <c r="I2002" s="143" t="s">
        <v>5959</v>
      </c>
      <c r="K2002" s="143">
        <v>150</v>
      </c>
      <c r="S2002" s="211"/>
      <c r="T2002" s="211"/>
      <c r="U2002" s="211"/>
      <c r="V2002" s="212"/>
      <c r="W2002" s="169" t="s">
        <v>3147</v>
      </c>
      <c r="X2002" s="143">
        <v>312</v>
      </c>
      <c r="Y2002" s="169" t="s">
        <v>3147</v>
      </c>
      <c r="Z2002" s="143">
        <v>312</v>
      </c>
      <c r="AA2002" s="173">
        <v>12.8</v>
      </c>
    </row>
    <row r="2003" ht="15" spans="1:27">
      <c r="A2003" s="143">
        <v>1960</v>
      </c>
      <c r="B2003" s="144">
        <v>45971</v>
      </c>
      <c r="C2003" s="169" t="s">
        <v>3646</v>
      </c>
      <c r="D2003" s="143" t="s">
        <v>41</v>
      </c>
      <c r="E2003" s="169" t="s">
        <v>5753</v>
      </c>
      <c r="F2003" s="143">
        <v>309</v>
      </c>
      <c r="G2003" s="169" t="s">
        <v>5753</v>
      </c>
      <c r="H2003" s="143" t="s">
        <v>5960</v>
      </c>
      <c r="I2003" s="143" t="s">
        <v>3360</v>
      </c>
      <c r="K2003" s="143">
        <v>150</v>
      </c>
      <c r="L2003" s="143">
        <v>160</v>
      </c>
      <c r="S2003" s="211"/>
      <c r="T2003" s="211"/>
      <c r="U2003" s="211"/>
      <c r="V2003" s="212"/>
      <c r="W2003" s="169" t="s">
        <v>3147</v>
      </c>
      <c r="X2003" s="143">
        <v>309</v>
      </c>
      <c r="Y2003" s="169" t="s">
        <v>3147</v>
      </c>
      <c r="Z2003" s="143">
        <v>309</v>
      </c>
      <c r="AA2003" s="173">
        <v>11.8</v>
      </c>
    </row>
    <row r="2004" ht="15" spans="1:27">
      <c r="A2004" s="143">
        <v>1961</v>
      </c>
      <c r="B2004" s="144">
        <v>45971</v>
      </c>
      <c r="C2004" s="169" t="s">
        <v>3646</v>
      </c>
      <c r="D2004" s="143" t="s">
        <v>41</v>
      </c>
      <c r="E2004" s="169" t="s">
        <v>5753</v>
      </c>
      <c r="F2004" s="143">
        <v>582</v>
      </c>
      <c r="G2004" s="169" t="s">
        <v>5753</v>
      </c>
      <c r="H2004" s="143" t="s">
        <v>5961</v>
      </c>
      <c r="I2004" s="143" t="s">
        <v>3218</v>
      </c>
      <c r="K2004" s="143">
        <v>150</v>
      </c>
      <c r="S2004" s="211"/>
      <c r="T2004" s="211"/>
      <c r="U2004" s="211"/>
      <c r="V2004" s="212"/>
      <c r="W2004" s="169" t="s">
        <v>3147</v>
      </c>
      <c r="X2004" s="143">
        <v>582</v>
      </c>
      <c r="Y2004" s="169" t="s">
        <v>3147</v>
      </c>
      <c r="Z2004" s="143">
        <v>582</v>
      </c>
      <c r="AA2004" s="173">
        <v>12.8</v>
      </c>
    </row>
    <row r="2005" ht="15" spans="1:27">
      <c r="A2005" s="143">
        <v>1962</v>
      </c>
      <c r="B2005" s="144">
        <v>45971</v>
      </c>
      <c r="C2005" s="169" t="s">
        <v>3646</v>
      </c>
      <c r="D2005" s="143" t="s">
        <v>41</v>
      </c>
      <c r="E2005" s="169" t="s">
        <v>5753</v>
      </c>
      <c r="F2005" s="143">
        <v>337</v>
      </c>
      <c r="G2005" s="169" t="s">
        <v>5753</v>
      </c>
      <c r="H2005" s="143" t="s">
        <v>5962</v>
      </c>
      <c r="I2005" s="143" t="s">
        <v>5933</v>
      </c>
      <c r="K2005" s="143">
        <v>150</v>
      </c>
      <c r="L2005" s="143">
        <v>290</v>
      </c>
      <c r="S2005" s="211"/>
      <c r="T2005" s="211"/>
      <c r="U2005" s="211"/>
      <c r="V2005" s="212"/>
      <c r="W2005" s="169" t="s">
        <v>3147</v>
      </c>
      <c r="X2005" s="143">
        <v>337</v>
      </c>
      <c r="Y2005" s="169" t="s">
        <v>3147</v>
      </c>
      <c r="Z2005" s="143">
        <v>337</v>
      </c>
      <c r="AA2005" s="173">
        <v>14.8</v>
      </c>
    </row>
    <row r="2006" ht="15" spans="1:27">
      <c r="A2006" s="143">
        <v>1963</v>
      </c>
      <c r="B2006" s="144">
        <v>45971</v>
      </c>
      <c r="C2006" s="169" t="s">
        <v>3646</v>
      </c>
      <c r="D2006" s="143" t="s">
        <v>41</v>
      </c>
      <c r="E2006" s="169" t="s">
        <v>5753</v>
      </c>
      <c r="F2006" s="143">
        <v>333</v>
      </c>
      <c r="G2006" s="169" t="s">
        <v>5753</v>
      </c>
      <c r="H2006" s="143" t="s">
        <v>5963</v>
      </c>
      <c r="I2006" s="143" t="s">
        <v>5964</v>
      </c>
      <c r="K2006" s="143">
        <v>150</v>
      </c>
      <c r="L2006" s="143">
        <v>225</v>
      </c>
      <c r="S2006" s="211"/>
      <c r="T2006" s="211"/>
      <c r="U2006" s="211"/>
      <c r="V2006" s="212"/>
      <c r="W2006" s="169" t="s">
        <v>3147</v>
      </c>
      <c r="X2006" s="143">
        <v>333</v>
      </c>
      <c r="Y2006" s="169" t="s">
        <v>3147</v>
      </c>
      <c r="Z2006" s="143">
        <v>333</v>
      </c>
      <c r="AA2006" s="173">
        <v>14.8</v>
      </c>
    </row>
    <row r="2007" ht="15" spans="1:27">
      <c r="A2007" s="143">
        <v>1964</v>
      </c>
      <c r="B2007" s="144">
        <v>45971</v>
      </c>
      <c r="C2007" s="169" t="s">
        <v>3646</v>
      </c>
      <c r="D2007" s="143" t="s">
        <v>41</v>
      </c>
      <c r="E2007" s="169" t="s">
        <v>5753</v>
      </c>
      <c r="F2007" s="143">
        <v>305</v>
      </c>
      <c r="G2007" s="169" t="s">
        <v>5753</v>
      </c>
      <c r="H2007" s="143" t="s">
        <v>5965</v>
      </c>
      <c r="I2007" s="143" t="s">
        <v>5966</v>
      </c>
      <c r="K2007" s="143">
        <v>150</v>
      </c>
      <c r="L2007" s="143">
        <v>315</v>
      </c>
      <c r="S2007" s="211"/>
      <c r="T2007" s="211"/>
      <c r="U2007" s="211"/>
      <c r="V2007" s="212"/>
      <c r="W2007" s="169" t="s">
        <v>3147</v>
      </c>
      <c r="X2007" s="143">
        <v>305</v>
      </c>
      <c r="Y2007" s="169" t="s">
        <v>3147</v>
      </c>
      <c r="Z2007" s="143">
        <v>305</v>
      </c>
      <c r="AA2007" s="173">
        <v>16</v>
      </c>
    </row>
    <row r="2008" ht="15" spans="1:27">
      <c r="A2008" s="143">
        <v>1965</v>
      </c>
      <c r="B2008" s="144">
        <v>45971</v>
      </c>
      <c r="C2008" s="169" t="s">
        <v>3646</v>
      </c>
      <c r="D2008" s="143" t="s">
        <v>41</v>
      </c>
      <c r="E2008" s="169" t="s">
        <v>5753</v>
      </c>
      <c r="F2008" s="143">
        <v>553</v>
      </c>
      <c r="G2008" s="169" t="s">
        <v>5753</v>
      </c>
      <c r="H2008" s="143" t="s">
        <v>5967</v>
      </c>
      <c r="I2008" s="143" t="s">
        <v>4312</v>
      </c>
      <c r="K2008" s="143">
        <v>150</v>
      </c>
      <c r="S2008" s="211"/>
      <c r="T2008" s="211"/>
      <c r="U2008" s="211"/>
      <c r="V2008" s="212"/>
      <c r="W2008" s="169" t="s">
        <v>3147</v>
      </c>
      <c r="X2008" s="143">
        <v>553</v>
      </c>
      <c r="Y2008" s="169" t="s">
        <v>3147</v>
      </c>
      <c r="Z2008" s="143">
        <v>553</v>
      </c>
      <c r="AA2008" s="173">
        <v>11.5</v>
      </c>
    </row>
    <row r="2009" ht="15" spans="1:27">
      <c r="A2009" s="143">
        <v>1966</v>
      </c>
      <c r="B2009" s="144">
        <v>45971</v>
      </c>
      <c r="C2009" s="169" t="s">
        <v>3646</v>
      </c>
      <c r="D2009" s="143" t="s">
        <v>41</v>
      </c>
      <c r="E2009" s="169" t="s">
        <v>5753</v>
      </c>
      <c r="F2009" s="143">
        <v>566</v>
      </c>
      <c r="G2009" s="169" t="s">
        <v>5753</v>
      </c>
      <c r="H2009" s="143" t="s">
        <v>5968</v>
      </c>
      <c r="I2009" s="143" t="s">
        <v>3224</v>
      </c>
      <c r="K2009" s="143">
        <v>150</v>
      </c>
      <c r="L2009" s="143">
        <v>160</v>
      </c>
      <c r="S2009" s="211"/>
      <c r="T2009" s="211"/>
      <c r="U2009" s="211"/>
      <c r="V2009" s="212"/>
      <c r="W2009" s="169" t="s">
        <v>3147</v>
      </c>
      <c r="X2009" s="143">
        <v>566</v>
      </c>
      <c r="Y2009" s="169" t="s">
        <v>3147</v>
      </c>
      <c r="Z2009" s="143">
        <v>566</v>
      </c>
      <c r="AA2009" s="173">
        <v>10.8</v>
      </c>
    </row>
    <row r="2010" ht="15" spans="1:27">
      <c r="A2010" s="143">
        <v>1967</v>
      </c>
      <c r="B2010" s="144">
        <v>45971</v>
      </c>
      <c r="C2010" s="169" t="s">
        <v>3646</v>
      </c>
      <c r="D2010" s="143" t="s">
        <v>41</v>
      </c>
      <c r="E2010" s="169" t="s">
        <v>5753</v>
      </c>
      <c r="F2010" s="143">
        <v>517</v>
      </c>
      <c r="G2010" s="169" t="s">
        <v>5753</v>
      </c>
      <c r="H2010" s="143" t="s">
        <v>5969</v>
      </c>
      <c r="I2010" s="143" t="s">
        <v>5970</v>
      </c>
      <c r="K2010" s="143">
        <v>150</v>
      </c>
      <c r="S2010" s="211"/>
      <c r="T2010" s="211"/>
      <c r="U2010" s="211"/>
      <c r="V2010" s="212"/>
      <c r="W2010" s="169" t="s">
        <v>3147</v>
      </c>
      <c r="X2010" s="143">
        <v>517</v>
      </c>
      <c r="Y2010" s="169" t="s">
        <v>3147</v>
      </c>
      <c r="Z2010" s="143">
        <v>517</v>
      </c>
      <c r="AA2010" s="173">
        <v>12.5</v>
      </c>
    </row>
    <row r="2011" ht="15" spans="1:27">
      <c r="A2011" s="143">
        <v>1968</v>
      </c>
      <c r="B2011" s="144">
        <v>45971</v>
      </c>
      <c r="C2011" s="169" t="s">
        <v>3646</v>
      </c>
      <c r="D2011" s="143" t="s">
        <v>41</v>
      </c>
      <c r="E2011" s="169" t="s">
        <v>5753</v>
      </c>
      <c r="F2011" s="143">
        <v>565</v>
      </c>
      <c r="G2011" s="169" t="s">
        <v>5753</v>
      </c>
      <c r="H2011" s="143" t="s">
        <v>5971</v>
      </c>
      <c r="I2011" s="143" t="s">
        <v>3224</v>
      </c>
      <c r="K2011" s="143">
        <v>150</v>
      </c>
      <c r="S2011" s="211"/>
      <c r="T2011" s="211"/>
      <c r="U2011" s="211"/>
      <c r="V2011" s="212"/>
      <c r="W2011" s="169" t="s">
        <v>3147</v>
      </c>
      <c r="X2011" s="143">
        <v>565</v>
      </c>
      <c r="Y2011" s="169" t="s">
        <v>3147</v>
      </c>
      <c r="Z2011" s="143">
        <v>565</v>
      </c>
      <c r="AA2011" s="173">
        <v>10.8</v>
      </c>
    </row>
    <row r="2012" ht="15" spans="1:27">
      <c r="A2012" s="143">
        <v>1969</v>
      </c>
      <c r="B2012" s="144">
        <v>45971</v>
      </c>
      <c r="C2012" s="169" t="s">
        <v>3646</v>
      </c>
      <c r="D2012" s="143" t="s">
        <v>41</v>
      </c>
      <c r="E2012" s="169" t="s">
        <v>5753</v>
      </c>
      <c r="F2012" s="143">
        <v>540</v>
      </c>
      <c r="G2012" s="169" t="s">
        <v>5753</v>
      </c>
      <c r="H2012" s="143" t="s">
        <v>5972</v>
      </c>
      <c r="I2012" s="143" t="s">
        <v>5933</v>
      </c>
      <c r="K2012" s="143">
        <v>150</v>
      </c>
      <c r="S2012" s="211"/>
      <c r="T2012" s="211"/>
      <c r="U2012" s="211"/>
      <c r="V2012" s="212"/>
      <c r="W2012" s="169" t="s">
        <v>3147</v>
      </c>
      <c r="X2012" s="143">
        <v>540</v>
      </c>
      <c r="Y2012" s="169" t="s">
        <v>3147</v>
      </c>
      <c r="Z2012" s="143">
        <v>540</v>
      </c>
      <c r="AA2012" s="173">
        <v>16</v>
      </c>
    </row>
    <row r="2013" ht="15" spans="1:27">
      <c r="A2013" s="143">
        <v>1970</v>
      </c>
      <c r="B2013" s="144">
        <v>45971</v>
      </c>
      <c r="C2013" s="169" t="s">
        <v>3646</v>
      </c>
      <c r="D2013" s="143" t="s">
        <v>41</v>
      </c>
      <c r="E2013" s="169" t="s">
        <v>5753</v>
      </c>
      <c r="F2013" s="143">
        <v>567</v>
      </c>
      <c r="G2013" s="169" t="s">
        <v>5753</v>
      </c>
      <c r="H2013" s="143" t="s">
        <v>5973</v>
      </c>
      <c r="I2013" s="143" t="s">
        <v>3224</v>
      </c>
      <c r="K2013" s="143">
        <v>150</v>
      </c>
      <c r="L2013" s="143">
        <v>165</v>
      </c>
      <c r="S2013" s="211"/>
      <c r="T2013" s="211"/>
      <c r="U2013" s="211"/>
      <c r="V2013" s="212"/>
      <c r="W2013" s="169" t="s">
        <v>3147</v>
      </c>
      <c r="X2013" s="143">
        <v>567</v>
      </c>
      <c r="Y2013" s="169" t="s">
        <v>3147</v>
      </c>
      <c r="Z2013" s="143">
        <v>567</v>
      </c>
      <c r="AA2013" s="173">
        <v>10.8</v>
      </c>
    </row>
    <row r="2014" ht="15" spans="1:27">
      <c r="A2014" s="143">
        <v>1971</v>
      </c>
      <c r="B2014" s="144">
        <v>45971</v>
      </c>
      <c r="C2014" s="169" t="s">
        <v>3646</v>
      </c>
      <c r="D2014" s="143" t="s">
        <v>41</v>
      </c>
      <c r="E2014" s="169" t="s">
        <v>5753</v>
      </c>
      <c r="F2014" s="143">
        <v>560</v>
      </c>
      <c r="G2014" s="169" t="s">
        <v>5753</v>
      </c>
      <c r="H2014" s="143" t="s">
        <v>5974</v>
      </c>
      <c r="I2014" s="143" t="s">
        <v>3224</v>
      </c>
      <c r="K2014" s="143">
        <v>148</v>
      </c>
      <c r="S2014" s="211"/>
      <c r="T2014" s="211"/>
      <c r="U2014" s="211"/>
      <c r="V2014" s="212"/>
      <c r="W2014" s="169" t="s">
        <v>3147</v>
      </c>
      <c r="X2014" s="143">
        <v>560</v>
      </c>
      <c r="Y2014" s="169" t="s">
        <v>3147</v>
      </c>
      <c r="Z2014" s="143">
        <v>560</v>
      </c>
      <c r="AA2014" s="173">
        <v>10.8</v>
      </c>
    </row>
    <row r="2015" ht="15" spans="1:27">
      <c r="A2015" s="143">
        <v>1972</v>
      </c>
      <c r="B2015" s="144">
        <v>45971</v>
      </c>
      <c r="C2015" s="169" t="s">
        <v>3646</v>
      </c>
      <c r="D2015" s="143" t="s">
        <v>41</v>
      </c>
      <c r="E2015" s="169" t="s">
        <v>5753</v>
      </c>
      <c r="F2015" s="143">
        <v>587</v>
      </c>
      <c r="G2015" s="169" t="s">
        <v>5753</v>
      </c>
      <c r="H2015" s="143" t="s">
        <v>5975</v>
      </c>
      <c r="I2015" s="143" t="s">
        <v>3224</v>
      </c>
      <c r="K2015" s="143">
        <v>150</v>
      </c>
      <c r="S2015" s="211"/>
      <c r="T2015" s="211"/>
      <c r="U2015" s="211"/>
      <c r="V2015" s="212"/>
      <c r="W2015" s="169" t="s">
        <v>3147</v>
      </c>
      <c r="X2015" s="143">
        <v>587</v>
      </c>
      <c r="Y2015" s="169" t="s">
        <v>3147</v>
      </c>
      <c r="Z2015" s="143">
        <v>587</v>
      </c>
      <c r="AA2015" s="173">
        <v>10.8</v>
      </c>
    </row>
    <row r="2016" ht="15" spans="1:27">
      <c r="A2016" s="143">
        <v>1973</v>
      </c>
      <c r="B2016" s="144">
        <v>45971</v>
      </c>
      <c r="C2016" s="169" t="s">
        <v>3646</v>
      </c>
      <c r="D2016" s="143" t="s">
        <v>41</v>
      </c>
      <c r="E2016" s="169" t="s">
        <v>5753</v>
      </c>
      <c r="F2016" s="143">
        <v>559</v>
      </c>
      <c r="G2016" s="169" t="s">
        <v>5753</v>
      </c>
      <c r="H2016" s="143" t="s">
        <v>5976</v>
      </c>
      <c r="I2016" s="143" t="s">
        <v>5937</v>
      </c>
      <c r="K2016" s="143">
        <v>150</v>
      </c>
      <c r="S2016" s="211"/>
      <c r="T2016" s="211"/>
      <c r="U2016" s="211"/>
      <c r="V2016" s="212"/>
      <c r="W2016" s="169" t="s">
        <v>3147</v>
      </c>
      <c r="X2016" s="143">
        <v>559</v>
      </c>
      <c r="Y2016" s="169" t="s">
        <v>3147</v>
      </c>
      <c r="Z2016" s="143">
        <v>559</v>
      </c>
      <c r="AA2016" s="173">
        <v>13.8</v>
      </c>
    </row>
    <row r="2017" ht="15" spans="1:28">
      <c r="A2017" s="143">
        <v>1974</v>
      </c>
      <c r="B2017" s="144">
        <v>45971</v>
      </c>
      <c r="C2017" s="169" t="s">
        <v>3646</v>
      </c>
      <c r="D2017" s="143" t="s">
        <v>41</v>
      </c>
      <c r="E2017" s="169" t="s">
        <v>5753</v>
      </c>
      <c r="F2017" s="143">
        <v>512</v>
      </c>
      <c r="G2017" s="169" t="s">
        <v>5753</v>
      </c>
      <c r="H2017" s="143" t="s">
        <v>5977</v>
      </c>
      <c r="I2017" s="143" t="s">
        <v>5937</v>
      </c>
      <c r="K2017" s="143">
        <v>150</v>
      </c>
      <c r="S2017" s="211"/>
      <c r="T2017" s="211"/>
      <c r="U2017" s="211"/>
      <c r="V2017" s="212"/>
      <c r="W2017" s="169" t="s">
        <v>3147</v>
      </c>
      <c r="X2017" s="143">
        <v>512</v>
      </c>
      <c r="Y2017" s="169" t="s">
        <v>3147</v>
      </c>
      <c r="Z2017" s="143">
        <v>512</v>
      </c>
      <c r="AA2017" s="173">
        <v>13.8</v>
      </c>
    </row>
    <row r="2018" ht="15" spans="1:28">
      <c r="A2018" s="143">
        <v>1975</v>
      </c>
      <c r="B2018" s="144">
        <v>45971</v>
      </c>
      <c r="C2018" s="169" t="s">
        <v>3646</v>
      </c>
      <c r="D2018" s="143" t="s">
        <v>41</v>
      </c>
      <c r="E2018" s="169" t="s">
        <v>5753</v>
      </c>
      <c r="F2018" s="143">
        <v>525</v>
      </c>
      <c r="G2018" s="169" t="s">
        <v>5753</v>
      </c>
      <c r="H2018" s="143" t="s">
        <v>5978</v>
      </c>
      <c r="I2018" s="143" t="s">
        <v>5979</v>
      </c>
      <c r="K2018" s="143">
        <v>150</v>
      </c>
      <c r="L2018" s="143">
        <v>160</v>
      </c>
      <c r="S2018" s="211"/>
      <c r="T2018" s="211"/>
      <c r="U2018" s="211"/>
      <c r="V2018" s="212"/>
      <c r="W2018" s="169" t="s">
        <v>3147</v>
      </c>
      <c r="X2018" s="143">
        <v>525</v>
      </c>
      <c r="Y2018" s="169" t="s">
        <v>3147</v>
      </c>
      <c r="Z2018" s="143">
        <v>525</v>
      </c>
      <c r="AA2018" s="173">
        <v>12.5</v>
      </c>
    </row>
    <row r="2019" ht="15" spans="1:28">
      <c r="A2019" s="143">
        <v>1976</v>
      </c>
      <c r="B2019" s="144">
        <v>45971</v>
      </c>
      <c r="C2019" s="169" t="s">
        <v>3646</v>
      </c>
      <c r="D2019" s="143" t="s">
        <v>41</v>
      </c>
      <c r="E2019" s="169" t="s">
        <v>5753</v>
      </c>
      <c r="F2019" s="143">
        <v>539</v>
      </c>
      <c r="G2019" s="169" t="s">
        <v>5753</v>
      </c>
      <c r="H2019" s="143" t="s">
        <v>5980</v>
      </c>
      <c r="I2019" s="143" t="s">
        <v>5941</v>
      </c>
      <c r="K2019" s="143">
        <v>150</v>
      </c>
      <c r="S2019" s="211"/>
      <c r="T2019" s="211"/>
      <c r="U2019" s="211"/>
      <c r="V2019" s="212"/>
      <c r="W2019" s="169" t="s">
        <v>3147</v>
      </c>
      <c r="X2019" s="143">
        <v>539</v>
      </c>
      <c r="Y2019" s="169" t="s">
        <v>3147</v>
      </c>
      <c r="Z2019" s="143">
        <v>539</v>
      </c>
      <c r="AA2019" s="173">
        <v>13.8</v>
      </c>
    </row>
    <row r="2020" ht="15" spans="1:28">
      <c r="A2020" s="143">
        <v>1977</v>
      </c>
      <c r="B2020" s="144">
        <v>45971</v>
      </c>
      <c r="C2020" s="169" t="s">
        <v>3646</v>
      </c>
      <c r="D2020" s="143" t="s">
        <v>41</v>
      </c>
      <c r="E2020" s="169" t="s">
        <v>5753</v>
      </c>
      <c r="F2020" s="143">
        <v>343</v>
      </c>
      <c r="G2020" s="169" t="s">
        <v>5753</v>
      </c>
      <c r="H2020" s="143" t="s">
        <v>5981</v>
      </c>
      <c r="I2020" s="143" t="s">
        <v>5982</v>
      </c>
      <c r="K2020" s="143">
        <v>150</v>
      </c>
      <c r="L2020" s="143">
        <v>155</v>
      </c>
      <c r="S2020" s="211"/>
      <c r="T2020" s="211"/>
      <c r="U2020" s="211"/>
      <c r="V2020" s="212"/>
      <c r="W2020" s="169" t="s">
        <v>3147</v>
      </c>
      <c r="X2020" s="143">
        <v>343</v>
      </c>
      <c r="Y2020" s="169" t="s">
        <v>3147</v>
      </c>
      <c r="Z2020" s="143">
        <v>343</v>
      </c>
      <c r="AA2020" s="173">
        <v>11.5</v>
      </c>
    </row>
    <row r="2021" ht="15" spans="1:28">
      <c r="A2021" s="143">
        <v>1978</v>
      </c>
      <c r="B2021" s="144">
        <v>45971</v>
      </c>
      <c r="C2021" s="169" t="s">
        <v>3646</v>
      </c>
      <c r="D2021" s="143" t="s">
        <v>41</v>
      </c>
      <c r="E2021" s="169" t="s">
        <v>5753</v>
      </c>
      <c r="F2021" s="143">
        <v>338</v>
      </c>
      <c r="G2021" s="169" t="s">
        <v>5753</v>
      </c>
      <c r="H2021" s="143" t="s">
        <v>5983</v>
      </c>
      <c r="I2021" s="143" t="s">
        <v>5933</v>
      </c>
      <c r="K2021" s="143">
        <v>150</v>
      </c>
      <c r="L2021" s="143">
        <v>285</v>
      </c>
      <c r="S2021" s="211"/>
      <c r="T2021" s="211"/>
      <c r="U2021" s="211"/>
      <c r="V2021" s="212"/>
      <c r="W2021" s="169" t="s">
        <v>3147</v>
      </c>
      <c r="X2021" s="143">
        <v>338</v>
      </c>
      <c r="Y2021" s="169" t="s">
        <v>3147</v>
      </c>
      <c r="Z2021" s="143">
        <v>338</v>
      </c>
      <c r="AA2021" s="173">
        <v>14.8</v>
      </c>
    </row>
    <row r="2022" ht="15" spans="1:28">
      <c r="A2022" s="143">
        <v>1979</v>
      </c>
      <c r="B2022" s="144">
        <v>45971</v>
      </c>
      <c r="C2022" s="169" t="s">
        <v>3646</v>
      </c>
      <c r="D2022" s="143" t="s">
        <v>41</v>
      </c>
      <c r="E2022" s="169" t="s">
        <v>5753</v>
      </c>
      <c r="F2022" s="143">
        <v>877</v>
      </c>
      <c r="G2022" s="169" t="s">
        <v>5753</v>
      </c>
      <c r="H2022" s="143" t="s">
        <v>5984</v>
      </c>
      <c r="I2022" s="143" t="s">
        <v>5966</v>
      </c>
      <c r="K2022" s="143">
        <v>150</v>
      </c>
      <c r="S2022" s="211"/>
      <c r="T2022" s="211"/>
      <c r="U2022" s="211"/>
      <c r="V2022" s="212"/>
      <c r="W2022" s="169" t="s">
        <v>3147</v>
      </c>
      <c r="X2022" s="143">
        <v>877</v>
      </c>
      <c r="Y2022" s="169" t="s">
        <v>3147</v>
      </c>
      <c r="Z2022" s="143">
        <v>877</v>
      </c>
      <c r="AA2022" s="173">
        <v>13.6</v>
      </c>
    </row>
    <row r="2023" ht="15" spans="1:28">
      <c r="A2023" s="143">
        <v>1980</v>
      </c>
      <c r="B2023" s="144">
        <v>45971</v>
      </c>
      <c r="C2023" s="169" t="s">
        <v>3646</v>
      </c>
      <c r="D2023" s="143" t="s">
        <v>41</v>
      </c>
      <c r="E2023" s="169" t="s">
        <v>5753</v>
      </c>
      <c r="F2023" s="143">
        <v>872</v>
      </c>
      <c r="G2023" s="169" t="s">
        <v>5753</v>
      </c>
      <c r="H2023" s="143" t="s">
        <v>5985</v>
      </c>
      <c r="I2023" s="143" t="s">
        <v>5979</v>
      </c>
      <c r="K2023" s="143">
        <v>150</v>
      </c>
      <c r="S2023" s="211"/>
      <c r="T2023" s="211"/>
      <c r="U2023" s="211"/>
      <c r="V2023" s="212"/>
      <c r="W2023" s="169" t="s">
        <v>3147</v>
      </c>
      <c r="X2023" s="143">
        <v>872</v>
      </c>
      <c r="Y2023" s="169" t="s">
        <v>3147</v>
      </c>
      <c r="Z2023" s="143">
        <v>872</v>
      </c>
      <c r="AA2023" s="173">
        <v>13.6</v>
      </c>
    </row>
    <row r="2024" spans="1:28">
      <c r="A2024" s="143">
        <v>1981</v>
      </c>
      <c r="B2024" s="144">
        <v>45971</v>
      </c>
      <c r="C2024" s="169" t="s">
        <v>3646</v>
      </c>
      <c r="D2024" s="143" t="s">
        <v>41</v>
      </c>
      <c r="E2024" s="169" t="s">
        <v>5753</v>
      </c>
      <c r="F2024" s="143">
        <v>903</v>
      </c>
      <c r="G2024" s="169" t="s">
        <v>5753</v>
      </c>
      <c r="H2024" s="143" t="s">
        <v>5986</v>
      </c>
      <c r="I2024" s="143" t="s">
        <v>324</v>
      </c>
      <c r="J2024" s="143" t="s">
        <v>325</v>
      </c>
      <c r="K2024" s="143">
        <v>150</v>
      </c>
      <c r="L2024" s="143">
        <v>115</v>
      </c>
      <c r="S2024" s="211"/>
      <c r="T2024" s="211"/>
      <c r="U2024" s="211"/>
      <c r="V2024" s="212"/>
      <c r="W2024" s="169" t="s">
        <v>3147</v>
      </c>
      <c r="X2024" s="143">
        <v>903</v>
      </c>
      <c r="Y2024" s="169" t="s">
        <v>3147</v>
      </c>
      <c r="Z2024" s="143">
        <v>903</v>
      </c>
    </row>
    <row r="2025" spans="1:28">
      <c r="A2025" s="143">
        <v>1982</v>
      </c>
      <c r="B2025" s="144">
        <v>45971</v>
      </c>
      <c r="C2025" s="169" t="s">
        <v>3646</v>
      </c>
      <c r="D2025" s="143" t="s">
        <v>41</v>
      </c>
      <c r="E2025" s="169" t="s">
        <v>5753</v>
      </c>
      <c r="F2025" s="143">
        <v>827</v>
      </c>
      <c r="G2025" s="169" t="s">
        <v>5753</v>
      </c>
      <c r="H2025" s="143" t="s">
        <v>5987</v>
      </c>
      <c r="I2025" s="143" t="s">
        <v>5988</v>
      </c>
      <c r="J2025" s="143" t="s">
        <v>5989</v>
      </c>
      <c r="K2025" s="143">
        <v>150</v>
      </c>
      <c r="L2025" s="143">
        <v>200</v>
      </c>
      <c r="S2025" s="211"/>
      <c r="T2025" s="211"/>
      <c r="U2025" s="211"/>
      <c r="V2025" s="212"/>
      <c r="W2025" s="169" t="s">
        <v>3147</v>
      </c>
      <c r="X2025" s="143">
        <v>827</v>
      </c>
      <c r="Y2025" s="169" t="s">
        <v>3147</v>
      </c>
      <c r="Z2025" s="143">
        <v>827</v>
      </c>
    </row>
    <row r="2026" spans="1:28">
      <c r="A2026" s="143">
        <v>1983</v>
      </c>
      <c r="B2026" s="144">
        <v>45971</v>
      </c>
      <c r="C2026" s="169" t="s">
        <v>3646</v>
      </c>
      <c r="D2026" s="143" t="s">
        <v>41</v>
      </c>
      <c r="E2026" s="169" t="s">
        <v>5753</v>
      </c>
      <c r="F2026" s="143">
        <v>509</v>
      </c>
      <c r="G2026" s="169" t="s">
        <v>5753</v>
      </c>
      <c r="H2026" s="143" t="s">
        <v>5990</v>
      </c>
      <c r="I2026" s="169" t="s">
        <v>5991</v>
      </c>
      <c r="J2026" s="143" t="s">
        <v>5992</v>
      </c>
      <c r="K2026" s="143">
        <v>150</v>
      </c>
      <c r="L2026" s="143">
        <v>185</v>
      </c>
      <c r="S2026" s="211"/>
      <c r="T2026" s="211"/>
      <c r="U2026" s="211"/>
      <c r="V2026" s="212"/>
      <c r="W2026" s="169" t="s">
        <v>3147</v>
      </c>
      <c r="X2026" s="143">
        <v>509</v>
      </c>
      <c r="Y2026" s="169" t="s">
        <v>3147</v>
      </c>
      <c r="Z2026" s="143">
        <v>509</v>
      </c>
    </row>
    <row r="2027" spans="1:28">
      <c r="A2027" s="143">
        <v>1984</v>
      </c>
      <c r="B2027" s="144">
        <v>45971</v>
      </c>
      <c r="C2027" s="169" t="s">
        <v>3646</v>
      </c>
      <c r="D2027" s="143" t="s">
        <v>41</v>
      </c>
      <c r="E2027" s="169" t="s">
        <v>5753</v>
      </c>
      <c r="F2027" s="143">
        <v>505</v>
      </c>
      <c r="G2027" s="169" t="s">
        <v>5753</v>
      </c>
      <c r="H2027" s="143" t="s">
        <v>5993</v>
      </c>
      <c r="I2027" s="169" t="s">
        <v>5994</v>
      </c>
      <c r="J2027" s="143" t="s">
        <v>5995</v>
      </c>
      <c r="K2027" s="143">
        <v>150</v>
      </c>
      <c r="L2027" s="143">
        <v>180</v>
      </c>
      <c r="S2027" s="211"/>
      <c r="T2027" s="211"/>
      <c r="U2027" s="211"/>
      <c r="V2027" s="212"/>
      <c r="W2027" s="169" t="s">
        <v>3147</v>
      </c>
      <c r="X2027" s="143">
        <v>505</v>
      </c>
      <c r="Y2027" s="169" t="s">
        <v>3147</v>
      </c>
      <c r="Z2027" s="143">
        <v>505</v>
      </c>
    </row>
    <row r="2028" spans="1:28">
      <c r="A2028" s="143">
        <v>1985</v>
      </c>
      <c r="B2028" s="144">
        <v>45971</v>
      </c>
      <c r="C2028" s="169" t="s">
        <v>3646</v>
      </c>
      <c r="D2028" s="143" t="s">
        <v>41</v>
      </c>
      <c r="E2028" s="169" t="s">
        <v>5753</v>
      </c>
      <c r="F2028" s="143">
        <v>515</v>
      </c>
      <c r="G2028" s="169" t="s">
        <v>5753</v>
      </c>
      <c r="H2028" s="143" t="s">
        <v>5996</v>
      </c>
      <c r="I2028" s="143" t="s">
        <v>324</v>
      </c>
      <c r="J2028" s="143" t="s">
        <v>325</v>
      </c>
      <c r="K2028" s="143">
        <v>146</v>
      </c>
      <c r="L2028" s="143">
        <v>120</v>
      </c>
      <c r="S2028" s="211"/>
      <c r="T2028" s="211"/>
      <c r="U2028" s="211"/>
      <c r="V2028" s="212"/>
      <c r="W2028" s="169" t="s">
        <v>3147</v>
      </c>
      <c r="X2028" s="143">
        <v>515</v>
      </c>
      <c r="Y2028" s="169" t="s">
        <v>3147</v>
      </c>
      <c r="Z2028" s="143">
        <v>515</v>
      </c>
    </row>
    <row r="2029" spans="1:28">
      <c r="A2029" s="143">
        <v>1986</v>
      </c>
      <c r="B2029" s="144">
        <v>45971</v>
      </c>
      <c r="C2029" s="169" t="s">
        <v>3646</v>
      </c>
      <c r="D2029" s="143" t="s">
        <v>41</v>
      </c>
      <c r="E2029" s="169" t="s">
        <v>5753</v>
      </c>
      <c r="F2029" s="143">
        <v>879</v>
      </c>
      <c r="G2029" s="169" t="s">
        <v>5753</v>
      </c>
      <c r="H2029" s="143" t="s">
        <v>5997</v>
      </c>
      <c r="I2029" s="169" t="s">
        <v>5998</v>
      </c>
      <c r="J2029" s="143" t="s">
        <v>5999</v>
      </c>
      <c r="K2029" s="143">
        <v>150</v>
      </c>
      <c r="L2029" s="143">
        <v>220</v>
      </c>
      <c r="S2029" s="211"/>
      <c r="T2029" s="211"/>
      <c r="U2029" s="211"/>
      <c r="V2029" s="212"/>
      <c r="W2029" s="169" t="s">
        <v>3147</v>
      </c>
      <c r="X2029" s="143">
        <v>879</v>
      </c>
      <c r="Y2029" s="169" t="s">
        <v>3147</v>
      </c>
      <c r="Z2029" s="143">
        <v>879</v>
      </c>
      <c r="AA2029" s="143">
        <v>17.6</v>
      </c>
      <c r="AB2029" s="191">
        <v>46051</v>
      </c>
    </row>
    <row r="2030" spans="1:28">
      <c r="A2030" s="143">
        <v>1987</v>
      </c>
      <c r="B2030" s="144">
        <v>45971</v>
      </c>
      <c r="C2030" s="169" t="s">
        <v>3646</v>
      </c>
      <c r="D2030" s="143" t="s">
        <v>41</v>
      </c>
      <c r="E2030" s="169" t="s">
        <v>5753</v>
      </c>
      <c r="F2030" s="143" t="s">
        <v>6000</v>
      </c>
      <c r="G2030" s="169" t="s">
        <v>5753</v>
      </c>
      <c r="H2030" s="143" t="s">
        <v>6001</v>
      </c>
      <c r="I2030" s="169" t="s">
        <v>6002</v>
      </c>
      <c r="J2030" s="143" t="s">
        <v>6003</v>
      </c>
      <c r="K2030" s="143">
        <v>150</v>
      </c>
      <c r="L2030" s="143">
        <v>180</v>
      </c>
      <c r="S2030" s="211"/>
      <c r="T2030" s="211"/>
      <c r="U2030" s="211"/>
      <c r="V2030" s="212"/>
      <c r="W2030" s="169" t="s">
        <v>3147</v>
      </c>
      <c r="X2030" s="143" t="s">
        <v>6000</v>
      </c>
      <c r="Y2030" s="169" t="s">
        <v>3147</v>
      </c>
      <c r="Z2030" s="143" t="s">
        <v>6000</v>
      </c>
    </row>
    <row r="2031" spans="1:28">
      <c r="A2031" s="143">
        <v>1988</v>
      </c>
      <c r="B2031" s="144">
        <v>45971</v>
      </c>
      <c r="C2031" s="169" t="s">
        <v>3646</v>
      </c>
      <c r="D2031" s="143" t="s">
        <v>41</v>
      </c>
      <c r="E2031" s="169" t="s">
        <v>5753</v>
      </c>
      <c r="F2031" s="143" t="s">
        <v>6004</v>
      </c>
      <c r="G2031" s="169" t="s">
        <v>5753</v>
      </c>
      <c r="H2031" s="143" t="s">
        <v>6005</v>
      </c>
      <c r="I2031" s="169" t="s">
        <v>5991</v>
      </c>
      <c r="J2031" s="143" t="s">
        <v>5992</v>
      </c>
      <c r="K2031" s="143">
        <v>150</v>
      </c>
      <c r="L2031" s="143">
        <v>180</v>
      </c>
      <c r="S2031" s="211"/>
      <c r="T2031" s="211"/>
      <c r="U2031" s="211"/>
      <c r="V2031" s="212"/>
      <c r="W2031" s="169" t="s">
        <v>3147</v>
      </c>
      <c r="X2031" s="143" t="s">
        <v>6004</v>
      </c>
      <c r="Y2031" s="169" t="s">
        <v>3147</v>
      </c>
      <c r="Z2031" s="143" t="s">
        <v>6004</v>
      </c>
    </row>
    <row r="2032" spans="1:28">
      <c r="A2032" s="143">
        <v>1989</v>
      </c>
      <c r="B2032" s="144">
        <v>45971</v>
      </c>
      <c r="C2032" s="169" t="s">
        <v>3646</v>
      </c>
      <c r="D2032" s="143" t="s">
        <v>41</v>
      </c>
      <c r="E2032" s="169" t="s">
        <v>5753</v>
      </c>
      <c r="F2032" s="143" t="s">
        <v>6006</v>
      </c>
      <c r="G2032" s="169" t="s">
        <v>5753</v>
      </c>
      <c r="H2032" s="143" t="s">
        <v>6007</v>
      </c>
      <c r="I2032" s="169" t="s">
        <v>6008</v>
      </c>
      <c r="J2032" s="143" t="s">
        <v>6009</v>
      </c>
      <c r="K2032" s="143">
        <v>150</v>
      </c>
      <c r="L2032" s="143">
        <v>180</v>
      </c>
      <c r="S2032" s="211"/>
      <c r="T2032" s="211"/>
      <c r="U2032" s="211"/>
      <c r="V2032" s="212"/>
      <c r="W2032" s="169" t="s">
        <v>3147</v>
      </c>
      <c r="X2032" s="143" t="s">
        <v>6006</v>
      </c>
      <c r="Y2032" s="169" t="s">
        <v>3147</v>
      </c>
      <c r="Z2032" s="143" t="s">
        <v>6006</v>
      </c>
      <c r="AA2032" s="143">
        <v>11.2</v>
      </c>
      <c r="AB2032" s="191">
        <v>46051</v>
      </c>
    </row>
    <row r="2033" spans="1:34">
      <c r="A2033" s="143">
        <v>1990</v>
      </c>
      <c r="B2033" s="144">
        <v>45971</v>
      </c>
      <c r="C2033" s="169" t="s">
        <v>3646</v>
      </c>
      <c r="D2033" s="143" t="s">
        <v>41</v>
      </c>
      <c r="E2033" s="169" t="s">
        <v>5753</v>
      </c>
      <c r="F2033" s="143" t="s">
        <v>6010</v>
      </c>
      <c r="G2033" s="169" t="s">
        <v>5753</v>
      </c>
      <c r="H2033" s="143" t="s">
        <v>6011</v>
      </c>
      <c r="I2033" s="169" t="s">
        <v>6002</v>
      </c>
      <c r="J2033" s="143" t="s">
        <v>6003</v>
      </c>
      <c r="K2033" s="143">
        <v>150</v>
      </c>
      <c r="L2033" s="143">
        <v>195</v>
      </c>
      <c r="S2033" s="211"/>
      <c r="T2033" s="211"/>
      <c r="U2033" s="211"/>
      <c r="V2033" s="212"/>
      <c r="W2033" s="169" t="s">
        <v>3147</v>
      </c>
      <c r="X2033" s="143" t="s">
        <v>6010</v>
      </c>
      <c r="Y2033" s="169" t="s">
        <v>3147</v>
      </c>
      <c r="Z2033" s="143" t="s">
        <v>6010</v>
      </c>
    </row>
    <row r="2034" spans="1:34">
      <c r="A2034" s="143">
        <v>1991</v>
      </c>
      <c r="B2034" s="144">
        <v>45971</v>
      </c>
      <c r="C2034" s="169" t="s">
        <v>3646</v>
      </c>
      <c r="D2034" s="143" t="s">
        <v>41</v>
      </c>
      <c r="E2034" s="169" t="s">
        <v>5753</v>
      </c>
      <c r="F2034" s="143">
        <v>623</v>
      </c>
      <c r="G2034" s="169" t="s">
        <v>5753</v>
      </c>
      <c r="H2034" s="143" t="s">
        <v>6012</v>
      </c>
      <c r="I2034" s="169" t="s">
        <v>5945</v>
      </c>
      <c r="J2034" s="143" t="s">
        <v>6013</v>
      </c>
      <c r="K2034" s="143">
        <v>150</v>
      </c>
      <c r="L2034" s="143">
        <v>165</v>
      </c>
      <c r="S2034" s="211"/>
      <c r="T2034" s="211"/>
      <c r="U2034" s="211"/>
      <c r="V2034" s="212"/>
      <c r="W2034" s="169" t="s">
        <v>3147</v>
      </c>
      <c r="X2034" s="143">
        <v>623</v>
      </c>
      <c r="Y2034" s="169" t="s">
        <v>3147</v>
      </c>
      <c r="Z2034" s="143">
        <v>623</v>
      </c>
      <c r="AA2034" s="143">
        <v>12.4</v>
      </c>
    </row>
    <row r="2035" spans="1:34">
      <c r="A2035" s="143">
        <v>1992</v>
      </c>
      <c r="B2035" s="144">
        <v>45971</v>
      </c>
      <c r="C2035" s="169" t="s">
        <v>3646</v>
      </c>
      <c r="D2035" s="143" t="s">
        <v>41</v>
      </c>
      <c r="E2035" s="169" t="s">
        <v>5753</v>
      </c>
      <c r="F2035" s="143" t="s">
        <v>6014</v>
      </c>
      <c r="G2035" s="169" t="s">
        <v>5753</v>
      </c>
      <c r="H2035" s="143" t="s">
        <v>6015</v>
      </c>
      <c r="I2035" s="169" t="s">
        <v>6016</v>
      </c>
      <c r="J2035" s="143" t="s">
        <v>2815</v>
      </c>
      <c r="K2035" s="143">
        <v>150</v>
      </c>
      <c r="L2035" s="143">
        <v>135</v>
      </c>
      <c r="S2035" s="211"/>
      <c r="T2035" s="211"/>
      <c r="U2035" s="211"/>
      <c r="V2035" s="212"/>
      <c r="W2035" s="169" t="s">
        <v>3147</v>
      </c>
      <c r="X2035" s="143" t="s">
        <v>6014</v>
      </c>
      <c r="Y2035" s="169" t="s">
        <v>3147</v>
      </c>
      <c r="Z2035" s="143" t="s">
        <v>6014</v>
      </c>
    </row>
    <row r="2036" ht="15" spans="1:34">
      <c r="A2036" s="143">
        <v>1993</v>
      </c>
      <c r="B2036" s="144">
        <v>45971</v>
      </c>
      <c r="C2036" s="169" t="s">
        <v>3646</v>
      </c>
      <c r="D2036" s="143" t="s">
        <v>41</v>
      </c>
      <c r="E2036" s="169" t="s">
        <v>5753</v>
      </c>
      <c r="F2036" s="143" t="s">
        <v>6017</v>
      </c>
      <c r="G2036" s="169" t="s">
        <v>5753</v>
      </c>
      <c r="H2036" s="143" t="s">
        <v>6018</v>
      </c>
      <c r="I2036" s="143" t="s">
        <v>3390</v>
      </c>
      <c r="J2036" s="143" t="s">
        <v>4144</v>
      </c>
      <c r="K2036" s="143">
        <v>175</v>
      </c>
      <c r="L2036" s="143">
        <v>190</v>
      </c>
      <c r="Q2036" s="204" t="s">
        <v>3767</v>
      </c>
      <c r="S2036" s="211"/>
      <c r="T2036" s="211"/>
      <c r="U2036" s="211"/>
      <c r="V2036" s="212"/>
      <c r="W2036" s="169" t="s">
        <v>3147</v>
      </c>
      <c r="X2036" s="143" t="s">
        <v>6017</v>
      </c>
      <c r="Y2036" s="169" t="s">
        <v>6019</v>
      </c>
      <c r="Z2036" s="143" t="s">
        <v>6017</v>
      </c>
      <c r="AA2036" s="143">
        <v>37</v>
      </c>
      <c r="AH2036" s="169" t="s">
        <v>4803</v>
      </c>
    </row>
    <row r="2037" ht="15" spans="1:34">
      <c r="A2037" s="143">
        <v>1994</v>
      </c>
      <c r="B2037" s="144">
        <v>45971</v>
      </c>
      <c r="C2037" s="169" t="s">
        <v>3646</v>
      </c>
      <c r="D2037" s="143" t="s">
        <v>41</v>
      </c>
      <c r="E2037" s="169" t="s">
        <v>5753</v>
      </c>
      <c r="F2037" s="143" t="s">
        <v>6020</v>
      </c>
      <c r="G2037" s="169" t="s">
        <v>5753</v>
      </c>
      <c r="H2037" s="143" t="s">
        <v>6021</v>
      </c>
      <c r="I2037" s="143" t="s">
        <v>3737</v>
      </c>
      <c r="J2037" s="143" t="s">
        <v>127</v>
      </c>
      <c r="K2037" s="143">
        <v>175</v>
      </c>
      <c r="L2037" s="143">
        <v>180</v>
      </c>
      <c r="Q2037" s="204" t="s">
        <v>4671</v>
      </c>
      <c r="S2037" s="211"/>
      <c r="T2037" s="211"/>
      <c r="U2037" s="211"/>
      <c r="V2037" s="212"/>
      <c r="W2037" s="169" t="s">
        <v>3147</v>
      </c>
      <c r="X2037" s="143" t="s">
        <v>6020</v>
      </c>
      <c r="Y2037" s="169" t="s">
        <v>6019</v>
      </c>
      <c r="Z2037" s="143" t="s">
        <v>6020</v>
      </c>
      <c r="AA2037" s="143">
        <v>47</v>
      </c>
      <c r="AH2037" s="169" t="s">
        <v>4803</v>
      </c>
    </row>
    <row r="2038" ht="15" spans="1:34">
      <c r="A2038" s="143">
        <v>1995</v>
      </c>
      <c r="B2038" s="144">
        <v>45971</v>
      </c>
      <c r="C2038" s="169" t="s">
        <v>3646</v>
      </c>
      <c r="D2038" s="143" t="s">
        <v>41</v>
      </c>
      <c r="E2038" s="169" t="s">
        <v>5753</v>
      </c>
      <c r="F2038" s="143" t="s">
        <v>6022</v>
      </c>
      <c r="G2038" s="169" t="s">
        <v>5753</v>
      </c>
      <c r="H2038" s="143" t="s">
        <v>6023</v>
      </c>
      <c r="I2038" s="143" t="s">
        <v>3157</v>
      </c>
      <c r="J2038" s="143" t="s">
        <v>3684</v>
      </c>
      <c r="K2038" s="143">
        <v>175</v>
      </c>
      <c r="L2038" s="143">
        <v>180</v>
      </c>
      <c r="Q2038" s="204" t="s">
        <v>4671</v>
      </c>
      <c r="S2038" s="211"/>
      <c r="T2038" s="211"/>
      <c r="U2038" s="211"/>
      <c r="V2038" s="212"/>
      <c r="W2038" s="169" t="s">
        <v>3147</v>
      </c>
      <c r="X2038" s="143" t="s">
        <v>6022</v>
      </c>
      <c r="Y2038" s="169" t="s">
        <v>6024</v>
      </c>
      <c r="Z2038" s="143" t="s">
        <v>6022</v>
      </c>
      <c r="AA2038" s="143">
        <v>46.8</v>
      </c>
      <c r="AH2038" s="169" t="s">
        <v>4803</v>
      </c>
    </row>
    <row r="2039" ht="15" spans="1:34">
      <c r="A2039" s="143">
        <v>1996</v>
      </c>
      <c r="B2039" s="144">
        <v>45971</v>
      </c>
      <c r="C2039" s="169" t="s">
        <v>3646</v>
      </c>
      <c r="D2039" s="143" t="s">
        <v>41</v>
      </c>
      <c r="E2039" s="169" t="s">
        <v>5753</v>
      </c>
      <c r="F2039" s="143" t="s">
        <v>6025</v>
      </c>
      <c r="G2039" s="169" t="s">
        <v>5753</v>
      </c>
      <c r="H2039" s="143" t="s">
        <v>6026</v>
      </c>
      <c r="I2039" s="143" t="s">
        <v>3737</v>
      </c>
      <c r="J2039" s="143" t="s">
        <v>127</v>
      </c>
      <c r="K2039" s="143">
        <v>175</v>
      </c>
      <c r="L2039" s="143">
        <v>180</v>
      </c>
      <c r="Q2039" s="204" t="s">
        <v>4671</v>
      </c>
      <c r="S2039" s="211"/>
      <c r="T2039" s="211"/>
      <c r="U2039" s="211"/>
      <c r="V2039" s="212"/>
      <c r="W2039" s="169" t="s">
        <v>3147</v>
      </c>
      <c r="X2039" s="143" t="s">
        <v>6025</v>
      </c>
      <c r="Y2039" s="169" t="s">
        <v>6027</v>
      </c>
      <c r="Z2039" s="143" t="s">
        <v>6025</v>
      </c>
      <c r="AA2039" s="143">
        <v>47</v>
      </c>
      <c r="AH2039" s="169" t="s">
        <v>4803</v>
      </c>
    </row>
    <row r="2040" ht="15" spans="1:34">
      <c r="A2040" s="143">
        <v>1997</v>
      </c>
      <c r="B2040" s="144">
        <v>45971</v>
      </c>
      <c r="C2040" s="169" t="s">
        <v>3646</v>
      </c>
      <c r="D2040" s="143" t="s">
        <v>41</v>
      </c>
      <c r="E2040" s="169" t="s">
        <v>5753</v>
      </c>
      <c r="F2040" s="143" t="s">
        <v>6028</v>
      </c>
      <c r="G2040" s="169" t="s">
        <v>5753</v>
      </c>
      <c r="H2040" s="143" t="s">
        <v>6029</v>
      </c>
      <c r="I2040" s="143" t="s">
        <v>4535</v>
      </c>
      <c r="J2040" s="143" t="s">
        <v>3111</v>
      </c>
      <c r="K2040" s="143">
        <v>180</v>
      </c>
      <c r="L2040" s="143">
        <v>190</v>
      </c>
      <c r="Q2040" s="204" t="s">
        <v>3829</v>
      </c>
      <c r="S2040" s="211"/>
      <c r="T2040" s="211"/>
      <c r="U2040" s="211"/>
      <c r="V2040" s="212"/>
      <c r="W2040" s="169" t="s">
        <v>3147</v>
      </c>
      <c r="X2040" s="143" t="s">
        <v>6028</v>
      </c>
      <c r="Y2040" s="169" t="s">
        <v>6027</v>
      </c>
      <c r="Z2040" s="143" t="s">
        <v>6028</v>
      </c>
      <c r="AA2040" s="143">
        <v>47</v>
      </c>
      <c r="AH2040" s="169" t="s">
        <v>4803</v>
      </c>
    </row>
    <row r="2041" ht="15" spans="1:34">
      <c r="A2041" s="143">
        <v>1998</v>
      </c>
      <c r="B2041" s="144">
        <v>45971</v>
      </c>
      <c r="C2041" s="169" t="s">
        <v>3646</v>
      </c>
      <c r="D2041" s="143" t="s">
        <v>41</v>
      </c>
      <c r="E2041" s="169" t="s">
        <v>5753</v>
      </c>
      <c r="F2041" s="143" t="s">
        <v>6030</v>
      </c>
      <c r="G2041" s="169" t="s">
        <v>5753</v>
      </c>
      <c r="H2041" s="143" t="s">
        <v>6031</v>
      </c>
      <c r="I2041" s="143" t="s">
        <v>3737</v>
      </c>
      <c r="J2041" s="143" t="s">
        <v>127</v>
      </c>
      <c r="K2041" s="143">
        <v>175</v>
      </c>
      <c r="L2041" s="143">
        <v>170</v>
      </c>
      <c r="Q2041" s="204" t="s">
        <v>3832</v>
      </c>
      <c r="S2041" s="211"/>
      <c r="T2041" s="211"/>
      <c r="U2041" s="211"/>
      <c r="V2041" s="212"/>
      <c r="W2041" s="169" t="s">
        <v>3147</v>
      </c>
      <c r="X2041" s="143" t="s">
        <v>6030</v>
      </c>
      <c r="Y2041" s="169" t="s">
        <v>6032</v>
      </c>
      <c r="Z2041" s="143" t="s">
        <v>6030</v>
      </c>
      <c r="AA2041" s="143">
        <v>49.5</v>
      </c>
      <c r="AH2041" s="169" t="s">
        <v>4803</v>
      </c>
    </row>
    <row r="2042" ht="15" spans="1:34">
      <c r="A2042" s="143">
        <v>1999</v>
      </c>
      <c r="B2042" s="144">
        <v>45971</v>
      </c>
      <c r="C2042" s="169" t="s">
        <v>3646</v>
      </c>
      <c r="D2042" s="143" t="s">
        <v>41</v>
      </c>
      <c r="E2042" s="169" t="s">
        <v>5753</v>
      </c>
      <c r="F2042" s="143" t="s">
        <v>6033</v>
      </c>
      <c r="G2042" s="169" t="s">
        <v>5753</v>
      </c>
      <c r="H2042" s="143" t="s">
        <v>6034</v>
      </c>
      <c r="I2042" s="143" t="s">
        <v>3157</v>
      </c>
      <c r="J2042" s="143" t="s">
        <v>3684</v>
      </c>
      <c r="K2042" s="143">
        <v>185</v>
      </c>
      <c r="L2042" s="143">
        <v>280</v>
      </c>
      <c r="Q2042" s="204" t="s">
        <v>4819</v>
      </c>
      <c r="S2042" s="211"/>
      <c r="T2042" s="211"/>
      <c r="U2042" s="211"/>
      <c r="V2042" s="212"/>
      <c r="W2042" s="169" t="s">
        <v>3147</v>
      </c>
      <c r="X2042" s="143" t="s">
        <v>6033</v>
      </c>
      <c r="Y2042" s="169" t="s">
        <v>6032</v>
      </c>
      <c r="Z2042" s="143" t="s">
        <v>6033</v>
      </c>
      <c r="AA2042" s="143">
        <v>52.8</v>
      </c>
      <c r="AH2042" s="169" t="s">
        <v>4803</v>
      </c>
    </row>
    <row r="2043" ht="15" spans="1:34">
      <c r="A2043" s="143">
        <v>2000</v>
      </c>
      <c r="B2043" s="144">
        <v>45971</v>
      </c>
      <c r="C2043" s="169" t="s">
        <v>3646</v>
      </c>
      <c r="D2043" s="143" t="s">
        <v>41</v>
      </c>
      <c r="E2043" s="169" t="s">
        <v>5753</v>
      </c>
      <c r="F2043" s="143" t="s">
        <v>6035</v>
      </c>
      <c r="G2043" s="169" t="s">
        <v>5753</v>
      </c>
      <c r="H2043" s="143" t="s">
        <v>6036</v>
      </c>
      <c r="I2043" s="143" t="s">
        <v>3157</v>
      </c>
      <c r="J2043" s="143" t="s">
        <v>3684</v>
      </c>
      <c r="K2043" s="143">
        <v>185</v>
      </c>
      <c r="L2043" s="143">
        <v>280</v>
      </c>
      <c r="Q2043" s="204" t="s">
        <v>4819</v>
      </c>
      <c r="S2043" s="211"/>
      <c r="T2043" s="211"/>
      <c r="U2043" s="211"/>
      <c r="V2043" s="212"/>
      <c r="W2043" s="169" t="s">
        <v>3147</v>
      </c>
      <c r="X2043" s="143" t="s">
        <v>6035</v>
      </c>
      <c r="Y2043" s="169" t="s">
        <v>6032</v>
      </c>
      <c r="Z2043" s="143" t="s">
        <v>6035</v>
      </c>
      <c r="AA2043" s="143">
        <v>56</v>
      </c>
    </row>
    <row r="2044" ht="15" spans="1:34">
      <c r="A2044" s="143">
        <v>2001</v>
      </c>
      <c r="B2044" s="144">
        <v>45971</v>
      </c>
      <c r="C2044" s="169" t="s">
        <v>3646</v>
      </c>
      <c r="D2044" s="143" t="s">
        <v>41</v>
      </c>
      <c r="E2044" s="169" t="s">
        <v>5753</v>
      </c>
      <c r="F2044" s="143" t="s">
        <v>6037</v>
      </c>
      <c r="G2044" s="169" t="s">
        <v>5753</v>
      </c>
      <c r="H2044" s="143" t="s">
        <v>6038</v>
      </c>
      <c r="I2044" s="143" t="s">
        <v>3157</v>
      </c>
      <c r="J2044" s="143" t="s">
        <v>3684</v>
      </c>
      <c r="K2044" s="143">
        <v>175</v>
      </c>
      <c r="L2044" s="143">
        <v>180</v>
      </c>
      <c r="Q2044" s="204" t="s">
        <v>4671</v>
      </c>
      <c r="S2044" s="211"/>
      <c r="T2044" s="211"/>
      <c r="U2044" s="211"/>
      <c r="V2044" s="212"/>
      <c r="W2044" s="169" t="s">
        <v>3147</v>
      </c>
      <c r="X2044" s="143" t="s">
        <v>6037</v>
      </c>
      <c r="Y2044" s="169" t="s">
        <v>6032</v>
      </c>
      <c r="Z2044" s="143" t="s">
        <v>6037</v>
      </c>
      <c r="AA2044" s="143">
        <v>56</v>
      </c>
      <c r="AH2044" s="169" t="s">
        <v>4803</v>
      </c>
    </row>
    <row r="2045" ht="15" spans="1:34">
      <c r="A2045" s="143">
        <v>2002</v>
      </c>
      <c r="B2045" s="144">
        <v>45971</v>
      </c>
      <c r="C2045" s="169" t="s">
        <v>3646</v>
      </c>
      <c r="D2045" s="143" t="s">
        <v>41</v>
      </c>
      <c r="E2045" s="169" t="s">
        <v>5753</v>
      </c>
      <c r="F2045" s="143" t="s">
        <v>6039</v>
      </c>
      <c r="G2045" s="169" t="s">
        <v>5753</v>
      </c>
      <c r="H2045" s="143" t="s">
        <v>6040</v>
      </c>
      <c r="I2045" s="143" t="s">
        <v>3752</v>
      </c>
      <c r="J2045" s="143" t="s">
        <v>224</v>
      </c>
      <c r="K2045" s="143">
        <v>175</v>
      </c>
      <c r="L2045" s="143">
        <v>180</v>
      </c>
      <c r="Q2045" s="204" t="s">
        <v>4671</v>
      </c>
      <c r="S2045" s="211"/>
      <c r="T2045" s="211"/>
      <c r="U2045" s="211"/>
      <c r="V2045" s="212"/>
      <c r="W2045" s="169" t="s">
        <v>3147</v>
      </c>
      <c r="X2045" s="143" t="s">
        <v>6039</v>
      </c>
      <c r="Y2045" s="169" t="s">
        <v>6032</v>
      </c>
      <c r="Z2045" s="143" t="s">
        <v>6039</v>
      </c>
      <c r="AA2045" s="143">
        <v>56</v>
      </c>
      <c r="AH2045" s="169" t="s">
        <v>4803</v>
      </c>
    </row>
    <row r="2046" ht="15" spans="1:34">
      <c r="A2046" s="143">
        <v>2003</v>
      </c>
      <c r="B2046" s="144">
        <v>45971</v>
      </c>
      <c r="C2046" s="169" t="s">
        <v>3646</v>
      </c>
      <c r="D2046" s="143" t="s">
        <v>41</v>
      </c>
      <c r="E2046" s="169" t="s">
        <v>5753</v>
      </c>
      <c r="F2046" s="143" t="s">
        <v>6041</v>
      </c>
      <c r="G2046" s="169" t="s">
        <v>5753</v>
      </c>
      <c r="H2046" s="143" t="s">
        <v>6042</v>
      </c>
      <c r="I2046" s="143" t="s">
        <v>3752</v>
      </c>
      <c r="J2046" s="143" t="s">
        <v>224</v>
      </c>
      <c r="K2046" s="143">
        <v>185</v>
      </c>
      <c r="L2046" s="143">
        <v>170</v>
      </c>
      <c r="Q2046" s="204" t="s">
        <v>3832</v>
      </c>
      <c r="S2046" s="211"/>
      <c r="T2046" s="211"/>
      <c r="U2046" s="211"/>
      <c r="V2046" s="212"/>
      <c r="W2046" s="169" t="s">
        <v>3147</v>
      </c>
      <c r="X2046" s="143" t="s">
        <v>6041</v>
      </c>
      <c r="Y2046" s="169" t="s">
        <v>6032</v>
      </c>
      <c r="Z2046" s="143" t="s">
        <v>6041</v>
      </c>
      <c r="AA2046" s="143">
        <v>62.3</v>
      </c>
      <c r="AH2046" s="169" t="s">
        <v>4803</v>
      </c>
    </row>
    <row r="2047" ht="15" spans="1:34">
      <c r="A2047" s="143">
        <v>2004</v>
      </c>
      <c r="B2047" s="144">
        <v>45971</v>
      </c>
      <c r="C2047" s="169" t="s">
        <v>3646</v>
      </c>
      <c r="D2047" s="143" t="s">
        <v>41</v>
      </c>
      <c r="E2047" s="169" t="s">
        <v>5753</v>
      </c>
      <c r="F2047" s="143" t="s">
        <v>6043</v>
      </c>
      <c r="G2047" s="169" t="s">
        <v>5753</v>
      </c>
      <c r="H2047" s="143" t="s">
        <v>6044</v>
      </c>
      <c r="I2047" s="143" t="s">
        <v>6045</v>
      </c>
      <c r="J2047" s="143" t="s">
        <v>6046</v>
      </c>
      <c r="K2047" s="143">
        <v>175</v>
      </c>
      <c r="L2047" s="143">
        <v>180</v>
      </c>
      <c r="Q2047" s="204" t="s">
        <v>4671</v>
      </c>
      <c r="S2047" s="211"/>
      <c r="T2047" s="211"/>
      <c r="U2047" s="211"/>
      <c r="V2047" s="212"/>
      <c r="W2047" s="169" t="s">
        <v>3147</v>
      </c>
      <c r="X2047" s="143" t="s">
        <v>6043</v>
      </c>
      <c r="Y2047" s="169" t="s">
        <v>6047</v>
      </c>
      <c r="Z2047" s="143" t="s">
        <v>6043</v>
      </c>
      <c r="AA2047" s="143">
        <v>47</v>
      </c>
      <c r="AH2047" s="169" t="s">
        <v>4803</v>
      </c>
    </row>
    <row r="2048" ht="15" spans="1:34">
      <c r="A2048" s="143">
        <v>2005</v>
      </c>
      <c r="B2048" s="144">
        <v>45971</v>
      </c>
      <c r="C2048" s="169" t="s">
        <v>3646</v>
      </c>
      <c r="D2048" s="143" t="s">
        <v>41</v>
      </c>
      <c r="E2048" s="169" t="s">
        <v>5753</v>
      </c>
      <c r="F2048" s="143" t="s">
        <v>6048</v>
      </c>
      <c r="G2048" s="169" t="s">
        <v>5753</v>
      </c>
      <c r="H2048" s="143" t="s">
        <v>6049</v>
      </c>
      <c r="I2048" s="143" t="s">
        <v>4312</v>
      </c>
      <c r="J2048" s="143" t="s">
        <v>4144</v>
      </c>
      <c r="K2048" s="143">
        <v>175</v>
      </c>
      <c r="L2048" s="143">
        <v>180</v>
      </c>
      <c r="Q2048" s="204" t="s">
        <v>4671</v>
      </c>
      <c r="S2048" s="211"/>
      <c r="T2048" s="211"/>
      <c r="U2048" s="211"/>
      <c r="V2048" s="212"/>
      <c r="W2048" s="169" t="s">
        <v>3147</v>
      </c>
      <c r="X2048" s="143" t="s">
        <v>6048</v>
      </c>
      <c r="Y2048" s="169" t="s">
        <v>6047</v>
      </c>
      <c r="Z2048" s="143" t="s">
        <v>6048</v>
      </c>
      <c r="AA2048" s="143">
        <v>36.8</v>
      </c>
    </row>
    <row r="2049" spans="1:28">
      <c r="A2049" s="143">
        <v>2006</v>
      </c>
      <c r="B2049" s="144">
        <v>45971</v>
      </c>
      <c r="C2049" s="169" t="s">
        <v>3646</v>
      </c>
      <c r="D2049" s="143" t="s">
        <v>41</v>
      </c>
      <c r="E2049" s="169" t="s">
        <v>5753</v>
      </c>
      <c r="F2049" s="143">
        <v>1287</v>
      </c>
      <c r="G2049" s="169" t="s">
        <v>5753</v>
      </c>
      <c r="H2049" s="143" t="s">
        <v>6050</v>
      </c>
      <c r="K2049" s="143">
        <v>165</v>
      </c>
      <c r="L2049" s="143">
        <v>250</v>
      </c>
      <c r="S2049" s="211"/>
      <c r="T2049" s="211"/>
      <c r="U2049" s="211"/>
      <c r="V2049" s="212"/>
      <c r="W2049" s="169" t="s">
        <v>3147</v>
      </c>
      <c r="X2049" s="143">
        <v>1287</v>
      </c>
      <c r="Y2049" s="169" t="s">
        <v>4612</v>
      </c>
      <c r="Z2049" s="143">
        <v>1287</v>
      </c>
    </row>
    <row r="2050" ht="15" spans="1:28">
      <c r="A2050" s="143">
        <v>2007</v>
      </c>
      <c r="B2050" s="144">
        <v>45971</v>
      </c>
      <c r="C2050" s="169" t="s">
        <v>3646</v>
      </c>
      <c r="D2050" s="143" t="s">
        <v>41</v>
      </c>
      <c r="E2050" s="169" t="s">
        <v>5753</v>
      </c>
      <c r="F2050" s="143" t="s">
        <v>6051</v>
      </c>
      <c r="G2050" s="169" t="s">
        <v>5753</v>
      </c>
      <c r="H2050" s="143" t="s">
        <v>6052</v>
      </c>
      <c r="I2050" s="143" t="s">
        <v>126</v>
      </c>
      <c r="K2050" s="143">
        <v>175</v>
      </c>
      <c r="L2050" s="143">
        <v>180</v>
      </c>
      <c r="S2050" s="211"/>
      <c r="T2050" s="211"/>
      <c r="U2050" s="211"/>
      <c r="V2050" s="212"/>
      <c r="W2050" s="169" t="s">
        <v>3147</v>
      </c>
      <c r="X2050" s="143" t="s">
        <v>6051</v>
      </c>
      <c r="Y2050" s="169" t="s">
        <v>3840</v>
      </c>
      <c r="Z2050" s="143" t="s">
        <v>6051</v>
      </c>
      <c r="AA2050" s="173">
        <v>53.8</v>
      </c>
    </row>
    <row r="2051" spans="1:28">
      <c r="A2051" s="143">
        <v>2008</v>
      </c>
      <c r="B2051" s="144">
        <v>45897</v>
      </c>
      <c r="C2051" s="169" t="s">
        <v>3646</v>
      </c>
      <c r="D2051" s="143" t="s">
        <v>41</v>
      </c>
      <c r="F2051" s="143" t="s">
        <v>6053</v>
      </c>
      <c r="G2051" s="169" t="s">
        <v>3697</v>
      </c>
      <c r="H2051" s="143" t="s">
        <v>6054</v>
      </c>
      <c r="I2051" s="143" t="s">
        <v>126</v>
      </c>
      <c r="J2051" s="143" t="s">
        <v>127</v>
      </c>
      <c r="K2051" s="143">
        <v>180</v>
      </c>
      <c r="L2051" s="143">
        <v>230</v>
      </c>
      <c r="Q2051" s="143" t="s">
        <v>3792</v>
      </c>
      <c r="W2051" s="169" t="s">
        <v>3147</v>
      </c>
      <c r="X2051" s="143" t="s">
        <v>6053</v>
      </c>
      <c r="Y2051" s="169" t="s">
        <v>3835</v>
      </c>
      <c r="Z2051" s="143" t="s">
        <v>6053</v>
      </c>
      <c r="AA2051" s="143">
        <v>59.8</v>
      </c>
      <c r="AB2051" s="191">
        <v>46008</v>
      </c>
    </row>
    <row r="2052" spans="1:28">
      <c r="A2052" s="143">
        <v>2010</v>
      </c>
      <c r="B2052" s="144">
        <v>45971</v>
      </c>
      <c r="C2052" s="143" t="s">
        <v>3148</v>
      </c>
      <c r="E2052" s="145" t="s">
        <v>5071</v>
      </c>
      <c r="F2052" s="143">
        <v>31381</v>
      </c>
      <c r="H2052" s="143" t="s">
        <v>6055</v>
      </c>
      <c r="I2052" s="169" t="s">
        <v>6056</v>
      </c>
      <c r="J2052" s="143" t="s">
        <v>6057</v>
      </c>
      <c r="K2052" s="143">
        <v>128</v>
      </c>
      <c r="W2052" s="143" t="s">
        <v>3147</v>
      </c>
      <c r="X2052" s="143">
        <v>31381</v>
      </c>
      <c r="Y2052" s="169" t="s">
        <v>6058</v>
      </c>
      <c r="Z2052" s="143">
        <v>31381</v>
      </c>
    </row>
    <row r="2053" spans="1:28">
      <c r="A2053" s="143">
        <v>2011</v>
      </c>
      <c r="B2053" s="144">
        <v>45971</v>
      </c>
      <c r="C2053" s="143" t="s">
        <v>3148</v>
      </c>
      <c r="E2053" s="145" t="s">
        <v>5071</v>
      </c>
      <c r="F2053" s="143" t="s">
        <v>6059</v>
      </c>
      <c r="H2053" s="143" t="s">
        <v>6060</v>
      </c>
      <c r="I2053" s="169" t="s">
        <v>6056</v>
      </c>
      <c r="J2053" s="143" t="s">
        <v>6057</v>
      </c>
      <c r="K2053" s="143">
        <v>130</v>
      </c>
      <c r="W2053" s="143" t="s">
        <v>3147</v>
      </c>
      <c r="X2053" s="143" t="s">
        <v>6059</v>
      </c>
      <c r="Y2053" s="169" t="s">
        <v>6061</v>
      </c>
      <c r="Z2053" s="143" t="s">
        <v>6059</v>
      </c>
      <c r="AA2053" s="143">
        <v>22.6</v>
      </c>
    </row>
    <row r="2054" spans="1:28">
      <c r="A2054" s="143">
        <v>2012</v>
      </c>
      <c r="B2054" s="144">
        <v>45971</v>
      </c>
      <c r="C2054" s="143" t="s">
        <v>3148</v>
      </c>
      <c r="E2054" s="145" t="s">
        <v>5071</v>
      </c>
      <c r="F2054" s="143" t="s">
        <v>6062</v>
      </c>
      <c r="H2054" s="143" t="s">
        <v>6063</v>
      </c>
      <c r="I2054" s="143" t="s">
        <v>324</v>
      </c>
      <c r="J2054" s="143" t="s">
        <v>325</v>
      </c>
      <c r="K2054" s="143">
        <v>150</v>
      </c>
      <c r="W2054" s="143" t="s">
        <v>3147</v>
      </c>
      <c r="X2054" s="143" t="s">
        <v>6062</v>
      </c>
      <c r="Y2054" s="169" t="s">
        <v>6064</v>
      </c>
      <c r="Z2054" s="143" t="s">
        <v>6062</v>
      </c>
    </row>
    <row r="2055" spans="1:28">
      <c r="A2055" s="143">
        <v>2013</v>
      </c>
      <c r="B2055" s="144">
        <v>45971</v>
      </c>
      <c r="C2055" s="143" t="s">
        <v>3148</v>
      </c>
      <c r="E2055" s="145" t="s">
        <v>5071</v>
      </c>
      <c r="F2055" s="143" t="s">
        <v>6065</v>
      </c>
      <c r="H2055" s="143" t="s">
        <v>6066</v>
      </c>
      <c r="I2055" s="143" t="s">
        <v>324</v>
      </c>
      <c r="J2055" s="143" t="s">
        <v>325</v>
      </c>
      <c r="K2055" s="143">
        <v>150</v>
      </c>
      <c r="W2055" s="143" t="s">
        <v>3147</v>
      </c>
      <c r="X2055" s="143" t="s">
        <v>6065</v>
      </c>
      <c r="Y2055" s="169" t="s">
        <v>6064</v>
      </c>
      <c r="Z2055" s="143" t="s">
        <v>6065</v>
      </c>
    </row>
    <row r="2056" ht="15" spans="1:28">
      <c r="A2056" s="143">
        <v>2014</v>
      </c>
      <c r="B2056" s="144">
        <v>45971</v>
      </c>
      <c r="C2056" s="143" t="s">
        <v>3148</v>
      </c>
      <c r="E2056" s="145" t="s">
        <v>5221</v>
      </c>
      <c r="F2056" s="169" t="s">
        <v>6067</v>
      </c>
      <c r="H2056" s="177" t="s">
        <v>6068</v>
      </c>
      <c r="I2056" s="143" t="s">
        <v>3157</v>
      </c>
      <c r="J2056" s="143" t="s">
        <v>3684</v>
      </c>
      <c r="K2056" s="143">
        <v>135</v>
      </c>
      <c r="W2056" s="143" t="s">
        <v>3147</v>
      </c>
      <c r="X2056" s="169" t="s">
        <v>6067</v>
      </c>
      <c r="Y2056" s="169" t="s">
        <v>6069</v>
      </c>
      <c r="Z2056" s="169" t="s">
        <v>6067</v>
      </c>
      <c r="AA2056" s="173">
        <v>13.5</v>
      </c>
      <c r="AB2056" s="191">
        <v>45978</v>
      </c>
    </row>
    <row r="2057" ht="15" spans="1:28">
      <c r="A2057" s="143">
        <v>2015</v>
      </c>
      <c r="B2057" s="144">
        <v>45971</v>
      </c>
      <c r="C2057" s="143" t="s">
        <v>3148</v>
      </c>
      <c r="E2057" s="145" t="s">
        <v>5221</v>
      </c>
      <c r="F2057" s="169" t="s">
        <v>6070</v>
      </c>
      <c r="H2057" s="177" t="s">
        <v>6071</v>
      </c>
      <c r="I2057" s="143" t="s">
        <v>3157</v>
      </c>
      <c r="J2057" s="143" t="s">
        <v>3684</v>
      </c>
      <c r="K2057" s="143">
        <v>135</v>
      </c>
      <c r="W2057" s="143" t="s">
        <v>3147</v>
      </c>
      <c r="X2057" s="169" t="s">
        <v>6070</v>
      </c>
      <c r="Y2057" s="169" t="s">
        <v>6069</v>
      </c>
      <c r="Z2057" s="169" t="s">
        <v>6070</v>
      </c>
      <c r="AA2057" s="173">
        <v>13</v>
      </c>
      <c r="AB2057" s="191">
        <v>45978</v>
      </c>
    </row>
    <row r="2058" ht="15" spans="1:28">
      <c r="A2058" s="143">
        <v>2016</v>
      </c>
      <c r="B2058" s="144">
        <v>45971</v>
      </c>
      <c r="C2058" s="143" t="s">
        <v>3148</v>
      </c>
      <c r="E2058" s="145" t="s">
        <v>5221</v>
      </c>
      <c r="F2058" s="143" t="s">
        <v>6072</v>
      </c>
      <c r="H2058" s="177" t="s">
        <v>6073</v>
      </c>
      <c r="I2058" s="143" t="s">
        <v>3157</v>
      </c>
      <c r="J2058" s="143" t="s">
        <v>3684</v>
      </c>
      <c r="K2058" s="143">
        <v>135</v>
      </c>
      <c r="W2058" s="143" t="s">
        <v>3147</v>
      </c>
      <c r="X2058" s="143" t="s">
        <v>6072</v>
      </c>
      <c r="Y2058" s="169" t="s">
        <v>6069</v>
      </c>
      <c r="Z2058" s="143" t="s">
        <v>6072</v>
      </c>
      <c r="AA2058" s="173">
        <v>13.8</v>
      </c>
      <c r="AB2058" s="191">
        <v>45978</v>
      </c>
    </row>
    <row r="2059" ht="15" spans="1:28">
      <c r="A2059" s="143">
        <v>2017</v>
      </c>
      <c r="B2059" s="144">
        <v>45971</v>
      </c>
      <c r="C2059" s="143" t="s">
        <v>3148</v>
      </c>
      <c r="E2059" s="145" t="s">
        <v>5221</v>
      </c>
      <c r="F2059" s="143" t="s">
        <v>6074</v>
      </c>
      <c r="H2059" s="177" t="s">
        <v>6075</v>
      </c>
      <c r="I2059" s="143" t="s">
        <v>3157</v>
      </c>
      <c r="J2059" s="143" t="s">
        <v>3684</v>
      </c>
      <c r="K2059" s="143">
        <v>135</v>
      </c>
      <c r="W2059" s="143" t="s">
        <v>3147</v>
      </c>
      <c r="X2059" s="143" t="s">
        <v>6074</v>
      </c>
      <c r="Y2059" s="169" t="s">
        <v>6069</v>
      </c>
      <c r="Z2059" s="143" t="s">
        <v>6074</v>
      </c>
      <c r="AA2059" s="173">
        <v>12.8</v>
      </c>
      <c r="AB2059" s="191">
        <v>45978</v>
      </c>
    </row>
    <row r="2060" ht="15" spans="1:28">
      <c r="A2060" s="143">
        <v>2018</v>
      </c>
      <c r="B2060" s="144">
        <v>45971</v>
      </c>
      <c r="C2060" s="143" t="s">
        <v>3148</v>
      </c>
      <c r="E2060" s="145" t="s">
        <v>5221</v>
      </c>
      <c r="F2060" s="169" t="s">
        <v>6076</v>
      </c>
      <c r="H2060" s="177" t="s">
        <v>6077</v>
      </c>
      <c r="I2060" s="143" t="s">
        <v>3157</v>
      </c>
      <c r="J2060" s="143" t="s">
        <v>3684</v>
      </c>
      <c r="K2060" s="143">
        <v>135</v>
      </c>
      <c r="W2060" s="143" t="s">
        <v>3147</v>
      </c>
      <c r="X2060" s="169" t="s">
        <v>6076</v>
      </c>
      <c r="Y2060" s="169" t="s">
        <v>6069</v>
      </c>
      <c r="Z2060" s="169" t="s">
        <v>6076</v>
      </c>
      <c r="AA2060" s="173">
        <v>13.5</v>
      </c>
      <c r="AB2060" s="191">
        <v>45978</v>
      </c>
    </row>
    <row r="2061" ht="15" spans="1:28">
      <c r="A2061" s="143">
        <v>2019</v>
      </c>
      <c r="B2061" s="144">
        <v>45971</v>
      </c>
      <c r="C2061" s="143" t="s">
        <v>3148</v>
      </c>
      <c r="E2061" s="145" t="s">
        <v>5221</v>
      </c>
      <c r="F2061" s="169" t="s">
        <v>6078</v>
      </c>
      <c r="H2061" s="177" t="s">
        <v>6079</v>
      </c>
      <c r="I2061" s="143" t="s">
        <v>3157</v>
      </c>
      <c r="J2061" s="143" t="s">
        <v>3684</v>
      </c>
      <c r="K2061" s="143">
        <v>135</v>
      </c>
      <c r="W2061" s="143" t="s">
        <v>3147</v>
      </c>
      <c r="X2061" s="169" t="s">
        <v>6078</v>
      </c>
      <c r="Y2061" s="169" t="s">
        <v>6069</v>
      </c>
      <c r="Z2061" s="169" t="s">
        <v>6078</v>
      </c>
      <c r="AA2061" s="173">
        <v>14.2</v>
      </c>
      <c r="AB2061" s="191">
        <v>45978</v>
      </c>
    </row>
    <row r="2062" ht="15" spans="1:28">
      <c r="A2062" s="143">
        <v>2020</v>
      </c>
      <c r="B2062" s="144">
        <v>45971</v>
      </c>
      <c r="C2062" s="143" t="s">
        <v>3148</v>
      </c>
      <c r="E2062" s="145" t="s">
        <v>5221</v>
      </c>
      <c r="F2062" s="143" t="s">
        <v>6080</v>
      </c>
      <c r="H2062" s="177" t="s">
        <v>6081</v>
      </c>
      <c r="I2062" s="143" t="s">
        <v>3157</v>
      </c>
      <c r="J2062" s="143" t="s">
        <v>3684</v>
      </c>
      <c r="K2062" s="143">
        <v>135</v>
      </c>
      <c r="W2062" s="143" t="s">
        <v>3147</v>
      </c>
      <c r="X2062" s="143" t="s">
        <v>6080</v>
      </c>
      <c r="Y2062" s="169" t="s">
        <v>6069</v>
      </c>
      <c r="Z2062" s="143" t="s">
        <v>6080</v>
      </c>
      <c r="AA2062" s="173">
        <v>14</v>
      </c>
      <c r="AB2062" s="191">
        <v>45978</v>
      </c>
    </row>
    <row r="2063" ht="15" spans="1:28">
      <c r="A2063" s="143">
        <v>2021</v>
      </c>
      <c r="B2063" s="144">
        <v>45971</v>
      </c>
      <c r="C2063" s="143" t="s">
        <v>3148</v>
      </c>
      <c r="E2063" s="145" t="s">
        <v>5221</v>
      </c>
      <c r="F2063" s="169" t="s">
        <v>6082</v>
      </c>
      <c r="H2063" s="177" t="s">
        <v>6083</v>
      </c>
      <c r="I2063" s="143" t="s">
        <v>3157</v>
      </c>
      <c r="J2063" s="143" t="s">
        <v>3684</v>
      </c>
      <c r="K2063" s="143">
        <v>135</v>
      </c>
      <c r="W2063" s="143" t="s">
        <v>3147</v>
      </c>
      <c r="X2063" s="169" t="s">
        <v>6082</v>
      </c>
      <c r="Y2063" s="169" t="s">
        <v>6069</v>
      </c>
      <c r="Z2063" s="169" t="s">
        <v>6082</v>
      </c>
      <c r="AA2063" s="173">
        <v>13.6</v>
      </c>
      <c r="AB2063" s="191">
        <v>45978</v>
      </c>
    </row>
    <row r="2064" ht="15" spans="1:28">
      <c r="A2064" s="143">
        <v>2022</v>
      </c>
      <c r="B2064" s="144">
        <v>45971</v>
      </c>
      <c r="C2064" s="143" t="s">
        <v>3148</v>
      </c>
      <c r="E2064" s="145" t="s">
        <v>5221</v>
      </c>
      <c r="F2064" s="143" t="s">
        <v>6084</v>
      </c>
      <c r="H2064" s="177" t="s">
        <v>6085</v>
      </c>
      <c r="I2064" s="143" t="s">
        <v>3157</v>
      </c>
      <c r="J2064" s="143" t="s">
        <v>3684</v>
      </c>
      <c r="K2064" s="143">
        <v>135</v>
      </c>
      <c r="W2064" s="143" t="s">
        <v>3147</v>
      </c>
      <c r="X2064" s="143" t="s">
        <v>6084</v>
      </c>
      <c r="Y2064" s="169" t="s">
        <v>6069</v>
      </c>
      <c r="Z2064" s="143" t="s">
        <v>6084</v>
      </c>
      <c r="AA2064" s="173">
        <v>12.5</v>
      </c>
      <c r="AB2064" s="191">
        <v>45978</v>
      </c>
    </row>
    <row r="2065" spans="1:28">
      <c r="A2065" s="143">
        <v>2023</v>
      </c>
      <c r="B2065" s="144">
        <v>45971</v>
      </c>
      <c r="C2065" s="143" t="s">
        <v>3148</v>
      </c>
      <c r="E2065" s="145" t="s">
        <v>5221</v>
      </c>
      <c r="F2065" s="143">
        <v>9253</v>
      </c>
      <c r="H2065" s="143" t="s">
        <v>6086</v>
      </c>
      <c r="K2065" s="143">
        <v>130</v>
      </c>
      <c r="W2065" s="143" t="s">
        <v>3147</v>
      </c>
      <c r="X2065" s="143">
        <v>9253</v>
      </c>
      <c r="Y2065" s="169" t="s">
        <v>6087</v>
      </c>
      <c r="Z2065" s="143">
        <v>9253</v>
      </c>
    </row>
    <row r="2066" spans="1:28">
      <c r="A2066" s="143">
        <v>2024</v>
      </c>
      <c r="B2066" s="144">
        <v>45971</v>
      </c>
      <c r="C2066" s="143" t="s">
        <v>3148</v>
      </c>
      <c r="E2066" s="145" t="s">
        <v>5221</v>
      </c>
      <c r="F2066" s="143">
        <v>8567</v>
      </c>
      <c r="H2066" s="143" t="s">
        <v>6088</v>
      </c>
      <c r="W2066" s="143" t="s">
        <v>3147</v>
      </c>
      <c r="X2066" s="143">
        <v>8567</v>
      </c>
      <c r="Y2066" s="169" t="s">
        <v>6087</v>
      </c>
      <c r="Z2066" s="143">
        <v>8567</v>
      </c>
    </row>
    <row r="2067" spans="1:28">
      <c r="A2067" s="143">
        <v>2025</v>
      </c>
      <c r="B2067" s="144">
        <v>45971</v>
      </c>
      <c r="C2067" s="143" t="s">
        <v>3148</v>
      </c>
      <c r="E2067" s="145" t="s">
        <v>5221</v>
      </c>
      <c r="F2067" s="143" t="s">
        <v>6089</v>
      </c>
      <c r="H2067" s="143" t="s">
        <v>6090</v>
      </c>
      <c r="K2067" s="143">
        <v>130</v>
      </c>
      <c r="W2067" s="143" t="s">
        <v>3147</v>
      </c>
      <c r="X2067" s="143" t="s">
        <v>6089</v>
      </c>
      <c r="Y2067" s="169" t="s">
        <v>6087</v>
      </c>
      <c r="Z2067" s="143" t="s">
        <v>6089</v>
      </c>
    </row>
    <row r="2068" spans="1:28">
      <c r="A2068" s="143">
        <v>2026</v>
      </c>
      <c r="B2068" s="144">
        <v>45971</v>
      </c>
      <c r="C2068" s="143" t="s">
        <v>3148</v>
      </c>
      <c r="E2068" s="145" t="s">
        <v>5221</v>
      </c>
      <c r="F2068" s="143" t="s">
        <v>6091</v>
      </c>
      <c r="H2068" s="143" t="s">
        <v>6092</v>
      </c>
      <c r="K2068" s="143">
        <v>130</v>
      </c>
      <c r="W2068" s="143" t="s">
        <v>3147</v>
      </c>
      <c r="X2068" s="143" t="s">
        <v>6091</v>
      </c>
      <c r="Y2068" s="169" t="s">
        <v>6087</v>
      </c>
      <c r="Z2068" s="143" t="s">
        <v>6091</v>
      </c>
    </row>
    <row r="2069" spans="1:28">
      <c r="A2069" s="143">
        <v>2027</v>
      </c>
      <c r="B2069" s="144">
        <v>45971</v>
      </c>
      <c r="C2069" s="143" t="s">
        <v>3148</v>
      </c>
      <c r="E2069" s="145" t="s">
        <v>5221</v>
      </c>
      <c r="F2069" s="143">
        <v>8531</v>
      </c>
      <c r="H2069" s="143" t="s">
        <v>6093</v>
      </c>
      <c r="K2069" s="143">
        <v>130</v>
      </c>
      <c r="W2069" s="143" t="s">
        <v>3147</v>
      </c>
      <c r="X2069" s="143">
        <v>8531</v>
      </c>
      <c r="Y2069" s="169" t="s">
        <v>6087</v>
      </c>
      <c r="Z2069" s="143">
        <v>8531</v>
      </c>
    </row>
    <row r="2070" spans="1:28">
      <c r="A2070" s="143">
        <v>2028</v>
      </c>
      <c r="B2070" s="144">
        <v>45971</v>
      </c>
      <c r="C2070" s="143" t="s">
        <v>3148</v>
      </c>
      <c r="E2070" s="145" t="s">
        <v>5221</v>
      </c>
      <c r="F2070" s="143" t="s">
        <v>6094</v>
      </c>
      <c r="H2070" s="143" t="s">
        <v>6095</v>
      </c>
      <c r="K2070" s="143">
        <v>130</v>
      </c>
      <c r="W2070" s="143" t="s">
        <v>3147</v>
      </c>
      <c r="X2070" s="143" t="s">
        <v>6094</v>
      </c>
      <c r="Y2070" s="169" t="s">
        <v>6087</v>
      </c>
      <c r="Z2070" s="143" t="s">
        <v>6094</v>
      </c>
    </row>
    <row r="2071" spans="1:28">
      <c r="A2071" s="143">
        <v>2029</v>
      </c>
      <c r="B2071" s="144">
        <v>45971</v>
      </c>
      <c r="C2071" s="143" t="s">
        <v>3148</v>
      </c>
      <c r="E2071" s="145" t="s">
        <v>5221</v>
      </c>
      <c r="F2071" s="143">
        <v>9041</v>
      </c>
      <c r="H2071" s="143" t="s">
        <v>6096</v>
      </c>
      <c r="K2071" s="143">
        <v>130</v>
      </c>
      <c r="W2071" s="143" t="s">
        <v>3147</v>
      </c>
      <c r="X2071" s="143">
        <v>9041</v>
      </c>
      <c r="Y2071" s="169" t="s">
        <v>6087</v>
      </c>
      <c r="Z2071" s="143">
        <v>9041</v>
      </c>
    </row>
    <row r="2072" spans="1:28">
      <c r="A2072" s="143">
        <v>2030</v>
      </c>
      <c r="B2072" s="144">
        <v>45971</v>
      </c>
      <c r="C2072" s="143" t="s">
        <v>3148</v>
      </c>
      <c r="E2072" s="145" t="s">
        <v>5221</v>
      </c>
      <c r="F2072" s="143" t="s">
        <v>6097</v>
      </c>
      <c r="H2072" s="143" t="s">
        <v>6098</v>
      </c>
      <c r="K2072" s="143">
        <v>130</v>
      </c>
      <c r="W2072" s="143" t="s">
        <v>3147</v>
      </c>
      <c r="X2072" s="143" t="s">
        <v>6097</v>
      </c>
      <c r="Y2072" s="169" t="s">
        <v>6087</v>
      </c>
      <c r="Z2072" s="143" t="s">
        <v>6097</v>
      </c>
    </row>
    <row r="2073" spans="1:28">
      <c r="A2073" s="143">
        <v>2031</v>
      </c>
      <c r="B2073" s="144">
        <v>45971</v>
      </c>
      <c r="C2073" s="143" t="s">
        <v>3148</v>
      </c>
      <c r="E2073" s="145" t="s">
        <v>5221</v>
      </c>
      <c r="F2073" s="143" t="s">
        <v>6099</v>
      </c>
      <c r="H2073" s="143" t="s">
        <v>6100</v>
      </c>
      <c r="K2073" s="143">
        <v>130</v>
      </c>
      <c r="W2073" s="143" t="s">
        <v>3147</v>
      </c>
      <c r="X2073" s="143" t="s">
        <v>6099</v>
      </c>
      <c r="Y2073" s="169" t="s">
        <v>6087</v>
      </c>
      <c r="Z2073" s="143" t="s">
        <v>6099</v>
      </c>
    </row>
    <row r="2074" spans="1:28">
      <c r="A2074" s="143">
        <v>2032</v>
      </c>
      <c r="B2074" s="144">
        <v>45971</v>
      </c>
      <c r="C2074" s="143" t="s">
        <v>3148</v>
      </c>
      <c r="E2074" s="145" t="s">
        <v>5221</v>
      </c>
      <c r="F2074" s="214" t="s">
        <v>6101</v>
      </c>
      <c r="H2074" s="143" t="s">
        <v>6102</v>
      </c>
      <c r="K2074" s="143">
        <v>130</v>
      </c>
      <c r="W2074" s="143" t="s">
        <v>3147</v>
      </c>
      <c r="X2074" s="214" t="s">
        <v>6101</v>
      </c>
      <c r="Y2074" s="169" t="s">
        <v>6087</v>
      </c>
      <c r="Z2074" s="214" t="s">
        <v>6101</v>
      </c>
    </row>
    <row r="2075" spans="1:28">
      <c r="A2075" s="143">
        <v>2033</v>
      </c>
      <c r="B2075" s="144">
        <v>45971</v>
      </c>
      <c r="C2075" s="143" t="s">
        <v>3148</v>
      </c>
      <c r="E2075" s="145" t="s">
        <v>5221</v>
      </c>
      <c r="F2075" s="143">
        <v>8577</v>
      </c>
      <c r="H2075" s="143" t="s">
        <v>6103</v>
      </c>
      <c r="K2075" s="143">
        <v>130</v>
      </c>
      <c r="W2075" s="143" t="s">
        <v>3147</v>
      </c>
      <c r="X2075" s="143">
        <v>8577</v>
      </c>
      <c r="Y2075" s="169" t="s">
        <v>6087</v>
      </c>
      <c r="Z2075" s="143">
        <v>8577</v>
      </c>
    </row>
    <row r="2076" spans="1:28">
      <c r="A2076" s="143">
        <v>2034</v>
      </c>
      <c r="B2076" s="144">
        <v>45971</v>
      </c>
      <c r="C2076" s="143" t="s">
        <v>3148</v>
      </c>
      <c r="E2076" s="145" t="s">
        <v>5221</v>
      </c>
      <c r="F2076" s="143">
        <v>8019</v>
      </c>
      <c r="H2076" s="143" t="s">
        <v>6104</v>
      </c>
      <c r="K2076" s="143">
        <v>130</v>
      </c>
      <c r="W2076" s="143" t="s">
        <v>3147</v>
      </c>
      <c r="X2076" s="143">
        <v>8019</v>
      </c>
      <c r="Y2076" s="169" t="s">
        <v>6087</v>
      </c>
      <c r="Z2076" s="143">
        <v>8019</v>
      </c>
    </row>
    <row r="2077" spans="1:28">
      <c r="A2077" s="143">
        <v>2035</v>
      </c>
      <c r="B2077" s="144">
        <v>45971</v>
      </c>
      <c r="C2077" s="143" t="s">
        <v>3148</v>
      </c>
      <c r="E2077" s="145" t="s">
        <v>5221</v>
      </c>
      <c r="F2077" s="143">
        <v>7053</v>
      </c>
      <c r="H2077" s="143" t="s">
        <v>6105</v>
      </c>
      <c r="W2077" s="143" t="s">
        <v>3147</v>
      </c>
      <c r="X2077" s="143">
        <v>7053</v>
      </c>
      <c r="Y2077" s="169" t="s">
        <v>6106</v>
      </c>
      <c r="Z2077" s="143">
        <v>7053</v>
      </c>
    </row>
    <row r="2078" ht="15" spans="1:28">
      <c r="A2078" s="143">
        <v>2036</v>
      </c>
      <c r="B2078" s="144">
        <v>45971</v>
      </c>
      <c r="C2078" s="143" t="s">
        <v>3148</v>
      </c>
      <c r="E2078" s="196" t="s">
        <v>6107</v>
      </c>
      <c r="F2078" s="143">
        <v>7263</v>
      </c>
      <c r="H2078" s="143" t="s">
        <v>6108</v>
      </c>
      <c r="I2078" s="143" t="s">
        <v>6109</v>
      </c>
      <c r="J2078" s="143" t="s">
        <v>6110</v>
      </c>
      <c r="K2078" s="143">
        <v>150</v>
      </c>
      <c r="L2078" s="143">
        <v>66</v>
      </c>
      <c r="Q2078" s="204"/>
      <c r="W2078" s="143" t="s">
        <v>3147</v>
      </c>
      <c r="X2078" s="143">
        <v>7263</v>
      </c>
      <c r="Y2078" s="169" t="s">
        <v>5273</v>
      </c>
      <c r="Z2078" s="143">
        <v>7263</v>
      </c>
      <c r="AA2078" s="173">
        <v>14.7</v>
      </c>
      <c r="AB2078" s="191">
        <v>45978</v>
      </c>
    </row>
    <row r="2079" ht="15" spans="1:28">
      <c r="A2079" s="143">
        <v>2037</v>
      </c>
      <c r="B2079" s="144">
        <v>45971</v>
      </c>
      <c r="C2079" s="143" t="s">
        <v>3148</v>
      </c>
      <c r="E2079" s="196" t="s">
        <v>6107</v>
      </c>
      <c r="F2079" s="143">
        <v>7259</v>
      </c>
      <c r="H2079" s="143" t="s">
        <v>6111</v>
      </c>
      <c r="I2079" s="143" t="s">
        <v>6109</v>
      </c>
      <c r="J2079" s="143" t="s">
        <v>6110</v>
      </c>
      <c r="K2079" s="143">
        <v>150</v>
      </c>
      <c r="L2079" s="143">
        <v>71</v>
      </c>
      <c r="Q2079" s="204"/>
      <c r="W2079" s="143" t="s">
        <v>3147</v>
      </c>
      <c r="X2079" s="143">
        <v>7259</v>
      </c>
      <c r="Y2079" s="169" t="s">
        <v>5273</v>
      </c>
      <c r="Z2079" s="143">
        <v>7259</v>
      </c>
      <c r="AA2079" s="173">
        <v>11.8</v>
      </c>
      <c r="AB2079" s="191">
        <v>45978</v>
      </c>
    </row>
    <row r="2080" ht="15" spans="1:28">
      <c r="A2080" s="143">
        <v>2038</v>
      </c>
      <c r="B2080" s="144">
        <v>45971</v>
      </c>
      <c r="C2080" s="143" t="s">
        <v>3148</v>
      </c>
      <c r="E2080" s="196" t="s">
        <v>6107</v>
      </c>
      <c r="F2080" s="143">
        <v>7358</v>
      </c>
      <c r="H2080" s="143" t="s">
        <v>6112</v>
      </c>
      <c r="I2080" s="143" t="s">
        <v>6109</v>
      </c>
      <c r="J2080" s="143" t="s">
        <v>6110</v>
      </c>
      <c r="K2080" s="143">
        <v>128</v>
      </c>
      <c r="L2080" s="143">
        <v>140</v>
      </c>
      <c r="Q2080" s="204">
        <v>4.1</v>
      </c>
      <c r="W2080" s="143" t="s">
        <v>3147</v>
      </c>
      <c r="X2080" s="143">
        <v>7358</v>
      </c>
      <c r="Y2080" s="169" t="s">
        <v>5273</v>
      </c>
      <c r="Z2080" s="143">
        <v>7358</v>
      </c>
      <c r="AA2080" s="173">
        <v>47.2</v>
      </c>
      <c r="AB2080" s="191">
        <v>45978</v>
      </c>
    </row>
    <row r="2081" ht="15" spans="1:28">
      <c r="A2081" s="143">
        <v>2039</v>
      </c>
      <c r="B2081" s="144">
        <v>45971</v>
      </c>
      <c r="C2081" s="143" t="s">
        <v>3148</v>
      </c>
      <c r="E2081" s="196" t="s">
        <v>6107</v>
      </c>
      <c r="F2081" s="143">
        <v>8567</v>
      </c>
      <c r="H2081" s="143" t="s">
        <v>6113</v>
      </c>
      <c r="I2081" s="143" t="s">
        <v>3497</v>
      </c>
      <c r="J2081" s="143" t="s">
        <v>282</v>
      </c>
      <c r="K2081" s="143">
        <v>150</v>
      </c>
      <c r="L2081" s="143">
        <v>84</v>
      </c>
      <c r="Q2081" s="204"/>
      <c r="W2081" s="143" t="s">
        <v>3147</v>
      </c>
      <c r="X2081" s="143">
        <v>8567</v>
      </c>
      <c r="Y2081" s="169" t="s">
        <v>5273</v>
      </c>
      <c r="Z2081" s="143">
        <v>8567</v>
      </c>
      <c r="AA2081" s="173">
        <v>14.2</v>
      </c>
      <c r="AB2081" s="191">
        <v>45978</v>
      </c>
    </row>
    <row r="2082" ht="15" spans="1:28">
      <c r="A2082" s="143">
        <v>2040</v>
      </c>
      <c r="B2082" s="144">
        <v>45971</v>
      </c>
      <c r="C2082" s="143" t="s">
        <v>3148</v>
      </c>
      <c r="E2082" s="196" t="s">
        <v>6107</v>
      </c>
      <c r="F2082" s="143">
        <v>8556</v>
      </c>
      <c r="H2082" s="143" t="s">
        <v>6114</v>
      </c>
      <c r="I2082" s="143" t="s">
        <v>6109</v>
      </c>
      <c r="J2082" s="143" t="s">
        <v>6110</v>
      </c>
      <c r="K2082" s="143">
        <v>150</v>
      </c>
      <c r="L2082" s="143">
        <v>50</v>
      </c>
      <c r="Q2082" s="204"/>
      <c r="W2082" s="143" t="s">
        <v>3147</v>
      </c>
      <c r="X2082" s="143">
        <v>8556</v>
      </c>
      <c r="Y2082" s="169" t="s">
        <v>5273</v>
      </c>
      <c r="Z2082" s="143">
        <v>8556</v>
      </c>
      <c r="AA2082" s="173">
        <v>11.8</v>
      </c>
      <c r="AB2082" s="191">
        <v>45978</v>
      </c>
    </row>
    <row r="2083" ht="15" spans="1:28">
      <c r="A2083" s="143">
        <v>2041</v>
      </c>
      <c r="B2083" s="144">
        <v>45971</v>
      </c>
      <c r="C2083" s="143" t="s">
        <v>3148</v>
      </c>
      <c r="E2083" s="196" t="s">
        <v>6107</v>
      </c>
      <c r="F2083" s="143">
        <v>6167</v>
      </c>
      <c r="H2083" s="143" t="s">
        <v>6115</v>
      </c>
      <c r="I2083" s="143" t="s">
        <v>6116</v>
      </c>
      <c r="J2083" s="143" t="s">
        <v>6117</v>
      </c>
      <c r="K2083" s="143">
        <v>150</v>
      </c>
      <c r="L2083" s="143">
        <v>129</v>
      </c>
      <c r="Q2083" s="204"/>
      <c r="W2083" s="143" t="s">
        <v>3147</v>
      </c>
      <c r="X2083" s="143">
        <v>6167</v>
      </c>
      <c r="Y2083" s="169" t="s">
        <v>5273</v>
      </c>
      <c r="Z2083" s="143">
        <v>6167</v>
      </c>
      <c r="AA2083" s="173">
        <v>14.2</v>
      </c>
      <c r="AB2083" s="191">
        <v>45978</v>
      </c>
    </row>
    <row r="2084" ht="15" spans="1:28">
      <c r="A2084" s="143">
        <v>2042</v>
      </c>
      <c r="B2084" s="144">
        <v>45971</v>
      </c>
      <c r="C2084" s="143" t="s">
        <v>3148</v>
      </c>
      <c r="E2084" s="196" t="s">
        <v>6107</v>
      </c>
      <c r="F2084" s="143">
        <v>6168</v>
      </c>
      <c r="H2084" s="143" t="s">
        <v>6118</v>
      </c>
      <c r="I2084" s="143" t="s">
        <v>6116</v>
      </c>
      <c r="J2084" s="143" t="s">
        <v>6117</v>
      </c>
      <c r="K2084" s="143">
        <v>150</v>
      </c>
      <c r="L2084" s="143">
        <v>130</v>
      </c>
      <c r="Q2084" s="204"/>
      <c r="W2084" s="143" t="s">
        <v>3147</v>
      </c>
      <c r="X2084" s="143">
        <v>6168</v>
      </c>
      <c r="Y2084" s="169" t="s">
        <v>5273</v>
      </c>
      <c r="Z2084" s="143">
        <v>6168</v>
      </c>
      <c r="AA2084" s="173">
        <v>14.2</v>
      </c>
      <c r="AB2084" s="191">
        <v>45978</v>
      </c>
    </row>
    <row r="2085" ht="15" spans="1:28">
      <c r="A2085" s="143">
        <v>2043</v>
      </c>
      <c r="B2085" s="144">
        <v>45971</v>
      </c>
      <c r="C2085" s="143" t="s">
        <v>3148</v>
      </c>
      <c r="E2085" s="196" t="s">
        <v>6107</v>
      </c>
      <c r="F2085" s="143">
        <v>8233</v>
      </c>
      <c r="H2085" s="143" t="s">
        <v>6119</v>
      </c>
      <c r="I2085" s="143" t="s">
        <v>6116</v>
      </c>
      <c r="J2085" s="143" t="s">
        <v>6117</v>
      </c>
      <c r="K2085" s="143">
        <v>150</v>
      </c>
      <c r="L2085" s="143">
        <v>93</v>
      </c>
      <c r="Q2085" s="204"/>
      <c r="W2085" s="143" t="s">
        <v>3147</v>
      </c>
      <c r="X2085" s="143">
        <v>8233</v>
      </c>
      <c r="Y2085" s="169" t="s">
        <v>5273</v>
      </c>
      <c r="Z2085" s="143">
        <v>8233</v>
      </c>
      <c r="AA2085" s="173">
        <v>14.2</v>
      </c>
      <c r="AB2085" s="191">
        <v>45978</v>
      </c>
    </row>
    <row r="2086" ht="15" spans="1:28">
      <c r="A2086" s="143">
        <v>2044</v>
      </c>
      <c r="B2086" s="144">
        <v>45971</v>
      </c>
      <c r="C2086" s="143" t="s">
        <v>3148</v>
      </c>
      <c r="E2086" s="196" t="s">
        <v>6107</v>
      </c>
      <c r="F2086" s="143">
        <v>6128</v>
      </c>
      <c r="H2086" s="143" t="s">
        <v>6120</v>
      </c>
      <c r="I2086" s="143" t="s">
        <v>6116</v>
      </c>
      <c r="J2086" s="143" t="s">
        <v>6117</v>
      </c>
      <c r="K2086" s="143">
        <v>150</v>
      </c>
      <c r="L2086" s="143">
        <v>75</v>
      </c>
      <c r="Q2086" s="204"/>
      <c r="W2086" s="143" t="s">
        <v>3147</v>
      </c>
      <c r="X2086" s="143">
        <v>6128</v>
      </c>
      <c r="Y2086" s="169" t="s">
        <v>5273</v>
      </c>
      <c r="Z2086" s="143">
        <v>6128</v>
      </c>
      <c r="AA2086" s="173">
        <v>17.3</v>
      </c>
      <c r="AB2086" s="191">
        <v>45978</v>
      </c>
    </row>
    <row r="2087" ht="15" spans="1:28">
      <c r="A2087" s="143">
        <v>2045</v>
      </c>
      <c r="B2087" s="144">
        <v>45971</v>
      </c>
      <c r="C2087" s="143" t="s">
        <v>3148</v>
      </c>
      <c r="E2087" s="196" t="s">
        <v>6107</v>
      </c>
      <c r="F2087" s="143">
        <v>6105</v>
      </c>
      <c r="H2087" s="143" t="s">
        <v>6121</v>
      </c>
      <c r="I2087" s="143" t="s">
        <v>6116</v>
      </c>
      <c r="J2087" s="143" t="s">
        <v>6117</v>
      </c>
      <c r="K2087" s="143">
        <v>150</v>
      </c>
      <c r="L2087" s="143">
        <v>80</v>
      </c>
      <c r="Q2087" s="204"/>
      <c r="W2087" s="143" t="s">
        <v>3147</v>
      </c>
      <c r="X2087" s="143">
        <v>6105</v>
      </c>
      <c r="Y2087" s="169" t="s">
        <v>5273</v>
      </c>
      <c r="Z2087" s="143">
        <v>6105</v>
      </c>
      <c r="AA2087" s="173">
        <v>15.8</v>
      </c>
      <c r="AB2087" s="191">
        <v>45978</v>
      </c>
    </row>
    <row r="2088" ht="15" spans="1:28">
      <c r="A2088" s="143">
        <v>2046</v>
      </c>
      <c r="B2088" s="144">
        <v>45971</v>
      </c>
      <c r="C2088" s="143" t="s">
        <v>3148</v>
      </c>
      <c r="E2088" s="196" t="s">
        <v>6107</v>
      </c>
      <c r="F2088" s="143">
        <v>5218</v>
      </c>
      <c r="H2088" s="143" t="s">
        <v>6122</v>
      </c>
      <c r="I2088" s="143" t="s">
        <v>3218</v>
      </c>
      <c r="J2088" s="143" t="s">
        <v>1577</v>
      </c>
      <c r="K2088" s="143">
        <v>150</v>
      </c>
      <c r="L2088" s="143">
        <v>50</v>
      </c>
      <c r="Q2088" s="204"/>
      <c r="W2088" s="143" t="s">
        <v>3147</v>
      </c>
      <c r="X2088" s="143">
        <v>5218</v>
      </c>
      <c r="Y2088" s="169" t="s">
        <v>5273</v>
      </c>
      <c r="Z2088" s="143">
        <v>5218</v>
      </c>
      <c r="AA2088" s="173">
        <v>9.5</v>
      </c>
      <c r="AB2088" s="191">
        <v>45978</v>
      </c>
    </row>
    <row r="2089" ht="15" spans="1:28">
      <c r="A2089" s="143">
        <v>2047</v>
      </c>
      <c r="B2089" s="144">
        <v>45971</v>
      </c>
      <c r="C2089" s="143" t="s">
        <v>3148</v>
      </c>
      <c r="E2089" s="196" t="s">
        <v>6107</v>
      </c>
      <c r="F2089" s="143">
        <v>8003</v>
      </c>
      <c r="H2089" s="143" t="s">
        <v>6123</v>
      </c>
      <c r="I2089" s="143" t="s">
        <v>3497</v>
      </c>
      <c r="J2089" s="143" t="s">
        <v>282</v>
      </c>
      <c r="K2089" s="143">
        <v>150</v>
      </c>
      <c r="Q2089" s="204"/>
      <c r="W2089" s="143" t="s">
        <v>3147</v>
      </c>
      <c r="X2089" s="143">
        <v>8003</v>
      </c>
      <c r="Y2089" s="169" t="s">
        <v>5273</v>
      </c>
      <c r="Z2089" s="143">
        <v>8003</v>
      </c>
      <c r="AA2089" s="173">
        <v>8.5</v>
      </c>
      <c r="AB2089" s="191">
        <v>45978</v>
      </c>
    </row>
    <row r="2090" ht="15" spans="1:28">
      <c r="A2090" s="143">
        <v>2048</v>
      </c>
      <c r="B2090" s="144">
        <v>45971</v>
      </c>
      <c r="C2090" s="143" t="s">
        <v>3148</v>
      </c>
      <c r="E2090" s="196" t="s">
        <v>6107</v>
      </c>
      <c r="F2090" s="143" t="s">
        <v>6124</v>
      </c>
      <c r="H2090" s="143" t="s">
        <v>6125</v>
      </c>
      <c r="I2090" s="143" t="s">
        <v>3497</v>
      </c>
      <c r="J2090" s="143" t="s">
        <v>282</v>
      </c>
      <c r="K2090" s="143">
        <v>150</v>
      </c>
      <c r="Q2090" s="204"/>
      <c r="W2090" s="143" t="s">
        <v>3147</v>
      </c>
      <c r="X2090" s="143" t="s">
        <v>6124</v>
      </c>
      <c r="Y2090" s="169" t="s">
        <v>5273</v>
      </c>
      <c r="Z2090" s="143" t="s">
        <v>6124</v>
      </c>
      <c r="AA2090" s="173">
        <v>7.6</v>
      </c>
      <c r="AB2090" s="191">
        <v>45978</v>
      </c>
    </row>
    <row r="2091" ht="15" spans="1:28">
      <c r="A2091" s="143">
        <v>2049</v>
      </c>
      <c r="B2091" s="144">
        <v>45971</v>
      </c>
      <c r="C2091" s="143" t="s">
        <v>3148</v>
      </c>
      <c r="E2091" s="196" t="s">
        <v>6107</v>
      </c>
      <c r="F2091" s="143">
        <v>8452</v>
      </c>
      <c r="H2091" s="143" t="s">
        <v>6126</v>
      </c>
      <c r="I2091" s="143" t="s">
        <v>3497</v>
      </c>
      <c r="J2091" s="143" t="s">
        <v>282</v>
      </c>
      <c r="K2091" s="143">
        <v>150</v>
      </c>
      <c r="Q2091" s="204"/>
      <c r="W2091" s="143" t="s">
        <v>3147</v>
      </c>
      <c r="X2091" s="143">
        <v>8452</v>
      </c>
      <c r="Y2091" s="169" t="s">
        <v>5273</v>
      </c>
      <c r="Z2091" s="143">
        <v>8452</v>
      </c>
      <c r="AA2091" s="173">
        <v>10.8</v>
      </c>
      <c r="AB2091" s="191">
        <v>45978</v>
      </c>
    </row>
    <row r="2092" ht="15" spans="1:28">
      <c r="A2092" s="143">
        <v>2050</v>
      </c>
      <c r="B2092" s="144">
        <v>45971</v>
      </c>
      <c r="C2092" s="143" t="s">
        <v>3148</v>
      </c>
      <c r="E2092" s="196" t="s">
        <v>6107</v>
      </c>
      <c r="F2092" s="143">
        <v>6290</v>
      </c>
      <c r="H2092" s="143" t="s">
        <v>6127</v>
      </c>
      <c r="I2092" s="143" t="s">
        <v>3497</v>
      </c>
      <c r="J2092" s="143" t="s">
        <v>282</v>
      </c>
      <c r="K2092" s="143">
        <v>150</v>
      </c>
      <c r="L2092" s="143">
        <v>65</v>
      </c>
      <c r="Q2092" s="204"/>
      <c r="W2092" s="143" t="s">
        <v>3147</v>
      </c>
      <c r="X2092" s="143">
        <v>6290</v>
      </c>
      <c r="Y2092" s="169" t="s">
        <v>5273</v>
      </c>
      <c r="Z2092" s="143">
        <v>6290</v>
      </c>
      <c r="AA2092" s="173">
        <v>7.5</v>
      </c>
      <c r="AB2092" s="191">
        <v>45978</v>
      </c>
    </row>
    <row r="2093" ht="15" spans="1:28">
      <c r="A2093" s="143">
        <v>2051</v>
      </c>
      <c r="B2093" s="144">
        <v>45971</v>
      </c>
      <c r="C2093" s="143" t="s">
        <v>3148</v>
      </c>
      <c r="E2093" s="196" t="s">
        <v>6107</v>
      </c>
      <c r="F2093" s="143">
        <v>7258</v>
      </c>
      <c r="H2093" s="143" t="s">
        <v>6128</v>
      </c>
      <c r="I2093" s="143" t="s">
        <v>6109</v>
      </c>
      <c r="J2093" s="143" t="s">
        <v>6110</v>
      </c>
      <c r="K2093" s="143">
        <v>150</v>
      </c>
      <c r="Q2093" s="204"/>
      <c r="W2093" s="143" t="s">
        <v>3147</v>
      </c>
      <c r="X2093" s="143">
        <v>7258</v>
      </c>
      <c r="Y2093" s="169" t="s">
        <v>5273</v>
      </c>
      <c r="Z2093" s="143">
        <v>7258</v>
      </c>
      <c r="AA2093" s="173">
        <v>12.6</v>
      </c>
      <c r="AB2093" s="191">
        <v>45978</v>
      </c>
    </row>
    <row r="2094" ht="15" spans="1:28">
      <c r="A2094" s="143">
        <v>2052</v>
      </c>
      <c r="B2094" s="144">
        <v>45971</v>
      </c>
      <c r="C2094" s="143" t="s">
        <v>3148</v>
      </c>
      <c r="E2094" s="196" t="s">
        <v>6107</v>
      </c>
      <c r="F2094" s="169" t="s">
        <v>6129</v>
      </c>
      <c r="H2094" s="143" t="s">
        <v>6130</v>
      </c>
      <c r="I2094" s="143" t="s">
        <v>6109</v>
      </c>
      <c r="J2094" s="143" t="s">
        <v>6110</v>
      </c>
      <c r="K2094" s="143">
        <v>128</v>
      </c>
      <c r="L2094" s="143">
        <v>132</v>
      </c>
      <c r="Q2094" s="204">
        <v>4.5</v>
      </c>
      <c r="W2094" s="143" t="s">
        <v>3147</v>
      </c>
      <c r="X2094" s="169" t="s">
        <v>6129</v>
      </c>
      <c r="Y2094" s="169" t="s">
        <v>5273</v>
      </c>
      <c r="Z2094" s="169" t="s">
        <v>6129</v>
      </c>
      <c r="AA2094" s="173">
        <v>72.5</v>
      </c>
      <c r="AB2094" s="191">
        <v>45978</v>
      </c>
    </row>
    <row r="2095" ht="15" spans="1:28">
      <c r="A2095" s="143">
        <v>2053</v>
      </c>
      <c r="B2095" s="144">
        <v>45971</v>
      </c>
      <c r="C2095" s="143" t="s">
        <v>3148</v>
      </c>
      <c r="E2095" s="196" t="s">
        <v>6107</v>
      </c>
      <c r="F2095" s="169" t="s">
        <v>6131</v>
      </c>
      <c r="H2095" s="143" t="s">
        <v>6132</v>
      </c>
      <c r="I2095" s="143" t="s">
        <v>6109</v>
      </c>
      <c r="J2095" s="143" t="s">
        <v>6110</v>
      </c>
      <c r="K2095" s="143">
        <v>128</v>
      </c>
      <c r="L2095" s="143">
        <v>50</v>
      </c>
      <c r="Q2095" s="204">
        <v>8</v>
      </c>
      <c r="W2095" s="143" t="s">
        <v>3147</v>
      </c>
      <c r="X2095" s="169" t="s">
        <v>6131</v>
      </c>
      <c r="Y2095" s="169" t="s">
        <v>5273</v>
      </c>
      <c r="Z2095" s="169" t="s">
        <v>6131</v>
      </c>
      <c r="AA2095" s="173">
        <v>72.5</v>
      </c>
      <c r="AB2095" s="191">
        <v>45978</v>
      </c>
    </row>
    <row r="2096" ht="15" spans="1:28">
      <c r="A2096" s="143">
        <v>2054</v>
      </c>
      <c r="B2096" s="144">
        <v>45971</v>
      </c>
      <c r="C2096" s="143" t="s">
        <v>3148</v>
      </c>
      <c r="E2096" s="196" t="s">
        <v>6107</v>
      </c>
      <c r="F2096" s="143" t="s">
        <v>6133</v>
      </c>
      <c r="H2096" s="143" t="s">
        <v>6134</v>
      </c>
      <c r="I2096" s="143" t="s">
        <v>6109</v>
      </c>
      <c r="J2096" s="143" t="s">
        <v>6110</v>
      </c>
      <c r="K2096" s="143">
        <v>128</v>
      </c>
      <c r="Q2096" s="204">
        <v>6.4</v>
      </c>
      <c r="W2096" s="143" t="s">
        <v>3147</v>
      </c>
      <c r="X2096" s="143" t="s">
        <v>6133</v>
      </c>
      <c r="Y2096" s="169" t="s">
        <v>5273</v>
      </c>
      <c r="Z2096" s="143" t="s">
        <v>6133</v>
      </c>
      <c r="AA2096" s="173">
        <v>55.8</v>
      </c>
      <c r="AB2096" s="191">
        <v>45978</v>
      </c>
    </row>
    <row r="2097" ht="15" spans="1:28">
      <c r="A2097" s="143">
        <v>2055</v>
      </c>
      <c r="B2097" s="144">
        <v>45971</v>
      </c>
      <c r="C2097" s="143" t="s">
        <v>3148</v>
      </c>
      <c r="E2097" s="196" t="s">
        <v>6107</v>
      </c>
      <c r="F2097" s="169" t="s">
        <v>6135</v>
      </c>
      <c r="H2097" s="143" t="s">
        <v>6136</v>
      </c>
      <c r="I2097" s="143" t="s">
        <v>5653</v>
      </c>
      <c r="J2097" s="143" t="s">
        <v>5576</v>
      </c>
      <c r="K2097" s="143">
        <v>128</v>
      </c>
      <c r="L2097" s="143">
        <v>225</v>
      </c>
      <c r="Q2097" s="204">
        <v>5</v>
      </c>
      <c r="W2097" s="143" t="s">
        <v>3147</v>
      </c>
      <c r="X2097" s="169" t="s">
        <v>6135</v>
      </c>
      <c r="Y2097" s="169" t="s">
        <v>5273</v>
      </c>
      <c r="Z2097" s="169" t="s">
        <v>6135</v>
      </c>
      <c r="AA2097" s="173">
        <v>58.3</v>
      </c>
      <c r="AB2097" s="191">
        <v>45978</v>
      </c>
    </row>
    <row r="2098" ht="15" spans="1:28">
      <c r="A2098" s="143">
        <v>2056</v>
      </c>
      <c r="B2098" s="144">
        <v>45971</v>
      </c>
      <c r="C2098" s="143" t="s">
        <v>3148</v>
      </c>
      <c r="E2098" s="196" t="s">
        <v>6107</v>
      </c>
      <c r="F2098" s="143">
        <v>7260</v>
      </c>
      <c r="H2098" s="143" t="s">
        <v>6137</v>
      </c>
      <c r="I2098" s="143" t="s">
        <v>6109</v>
      </c>
      <c r="J2098" s="143" t="s">
        <v>6110</v>
      </c>
      <c r="K2098" s="143">
        <v>150</v>
      </c>
      <c r="Q2098" s="204"/>
      <c r="W2098" s="143" t="s">
        <v>3147</v>
      </c>
      <c r="X2098" s="143">
        <v>7260</v>
      </c>
      <c r="Y2098" s="169" t="s">
        <v>5273</v>
      </c>
      <c r="Z2098" s="143">
        <v>7260</v>
      </c>
      <c r="AA2098" s="173">
        <v>11.8</v>
      </c>
      <c r="AB2098" s="191">
        <v>45978</v>
      </c>
    </row>
    <row r="2099" ht="15" spans="1:28">
      <c r="A2099" s="143">
        <v>2057</v>
      </c>
      <c r="B2099" s="144">
        <v>45971</v>
      </c>
      <c r="C2099" s="143" t="s">
        <v>3148</v>
      </c>
      <c r="E2099" s="196" t="s">
        <v>6107</v>
      </c>
      <c r="F2099" s="143">
        <v>7266</v>
      </c>
      <c r="H2099" s="143" t="s">
        <v>6138</v>
      </c>
      <c r="I2099" s="143" t="s">
        <v>6109</v>
      </c>
      <c r="J2099" s="143" t="s">
        <v>6110</v>
      </c>
      <c r="K2099" s="143">
        <v>150</v>
      </c>
      <c r="L2099" s="143">
        <v>60</v>
      </c>
      <c r="Q2099" s="204"/>
      <c r="W2099" s="143" t="s">
        <v>3147</v>
      </c>
      <c r="X2099" s="143">
        <v>7266</v>
      </c>
      <c r="Y2099" s="169" t="s">
        <v>5273</v>
      </c>
      <c r="Z2099" s="143">
        <v>7266</v>
      </c>
      <c r="AA2099" s="173">
        <v>11.3</v>
      </c>
      <c r="AB2099" s="191">
        <v>45978</v>
      </c>
    </row>
    <row r="2100" ht="15" spans="1:28">
      <c r="A2100" s="143">
        <v>2058</v>
      </c>
      <c r="B2100" s="144">
        <v>45971</v>
      </c>
      <c r="C2100" s="143" t="s">
        <v>3148</v>
      </c>
      <c r="E2100" s="196" t="s">
        <v>6107</v>
      </c>
      <c r="F2100" s="143">
        <v>7316</v>
      </c>
      <c r="H2100" s="143" t="s">
        <v>6139</v>
      </c>
      <c r="I2100" s="143" t="s">
        <v>6109</v>
      </c>
      <c r="J2100" s="143" t="s">
        <v>6110</v>
      </c>
      <c r="K2100" s="143">
        <v>150</v>
      </c>
      <c r="L2100" s="143">
        <v>60</v>
      </c>
      <c r="Q2100" s="204"/>
      <c r="W2100" s="143" t="s">
        <v>3147</v>
      </c>
      <c r="X2100" s="143">
        <v>7316</v>
      </c>
      <c r="Y2100" s="169" t="s">
        <v>5273</v>
      </c>
      <c r="Z2100" s="143">
        <v>7316</v>
      </c>
      <c r="AA2100" s="173">
        <v>12.8</v>
      </c>
      <c r="AB2100" s="191">
        <v>45978</v>
      </c>
    </row>
    <row r="2101" ht="15" spans="1:28">
      <c r="A2101" s="143">
        <v>2059</v>
      </c>
      <c r="B2101" s="144">
        <v>45971</v>
      </c>
      <c r="C2101" s="143" t="s">
        <v>3148</v>
      </c>
      <c r="E2101" s="196" t="s">
        <v>6107</v>
      </c>
      <c r="F2101" s="169" t="s">
        <v>6140</v>
      </c>
      <c r="H2101" s="143" t="s">
        <v>6141</v>
      </c>
      <c r="I2101" s="143" t="s">
        <v>5653</v>
      </c>
      <c r="J2101" s="143" t="s">
        <v>5576</v>
      </c>
      <c r="K2101" s="143">
        <v>128</v>
      </c>
      <c r="Q2101" s="204">
        <v>5</v>
      </c>
      <c r="W2101" s="143" t="s">
        <v>3147</v>
      </c>
      <c r="X2101" s="169" t="s">
        <v>6140</v>
      </c>
      <c r="Y2101" s="169" t="s">
        <v>5273</v>
      </c>
      <c r="Z2101" s="169" t="s">
        <v>6140</v>
      </c>
      <c r="AA2101" s="173">
        <v>61.2</v>
      </c>
      <c r="AB2101" s="191">
        <v>45978</v>
      </c>
    </row>
    <row r="2102" ht="15" spans="1:28">
      <c r="A2102" s="143">
        <v>2060</v>
      </c>
      <c r="B2102" s="144">
        <v>45971</v>
      </c>
      <c r="C2102" s="143" t="s">
        <v>3148</v>
      </c>
      <c r="E2102" s="196" t="s">
        <v>6107</v>
      </c>
      <c r="F2102" s="169" t="s">
        <v>6142</v>
      </c>
      <c r="H2102" s="143" t="s">
        <v>6143</v>
      </c>
      <c r="I2102" s="143" t="s">
        <v>6109</v>
      </c>
      <c r="J2102" s="143" t="s">
        <v>6110</v>
      </c>
      <c r="K2102" s="143">
        <v>128</v>
      </c>
      <c r="Q2102" s="204">
        <v>3.6</v>
      </c>
      <c r="W2102" s="143" t="s">
        <v>3147</v>
      </c>
      <c r="X2102" s="169" t="s">
        <v>6142</v>
      </c>
      <c r="Y2102" s="169" t="s">
        <v>5273</v>
      </c>
      <c r="Z2102" s="169" t="s">
        <v>6142</v>
      </c>
      <c r="AA2102" s="173">
        <v>67.8</v>
      </c>
      <c r="AB2102" s="191">
        <v>45978</v>
      </c>
    </row>
    <row r="2103" ht="15" spans="1:28">
      <c r="A2103" s="143">
        <v>2061</v>
      </c>
      <c r="B2103" s="144">
        <v>45971</v>
      </c>
      <c r="C2103" s="143" t="s">
        <v>3148</v>
      </c>
      <c r="E2103" s="196" t="s">
        <v>6107</v>
      </c>
      <c r="F2103" s="143">
        <v>7353</v>
      </c>
      <c r="H2103" s="143" t="s">
        <v>6144</v>
      </c>
      <c r="I2103" s="143" t="s">
        <v>6109</v>
      </c>
      <c r="J2103" s="143" t="s">
        <v>6110</v>
      </c>
      <c r="K2103" s="143">
        <v>128</v>
      </c>
      <c r="Q2103" s="204">
        <v>4.6</v>
      </c>
      <c r="W2103" s="143" t="s">
        <v>3147</v>
      </c>
      <c r="X2103" s="143">
        <v>7353</v>
      </c>
      <c r="Y2103" s="169" t="s">
        <v>5273</v>
      </c>
      <c r="Z2103" s="143">
        <v>7353</v>
      </c>
      <c r="AA2103" s="173">
        <v>55</v>
      </c>
      <c r="AB2103" s="191">
        <v>45978</v>
      </c>
    </row>
    <row r="2104" ht="15" spans="1:28">
      <c r="A2104" s="143">
        <v>2062</v>
      </c>
      <c r="B2104" s="144">
        <v>45971</v>
      </c>
      <c r="C2104" s="143" t="s">
        <v>3148</v>
      </c>
      <c r="E2104" s="196" t="s">
        <v>6107</v>
      </c>
      <c r="F2104" s="143">
        <v>7232</v>
      </c>
      <c r="H2104" s="143" t="s">
        <v>6145</v>
      </c>
      <c r="I2104" s="143" t="s">
        <v>6109</v>
      </c>
      <c r="J2104" s="143" t="s">
        <v>6110</v>
      </c>
      <c r="Q2104" s="204"/>
      <c r="W2104" s="143" t="s">
        <v>3147</v>
      </c>
      <c r="X2104" s="143">
        <v>7232</v>
      </c>
      <c r="Y2104" s="169" t="s">
        <v>5273</v>
      </c>
      <c r="Z2104" s="143">
        <v>7232</v>
      </c>
      <c r="AA2104" s="173">
        <v>9.2</v>
      </c>
      <c r="AB2104" s="191">
        <v>45978</v>
      </c>
    </row>
    <row r="2105" ht="15" spans="1:28">
      <c r="A2105" s="143">
        <v>2063</v>
      </c>
      <c r="B2105" s="144">
        <v>45971</v>
      </c>
      <c r="C2105" s="143" t="s">
        <v>3148</v>
      </c>
      <c r="E2105" s="196" t="s">
        <v>6107</v>
      </c>
      <c r="F2105" s="143" t="s">
        <v>6146</v>
      </c>
      <c r="H2105" s="143" t="s">
        <v>6147</v>
      </c>
      <c r="I2105" s="143" t="s">
        <v>6109</v>
      </c>
      <c r="J2105" s="143" t="s">
        <v>6110</v>
      </c>
      <c r="K2105" s="143">
        <v>128</v>
      </c>
      <c r="Q2105" s="204">
        <v>3.6</v>
      </c>
      <c r="W2105" s="143" t="s">
        <v>3147</v>
      </c>
      <c r="X2105" s="143" t="s">
        <v>6146</v>
      </c>
      <c r="Y2105" s="169" t="s">
        <v>5273</v>
      </c>
      <c r="Z2105" s="143" t="s">
        <v>6146</v>
      </c>
      <c r="AA2105" s="173">
        <v>45.3</v>
      </c>
      <c r="AB2105" s="191">
        <v>45978</v>
      </c>
    </row>
    <row r="2106" ht="15" spans="1:28">
      <c r="A2106" s="143">
        <v>2064</v>
      </c>
      <c r="B2106" s="144">
        <v>45971</v>
      </c>
      <c r="C2106" s="143" t="s">
        <v>3148</v>
      </c>
      <c r="E2106" s="196" t="s">
        <v>6107</v>
      </c>
      <c r="F2106" s="169" t="s">
        <v>6148</v>
      </c>
      <c r="H2106" s="143" t="s">
        <v>6149</v>
      </c>
      <c r="I2106" s="143" t="s">
        <v>5653</v>
      </c>
      <c r="J2106" s="143" t="s">
        <v>5576</v>
      </c>
      <c r="K2106" s="143">
        <v>128</v>
      </c>
      <c r="Q2106" s="204">
        <v>4.6</v>
      </c>
      <c r="W2106" s="143" t="s">
        <v>3147</v>
      </c>
      <c r="X2106" s="169" t="s">
        <v>6148</v>
      </c>
      <c r="Y2106" s="169" t="s">
        <v>5273</v>
      </c>
      <c r="Z2106" s="169" t="s">
        <v>6148</v>
      </c>
      <c r="AA2106" s="173">
        <v>58.2</v>
      </c>
      <c r="AB2106" s="191">
        <v>45978</v>
      </c>
    </row>
    <row r="2107" ht="15" spans="1:28">
      <c r="A2107" s="143">
        <v>2065</v>
      </c>
      <c r="B2107" s="144">
        <v>45971</v>
      </c>
      <c r="C2107" s="143" t="s">
        <v>3148</v>
      </c>
      <c r="E2107" s="196" t="s">
        <v>6107</v>
      </c>
      <c r="F2107" s="143">
        <v>7291</v>
      </c>
      <c r="H2107" s="143" t="s">
        <v>6150</v>
      </c>
      <c r="I2107" s="143" t="s">
        <v>6109</v>
      </c>
      <c r="J2107" s="143" t="s">
        <v>6110</v>
      </c>
      <c r="Q2107" s="204"/>
      <c r="W2107" s="143" t="s">
        <v>3147</v>
      </c>
      <c r="X2107" s="143">
        <v>7291</v>
      </c>
      <c r="Y2107" s="169" t="s">
        <v>5273</v>
      </c>
      <c r="Z2107" s="143">
        <v>7291</v>
      </c>
      <c r="AA2107" s="173">
        <v>15.8</v>
      </c>
      <c r="AB2107" s="191">
        <v>45978</v>
      </c>
    </row>
    <row r="2108" ht="15" spans="1:28">
      <c r="A2108" s="143">
        <v>2066</v>
      </c>
      <c r="B2108" s="144">
        <v>45971</v>
      </c>
      <c r="C2108" s="169" t="s">
        <v>3277</v>
      </c>
      <c r="D2108" s="143" t="s">
        <v>41</v>
      </c>
      <c r="E2108" s="196" t="s">
        <v>6151</v>
      </c>
      <c r="F2108" s="169" t="s">
        <v>6152</v>
      </c>
      <c r="H2108" s="143" t="s">
        <v>6153</v>
      </c>
      <c r="I2108" s="143" t="s">
        <v>6154</v>
      </c>
      <c r="J2108" s="143" t="s">
        <v>6155</v>
      </c>
      <c r="K2108" s="143">
        <v>135</v>
      </c>
      <c r="L2108" s="143">
        <v>140</v>
      </c>
      <c r="S2108" s="215"/>
      <c r="T2108" s="215"/>
      <c r="U2108" s="215"/>
      <c r="V2108" s="216"/>
      <c r="W2108" s="143" t="s">
        <v>3147</v>
      </c>
      <c r="X2108" s="143" t="str">
        <f t="shared" ref="X2108:X2128" si="5">F2108</f>
        <v>亚麻粘炒色 8833</v>
      </c>
      <c r="Y2108" s="169" t="s">
        <v>4641</v>
      </c>
      <c r="Z2108" s="143" t="str">
        <f t="shared" ref="Z2108:Z2128" si="6">X2108</f>
        <v>亚麻粘炒色 8833</v>
      </c>
      <c r="AA2108" s="173">
        <v>36.8</v>
      </c>
      <c r="AB2108" s="191">
        <v>45978</v>
      </c>
    </row>
    <row r="2109" ht="15" spans="1:28">
      <c r="A2109" s="143">
        <v>2067</v>
      </c>
      <c r="B2109" s="144">
        <v>45971</v>
      </c>
      <c r="C2109" s="169" t="s">
        <v>3277</v>
      </c>
      <c r="D2109" s="143" t="s">
        <v>41</v>
      </c>
      <c r="E2109" s="196" t="s">
        <v>6151</v>
      </c>
      <c r="F2109" s="169" t="s">
        <v>6156</v>
      </c>
      <c r="H2109" s="143" t="s">
        <v>6157</v>
      </c>
      <c r="I2109" s="143" t="s">
        <v>6158</v>
      </c>
      <c r="J2109" s="143" t="s">
        <v>2342</v>
      </c>
      <c r="K2109" s="143">
        <v>138</v>
      </c>
      <c r="L2109" s="143">
        <v>145</v>
      </c>
      <c r="S2109" s="215"/>
      <c r="T2109" s="215"/>
      <c r="U2109" s="215"/>
      <c r="V2109" s="216"/>
      <c r="W2109" s="143" t="s">
        <v>3147</v>
      </c>
      <c r="X2109" s="143" t="str">
        <f t="shared" si="5"/>
        <v>纯亚麻 88126</v>
      </c>
      <c r="Y2109" s="169" t="s">
        <v>4641</v>
      </c>
      <c r="Z2109" s="143" t="str">
        <f t="shared" si="6"/>
        <v>纯亚麻 88126</v>
      </c>
      <c r="AA2109" s="173">
        <v>32.8</v>
      </c>
      <c r="AB2109" s="191">
        <v>45978</v>
      </c>
    </row>
    <row r="2110" ht="15" spans="1:28">
      <c r="A2110" s="143">
        <v>2068</v>
      </c>
      <c r="B2110" s="144">
        <v>45971</v>
      </c>
      <c r="C2110" s="169" t="s">
        <v>3277</v>
      </c>
      <c r="D2110" s="143" t="s">
        <v>41</v>
      </c>
      <c r="E2110" s="196" t="s">
        <v>6151</v>
      </c>
      <c r="F2110" s="169" t="s">
        <v>6159</v>
      </c>
      <c r="H2110" s="143" t="s">
        <v>6160</v>
      </c>
      <c r="I2110" s="143" t="s">
        <v>6158</v>
      </c>
      <c r="J2110" s="143" t="s">
        <v>2342</v>
      </c>
      <c r="K2110" s="143">
        <v>138</v>
      </c>
      <c r="L2110" s="143">
        <v>117</v>
      </c>
      <c r="S2110" s="215"/>
      <c r="T2110" s="215"/>
      <c r="U2110" s="215"/>
      <c r="V2110" s="216"/>
      <c r="W2110" s="143" t="s">
        <v>3147</v>
      </c>
      <c r="X2110" s="143" t="str">
        <f t="shared" si="5"/>
        <v>纯亚麻 88454</v>
      </c>
      <c r="Y2110" s="169" t="s">
        <v>4641</v>
      </c>
      <c r="Z2110" s="143" t="str">
        <f t="shared" si="6"/>
        <v>纯亚麻 88454</v>
      </c>
      <c r="AA2110" s="173">
        <v>28.6</v>
      </c>
      <c r="AB2110" s="191">
        <v>45978</v>
      </c>
    </row>
    <row r="2111" ht="15" spans="1:28">
      <c r="A2111" s="143">
        <v>2069</v>
      </c>
      <c r="B2111" s="144">
        <v>45971</v>
      </c>
      <c r="C2111" s="169" t="s">
        <v>3277</v>
      </c>
      <c r="D2111" s="143" t="s">
        <v>41</v>
      </c>
      <c r="E2111" s="196" t="s">
        <v>6151</v>
      </c>
      <c r="F2111" s="169" t="s">
        <v>6161</v>
      </c>
      <c r="H2111" s="143" t="s">
        <v>6162</v>
      </c>
      <c r="I2111" s="143" t="s">
        <v>6158</v>
      </c>
      <c r="J2111" s="143" t="s">
        <v>2342</v>
      </c>
      <c r="K2111" s="143">
        <v>138</v>
      </c>
      <c r="L2111" s="143">
        <v>150</v>
      </c>
      <c r="S2111" s="215"/>
      <c r="T2111" s="215"/>
      <c r="U2111" s="215"/>
      <c r="V2111" s="216"/>
      <c r="W2111" s="143" t="s">
        <v>3147</v>
      </c>
      <c r="X2111" s="143" t="str">
        <f t="shared" si="5"/>
        <v>纯亚麻 101A版</v>
      </c>
      <c r="Y2111" s="169" t="s">
        <v>6163</v>
      </c>
      <c r="Z2111" s="143" t="str">
        <f t="shared" si="6"/>
        <v>纯亚麻 101A版</v>
      </c>
      <c r="AA2111" s="173">
        <v>34.2</v>
      </c>
      <c r="AB2111" s="191">
        <v>45978</v>
      </c>
    </row>
    <row r="2112" ht="15" spans="1:28">
      <c r="A2112" s="143">
        <v>2070</v>
      </c>
      <c r="B2112" s="144">
        <v>45971</v>
      </c>
      <c r="C2112" s="169" t="s">
        <v>3277</v>
      </c>
      <c r="D2112" s="143" t="s">
        <v>41</v>
      </c>
      <c r="E2112" s="196" t="s">
        <v>6151</v>
      </c>
      <c r="F2112" s="169" t="s">
        <v>6164</v>
      </c>
      <c r="H2112" s="143" t="s">
        <v>6165</v>
      </c>
      <c r="I2112" s="143" t="s">
        <v>6158</v>
      </c>
      <c r="J2112" s="143" t="s">
        <v>2342</v>
      </c>
      <c r="K2112" s="143">
        <v>138</v>
      </c>
      <c r="L2112" s="143">
        <v>120</v>
      </c>
      <c r="S2112" s="215"/>
      <c r="T2112" s="215"/>
      <c r="U2112" s="215"/>
      <c r="V2112" s="216"/>
      <c r="W2112" s="143" t="s">
        <v>3147</v>
      </c>
      <c r="X2112" s="143" t="str">
        <f t="shared" si="5"/>
        <v>纯亚麻 2836#</v>
      </c>
      <c r="Y2112" s="169" t="s">
        <v>6163</v>
      </c>
      <c r="Z2112" s="143" t="str">
        <f t="shared" si="6"/>
        <v>纯亚麻 2836#</v>
      </c>
      <c r="AA2112" s="173">
        <v>36.5</v>
      </c>
      <c r="AB2112" s="191">
        <v>45978</v>
      </c>
    </row>
    <row r="2113" ht="15" spans="1:28">
      <c r="A2113" s="143">
        <v>2071</v>
      </c>
      <c r="B2113" s="144">
        <v>45971</v>
      </c>
      <c r="C2113" s="169" t="s">
        <v>3277</v>
      </c>
      <c r="D2113" s="143" t="s">
        <v>41</v>
      </c>
      <c r="E2113" s="196" t="s">
        <v>6151</v>
      </c>
      <c r="F2113" s="169" t="s">
        <v>6166</v>
      </c>
      <c r="H2113" s="143" t="s">
        <v>6167</v>
      </c>
      <c r="I2113" s="143" t="s">
        <v>6158</v>
      </c>
      <c r="J2113" s="143" t="s">
        <v>2342</v>
      </c>
      <c r="K2113" s="143">
        <v>140</v>
      </c>
      <c r="S2113" s="215"/>
      <c r="T2113" s="215"/>
      <c r="U2113" s="215"/>
      <c r="V2113" s="216"/>
      <c r="W2113" s="143" t="s">
        <v>3147</v>
      </c>
      <c r="X2113" s="143" t="str">
        <f t="shared" si="5"/>
        <v>纯亚麻砂洗 23136</v>
      </c>
      <c r="Y2113" s="143" t="s">
        <v>4658</v>
      </c>
      <c r="Z2113" s="143" t="str">
        <f t="shared" si="6"/>
        <v>纯亚麻砂洗 23136</v>
      </c>
      <c r="AA2113" s="173">
        <v>40.5</v>
      </c>
      <c r="AB2113" s="191">
        <v>45978</v>
      </c>
    </row>
    <row r="2114" ht="15" spans="1:28">
      <c r="A2114" s="143">
        <v>2072</v>
      </c>
      <c r="B2114" s="144">
        <v>45971</v>
      </c>
      <c r="C2114" s="169" t="s">
        <v>3277</v>
      </c>
      <c r="D2114" s="143" t="s">
        <v>41</v>
      </c>
      <c r="E2114" s="196" t="s">
        <v>6151</v>
      </c>
      <c r="F2114" s="169" t="s">
        <v>6168</v>
      </c>
      <c r="H2114" s="143" t="s">
        <v>6169</v>
      </c>
      <c r="I2114" s="143" t="s">
        <v>6158</v>
      </c>
      <c r="J2114" s="143" t="s">
        <v>2342</v>
      </c>
      <c r="K2114" s="143">
        <v>135</v>
      </c>
      <c r="S2114" s="215"/>
      <c r="T2114" s="215"/>
      <c r="U2114" s="215"/>
      <c r="V2114" s="216"/>
      <c r="W2114" s="143" t="s">
        <v>3147</v>
      </c>
      <c r="X2114" s="143" t="str">
        <f t="shared" si="5"/>
        <v>纯亚麻 101</v>
      </c>
      <c r="Y2114" s="169" t="s">
        <v>6170</v>
      </c>
      <c r="Z2114" s="143" t="str">
        <f t="shared" si="6"/>
        <v>纯亚麻 101</v>
      </c>
      <c r="AA2114" s="173">
        <v>32.5</v>
      </c>
      <c r="AB2114" s="191">
        <v>45978</v>
      </c>
    </row>
    <row r="2115" ht="15" spans="1:28">
      <c r="A2115" s="143">
        <v>2073</v>
      </c>
      <c r="B2115" s="144">
        <v>45971</v>
      </c>
      <c r="C2115" s="169" t="s">
        <v>3277</v>
      </c>
      <c r="D2115" s="143" t="s">
        <v>41</v>
      </c>
      <c r="E2115" s="196" t="s">
        <v>6151</v>
      </c>
      <c r="F2115" s="143" t="s">
        <v>6171</v>
      </c>
      <c r="H2115" s="143" t="s">
        <v>6172</v>
      </c>
      <c r="I2115" s="143" t="s">
        <v>3157</v>
      </c>
      <c r="J2115" s="143" t="s">
        <v>3684</v>
      </c>
      <c r="K2115" s="143">
        <v>145</v>
      </c>
      <c r="S2115" s="215"/>
      <c r="T2115" s="215"/>
      <c r="U2115" s="215"/>
      <c r="V2115" s="216"/>
      <c r="W2115" s="143" t="s">
        <v>3147</v>
      </c>
      <c r="X2115" s="143" t="str">
        <f t="shared" si="5"/>
        <v>90x88 60s</v>
      </c>
      <c r="Y2115" s="169" t="s">
        <v>6173</v>
      </c>
      <c r="Z2115" s="143" t="str">
        <f t="shared" si="6"/>
        <v>90x88 60s</v>
      </c>
      <c r="AA2115" s="173">
        <v>9.6</v>
      </c>
      <c r="AB2115" s="191">
        <v>45978</v>
      </c>
    </row>
    <row r="2116" ht="15" spans="1:28">
      <c r="A2116" s="143">
        <v>2074</v>
      </c>
      <c r="B2116" s="144">
        <v>45971</v>
      </c>
      <c r="C2116" s="169" t="s">
        <v>3277</v>
      </c>
      <c r="D2116" s="143" t="s">
        <v>41</v>
      </c>
      <c r="E2116" s="196" t="s">
        <v>6151</v>
      </c>
      <c r="F2116" s="143" t="s">
        <v>6174</v>
      </c>
      <c r="H2116" s="143" t="s">
        <v>6175</v>
      </c>
      <c r="I2116" s="143" t="s">
        <v>3157</v>
      </c>
      <c r="J2116" s="143" t="s">
        <v>3684</v>
      </c>
      <c r="K2116" s="143">
        <v>145</v>
      </c>
      <c r="S2116" s="215"/>
      <c r="T2116" s="215"/>
      <c r="U2116" s="215"/>
      <c r="V2116" s="216"/>
      <c r="W2116" s="143" t="s">
        <v>3147</v>
      </c>
      <c r="X2116" s="143" t="str">
        <f t="shared" si="5"/>
        <v>90x88 全工艺</v>
      </c>
      <c r="Y2116" s="143" t="s">
        <v>200</v>
      </c>
      <c r="Z2116" s="143" t="str">
        <f t="shared" si="6"/>
        <v>90x88 全工艺</v>
      </c>
      <c r="AA2116" s="173">
        <v>9</v>
      </c>
      <c r="AB2116" s="191">
        <v>45978</v>
      </c>
    </row>
    <row r="2117" ht="15" spans="1:28">
      <c r="A2117" s="143">
        <v>2075</v>
      </c>
      <c r="B2117" s="144">
        <v>45971</v>
      </c>
      <c r="C2117" s="169" t="s">
        <v>3277</v>
      </c>
      <c r="D2117" s="143" t="s">
        <v>41</v>
      </c>
      <c r="E2117" s="196" t="s">
        <v>6151</v>
      </c>
      <c r="F2117" s="143">
        <v>9680</v>
      </c>
      <c r="H2117" s="143" t="s">
        <v>6176</v>
      </c>
      <c r="I2117" s="143" t="s">
        <v>3218</v>
      </c>
      <c r="J2117" s="143" t="s">
        <v>1577</v>
      </c>
      <c r="K2117" s="143">
        <v>145</v>
      </c>
      <c r="S2117" s="215"/>
      <c r="T2117" s="215"/>
      <c r="U2117" s="215"/>
      <c r="V2117" s="216"/>
      <c r="W2117" s="143" t="s">
        <v>3147</v>
      </c>
      <c r="X2117" s="143">
        <f t="shared" si="5"/>
        <v>9680</v>
      </c>
      <c r="Y2117" s="169" t="s">
        <v>6177</v>
      </c>
      <c r="Z2117" s="143">
        <f t="shared" si="6"/>
        <v>9680</v>
      </c>
      <c r="AA2117" s="173">
        <v>13</v>
      </c>
      <c r="AB2117" s="191">
        <v>45978</v>
      </c>
    </row>
    <row r="2118" ht="15" spans="1:28">
      <c r="A2118" s="143">
        <v>2076</v>
      </c>
      <c r="B2118" s="144">
        <v>45971</v>
      </c>
      <c r="C2118" s="169" t="s">
        <v>3277</v>
      </c>
      <c r="D2118" s="143" t="s">
        <v>41</v>
      </c>
      <c r="E2118" s="196" t="s">
        <v>6151</v>
      </c>
      <c r="F2118" s="143">
        <v>9681</v>
      </c>
      <c r="H2118" s="143" t="s">
        <v>6178</v>
      </c>
      <c r="I2118" s="143" t="s">
        <v>3218</v>
      </c>
      <c r="J2118" s="143" t="s">
        <v>1577</v>
      </c>
      <c r="K2118" s="143">
        <v>145</v>
      </c>
      <c r="S2118" s="215"/>
      <c r="T2118" s="215"/>
      <c r="U2118" s="215"/>
      <c r="V2118" s="216"/>
      <c r="W2118" s="143" t="s">
        <v>3147</v>
      </c>
      <c r="X2118" s="143">
        <f t="shared" si="5"/>
        <v>9681</v>
      </c>
      <c r="Y2118" s="169" t="s">
        <v>6177</v>
      </c>
      <c r="Z2118" s="143">
        <f t="shared" si="6"/>
        <v>9681</v>
      </c>
      <c r="AA2118" s="173">
        <v>13</v>
      </c>
      <c r="AB2118" s="191">
        <v>45978</v>
      </c>
    </row>
    <row r="2119" ht="15" spans="1:28">
      <c r="A2119" s="143">
        <v>2077</v>
      </c>
      <c r="B2119" s="144">
        <v>45971</v>
      </c>
      <c r="C2119" s="169" t="s">
        <v>3277</v>
      </c>
      <c r="D2119" s="143" t="s">
        <v>41</v>
      </c>
      <c r="E2119" s="196" t="s">
        <v>6151</v>
      </c>
      <c r="F2119" s="143" t="s">
        <v>6179</v>
      </c>
      <c r="H2119" s="143" t="s">
        <v>6180</v>
      </c>
      <c r="I2119" s="143" t="s">
        <v>6181</v>
      </c>
      <c r="J2119" s="143" t="s">
        <v>6182</v>
      </c>
      <c r="K2119" s="143">
        <v>140</v>
      </c>
      <c r="L2119" s="143">
        <v>100</v>
      </c>
      <c r="S2119" s="215"/>
      <c r="T2119" s="215"/>
      <c r="U2119" s="215"/>
      <c r="V2119" s="216"/>
      <c r="W2119" s="143" t="s">
        <v>3147</v>
      </c>
      <c r="X2119" s="143" t="str">
        <f t="shared" si="5"/>
        <v>JJF5224</v>
      </c>
      <c r="Y2119" s="143" t="s">
        <v>6183</v>
      </c>
      <c r="Z2119" s="143" t="str">
        <f t="shared" si="6"/>
        <v>JJF5224</v>
      </c>
      <c r="AA2119" s="173">
        <v>14.6</v>
      </c>
      <c r="AB2119" s="191">
        <v>45978</v>
      </c>
    </row>
    <row r="2120" ht="15" spans="1:28">
      <c r="A2120" s="143">
        <v>2078</v>
      </c>
      <c r="B2120" s="144">
        <v>45971</v>
      </c>
      <c r="C2120" s="169" t="s">
        <v>3277</v>
      </c>
      <c r="D2120" s="143" t="s">
        <v>41</v>
      </c>
      <c r="E2120" s="196" t="s">
        <v>6151</v>
      </c>
      <c r="F2120" s="143" t="s">
        <v>6184</v>
      </c>
      <c r="H2120" s="143" t="s">
        <v>6185</v>
      </c>
      <c r="I2120" s="143" t="s">
        <v>6186</v>
      </c>
      <c r="J2120" s="143" t="s">
        <v>2351</v>
      </c>
      <c r="K2120" s="143">
        <v>135</v>
      </c>
      <c r="L2120" s="143">
        <v>102</v>
      </c>
      <c r="S2120" s="215"/>
      <c r="T2120" s="215"/>
      <c r="U2120" s="215"/>
      <c r="V2120" s="216"/>
      <c r="W2120" s="143" t="s">
        <v>3147</v>
      </c>
      <c r="X2120" s="143" t="str">
        <f t="shared" si="5"/>
        <v>JJF5913</v>
      </c>
      <c r="Y2120" s="143" t="s">
        <v>6183</v>
      </c>
      <c r="Z2120" s="143" t="str">
        <f t="shared" si="6"/>
        <v>JJF5913</v>
      </c>
      <c r="AA2120" s="173">
        <v>27</v>
      </c>
      <c r="AB2120" s="191">
        <v>45978</v>
      </c>
    </row>
    <row r="2121" ht="15" spans="1:28">
      <c r="A2121" s="143">
        <v>2079</v>
      </c>
      <c r="B2121" s="144">
        <v>45971</v>
      </c>
      <c r="C2121" s="169" t="s">
        <v>3277</v>
      </c>
      <c r="D2121" s="143" t="s">
        <v>41</v>
      </c>
      <c r="E2121" s="196" t="s">
        <v>6151</v>
      </c>
      <c r="F2121" s="143" t="s">
        <v>6187</v>
      </c>
      <c r="H2121" s="143" t="s">
        <v>6188</v>
      </c>
      <c r="I2121" s="143" t="s">
        <v>6189</v>
      </c>
      <c r="K2121" s="143">
        <v>140</v>
      </c>
      <c r="L2121" s="143">
        <v>100</v>
      </c>
      <c r="S2121" s="215"/>
      <c r="T2121" s="215"/>
      <c r="U2121" s="215"/>
      <c r="V2121" s="216"/>
      <c r="W2121" s="143" t="s">
        <v>3147</v>
      </c>
      <c r="X2121" s="143" t="str">
        <f t="shared" si="5"/>
        <v>JJF5917</v>
      </c>
      <c r="Y2121" s="143" t="s">
        <v>6183</v>
      </c>
      <c r="Z2121" s="143" t="str">
        <f t="shared" si="6"/>
        <v>JJF5917</v>
      </c>
      <c r="AA2121" s="173">
        <v>24.2</v>
      </c>
      <c r="AB2121" s="191">
        <v>45978</v>
      </c>
    </row>
    <row r="2122" ht="15" spans="1:28">
      <c r="A2122" s="143">
        <v>2080</v>
      </c>
      <c r="B2122" s="144">
        <v>45971</v>
      </c>
      <c r="C2122" s="169" t="s">
        <v>3277</v>
      </c>
      <c r="D2122" s="143" t="s">
        <v>41</v>
      </c>
      <c r="E2122" s="196" t="s">
        <v>6151</v>
      </c>
      <c r="F2122" s="143" t="s">
        <v>6190</v>
      </c>
      <c r="H2122" s="143" t="s">
        <v>6191</v>
      </c>
      <c r="I2122" s="143" t="s">
        <v>6186</v>
      </c>
      <c r="J2122" s="143" t="s">
        <v>2351</v>
      </c>
      <c r="K2122" s="143">
        <v>140</v>
      </c>
      <c r="L2122" s="143">
        <v>100</v>
      </c>
      <c r="S2122" s="215"/>
      <c r="T2122" s="215"/>
      <c r="U2122" s="215"/>
      <c r="V2122" s="216"/>
      <c r="W2122" s="143" t="s">
        <v>3147</v>
      </c>
      <c r="X2122" s="143" t="str">
        <f t="shared" si="5"/>
        <v>JJF5921</v>
      </c>
      <c r="Y2122" s="143" t="s">
        <v>6183</v>
      </c>
      <c r="Z2122" s="143" t="str">
        <f t="shared" si="6"/>
        <v>JJF5921</v>
      </c>
      <c r="AA2122" s="173">
        <v>23.5</v>
      </c>
      <c r="AB2122" s="191">
        <v>45978</v>
      </c>
    </row>
    <row r="2123" ht="15" spans="1:28">
      <c r="A2123" s="143">
        <v>2081</v>
      </c>
      <c r="B2123" s="144">
        <v>45971</v>
      </c>
      <c r="C2123" s="169" t="s">
        <v>3277</v>
      </c>
      <c r="D2123" s="143" t="s">
        <v>41</v>
      </c>
      <c r="E2123" s="196" t="s">
        <v>6151</v>
      </c>
      <c r="F2123" s="143" t="s">
        <v>6192</v>
      </c>
      <c r="H2123" s="143" t="s">
        <v>6193</v>
      </c>
      <c r="I2123" s="143" t="s">
        <v>2127</v>
      </c>
      <c r="J2123" s="143" t="s">
        <v>6155</v>
      </c>
      <c r="K2123" s="143">
        <v>138</v>
      </c>
      <c r="L2123" s="143">
        <v>157</v>
      </c>
      <c r="S2123" s="215"/>
      <c r="T2123" s="215"/>
      <c r="U2123" s="215"/>
      <c r="V2123" s="216"/>
      <c r="W2123" s="143" t="s">
        <v>3147</v>
      </c>
      <c r="X2123" s="143" t="str">
        <f t="shared" si="5"/>
        <v>JJF5905</v>
      </c>
      <c r="Y2123" s="143" t="s">
        <v>6183</v>
      </c>
      <c r="Z2123" s="143" t="str">
        <f t="shared" si="6"/>
        <v>JJF5905</v>
      </c>
      <c r="AA2123" s="173">
        <v>21.5</v>
      </c>
      <c r="AB2123" s="191">
        <v>45978</v>
      </c>
    </row>
    <row r="2124" ht="15" spans="1:28">
      <c r="A2124" s="143">
        <v>2082</v>
      </c>
      <c r="B2124" s="144">
        <v>45971</v>
      </c>
      <c r="C2124" s="169" t="s">
        <v>3277</v>
      </c>
      <c r="D2124" s="143" t="s">
        <v>41</v>
      </c>
      <c r="E2124" s="196" t="s">
        <v>6151</v>
      </c>
      <c r="F2124" s="143" t="s">
        <v>6194</v>
      </c>
      <c r="H2124" s="143" t="s">
        <v>6195</v>
      </c>
      <c r="I2124" s="143" t="s">
        <v>3157</v>
      </c>
      <c r="J2124" s="143" t="s">
        <v>3684</v>
      </c>
      <c r="K2124" s="143">
        <v>130</v>
      </c>
      <c r="L2124" s="143">
        <v>80</v>
      </c>
      <c r="S2124" s="215"/>
      <c r="T2124" s="215"/>
      <c r="U2124" s="215"/>
      <c r="V2124" s="216"/>
      <c r="W2124" s="143" t="s">
        <v>3147</v>
      </c>
      <c r="X2124" s="143" t="str">
        <f t="shared" si="5"/>
        <v>JJF5835</v>
      </c>
      <c r="Y2124" s="143" t="s">
        <v>6183</v>
      </c>
      <c r="Z2124" s="143" t="str">
        <f t="shared" si="6"/>
        <v>JJF5835</v>
      </c>
      <c r="AA2124" s="173">
        <v>11.8</v>
      </c>
      <c r="AB2124" s="191">
        <v>45978</v>
      </c>
    </row>
    <row r="2125" ht="15" spans="1:28">
      <c r="A2125" s="143">
        <v>2083</v>
      </c>
      <c r="B2125" s="144">
        <v>45971</v>
      </c>
      <c r="C2125" s="169" t="s">
        <v>3277</v>
      </c>
      <c r="D2125" s="143" t="s">
        <v>41</v>
      </c>
      <c r="E2125" s="196" t="s">
        <v>6151</v>
      </c>
      <c r="F2125" s="143">
        <v>9800</v>
      </c>
      <c r="H2125" s="143" t="s">
        <v>6196</v>
      </c>
      <c r="I2125" s="143" t="s">
        <v>3157</v>
      </c>
      <c r="J2125" s="143" t="s">
        <v>3684</v>
      </c>
      <c r="K2125" s="143">
        <v>145</v>
      </c>
      <c r="S2125" s="215"/>
      <c r="T2125" s="215"/>
      <c r="U2125" s="215"/>
      <c r="V2125" s="216"/>
      <c r="W2125" s="143" t="s">
        <v>3147</v>
      </c>
      <c r="X2125" s="143">
        <f t="shared" si="5"/>
        <v>9800</v>
      </c>
      <c r="Y2125" s="143" t="s">
        <v>4691</v>
      </c>
      <c r="Z2125" s="143">
        <f t="shared" si="6"/>
        <v>9800</v>
      </c>
      <c r="AA2125" s="173">
        <v>10.5</v>
      </c>
      <c r="AB2125" s="191">
        <v>45978</v>
      </c>
    </row>
    <row r="2126" ht="15" spans="1:28">
      <c r="A2126" s="143">
        <v>2084</v>
      </c>
      <c r="B2126" s="144">
        <v>45971</v>
      </c>
      <c r="C2126" s="169" t="s">
        <v>3277</v>
      </c>
      <c r="D2126" s="143" t="s">
        <v>41</v>
      </c>
      <c r="E2126" s="196" t="s">
        <v>6151</v>
      </c>
      <c r="F2126" s="169" t="s">
        <v>6197</v>
      </c>
      <c r="H2126" s="143" t="s">
        <v>6198</v>
      </c>
      <c r="I2126" s="143" t="s">
        <v>3157</v>
      </c>
      <c r="J2126" s="143" t="s">
        <v>3684</v>
      </c>
      <c r="K2126" s="143">
        <v>150</v>
      </c>
      <c r="L2126" s="143">
        <v>80</v>
      </c>
      <c r="S2126" s="215"/>
      <c r="T2126" s="215"/>
      <c r="U2126" s="215"/>
      <c r="V2126" s="216"/>
      <c r="W2126" s="143" t="s">
        <v>3147</v>
      </c>
      <c r="X2126" s="143" t="str">
        <f t="shared" si="5"/>
        <v>冰纱棉</v>
      </c>
      <c r="Y2126" s="143" t="s">
        <v>4691</v>
      </c>
      <c r="Z2126" s="143" t="str">
        <f t="shared" si="6"/>
        <v>冰纱棉</v>
      </c>
      <c r="AA2126" s="173">
        <v>10.2</v>
      </c>
      <c r="AB2126" s="191">
        <v>45978</v>
      </c>
    </row>
    <row r="2127" ht="15" spans="1:28">
      <c r="A2127" s="143">
        <v>2085</v>
      </c>
      <c r="B2127" s="144">
        <v>45971</v>
      </c>
      <c r="C2127" s="169" t="s">
        <v>3277</v>
      </c>
      <c r="D2127" s="143" t="s">
        <v>41</v>
      </c>
      <c r="E2127" s="196" t="s">
        <v>6151</v>
      </c>
      <c r="F2127" s="143" t="s">
        <v>6199</v>
      </c>
      <c r="H2127" s="143" t="s">
        <v>6200</v>
      </c>
      <c r="I2127" s="143" t="s">
        <v>3157</v>
      </c>
      <c r="J2127" s="143" t="s">
        <v>3684</v>
      </c>
      <c r="K2127" s="143">
        <v>130</v>
      </c>
      <c r="S2127" s="215"/>
      <c r="T2127" s="215"/>
      <c r="U2127" s="215"/>
      <c r="V2127" s="216"/>
      <c r="W2127" s="143" t="s">
        <v>3147</v>
      </c>
      <c r="X2127" s="143" t="str">
        <f t="shared" si="5"/>
        <v>50支全棉皱</v>
      </c>
      <c r="Y2127" s="143" t="s">
        <v>4691</v>
      </c>
      <c r="Z2127" s="143" t="str">
        <f t="shared" si="6"/>
        <v>50支全棉皱</v>
      </c>
      <c r="AA2127" s="173">
        <v>12.8</v>
      </c>
      <c r="AB2127" s="191">
        <v>45978</v>
      </c>
    </row>
    <row r="2128" ht="15" spans="1:28">
      <c r="A2128" s="143">
        <v>2086</v>
      </c>
      <c r="B2128" s="144">
        <v>45971</v>
      </c>
      <c r="C2128" s="169" t="s">
        <v>3277</v>
      </c>
      <c r="D2128" s="143" t="s">
        <v>41</v>
      </c>
      <c r="E2128" s="196" t="s">
        <v>6151</v>
      </c>
      <c r="F2128" s="169" t="s">
        <v>6201</v>
      </c>
      <c r="H2128" s="143" t="s">
        <v>6202</v>
      </c>
      <c r="I2128" s="143" t="s">
        <v>3218</v>
      </c>
      <c r="J2128" s="143" t="s">
        <v>1577</v>
      </c>
      <c r="K2128" s="143">
        <v>150</v>
      </c>
      <c r="L2128" s="143">
        <v>100</v>
      </c>
      <c r="S2128" s="215"/>
      <c r="T2128" s="215"/>
      <c r="U2128" s="215"/>
      <c r="V2128" s="216"/>
      <c r="W2128" s="143" t="s">
        <v>3147</v>
      </c>
      <c r="X2128" s="143" t="str">
        <f t="shared" si="5"/>
        <v>高密珍珠雪纺</v>
      </c>
      <c r="Y2128" s="143" t="s">
        <v>5301</v>
      </c>
      <c r="Z2128" s="143" t="str">
        <f t="shared" si="6"/>
        <v>高密珍珠雪纺</v>
      </c>
      <c r="AA2128" s="173">
        <v>6.8</v>
      </c>
      <c r="AB2128" s="191">
        <v>45978</v>
      </c>
    </row>
    <row r="2129" ht="15" spans="1:28">
      <c r="A2129" s="143">
        <v>2087</v>
      </c>
      <c r="B2129" s="144">
        <v>45971</v>
      </c>
      <c r="C2129" s="169" t="s">
        <v>3148</v>
      </c>
      <c r="E2129" s="196" t="s">
        <v>6203</v>
      </c>
      <c r="F2129" s="143" t="s">
        <v>6204</v>
      </c>
      <c r="G2129" s="169"/>
      <c r="H2129" s="177" t="s">
        <v>6205</v>
      </c>
      <c r="I2129" s="143" t="s">
        <v>6206</v>
      </c>
      <c r="J2129" s="143" t="s">
        <v>4547</v>
      </c>
      <c r="K2129" s="143">
        <v>145</v>
      </c>
      <c r="W2129" s="143" t="s">
        <v>3147</v>
      </c>
      <c r="X2129" s="143" t="s">
        <v>6204</v>
      </c>
      <c r="Y2129" s="169" t="s">
        <v>6207</v>
      </c>
      <c r="Z2129" s="143" t="s">
        <v>6204</v>
      </c>
      <c r="AA2129" s="173">
        <v>13.5</v>
      </c>
      <c r="AB2129" s="191">
        <v>45978</v>
      </c>
    </row>
    <row r="2130" ht="15" spans="1:28">
      <c r="A2130" s="143">
        <v>2088</v>
      </c>
      <c r="B2130" s="144">
        <v>45971</v>
      </c>
      <c r="C2130" s="169" t="s">
        <v>3148</v>
      </c>
      <c r="E2130" s="196" t="s">
        <v>6203</v>
      </c>
      <c r="F2130" s="143" t="s">
        <v>6208</v>
      </c>
      <c r="H2130" s="177" t="s">
        <v>6209</v>
      </c>
      <c r="I2130" s="143" t="s">
        <v>6210</v>
      </c>
      <c r="K2130" s="143">
        <v>135</v>
      </c>
      <c r="W2130" s="143" t="s">
        <v>3147</v>
      </c>
      <c r="X2130" s="143" t="s">
        <v>6208</v>
      </c>
      <c r="Y2130" s="169" t="s">
        <v>6207</v>
      </c>
      <c r="Z2130" s="143" t="s">
        <v>6208</v>
      </c>
      <c r="AA2130" s="173">
        <v>18.6</v>
      </c>
      <c r="AB2130" s="191">
        <v>45978</v>
      </c>
    </row>
    <row r="2131" ht="15" spans="1:28">
      <c r="A2131" s="143">
        <v>2089</v>
      </c>
      <c r="B2131" s="144">
        <v>45971</v>
      </c>
      <c r="C2131" s="169" t="s">
        <v>3148</v>
      </c>
      <c r="E2131" s="196" t="s">
        <v>6203</v>
      </c>
      <c r="F2131" s="143" t="s">
        <v>6211</v>
      </c>
      <c r="H2131" s="177" t="s">
        <v>6212</v>
      </c>
      <c r="I2131" s="143" t="s">
        <v>6213</v>
      </c>
      <c r="K2131" s="143">
        <v>148</v>
      </c>
      <c r="W2131" s="143" t="s">
        <v>3147</v>
      </c>
      <c r="X2131" s="143" t="s">
        <v>6211</v>
      </c>
      <c r="Y2131" s="169" t="s">
        <v>6207</v>
      </c>
      <c r="Z2131" s="143" t="s">
        <v>6211</v>
      </c>
      <c r="AA2131" s="173">
        <v>16.5</v>
      </c>
      <c r="AB2131" s="191">
        <v>45978</v>
      </c>
    </row>
    <row r="2132" ht="15" spans="1:28">
      <c r="A2132" s="143">
        <v>2090</v>
      </c>
      <c r="B2132" s="144">
        <v>45971</v>
      </c>
      <c r="C2132" s="169" t="s">
        <v>3148</v>
      </c>
      <c r="E2132" s="196" t="s">
        <v>6203</v>
      </c>
      <c r="F2132" s="143" t="s">
        <v>6214</v>
      </c>
      <c r="H2132" s="177" t="s">
        <v>6215</v>
      </c>
      <c r="I2132" s="143" t="s">
        <v>6216</v>
      </c>
      <c r="K2132" s="143">
        <v>135</v>
      </c>
      <c r="W2132" s="143" t="s">
        <v>3147</v>
      </c>
      <c r="X2132" s="143" t="s">
        <v>6214</v>
      </c>
      <c r="Y2132" s="169" t="s">
        <v>6207</v>
      </c>
      <c r="Z2132" s="143" t="s">
        <v>6214</v>
      </c>
      <c r="AA2132" s="173">
        <v>12.5</v>
      </c>
      <c r="AB2132" s="191">
        <v>45978</v>
      </c>
    </row>
    <row r="2133" ht="15" spans="1:28">
      <c r="A2133" s="143">
        <v>2091</v>
      </c>
      <c r="B2133" s="144">
        <v>45971</v>
      </c>
      <c r="C2133" s="169" t="s">
        <v>3148</v>
      </c>
      <c r="E2133" s="196" t="s">
        <v>6203</v>
      </c>
      <c r="F2133" s="143" t="s">
        <v>6217</v>
      </c>
      <c r="H2133" s="177" t="s">
        <v>6218</v>
      </c>
      <c r="I2133" s="143" t="s">
        <v>6219</v>
      </c>
      <c r="J2133" s="143" t="s">
        <v>3106</v>
      </c>
      <c r="K2133" s="143">
        <v>148</v>
      </c>
      <c r="W2133" s="143" t="s">
        <v>3147</v>
      </c>
      <c r="X2133" s="143" t="s">
        <v>6217</v>
      </c>
      <c r="Y2133" s="169" t="s">
        <v>6207</v>
      </c>
      <c r="Z2133" s="143" t="s">
        <v>6217</v>
      </c>
      <c r="AA2133" s="173">
        <v>14.5</v>
      </c>
      <c r="AB2133" s="191">
        <v>45978</v>
      </c>
    </row>
    <row r="2134" ht="15" spans="1:28">
      <c r="A2134" s="143">
        <v>2092</v>
      </c>
      <c r="B2134" s="144">
        <v>45971</v>
      </c>
      <c r="C2134" s="169" t="s">
        <v>3148</v>
      </c>
      <c r="E2134" s="196" t="s">
        <v>6203</v>
      </c>
      <c r="F2134" s="143" t="s">
        <v>6220</v>
      </c>
      <c r="H2134" s="177" t="s">
        <v>6221</v>
      </c>
      <c r="I2134" s="143" t="s">
        <v>6222</v>
      </c>
      <c r="K2134" s="143">
        <v>148</v>
      </c>
      <c r="W2134" s="143" t="s">
        <v>3147</v>
      </c>
      <c r="X2134" s="143" t="s">
        <v>6220</v>
      </c>
      <c r="Y2134" s="169" t="s">
        <v>6207</v>
      </c>
      <c r="Z2134" s="143" t="s">
        <v>6220</v>
      </c>
      <c r="AA2134" s="173">
        <v>16.5</v>
      </c>
      <c r="AB2134" s="191">
        <v>45978</v>
      </c>
    </row>
    <row r="2135" ht="15" spans="1:28">
      <c r="A2135" s="143">
        <v>2093</v>
      </c>
      <c r="B2135" s="144">
        <v>45971</v>
      </c>
      <c r="C2135" s="169" t="s">
        <v>3148</v>
      </c>
      <c r="E2135" s="196" t="s">
        <v>6203</v>
      </c>
      <c r="F2135" s="169" t="s">
        <v>6223</v>
      </c>
      <c r="H2135" s="177" t="s">
        <v>6224</v>
      </c>
      <c r="I2135" s="143" t="s">
        <v>6222</v>
      </c>
      <c r="K2135" s="143">
        <v>148</v>
      </c>
      <c r="W2135" s="143" t="s">
        <v>3147</v>
      </c>
      <c r="X2135" s="169" t="s">
        <v>6223</v>
      </c>
      <c r="Y2135" s="169" t="s">
        <v>6207</v>
      </c>
      <c r="Z2135" s="169" t="s">
        <v>6223</v>
      </c>
      <c r="AA2135" s="173">
        <v>16.5</v>
      </c>
      <c r="AB2135" s="191">
        <v>45978</v>
      </c>
    </row>
    <row r="2136" ht="15" spans="1:28">
      <c r="A2136" s="143">
        <v>2094</v>
      </c>
      <c r="B2136" s="144">
        <v>45971</v>
      </c>
      <c r="C2136" s="169" t="s">
        <v>3148</v>
      </c>
      <c r="E2136" s="196" t="s">
        <v>6203</v>
      </c>
      <c r="F2136" s="143" t="s">
        <v>6225</v>
      </c>
      <c r="H2136" s="177" t="s">
        <v>6226</v>
      </c>
      <c r="I2136" s="182" t="s">
        <v>6227</v>
      </c>
      <c r="K2136" s="143">
        <v>135</v>
      </c>
      <c r="W2136" s="143" t="s">
        <v>3147</v>
      </c>
      <c r="X2136" s="143" t="s">
        <v>6225</v>
      </c>
      <c r="Y2136" s="169" t="s">
        <v>6207</v>
      </c>
      <c r="Z2136" s="143" t="s">
        <v>6225</v>
      </c>
      <c r="AA2136" s="173">
        <v>18.5</v>
      </c>
      <c r="AB2136" s="191">
        <v>45978</v>
      </c>
    </row>
    <row r="2137" ht="15" spans="1:28">
      <c r="A2137" s="143">
        <v>2095</v>
      </c>
      <c r="B2137" s="144">
        <v>45971</v>
      </c>
      <c r="C2137" s="169" t="s">
        <v>3148</v>
      </c>
      <c r="E2137" s="196" t="s">
        <v>6203</v>
      </c>
      <c r="F2137" s="143" t="s">
        <v>6228</v>
      </c>
      <c r="H2137" s="177" t="s">
        <v>6229</v>
      </c>
      <c r="I2137" s="143" t="s">
        <v>6230</v>
      </c>
      <c r="K2137" s="143">
        <v>135</v>
      </c>
      <c r="W2137" s="143" t="s">
        <v>3147</v>
      </c>
      <c r="X2137" s="143" t="s">
        <v>6228</v>
      </c>
      <c r="Y2137" s="169" t="s">
        <v>6207</v>
      </c>
      <c r="Z2137" s="143" t="s">
        <v>6228</v>
      </c>
      <c r="AA2137" s="173">
        <v>12.6</v>
      </c>
      <c r="AB2137" s="191">
        <v>45978</v>
      </c>
    </row>
    <row r="2138" ht="15" spans="1:28">
      <c r="A2138" s="143">
        <v>2096</v>
      </c>
      <c r="B2138" s="144">
        <v>45971</v>
      </c>
      <c r="C2138" s="169" t="s">
        <v>3148</v>
      </c>
      <c r="E2138" s="196" t="s">
        <v>6203</v>
      </c>
      <c r="F2138" s="143" t="s">
        <v>6231</v>
      </c>
      <c r="H2138" s="177" t="s">
        <v>6232</v>
      </c>
      <c r="I2138" s="143" t="s">
        <v>6230</v>
      </c>
      <c r="K2138" s="143">
        <v>135</v>
      </c>
      <c r="W2138" s="143" t="s">
        <v>3147</v>
      </c>
      <c r="X2138" s="143" t="s">
        <v>6231</v>
      </c>
      <c r="Y2138" s="169" t="s">
        <v>6207</v>
      </c>
      <c r="Z2138" s="143" t="s">
        <v>6231</v>
      </c>
      <c r="AA2138" s="173">
        <v>12.6</v>
      </c>
      <c r="AB2138" s="191">
        <v>45978</v>
      </c>
    </row>
    <row r="2139" ht="15" spans="1:28">
      <c r="A2139" s="143">
        <v>2097</v>
      </c>
      <c r="B2139" s="144">
        <v>45971</v>
      </c>
      <c r="C2139" s="169" t="s">
        <v>3148</v>
      </c>
      <c r="E2139" s="196" t="s">
        <v>6203</v>
      </c>
      <c r="F2139" s="143" t="s">
        <v>6233</v>
      </c>
      <c r="H2139" s="177" t="s">
        <v>6234</v>
      </c>
      <c r="I2139" s="143" t="s">
        <v>6230</v>
      </c>
      <c r="K2139" s="143">
        <v>135</v>
      </c>
      <c r="W2139" s="143" t="s">
        <v>3147</v>
      </c>
      <c r="X2139" s="143" t="s">
        <v>6233</v>
      </c>
      <c r="Y2139" s="169" t="s">
        <v>6207</v>
      </c>
      <c r="Z2139" s="143" t="s">
        <v>6233</v>
      </c>
      <c r="AA2139" s="173">
        <v>12.6</v>
      </c>
      <c r="AB2139" s="191">
        <v>45978</v>
      </c>
    </row>
    <row r="2140" ht="15" spans="1:28">
      <c r="A2140" s="143">
        <v>2098</v>
      </c>
      <c r="B2140" s="144">
        <v>45971</v>
      </c>
      <c r="C2140" s="169" t="s">
        <v>3148</v>
      </c>
      <c r="E2140" s="196" t="s">
        <v>6203</v>
      </c>
      <c r="F2140" s="143" t="s">
        <v>6235</v>
      </c>
      <c r="H2140" s="177" t="s">
        <v>6236</v>
      </c>
      <c r="I2140" s="143" t="s">
        <v>6230</v>
      </c>
      <c r="K2140" s="143">
        <v>135</v>
      </c>
      <c r="W2140" s="143" t="s">
        <v>3147</v>
      </c>
      <c r="X2140" s="143" t="s">
        <v>6235</v>
      </c>
      <c r="Y2140" s="169" t="s">
        <v>6207</v>
      </c>
      <c r="Z2140" s="143" t="s">
        <v>6235</v>
      </c>
      <c r="AA2140" s="173">
        <v>12.6</v>
      </c>
      <c r="AB2140" s="191">
        <v>45978</v>
      </c>
    </row>
    <row r="2141" ht="15" spans="1:28">
      <c r="A2141" s="143">
        <v>2099</v>
      </c>
      <c r="B2141" s="144">
        <v>45971</v>
      </c>
      <c r="C2141" s="169" t="s">
        <v>3148</v>
      </c>
      <c r="E2141" s="196" t="s">
        <v>6203</v>
      </c>
      <c r="F2141" s="143" t="s">
        <v>6237</v>
      </c>
      <c r="H2141" s="177" t="s">
        <v>6238</v>
      </c>
      <c r="I2141" s="143" t="s">
        <v>6206</v>
      </c>
      <c r="K2141" s="143">
        <v>145</v>
      </c>
      <c r="W2141" s="143" t="s">
        <v>3147</v>
      </c>
      <c r="X2141" s="143" t="s">
        <v>6237</v>
      </c>
      <c r="Y2141" s="169" t="s">
        <v>6207</v>
      </c>
      <c r="Z2141" s="143" t="s">
        <v>6237</v>
      </c>
      <c r="AA2141" s="173">
        <v>13.5</v>
      </c>
      <c r="AB2141" s="191">
        <v>45978</v>
      </c>
    </row>
    <row r="2142" ht="15" spans="1:28">
      <c r="A2142" s="143">
        <v>2100</v>
      </c>
      <c r="B2142" s="144">
        <v>45971</v>
      </c>
      <c r="C2142" s="169" t="s">
        <v>3148</v>
      </c>
      <c r="E2142" s="196" t="s">
        <v>6203</v>
      </c>
      <c r="F2142" s="143" t="s">
        <v>6239</v>
      </c>
      <c r="H2142" s="143" t="s">
        <v>6240</v>
      </c>
      <c r="I2142" s="143" t="s">
        <v>6241</v>
      </c>
      <c r="K2142" s="143">
        <v>150</v>
      </c>
      <c r="W2142" s="143" t="s">
        <v>3147</v>
      </c>
      <c r="X2142" s="143" t="s">
        <v>6239</v>
      </c>
      <c r="Y2142" s="169" t="s">
        <v>6242</v>
      </c>
      <c r="Z2142" s="143" t="s">
        <v>6239</v>
      </c>
      <c r="AA2142" s="173">
        <v>13.8</v>
      </c>
      <c r="AB2142" s="191">
        <v>45978</v>
      </c>
    </row>
    <row r="2143" ht="15" spans="1:28">
      <c r="A2143" s="143">
        <v>2101</v>
      </c>
      <c r="B2143" s="144">
        <v>45971</v>
      </c>
      <c r="C2143" s="169" t="s">
        <v>3148</v>
      </c>
      <c r="E2143" s="196" t="s">
        <v>6203</v>
      </c>
      <c r="F2143" s="143" t="s">
        <v>6243</v>
      </c>
      <c r="H2143" s="143" t="s">
        <v>6244</v>
      </c>
      <c r="I2143" s="143" t="s">
        <v>6245</v>
      </c>
      <c r="K2143" s="143">
        <v>150</v>
      </c>
      <c r="W2143" s="143" t="s">
        <v>3147</v>
      </c>
      <c r="X2143" s="143" t="s">
        <v>6243</v>
      </c>
      <c r="Y2143" s="169" t="s">
        <v>6242</v>
      </c>
      <c r="Z2143" s="143" t="s">
        <v>6243</v>
      </c>
      <c r="AA2143" s="173">
        <v>12.8</v>
      </c>
      <c r="AB2143" s="191">
        <v>45978</v>
      </c>
    </row>
    <row r="2144" ht="15" spans="1:28">
      <c r="A2144" s="143">
        <v>2102</v>
      </c>
      <c r="B2144" s="144">
        <v>45971</v>
      </c>
      <c r="C2144" s="169" t="s">
        <v>3148</v>
      </c>
      <c r="E2144" s="196" t="s">
        <v>6203</v>
      </c>
      <c r="F2144" s="143" t="s">
        <v>1757</v>
      </c>
      <c r="H2144" s="143" t="s">
        <v>6246</v>
      </c>
      <c r="I2144" s="143" t="s">
        <v>6245</v>
      </c>
      <c r="K2144" s="143">
        <v>150</v>
      </c>
      <c r="W2144" s="143" t="s">
        <v>3147</v>
      </c>
      <c r="X2144" s="143" t="s">
        <v>1757</v>
      </c>
      <c r="Y2144" s="169" t="s">
        <v>6242</v>
      </c>
      <c r="Z2144" s="143" t="s">
        <v>1757</v>
      </c>
      <c r="AA2144" s="173">
        <v>13.6</v>
      </c>
      <c r="AB2144" s="191">
        <v>45978</v>
      </c>
    </row>
    <row r="2145" ht="15" spans="1:28">
      <c r="A2145" s="143">
        <v>2103</v>
      </c>
      <c r="B2145" s="144">
        <v>45971</v>
      </c>
      <c r="C2145" s="169" t="s">
        <v>3148</v>
      </c>
      <c r="E2145" s="196" t="s">
        <v>6203</v>
      </c>
      <c r="F2145" s="143" t="s">
        <v>6247</v>
      </c>
      <c r="H2145" s="143" t="s">
        <v>6248</v>
      </c>
      <c r="I2145" s="143" t="s">
        <v>6206</v>
      </c>
      <c r="K2145" s="143">
        <v>150</v>
      </c>
      <c r="W2145" s="143" t="s">
        <v>3147</v>
      </c>
      <c r="X2145" s="143" t="s">
        <v>6247</v>
      </c>
      <c r="Y2145" s="169" t="s">
        <v>6242</v>
      </c>
      <c r="Z2145" s="143" t="s">
        <v>6247</v>
      </c>
      <c r="AA2145" s="173">
        <v>13.2</v>
      </c>
      <c r="AB2145" s="191">
        <v>45978</v>
      </c>
    </row>
    <row r="2146" ht="15" spans="1:28">
      <c r="A2146" s="143">
        <v>2104</v>
      </c>
      <c r="B2146" s="144">
        <v>45971</v>
      </c>
      <c r="C2146" s="169" t="s">
        <v>3148</v>
      </c>
      <c r="E2146" s="196" t="s">
        <v>6203</v>
      </c>
      <c r="F2146" s="143" t="s">
        <v>6249</v>
      </c>
      <c r="H2146" s="143" t="s">
        <v>6250</v>
      </c>
      <c r="I2146" s="143" t="s">
        <v>6251</v>
      </c>
      <c r="K2146" s="143">
        <v>140</v>
      </c>
      <c r="W2146" s="143" t="s">
        <v>3147</v>
      </c>
      <c r="X2146" s="143" t="s">
        <v>6249</v>
      </c>
      <c r="Y2146" s="169" t="s">
        <v>6242</v>
      </c>
      <c r="Z2146" s="143" t="s">
        <v>6249</v>
      </c>
      <c r="AA2146" s="173">
        <v>11.5</v>
      </c>
      <c r="AB2146" s="191">
        <v>45978</v>
      </c>
    </row>
    <row r="2147" ht="15" spans="1:28">
      <c r="A2147" s="143">
        <v>2105</v>
      </c>
      <c r="B2147" s="144">
        <v>45971</v>
      </c>
      <c r="C2147" s="169" t="s">
        <v>3148</v>
      </c>
      <c r="E2147" s="196" t="s">
        <v>6203</v>
      </c>
      <c r="F2147" s="143" t="s">
        <v>6252</v>
      </c>
      <c r="H2147" s="143" t="s">
        <v>6253</v>
      </c>
      <c r="I2147" s="143" t="s">
        <v>6251</v>
      </c>
      <c r="K2147" s="143">
        <v>140</v>
      </c>
      <c r="W2147" s="143" t="s">
        <v>3147</v>
      </c>
      <c r="X2147" s="143" t="s">
        <v>6252</v>
      </c>
      <c r="Y2147" s="169" t="s">
        <v>6242</v>
      </c>
      <c r="Z2147" s="143" t="s">
        <v>6252</v>
      </c>
      <c r="AA2147" s="173">
        <v>13.5</v>
      </c>
      <c r="AB2147" s="191">
        <v>45978</v>
      </c>
    </row>
    <row r="2148" ht="15" spans="1:28">
      <c r="A2148" s="143">
        <v>2106</v>
      </c>
      <c r="B2148" s="144">
        <v>45971</v>
      </c>
      <c r="C2148" s="169" t="s">
        <v>3148</v>
      </c>
      <c r="E2148" s="196" t="s">
        <v>6203</v>
      </c>
      <c r="F2148" s="143" t="s">
        <v>6254</v>
      </c>
      <c r="H2148" s="143" t="s">
        <v>6255</v>
      </c>
      <c r="I2148" s="143" t="s">
        <v>6251</v>
      </c>
      <c r="K2148" s="143">
        <v>140</v>
      </c>
      <c r="W2148" s="143" t="s">
        <v>3147</v>
      </c>
      <c r="X2148" s="143" t="s">
        <v>6254</v>
      </c>
      <c r="Y2148" s="169" t="s">
        <v>6242</v>
      </c>
      <c r="Z2148" s="143" t="s">
        <v>6254</v>
      </c>
      <c r="AA2148" s="173">
        <v>13.5</v>
      </c>
      <c r="AB2148" s="191">
        <v>45978</v>
      </c>
    </row>
    <row r="2149" ht="15" spans="1:28">
      <c r="A2149" s="143">
        <v>2107</v>
      </c>
      <c r="B2149" s="144">
        <v>45971</v>
      </c>
      <c r="C2149" s="169" t="s">
        <v>3148</v>
      </c>
      <c r="E2149" s="196" t="s">
        <v>6203</v>
      </c>
      <c r="F2149" s="143" t="s">
        <v>3158</v>
      </c>
      <c r="H2149" s="143" t="s">
        <v>6256</v>
      </c>
      <c r="I2149" s="143" t="s">
        <v>6251</v>
      </c>
      <c r="K2149" s="143">
        <v>140</v>
      </c>
      <c r="W2149" s="143" t="s">
        <v>3147</v>
      </c>
      <c r="X2149" s="143" t="s">
        <v>3158</v>
      </c>
      <c r="Y2149" s="169" t="s">
        <v>6242</v>
      </c>
      <c r="Z2149" s="143" t="s">
        <v>3158</v>
      </c>
      <c r="AA2149" s="173">
        <v>12.8</v>
      </c>
      <c r="AB2149" s="191">
        <v>45978</v>
      </c>
    </row>
    <row r="2150" ht="15" spans="1:28">
      <c r="A2150" s="143">
        <v>2108</v>
      </c>
      <c r="B2150" s="144">
        <v>45971</v>
      </c>
      <c r="C2150" s="169" t="s">
        <v>3148</v>
      </c>
      <c r="E2150" s="196" t="s">
        <v>6203</v>
      </c>
      <c r="F2150" s="143" t="s">
        <v>6257</v>
      </c>
      <c r="H2150" s="143" t="s">
        <v>6258</v>
      </c>
      <c r="I2150" s="143" t="s">
        <v>6245</v>
      </c>
      <c r="K2150" s="143">
        <v>150</v>
      </c>
      <c r="W2150" s="143" t="s">
        <v>3147</v>
      </c>
      <c r="X2150" s="143" t="s">
        <v>6257</v>
      </c>
      <c r="Y2150" s="169" t="s">
        <v>6242</v>
      </c>
      <c r="Z2150" s="143" t="s">
        <v>6257</v>
      </c>
      <c r="AA2150" s="173">
        <v>12.8</v>
      </c>
      <c r="AB2150" s="191">
        <v>45978</v>
      </c>
    </row>
    <row r="2151" ht="15" spans="1:28">
      <c r="A2151" s="143">
        <v>2109</v>
      </c>
      <c r="B2151" s="144">
        <v>45971</v>
      </c>
      <c r="C2151" s="169" t="s">
        <v>3148</v>
      </c>
      <c r="E2151" s="196" t="s">
        <v>6203</v>
      </c>
      <c r="F2151" s="143" t="s">
        <v>6259</v>
      </c>
      <c r="H2151" s="143" t="s">
        <v>6260</v>
      </c>
      <c r="I2151" s="143" t="s">
        <v>6241</v>
      </c>
      <c r="K2151" s="143">
        <v>150</v>
      </c>
      <c r="W2151" s="143" t="s">
        <v>3147</v>
      </c>
      <c r="X2151" s="143" t="s">
        <v>6259</v>
      </c>
      <c r="Y2151" s="169" t="s">
        <v>6242</v>
      </c>
      <c r="Z2151" s="143" t="s">
        <v>6259</v>
      </c>
      <c r="AA2151" s="173">
        <v>13.6</v>
      </c>
      <c r="AB2151" s="191">
        <v>45978</v>
      </c>
    </row>
    <row r="2152" ht="15" spans="1:28">
      <c r="A2152" s="143">
        <v>2110</v>
      </c>
      <c r="B2152" s="144">
        <v>45971</v>
      </c>
      <c r="C2152" s="169" t="s">
        <v>3148</v>
      </c>
      <c r="E2152" s="196" t="s">
        <v>6203</v>
      </c>
      <c r="F2152" s="143" t="s">
        <v>6261</v>
      </c>
      <c r="H2152" s="143" t="s">
        <v>6262</v>
      </c>
      <c r="I2152" s="143" t="s">
        <v>6241</v>
      </c>
      <c r="K2152" s="143">
        <v>150</v>
      </c>
      <c r="W2152" s="143" t="s">
        <v>3147</v>
      </c>
      <c r="X2152" s="143" t="s">
        <v>6261</v>
      </c>
      <c r="Y2152" s="169" t="s">
        <v>6242</v>
      </c>
      <c r="Z2152" s="143" t="s">
        <v>6261</v>
      </c>
      <c r="AA2152" s="173">
        <v>14.6</v>
      </c>
      <c r="AB2152" s="191">
        <v>45978</v>
      </c>
    </row>
    <row r="2153" spans="1:28">
      <c r="A2153" s="143">
        <v>2111</v>
      </c>
      <c r="B2153" s="144">
        <v>45971</v>
      </c>
      <c r="C2153" s="169" t="s">
        <v>3148</v>
      </c>
      <c r="E2153" s="196" t="s">
        <v>6203</v>
      </c>
      <c r="F2153" s="143">
        <v>2664</v>
      </c>
      <c r="H2153" s="143" t="s">
        <v>6263</v>
      </c>
      <c r="W2153" s="143" t="s">
        <v>3147</v>
      </c>
      <c r="X2153" s="143">
        <v>2664</v>
      </c>
      <c r="Y2153" s="169" t="s">
        <v>6264</v>
      </c>
      <c r="Z2153" s="143">
        <v>2664</v>
      </c>
    </row>
    <row r="2154" spans="1:28">
      <c r="A2154" s="143">
        <v>2112</v>
      </c>
      <c r="B2154" s="144">
        <v>45971</v>
      </c>
      <c r="C2154" s="169" t="s">
        <v>3148</v>
      </c>
      <c r="E2154" s="196" t="s">
        <v>6203</v>
      </c>
      <c r="F2154" s="143">
        <v>9180</v>
      </c>
      <c r="H2154" s="143" t="s">
        <v>6265</v>
      </c>
      <c r="W2154" s="143" t="s">
        <v>3147</v>
      </c>
      <c r="X2154" s="143">
        <v>9180</v>
      </c>
      <c r="Y2154" s="169" t="s">
        <v>6264</v>
      </c>
      <c r="Z2154" s="143">
        <v>9180</v>
      </c>
    </row>
    <row r="2155" spans="1:28">
      <c r="A2155" s="143">
        <v>2113</v>
      </c>
      <c r="B2155" s="144">
        <v>45971</v>
      </c>
      <c r="C2155" s="169" t="s">
        <v>3148</v>
      </c>
      <c r="E2155" s="196" t="s">
        <v>6203</v>
      </c>
      <c r="F2155" s="143">
        <v>9057</v>
      </c>
      <c r="H2155" s="143" t="s">
        <v>6266</v>
      </c>
      <c r="W2155" s="143" t="s">
        <v>3147</v>
      </c>
      <c r="X2155" s="143">
        <v>9057</v>
      </c>
      <c r="Y2155" s="169" t="s">
        <v>6264</v>
      </c>
      <c r="Z2155" s="143">
        <v>9057</v>
      </c>
    </row>
    <row r="2156" spans="1:28">
      <c r="A2156" s="143">
        <v>2114</v>
      </c>
      <c r="B2156" s="144">
        <v>45971</v>
      </c>
      <c r="C2156" s="169" t="s">
        <v>3148</v>
      </c>
      <c r="E2156" s="196" t="s">
        <v>6203</v>
      </c>
      <c r="F2156" s="143" t="s">
        <v>6267</v>
      </c>
      <c r="H2156" s="143" t="s">
        <v>6268</v>
      </c>
      <c r="W2156" s="143" t="s">
        <v>3147</v>
      </c>
      <c r="X2156" s="143" t="s">
        <v>6267</v>
      </c>
      <c r="Y2156" s="169" t="s">
        <v>6264</v>
      </c>
      <c r="Z2156" s="143" t="s">
        <v>6267</v>
      </c>
    </row>
    <row r="2157" spans="1:28">
      <c r="A2157" s="143">
        <v>2115</v>
      </c>
      <c r="B2157" s="144">
        <v>45971</v>
      </c>
      <c r="C2157" s="169" t="s">
        <v>3148</v>
      </c>
      <c r="E2157" s="196" t="s">
        <v>6203</v>
      </c>
      <c r="F2157" s="143">
        <v>2767</v>
      </c>
      <c r="H2157" s="143" t="s">
        <v>6269</v>
      </c>
      <c r="W2157" s="143" t="s">
        <v>3147</v>
      </c>
      <c r="X2157" s="143">
        <v>2767</v>
      </c>
      <c r="Y2157" s="169" t="s">
        <v>6264</v>
      </c>
      <c r="Z2157" s="143">
        <v>2767</v>
      </c>
    </row>
    <row r="2158" spans="1:28">
      <c r="A2158" s="143">
        <v>2116</v>
      </c>
      <c r="B2158" s="144">
        <v>45971</v>
      </c>
      <c r="C2158" s="169" t="s">
        <v>3148</v>
      </c>
      <c r="E2158" s="196" t="s">
        <v>6203</v>
      </c>
      <c r="F2158" s="143">
        <v>2768</v>
      </c>
      <c r="H2158" s="143" t="s">
        <v>6270</v>
      </c>
      <c r="W2158" s="143" t="s">
        <v>3147</v>
      </c>
      <c r="X2158" s="143">
        <v>2768</v>
      </c>
      <c r="Y2158" s="169" t="s">
        <v>6264</v>
      </c>
      <c r="Z2158" s="143">
        <v>2768</v>
      </c>
    </row>
    <row r="2159" spans="1:28">
      <c r="A2159" s="143">
        <v>2117</v>
      </c>
      <c r="B2159" s="144">
        <v>45971</v>
      </c>
      <c r="C2159" s="169" t="s">
        <v>3148</v>
      </c>
      <c r="E2159" s="196" t="s">
        <v>6203</v>
      </c>
      <c r="F2159" s="143">
        <v>2769</v>
      </c>
      <c r="H2159" s="143" t="s">
        <v>6271</v>
      </c>
      <c r="W2159" s="143" t="s">
        <v>3147</v>
      </c>
      <c r="X2159" s="143">
        <v>2769</v>
      </c>
      <c r="Y2159" s="169" t="s">
        <v>6264</v>
      </c>
      <c r="Z2159" s="143">
        <v>2769</v>
      </c>
    </row>
    <row r="2160" spans="1:28">
      <c r="A2160" s="143">
        <v>2118</v>
      </c>
      <c r="B2160" s="144">
        <v>45971</v>
      </c>
      <c r="C2160" s="169" t="s">
        <v>3148</v>
      </c>
      <c r="E2160" s="196" t="s">
        <v>6203</v>
      </c>
      <c r="F2160" s="143">
        <v>2770</v>
      </c>
      <c r="H2160" s="143" t="s">
        <v>6272</v>
      </c>
      <c r="W2160" s="143" t="s">
        <v>3147</v>
      </c>
      <c r="X2160" s="143">
        <v>2770</v>
      </c>
      <c r="Y2160" s="169" t="s">
        <v>6264</v>
      </c>
      <c r="Z2160" s="143">
        <v>2770</v>
      </c>
    </row>
    <row r="2161" spans="1:26">
      <c r="A2161" s="143">
        <v>2119</v>
      </c>
      <c r="B2161" s="144">
        <v>45971</v>
      </c>
      <c r="C2161" s="169" t="s">
        <v>3148</v>
      </c>
      <c r="E2161" s="196" t="s">
        <v>6203</v>
      </c>
      <c r="F2161" s="143">
        <v>2765</v>
      </c>
      <c r="H2161" s="143" t="s">
        <v>6273</v>
      </c>
      <c r="W2161" s="143" t="s">
        <v>3147</v>
      </c>
      <c r="X2161" s="143">
        <v>2765</v>
      </c>
      <c r="Y2161" s="169" t="s">
        <v>6264</v>
      </c>
      <c r="Z2161" s="143">
        <v>2765</v>
      </c>
    </row>
    <row r="2162" spans="1:26">
      <c r="A2162" s="143">
        <v>2120</v>
      </c>
      <c r="B2162" s="144">
        <v>45971</v>
      </c>
      <c r="C2162" s="169" t="s">
        <v>3148</v>
      </c>
      <c r="E2162" s="196" t="s">
        <v>6203</v>
      </c>
      <c r="F2162" s="143">
        <v>2760</v>
      </c>
      <c r="H2162" s="143" t="s">
        <v>6274</v>
      </c>
      <c r="W2162" s="143" t="s">
        <v>3147</v>
      </c>
      <c r="X2162" s="143">
        <v>2760</v>
      </c>
      <c r="Y2162" s="169" t="s">
        <v>6264</v>
      </c>
      <c r="Z2162" s="143">
        <v>2760</v>
      </c>
    </row>
    <row r="2163" spans="1:26">
      <c r="A2163" s="143">
        <v>2121</v>
      </c>
      <c r="B2163" s="144">
        <v>45971</v>
      </c>
      <c r="C2163" s="169" t="s">
        <v>3148</v>
      </c>
      <c r="E2163" s="196" t="s">
        <v>6203</v>
      </c>
      <c r="F2163" s="143">
        <v>2771</v>
      </c>
      <c r="H2163" s="143" t="s">
        <v>6275</v>
      </c>
      <c r="W2163" s="143" t="s">
        <v>3147</v>
      </c>
      <c r="X2163" s="143">
        <v>2771</v>
      </c>
      <c r="Y2163" s="169" t="s">
        <v>6264</v>
      </c>
      <c r="Z2163" s="143">
        <v>2771</v>
      </c>
    </row>
    <row r="2164" spans="1:26">
      <c r="A2164" s="143">
        <v>2122</v>
      </c>
      <c r="B2164" s="144">
        <v>45971</v>
      </c>
      <c r="C2164" s="169" t="s">
        <v>3148</v>
      </c>
      <c r="E2164" s="196" t="s">
        <v>6203</v>
      </c>
      <c r="F2164" s="143">
        <v>2669</v>
      </c>
      <c r="H2164" s="143" t="s">
        <v>6276</v>
      </c>
      <c r="W2164" s="143" t="s">
        <v>3147</v>
      </c>
      <c r="X2164" s="143">
        <v>2669</v>
      </c>
      <c r="Y2164" s="169" t="s">
        <v>6264</v>
      </c>
      <c r="Z2164" s="143">
        <v>2669</v>
      </c>
    </row>
    <row r="2165" spans="1:26">
      <c r="A2165" s="143">
        <v>2123</v>
      </c>
      <c r="B2165" s="144">
        <v>45971</v>
      </c>
      <c r="C2165" s="169" t="s">
        <v>3148</v>
      </c>
      <c r="E2165" s="196" t="s">
        <v>6203</v>
      </c>
      <c r="F2165" s="143">
        <v>2671</v>
      </c>
      <c r="H2165" s="143" t="s">
        <v>6277</v>
      </c>
      <c r="W2165" s="143" t="s">
        <v>3147</v>
      </c>
      <c r="X2165" s="143">
        <v>2671</v>
      </c>
      <c r="Y2165" s="169" t="s">
        <v>6264</v>
      </c>
      <c r="Z2165" s="143">
        <v>2671</v>
      </c>
    </row>
    <row r="2166" spans="1:26">
      <c r="A2166" s="143">
        <v>2124</v>
      </c>
      <c r="B2166" s="144">
        <v>45971</v>
      </c>
      <c r="C2166" s="169" t="s">
        <v>3148</v>
      </c>
      <c r="E2166" s="196" t="s">
        <v>6203</v>
      </c>
      <c r="F2166" s="143">
        <v>2766</v>
      </c>
      <c r="H2166" s="143" t="s">
        <v>6278</v>
      </c>
      <c r="W2166" s="143" t="s">
        <v>3147</v>
      </c>
      <c r="X2166" s="143">
        <v>2766</v>
      </c>
      <c r="Y2166" s="169" t="s">
        <v>6264</v>
      </c>
      <c r="Z2166" s="143">
        <v>2766</v>
      </c>
    </row>
    <row r="2167" spans="1:26">
      <c r="A2167" s="143">
        <v>2125</v>
      </c>
      <c r="B2167" s="144">
        <v>45971</v>
      </c>
      <c r="C2167" s="169" t="s">
        <v>3148</v>
      </c>
      <c r="E2167" s="196" t="s">
        <v>6203</v>
      </c>
      <c r="F2167" s="143">
        <v>2764</v>
      </c>
      <c r="H2167" s="143" t="s">
        <v>6279</v>
      </c>
      <c r="W2167" s="143" t="s">
        <v>3147</v>
      </c>
      <c r="X2167" s="143">
        <v>2764</v>
      </c>
      <c r="Y2167" s="169" t="s">
        <v>6264</v>
      </c>
      <c r="Z2167" s="143">
        <v>2764</v>
      </c>
    </row>
    <row r="2168" spans="1:26">
      <c r="A2168" s="143">
        <v>2126</v>
      </c>
      <c r="B2168" s="144">
        <v>45971</v>
      </c>
      <c r="C2168" s="169" t="s">
        <v>3148</v>
      </c>
      <c r="E2168" s="196" t="s">
        <v>6203</v>
      </c>
      <c r="F2168" s="143">
        <v>2763</v>
      </c>
      <c r="H2168" s="143" t="s">
        <v>6280</v>
      </c>
      <c r="W2168" s="143" t="s">
        <v>3147</v>
      </c>
      <c r="X2168" s="143">
        <v>2763</v>
      </c>
      <c r="Y2168" s="169" t="s">
        <v>6264</v>
      </c>
      <c r="Z2168" s="143">
        <v>2763</v>
      </c>
    </row>
    <row r="2169" spans="1:26">
      <c r="A2169" s="143">
        <v>2127</v>
      </c>
      <c r="B2169" s="144">
        <v>45971</v>
      </c>
      <c r="C2169" s="169" t="s">
        <v>3148</v>
      </c>
      <c r="E2169" s="196" t="s">
        <v>6203</v>
      </c>
      <c r="F2169" s="143">
        <v>2759</v>
      </c>
      <c r="H2169" s="143" t="s">
        <v>6281</v>
      </c>
      <c r="W2169" s="143" t="s">
        <v>3147</v>
      </c>
      <c r="X2169" s="143">
        <v>2759</v>
      </c>
      <c r="Y2169" s="169" t="s">
        <v>6264</v>
      </c>
      <c r="Z2169" s="143">
        <v>2759</v>
      </c>
    </row>
    <row r="2170" spans="1:26">
      <c r="A2170" s="143">
        <v>2128</v>
      </c>
      <c r="B2170" s="144">
        <v>45971</v>
      </c>
      <c r="C2170" s="169" t="s">
        <v>3148</v>
      </c>
      <c r="E2170" s="196" t="s">
        <v>6203</v>
      </c>
      <c r="F2170" s="143">
        <v>2768</v>
      </c>
      <c r="H2170" s="143" t="s">
        <v>6282</v>
      </c>
      <c r="W2170" s="143" t="s">
        <v>3147</v>
      </c>
      <c r="X2170" s="143">
        <v>2768</v>
      </c>
      <c r="Y2170" s="169" t="s">
        <v>6264</v>
      </c>
      <c r="Z2170" s="143">
        <v>2768</v>
      </c>
    </row>
    <row r="2171" spans="1:26">
      <c r="A2171" s="143">
        <v>2129</v>
      </c>
      <c r="B2171" s="144">
        <v>45971</v>
      </c>
      <c r="C2171" s="169" t="s">
        <v>3148</v>
      </c>
      <c r="E2171" s="196" t="s">
        <v>6203</v>
      </c>
      <c r="F2171" s="143">
        <v>8809</v>
      </c>
      <c r="H2171" s="143" t="s">
        <v>6283</v>
      </c>
      <c r="W2171" s="143" t="s">
        <v>3147</v>
      </c>
      <c r="X2171" s="143">
        <v>8809</v>
      </c>
      <c r="Y2171" s="169" t="s">
        <v>6264</v>
      </c>
      <c r="Z2171" s="143">
        <v>8809</v>
      </c>
    </row>
    <row r="2172" spans="1:26">
      <c r="A2172" s="143">
        <v>2130</v>
      </c>
      <c r="B2172" s="144">
        <v>45971</v>
      </c>
      <c r="C2172" s="169" t="s">
        <v>3148</v>
      </c>
      <c r="E2172" s="196" t="s">
        <v>6203</v>
      </c>
      <c r="F2172" s="143">
        <v>2758</v>
      </c>
      <c r="H2172" s="143" t="s">
        <v>6284</v>
      </c>
      <c r="W2172" s="143" t="s">
        <v>3147</v>
      </c>
      <c r="X2172" s="143">
        <v>2758</v>
      </c>
      <c r="Y2172" s="169" t="s">
        <v>6264</v>
      </c>
      <c r="Z2172" s="143">
        <v>2758</v>
      </c>
    </row>
    <row r="2173" spans="1:26">
      <c r="A2173" s="143">
        <v>2131</v>
      </c>
      <c r="B2173" s="144">
        <v>45971</v>
      </c>
      <c r="C2173" s="169" t="s">
        <v>3148</v>
      </c>
      <c r="E2173" s="196" t="s">
        <v>6203</v>
      </c>
      <c r="F2173" s="143">
        <v>2762</v>
      </c>
      <c r="H2173" s="143" t="s">
        <v>6285</v>
      </c>
      <c r="W2173" s="143" t="s">
        <v>3147</v>
      </c>
      <c r="X2173" s="143">
        <v>2762</v>
      </c>
      <c r="Y2173" s="169" t="s">
        <v>6264</v>
      </c>
      <c r="Z2173" s="143">
        <v>2762</v>
      </c>
    </row>
    <row r="2174" spans="1:26">
      <c r="A2174" s="143">
        <v>2132</v>
      </c>
      <c r="B2174" s="144">
        <v>45971</v>
      </c>
      <c r="C2174" s="169" t="s">
        <v>3148</v>
      </c>
      <c r="E2174" s="196" t="s">
        <v>6203</v>
      </c>
      <c r="F2174" s="143">
        <v>2515</v>
      </c>
      <c r="H2174" s="143" t="s">
        <v>6286</v>
      </c>
      <c r="W2174" s="143" t="s">
        <v>3147</v>
      </c>
      <c r="X2174" s="143">
        <v>2515</v>
      </c>
      <c r="Y2174" s="169" t="s">
        <v>6264</v>
      </c>
      <c r="Z2174" s="143">
        <v>2515</v>
      </c>
    </row>
    <row r="2175" spans="1:26">
      <c r="A2175" s="143">
        <v>2133</v>
      </c>
      <c r="B2175" s="144">
        <v>45971</v>
      </c>
      <c r="C2175" s="169" t="s">
        <v>3148</v>
      </c>
      <c r="E2175" s="196" t="s">
        <v>6203</v>
      </c>
      <c r="F2175" s="143">
        <v>8811</v>
      </c>
      <c r="H2175" s="143" t="s">
        <v>6287</v>
      </c>
      <c r="W2175" s="143" t="s">
        <v>3147</v>
      </c>
      <c r="X2175" s="143">
        <v>8811</v>
      </c>
      <c r="Y2175" s="169" t="s">
        <v>6264</v>
      </c>
      <c r="Z2175" s="143">
        <v>8811</v>
      </c>
    </row>
    <row r="2176" spans="1:26">
      <c r="A2176" s="143">
        <v>2134</v>
      </c>
      <c r="B2176" s="144">
        <v>45971</v>
      </c>
      <c r="C2176" s="169" t="s">
        <v>3148</v>
      </c>
      <c r="E2176" s="196" t="s">
        <v>6203</v>
      </c>
      <c r="F2176" s="143">
        <v>2778</v>
      </c>
      <c r="H2176" s="143" t="s">
        <v>6288</v>
      </c>
      <c r="W2176" s="143" t="s">
        <v>3147</v>
      </c>
      <c r="X2176" s="143">
        <v>2778</v>
      </c>
      <c r="Y2176" s="169" t="s">
        <v>6264</v>
      </c>
      <c r="Z2176" s="143">
        <v>2778</v>
      </c>
    </row>
    <row r="2177" spans="1:28">
      <c r="A2177" s="143">
        <v>2135</v>
      </c>
      <c r="B2177" s="144">
        <v>45971</v>
      </c>
      <c r="C2177" s="169" t="s">
        <v>3148</v>
      </c>
      <c r="E2177" s="196" t="s">
        <v>6203</v>
      </c>
      <c r="F2177" s="143">
        <v>2772</v>
      </c>
      <c r="H2177" s="143" t="s">
        <v>6289</v>
      </c>
      <c r="W2177" s="143" t="s">
        <v>3147</v>
      </c>
      <c r="X2177" s="143">
        <v>2772</v>
      </c>
      <c r="Y2177" s="169" t="s">
        <v>6264</v>
      </c>
      <c r="Z2177" s="143">
        <v>2772</v>
      </c>
    </row>
    <row r="2178" spans="1:28">
      <c r="A2178" s="143">
        <v>2136</v>
      </c>
      <c r="B2178" s="144">
        <v>45971</v>
      </c>
      <c r="C2178" s="169" t="s">
        <v>3148</v>
      </c>
      <c r="E2178" s="196" t="s">
        <v>6203</v>
      </c>
      <c r="F2178" s="143">
        <v>8810</v>
      </c>
      <c r="H2178" s="143" t="s">
        <v>6290</v>
      </c>
      <c r="W2178" s="143" t="s">
        <v>3147</v>
      </c>
      <c r="X2178" s="143">
        <v>8810</v>
      </c>
      <c r="Y2178" s="169" t="s">
        <v>6264</v>
      </c>
      <c r="Z2178" s="143">
        <v>8810</v>
      </c>
    </row>
    <row r="2179" spans="1:28">
      <c r="A2179" s="143">
        <v>2137</v>
      </c>
      <c r="B2179" s="144">
        <v>45971</v>
      </c>
      <c r="C2179" s="169" t="s">
        <v>3148</v>
      </c>
      <c r="E2179" s="196" t="s">
        <v>6203</v>
      </c>
      <c r="F2179" s="143">
        <v>2773</v>
      </c>
      <c r="H2179" s="143" t="s">
        <v>6291</v>
      </c>
      <c r="W2179" s="143" t="s">
        <v>3147</v>
      </c>
      <c r="X2179" s="143">
        <v>2773</v>
      </c>
      <c r="Y2179" s="169" t="s">
        <v>6264</v>
      </c>
      <c r="Z2179" s="143">
        <v>2773</v>
      </c>
    </row>
    <row r="2180" spans="1:28">
      <c r="A2180" s="143">
        <v>2138</v>
      </c>
      <c r="B2180" s="144">
        <v>45971</v>
      </c>
      <c r="C2180" s="169" t="s">
        <v>3148</v>
      </c>
      <c r="E2180" s="196" t="s">
        <v>6203</v>
      </c>
      <c r="F2180" s="143">
        <v>8814</v>
      </c>
      <c r="H2180" s="143" t="s">
        <v>6292</v>
      </c>
      <c r="W2180" s="143" t="s">
        <v>3147</v>
      </c>
      <c r="X2180" s="143">
        <v>8814</v>
      </c>
      <c r="Y2180" s="169" t="s">
        <v>6264</v>
      </c>
      <c r="Z2180" s="143">
        <v>8814</v>
      </c>
    </row>
    <row r="2181" spans="1:28">
      <c r="A2181" s="143">
        <v>2139</v>
      </c>
      <c r="B2181" s="144">
        <v>45971</v>
      </c>
      <c r="C2181" s="169" t="s">
        <v>3148</v>
      </c>
      <c r="E2181" s="196" t="s">
        <v>6203</v>
      </c>
      <c r="F2181" s="143">
        <v>8815</v>
      </c>
      <c r="H2181" s="143" t="s">
        <v>6293</v>
      </c>
      <c r="W2181" s="143" t="s">
        <v>3147</v>
      </c>
      <c r="X2181" s="143">
        <v>8815</v>
      </c>
      <c r="Y2181" s="169" t="s">
        <v>6264</v>
      </c>
      <c r="Z2181" s="143">
        <v>8815</v>
      </c>
    </row>
    <row r="2182" spans="1:28">
      <c r="A2182" s="143">
        <v>2140</v>
      </c>
      <c r="B2182" s="144">
        <v>45971</v>
      </c>
      <c r="C2182" s="169" t="s">
        <v>3148</v>
      </c>
      <c r="E2182" s="196" t="s">
        <v>6203</v>
      </c>
      <c r="F2182" s="143">
        <v>9100</v>
      </c>
      <c r="H2182" s="143" t="s">
        <v>6294</v>
      </c>
      <c r="W2182" s="143" t="s">
        <v>3147</v>
      </c>
      <c r="X2182" s="143">
        <v>9100</v>
      </c>
      <c r="Y2182" s="169" t="s">
        <v>6264</v>
      </c>
      <c r="Z2182" s="143">
        <v>9100</v>
      </c>
    </row>
    <row r="2183" spans="1:28">
      <c r="A2183" s="143">
        <v>2141</v>
      </c>
      <c r="B2183" s="144">
        <v>45971</v>
      </c>
      <c r="C2183" s="169" t="s">
        <v>3148</v>
      </c>
      <c r="E2183" s="196" t="s">
        <v>6203</v>
      </c>
      <c r="F2183" s="143">
        <v>2518</v>
      </c>
      <c r="H2183" s="143" t="s">
        <v>6295</v>
      </c>
      <c r="W2183" s="143" t="s">
        <v>3147</v>
      </c>
      <c r="X2183" s="143">
        <v>2518</v>
      </c>
      <c r="Y2183" s="169" t="s">
        <v>6264</v>
      </c>
      <c r="Z2183" s="143">
        <v>2518</v>
      </c>
    </row>
    <row r="2184" spans="1:28">
      <c r="A2184" s="143">
        <v>2142</v>
      </c>
      <c r="B2184" s="144">
        <v>45971</v>
      </c>
      <c r="C2184" s="169" t="s">
        <v>3148</v>
      </c>
      <c r="E2184" s="196" t="s">
        <v>6203</v>
      </c>
      <c r="F2184" s="143">
        <v>9211</v>
      </c>
      <c r="H2184" s="143" t="s">
        <v>6296</v>
      </c>
      <c r="W2184" s="143" t="s">
        <v>3147</v>
      </c>
      <c r="X2184" s="143">
        <v>9211</v>
      </c>
      <c r="Y2184" s="169" t="s">
        <v>6264</v>
      </c>
      <c r="Z2184" s="143">
        <v>9211</v>
      </c>
    </row>
    <row r="2185" spans="1:28">
      <c r="A2185" s="143">
        <v>2143</v>
      </c>
      <c r="B2185" s="144">
        <v>45971</v>
      </c>
      <c r="C2185" s="169" t="s">
        <v>3148</v>
      </c>
      <c r="E2185" s="196" t="s">
        <v>6203</v>
      </c>
      <c r="F2185" s="143">
        <v>9172</v>
      </c>
      <c r="H2185" s="143" t="s">
        <v>6297</v>
      </c>
      <c r="W2185" s="143" t="s">
        <v>3147</v>
      </c>
      <c r="X2185" s="143">
        <v>9172</v>
      </c>
      <c r="Y2185" s="169" t="s">
        <v>6264</v>
      </c>
      <c r="Z2185" s="143">
        <v>9172</v>
      </c>
    </row>
    <row r="2186" ht="15" spans="1:28">
      <c r="A2186" s="143">
        <v>2144</v>
      </c>
      <c r="B2186" s="144">
        <v>45971</v>
      </c>
      <c r="C2186" s="169" t="s">
        <v>3277</v>
      </c>
      <c r="D2186" s="143" t="s">
        <v>41</v>
      </c>
      <c r="E2186" s="196" t="s">
        <v>5540</v>
      </c>
      <c r="F2186" s="143" t="s">
        <v>6298</v>
      </c>
      <c r="H2186" s="143" t="s">
        <v>6299</v>
      </c>
      <c r="I2186" s="143" t="s">
        <v>6300</v>
      </c>
      <c r="J2186" s="143" t="s">
        <v>6301</v>
      </c>
      <c r="K2186" s="143">
        <v>160</v>
      </c>
      <c r="L2186" s="143">
        <v>280</v>
      </c>
      <c r="Q2186" s="143" t="s">
        <v>3800</v>
      </c>
      <c r="S2186" s="215"/>
      <c r="T2186" s="215"/>
      <c r="U2186" s="215"/>
      <c r="V2186" s="216"/>
      <c r="W2186" s="143" t="s">
        <v>3147</v>
      </c>
      <c r="X2186" s="143" t="str">
        <f t="shared" ref="X2186:X2208" si="7">F2186</f>
        <v>7451#</v>
      </c>
      <c r="Y2186" s="169" t="s">
        <v>6302</v>
      </c>
      <c r="Z2186" s="143" t="str">
        <f t="shared" ref="Z2186:Z2208" si="8">X2186</f>
        <v>7451#</v>
      </c>
      <c r="AA2186" s="173"/>
      <c r="AB2186" s="191"/>
    </row>
    <row r="2187" ht="15" spans="1:28">
      <c r="A2187" s="143">
        <v>2145</v>
      </c>
      <c r="B2187" s="144">
        <v>45971</v>
      </c>
      <c r="C2187" s="169" t="s">
        <v>3277</v>
      </c>
      <c r="D2187" s="143" t="s">
        <v>41</v>
      </c>
      <c r="E2187" s="196" t="s">
        <v>5540</v>
      </c>
      <c r="F2187" s="143">
        <v>3853</v>
      </c>
      <c r="H2187" s="143" t="s">
        <v>6303</v>
      </c>
      <c r="I2187" s="143" t="s">
        <v>6304</v>
      </c>
      <c r="J2187" s="143" t="s">
        <v>6305</v>
      </c>
      <c r="K2187" s="143">
        <v>160</v>
      </c>
      <c r="L2187" s="143">
        <v>280</v>
      </c>
      <c r="S2187" s="215"/>
      <c r="T2187" s="215"/>
      <c r="U2187" s="215"/>
      <c r="V2187" s="216"/>
      <c r="W2187" s="143" t="s">
        <v>3147</v>
      </c>
      <c r="X2187" s="143">
        <f t="shared" si="7"/>
        <v>3853</v>
      </c>
      <c r="Y2187" s="169" t="s">
        <v>6306</v>
      </c>
      <c r="Z2187" s="143">
        <f t="shared" si="8"/>
        <v>3853</v>
      </c>
      <c r="AA2187" s="173"/>
      <c r="AB2187" s="191"/>
    </row>
    <row r="2188" ht="15" spans="1:28">
      <c r="A2188" s="143">
        <v>2146</v>
      </c>
      <c r="B2188" s="144">
        <v>45971</v>
      </c>
      <c r="C2188" s="169" t="s">
        <v>3277</v>
      </c>
      <c r="D2188" s="143" t="s">
        <v>41</v>
      </c>
      <c r="E2188" s="196" t="s">
        <v>5540</v>
      </c>
      <c r="F2188" s="143" t="s">
        <v>6307</v>
      </c>
      <c r="H2188" s="143" t="s">
        <v>6308</v>
      </c>
      <c r="I2188" s="143" t="s">
        <v>4775</v>
      </c>
      <c r="J2188" s="143" t="s">
        <v>2913</v>
      </c>
      <c r="K2188" s="143">
        <v>165</v>
      </c>
      <c r="L2188" s="143">
        <v>300</v>
      </c>
      <c r="Q2188" s="143" t="s">
        <v>3717</v>
      </c>
      <c r="S2188" s="215"/>
      <c r="T2188" s="215"/>
      <c r="U2188" s="215"/>
      <c r="V2188" s="216"/>
      <c r="W2188" s="143" t="s">
        <v>3147</v>
      </c>
      <c r="X2188" s="143" t="str">
        <f t="shared" si="7"/>
        <v>8883#</v>
      </c>
      <c r="Y2188" s="169" t="s">
        <v>6309</v>
      </c>
      <c r="Z2188" s="143" t="str">
        <f t="shared" si="8"/>
        <v>8883#</v>
      </c>
      <c r="AA2188" s="173"/>
      <c r="AB2188" s="191"/>
    </row>
    <row r="2189" ht="15" spans="1:28">
      <c r="A2189" s="143">
        <v>2147</v>
      </c>
      <c r="B2189" s="144">
        <v>45971</v>
      </c>
      <c r="C2189" s="169" t="s">
        <v>3277</v>
      </c>
      <c r="D2189" s="143" t="s">
        <v>41</v>
      </c>
      <c r="E2189" s="196" t="s">
        <v>5540</v>
      </c>
      <c r="F2189" s="143" t="s">
        <v>6310</v>
      </c>
      <c r="H2189" s="143" t="s">
        <v>6311</v>
      </c>
      <c r="I2189" s="143" t="s">
        <v>4775</v>
      </c>
      <c r="J2189" s="143" t="s">
        <v>2913</v>
      </c>
      <c r="K2189" s="143">
        <v>165</v>
      </c>
      <c r="L2189" s="143">
        <v>280</v>
      </c>
      <c r="Q2189" s="143" t="s">
        <v>3800</v>
      </c>
      <c r="S2189" s="215"/>
      <c r="T2189" s="215"/>
      <c r="U2189" s="215"/>
      <c r="V2189" s="216"/>
      <c r="W2189" s="143" t="s">
        <v>3147</v>
      </c>
      <c r="X2189" s="143" t="str">
        <f t="shared" si="7"/>
        <v>8603#</v>
      </c>
      <c r="Y2189" s="169" t="s">
        <v>6309</v>
      </c>
      <c r="Z2189" s="143" t="str">
        <f t="shared" si="8"/>
        <v>8603#</v>
      </c>
      <c r="AA2189" s="173"/>
      <c r="AB2189" s="191"/>
    </row>
    <row r="2190" ht="15" spans="1:28">
      <c r="A2190" s="143">
        <v>2148</v>
      </c>
      <c r="B2190" s="144">
        <v>45971</v>
      </c>
      <c r="C2190" s="169" t="s">
        <v>3277</v>
      </c>
      <c r="D2190" s="143" t="s">
        <v>41</v>
      </c>
      <c r="E2190" s="196" t="s">
        <v>5540</v>
      </c>
      <c r="F2190" s="143" t="s">
        <v>6312</v>
      </c>
      <c r="H2190" s="209" t="s">
        <v>6313</v>
      </c>
      <c r="I2190" s="143" t="s">
        <v>3390</v>
      </c>
      <c r="J2190" s="143" t="s">
        <v>4144</v>
      </c>
      <c r="K2190" s="143">
        <v>145</v>
      </c>
      <c r="S2190" s="215"/>
      <c r="T2190" s="215"/>
      <c r="U2190" s="215"/>
      <c r="V2190" s="216"/>
      <c r="W2190" s="143" t="s">
        <v>3147</v>
      </c>
      <c r="X2190" s="143" t="str">
        <f t="shared" si="7"/>
        <v>C412#</v>
      </c>
      <c r="Y2190" s="169" t="s">
        <v>6314</v>
      </c>
      <c r="Z2190" s="143" t="str">
        <f t="shared" si="8"/>
        <v>C412#</v>
      </c>
      <c r="AA2190" s="173">
        <v>17.5</v>
      </c>
      <c r="AB2190" s="191">
        <v>45978</v>
      </c>
    </row>
    <row r="2191" ht="15" spans="1:28">
      <c r="A2191" s="143">
        <v>2149</v>
      </c>
      <c r="B2191" s="144">
        <v>45971</v>
      </c>
      <c r="C2191" s="169" t="s">
        <v>3277</v>
      </c>
      <c r="D2191" s="143" t="s">
        <v>41</v>
      </c>
      <c r="E2191" s="196" t="s">
        <v>5540</v>
      </c>
      <c r="F2191" s="143" t="s">
        <v>6315</v>
      </c>
      <c r="H2191" s="143" t="s">
        <v>6316</v>
      </c>
      <c r="I2191" s="143" t="s">
        <v>3218</v>
      </c>
      <c r="J2191" s="143" t="s">
        <v>1577</v>
      </c>
      <c r="K2191" s="143">
        <v>145</v>
      </c>
      <c r="S2191" s="215"/>
      <c r="T2191" s="215"/>
      <c r="U2191" s="215"/>
      <c r="V2191" s="216"/>
      <c r="W2191" s="143" t="s">
        <v>3147</v>
      </c>
      <c r="X2191" s="143" t="str">
        <f t="shared" si="7"/>
        <v>C143#</v>
      </c>
      <c r="Y2191" s="169" t="s">
        <v>6314</v>
      </c>
      <c r="Z2191" s="143" t="str">
        <f t="shared" si="8"/>
        <v>C143#</v>
      </c>
      <c r="AA2191" s="173">
        <v>18.2</v>
      </c>
      <c r="AB2191" s="191">
        <v>45978</v>
      </c>
    </row>
    <row r="2192" ht="15" spans="1:28">
      <c r="A2192" s="143">
        <v>2150</v>
      </c>
      <c r="B2192" s="144">
        <v>45971</v>
      </c>
      <c r="C2192" s="169" t="s">
        <v>3277</v>
      </c>
      <c r="D2192" s="143" t="s">
        <v>41</v>
      </c>
      <c r="E2192" s="196" t="s">
        <v>5540</v>
      </c>
      <c r="F2192" s="143" t="s">
        <v>6317</v>
      </c>
      <c r="H2192" s="209" t="s">
        <v>6318</v>
      </c>
      <c r="I2192" s="143" t="s">
        <v>3390</v>
      </c>
      <c r="J2192" s="143" t="s">
        <v>4144</v>
      </c>
      <c r="K2192" s="143">
        <v>145</v>
      </c>
      <c r="S2192" s="215"/>
      <c r="T2192" s="215"/>
      <c r="U2192" s="215"/>
      <c r="V2192" s="216"/>
      <c r="W2192" s="143" t="s">
        <v>3147</v>
      </c>
      <c r="X2192" s="143" t="str">
        <f t="shared" si="7"/>
        <v>W344#</v>
      </c>
      <c r="Y2192" s="169" t="s">
        <v>6314</v>
      </c>
      <c r="Z2192" s="143" t="str">
        <f t="shared" si="8"/>
        <v>W344#</v>
      </c>
      <c r="AA2192" s="173">
        <v>16.8</v>
      </c>
      <c r="AB2192" s="191">
        <v>45978</v>
      </c>
    </row>
    <row r="2193" ht="15" spans="1:28">
      <c r="A2193" s="143">
        <v>2151</v>
      </c>
      <c r="B2193" s="144">
        <v>45971</v>
      </c>
      <c r="C2193" s="169" t="s">
        <v>3277</v>
      </c>
      <c r="D2193" s="143" t="s">
        <v>41</v>
      </c>
      <c r="E2193" s="196" t="s">
        <v>5540</v>
      </c>
      <c r="F2193" s="143" t="s">
        <v>6319</v>
      </c>
      <c r="H2193" s="209" t="s">
        <v>6320</v>
      </c>
      <c r="I2193" s="143" t="s">
        <v>3218</v>
      </c>
      <c r="J2193" s="143" t="s">
        <v>1577</v>
      </c>
      <c r="K2193" s="143">
        <v>100</v>
      </c>
      <c r="S2193" s="215"/>
      <c r="T2193" s="215"/>
      <c r="U2193" s="215"/>
      <c r="V2193" s="216"/>
      <c r="W2193" s="143" t="s">
        <v>3147</v>
      </c>
      <c r="X2193" s="143" t="str">
        <f t="shared" si="7"/>
        <v>C168#</v>
      </c>
      <c r="Y2193" s="169" t="s">
        <v>6314</v>
      </c>
      <c r="Z2193" s="143" t="str">
        <f t="shared" si="8"/>
        <v>C168#</v>
      </c>
      <c r="AA2193" s="173">
        <v>10.5</v>
      </c>
      <c r="AB2193" s="191">
        <v>45978</v>
      </c>
    </row>
    <row r="2194" ht="15" spans="1:28">
      <c r="A2194" s="143">
        <v>2152</v>
      </c>
      <c r="B2194" s="144">
        <v>45971</v>
      </c>
      <c r="C2194" s="169" t="s">
        <v>3277</v>
      </c>
      <c r="D2194" s="143" t="s">
        <v>41</v>
      </c>
      <c r="E2194" s="196" t="s">
        <v>5540</v>
      </c>
      <c r="F2194" s="143" t="s">
        <v>6321</v>
      </c>
      <c r="H2194" s="209" t="s">
        <v>6322</v>
      </c>
      <c r="I2194" s="143" t="s">
        <v>3390</v>
      </c>
      <c r="J2194" s="143" t="s">
        <v>4144</v>
      </c>
      <c r="K2194" s="143">
        <v>145</v>
      </c>
      <c r="S2194" s="215"/>
      <c r="T2194" s="215"/>
      <c r="U2194" s="215"/>
      <c r="V2194" s="216"/>
      <c r="W2194" s="143" t="s">
        <v>3147</v>
      </c>
      <c r="X2194" s="143" t="str">
        <f t="shared" si="7"/>
        <v>C138#</v>
      </c>
      <c r="Y2194" s="169" t="s">
        <v>6314</v>
      </c>
      <c r="Z2194" s="143" t="str">
        <f t="shared" si="8"/>
        <v>C138#</v>
      </c>
      <c r="AA2194" s="173">
        <v>18.2</v>
      </c>
      <c r="AB2194" s="191">
        <v>45978</v>
      </c>
    </row>
    <row r="2195" ht="15" spans="1:28">
      <c r="A2195" s="143">
        <v>2153</v>
      </c>
      <c r="B2195" s="144">
        <v>45971</v>
      </c>
      <c r="C2195" s="169" t="s">
        <v>3277</v>
      </c>
      <c r="D2195" s="143" t="s">
        <v>41</v>
      </c>
      <c r="E2195" s="196" t="s">
        <v>5540</v>
      </c>
      <c r="F2195" s="143" t="s">
        <v>6323</v>
      </c>
      <c r="H2195" s="143" t="s">
        <v>6324</v>
      </c>
      <c r="I2195" s="143" t="s">
        <v>3218</v>
      </c>
      <c r="J2195" s="143" t="s">
        <v>1577</v>
      </c>
      <c r="K2195" s="143">
        <v>145</v>
      </c>
      <c r="S2195" s="215"/>
      <c r="T2195" s="215"/>
      <c r="U2195" s="215"/>
      <c r="V2195" s="216"/>
      <c r="W2195" s="143" t="s">
        <v>3147</v>
      </c>
      <c r="X2195" s="143" t="str">
        <f t="shared" si="7"/>
        <v>C195#</v>
      </c>
      <c r="Y2195" s="169" t="s">
        <v>6314</v>
      </c>
      <c r="Z2195" s="143" t="str">
        <f t="shared" si="8"/>
        <v>C195#</v>
      </c>
      <c r="AA2195" s="173">
        <v>13.8</v>
      </c>
      <c r="AB2195" s="191">
        <v>45978</v>
      </c>
    </row>
    <row r="2196" spans="1:28">
      <c r="A2196" s="143">
        <v>2154</v>
      </c>
      <c r="B2196" s="144">
        <v>45971</v>
      </c>
      <c r="C2196" s="169" t="s">
        <v>3277</v>
      </c>
      <c r="D2196" s="143" t="s">
        <v>41</v>
      </c>
      <c r="E2196" s="196" t="s">
        <v>5540</v>
      </c>
      <c r="F2196" s="143" t="s">
        <v>6325</v>
      </c>
      <c r="H2196" s="143" t="s">
        <v>6326</v>
      </c>
      <c r="I2196" s="143" t="s">
        <v>3218</v>
      </c>
      <c r="J2196" s="143" t="s">
        <v>1577</v>
      </c>
      <c r="K2196" s="143">
        <v>145</v>
      </c>
      <c r="S2196" s="215"/>
      <c r="T2196" s="215"/>
      <c r="U2196" s="215"/>
      <c r="V2196" s="216"/>
      <c r="W2196" s="143" t="s">
        <v>3147</v>
      </c>
      <c r="X2196" s="143" t="str">
        <f t="shared" si="7"/>
        <v>C22#</v>
      </c>
      <c r="Y2196" s="169" t="s">
        <v>6314</v>
      </c>
      <c r="Z2196" s="143" t="str">
        <f t="shared" si="8"/>
        <v>C22#</v>
      </c>
      <c r="AA2196" s="143">
        <v>18.2</v>
      </c>
      <c r="AB2196" s="170">
        <v>45978</v>
      </c>
    </row>
    <row r="2197" spans="1:28">
      <c r="A2197" s="143">
        <v>2155</v>
      </c>
      <c r="B2197" s="144">
        <v>45971</v>
      </c>
      <c r="C2197" s="169" t="s">
        <v>3277</v>
      </c>
      <c r="D2197" s="143" t="s">
        <v>41</v>
      </c>
      <c r="E2197" s="196" t="s">
        <v>5540</v>
      </c>
      <c r="F2197" s="143">
        <v>1568</v>
      </c>
      <c r="H2197" s="143" t="s">
        <v>6327</v>
      </c>
      <c r="K2197" s="143">
        <v>150</v>
      </c>
      <c r="S2197" s="215"/>
      <c r="T2197" s="215"/>
      <c r="U2197" s="215"/>
      <c r="V2197" s="216"/>
      <c r="W2197" s="143" t="s">
        <v>3147</v>
      </c>
      <c r="X2197" s="143">
        <f t="shared" si="7"/>
        <v>1568</v>
      </c>
      <c r="Y2197" s="169" t="s">
        <v>6328</v>
      </c>
      <c r="Z2197" s="143">
        <f t="shared" si="8"/>
        <v>1568</v>
      </c>
    </row>
    <row r="2198" spans="1:28">
      <c r="A2198" s="143">
        <v>2156</v>
      </c>
      <c r="B2198" s="144">
        <v>45971</v>
      </c>
      <c r="C2198" s="169" t="s">
        <v>3277</v>
      </c>
      <c r="D2198" s="143" t="s">
        <v>41</v>
      </c>
      <c r="E2198" s="196" t="s">
        <v>5540</v>
      </c>
      <c r="F2198" s="143">
        <v>1547</v>
      </c>
      <c r="H2198" s="143" t="s">
        <v>6329</v>
      </c>
      <c r="K2198" s="143">
        <v>150</v>
      </c>
      <c r="S2198" s="215"/>
      <c r="T2198" s="215"/>
      <c r="U2198" s="215"/>
      <c r="V2198" s="216"/>
      <c r="W2198" s="143" t="s">
        <v>3147</v>
      </c>
      <c r="X2198" s="143">
        <f t="shared" si="7"/>
        <v>1547</v>
      </c>
      <c r="Y2198" s="169" t="s">
        <v>6328</v>
      </c>
      <c r="Z2198" s="143">
        <f t="shared" si="8"/>
        <v>1547</v>
      </c>
    </row>
    <row r="2199" spans="1:28">
      <c r="A2199" s="143">
        <v>2157</v>
      </c>
      <c r="B2199" s="144">
        <v>45971</v>
      </c>
      <c r="C2199" s="169" t="s">
        <v>3277</v>
      </c>
      <c r="D2199" s="143" t="s">
        <v>41</v>
      </c>
      <c r="E2199" s="196" t="s">
        <v>5540</v>
      </c>
      <c r="F2199" s="143">
        <v>1508</v>
      </c>
      <c r="H2199" s="143" t="s">
        <v>6330</v>
      </c>
      <c r="K2199" s="143">
        <v>150</v>
      </c>
      <c r="S2199" s="215"/>
      <c r="T2199" s="215"/>
      <c r="U2199" s="215"/>
      <c r="V2199" s="216"/>
      <c r="W2199" s="143" t="s">
        <v>3147</v>
      </c>
      <c r="X2199" s="143">
        <f t="shared" si="7"/>
        <v>1508</v>
      </c>
      <c r="Y2199" s="169" t="s">
        <v>6328</v>
      </c>
      <c r="Z2199" s="143">
        <f t="shared" si="8"/>
        <v>1508</v>
      </c>
    </row>
    <row r="2200" spans="1:28">
      <c r="A2200" s="143">
        <v>2158</v>
      </c>
      <c r="B2200" s="144">
        <v>45971</v>
      </c>
      <c r="C2200" s="169" t="s">
        <v>3277</v>
      </c>
      <c r="D2200" s="143" t="s">
        <v>41</v>
      </c>
      <c r="E2200" s="196" t="s">
        <v>5540</v>
      </c>
      <c r="F2200" s="143" t="s">
        <v>6331</v>
      </c>
      <c r="H2200" s="143" t="s">
        <v>6332</v>
      </c>
      <c r="K2200" s="143">
        <v>150</v>
      </c>
      <c r="S2200" s="215"/>
      <c r="T2200" s="215"/>
      <c r="U2200" s="215"/>
      <c r="V2200" s="216"/>
      <c r="W2200" s="143" t="s">
        <v>3147</v>
      </c>
      <c r="X2200" s="143" t="str">
        <f t="shared" si="7"/>
        <v>1089-1</v>
      </c>
      <c r="Y2200" s="169" t="s">
        <v>6328</v>
      </c>
      <c r="Z2200" s="143" t="str">
        <f t="shared" si="8"/>
        <v>1089-1</v>
      </c>
    </row>
    <row r="2201" ht="15" spans="1:28">
      <c r="A2201" s="143">
        <v>2159</v>
      </c>
      <c r="B2201" s="144">
        <v>45971</v>
      </c>
      <c r="C2201" s="169" t="s">
        <v>3277</v>
      </c>
      <c r="D2201" s="143" t="s">
        <v>41</v>
      </c>
      <c r="E2201" s="196" t="s">
        <v>5540</v>
      </c>
      <c r="F2201" s="169" t="s">
        <v>6333</v>
      </c>
      <c r="H2201" s="143" t="s">
        <v>6334</v>
      </c>
      <c r="I2201" s="143" t="s">
        <v>3170</v>
      </c>
      <c r="J2201" s="143" t="s">
        <v>6335</v>
      </c>
      <c r="K2201" s="143">
        <v>150</v>
      </c>
      <c r="L2201" s="143">
        <v>120</v>
      </c>
      <c r="S2201" s="215"/>
      <c r="T2201" s="215"/>
      <c r="U2201" s="215"/>
      <c r="V2201" s="216"/>
      <c r="W2201" s="143" t="s">
        <v>3147</v>
      </c>
      <c r="X2201" s="143" t="str">
        <f t="shared" si="7"/>
        <v>翩翩皱</v>
      </c>
      <c r="Y2201" s="169" t="s">
        <v>6336</v>
      </c>
      <c r="Z2201" s="143" t="str">
        <f t="shared" si="8"/>
        <v>翩翩皱</v>
      </c>
      <c r="AA2201" s="173">
        <v>9.5</v>
      </c>
      <c r="AB2201" s="191">
        <v>45978</v>
      </c>
    </row>
    <row r="2202" ht="15" spans="1:28">
      <c r="A2202" s="143">
        <v>2160</v>
      </c>
      <c r="B2202" s="144">
        <v>45971</v>
      </c>
      <c r="C2202" s="169" t="s">
        <v>3277</v>
      </c>
      <c r="D2202" s="143" t="s">
        <v>41</v>
      </c>
      <c r="E2202" s="196" t="s">
        <v>5540</v>
      </c>
      <c r="F2202" s="169" t="s">
        <v>6337</v>
      </c>
      <c r="H2202" s="143" t="s">
        <v>6338</v>
      </c>
      <c r="I2202" s="143" t="s">
        <v>6339</v>
      </c>
      <c r="J2202" s="143" t="s">
        <v>3334</v>
      </c>
      <c r="K2202" s="143">
        <v>150</v>
      </c>
      <c r="L2202" s="143">
        <v>70</v>
      </c>
      <c r="S2202" s="215"/>
      <c r="T2202" s="215"/>
      <c r="U2202" s="215"/>
      <c r="V2202" s="216"/>
      <c r="W2202" s="143" t="s">
        <v>3147</v>
      </c>
      <c r="X2202" s="143" t="str">
        <f t="shared" si="7"/>
        <v>三叶条</v>
      </c>
      <c r="Y2202" s="169" t="s">
        <v>6336</v>
      </c>
      <c r="Z2202" s="143" t="str">
        <f t="shared" si="8"/>
        <v>三叶条</v>
      </c>
      <c r="AA2202" s="173">
        <v>9.8</v>
      </c>
      <c r="AB2202" s="191">
        <v>45978</v>
      </c>
    </row>
    <row r="2203" ht="15" spans="1:28">
      <c r="A2203" s="143">
        <v>2161</v>
      </c>
      <c r="B2203" s="144">
        <v>45971</v>
      </c>
      <c r="C2203" s="169" t="s">
        <v>3277</v>
      </c>
      <c r="D2203" s="143" t="s">
        <v>41</v>
      </c>
      <c r="E2203" s="196" t="s">
        <v>5540</v>
      </c>
      <c r="F2203" s="169" t="s">
        <v>6340</v>
      </c>
      <c r="H2203" s="143" t="s">
        <v>6341</v>
      </c>
      <c r="I2203" s="143" t="s">
        <v>3218</v>
      </c>
      <c r="J2203" s="143" t="s">
        <v>1577</v>
      </c>
      <c r="K2203" s="143">
        <v>150</v>
      </c>
      <c r="L2203" s="143">
        <v>180</v>
      </c>
      <c r="S2203" s="215"/>
      <c r="T2203" s="215"/>
      <c r="U2203" s="215"/>
      <c r="V2203" s="216"/>
      <c r="W2203" s="143" t="s">
        <v>3147</v>
      </c>
      <c r="X2203" s="143" t="str">
        <f t="shared" si="7"/>
        <v>鱼鳞皱</v>
      </c>
      <c r="Y2203" s="169" t="s">
        <v>6336</v>
      </c>
      <c r="Z2203" s="143" t="str">
        <f t="shared" si="8"/>
        <v>鱼鳞皱</v>
      </c>
      <c r="AA2203" s="173">
        <v>12.3</v>
      </c>
      <c r="AB2203" s="191">
        <v>45978</v>
      </c>
    </row>
    <row r="2204" ht="15" spans="1:28">
      <c r="A2204" s="143">
        <v>2162</v>
      </c>
      <c r="B2204" s="144">
        <v>45971</v>
      </c>
      <c r="C2204" s="169" t="s">
        <v>3277</v>
      </c>
      <c r="D2204" s="143" t="s">
        <v>41</v>
      </c>
      <c r="E2204" s="196" t="s">
        <v>5540</v>
      </c>
      <c r="F2204" s="169" t="s">
        <v>6342</v>
      </c>
      <c r="H2204" s="143" t="s">
        <v>6343</v>
      </c>
      <c r="I2204" s="143" t="s">
        <v>6344</v>
      </c>
      <c r="J2204" s="143" t="s">
        <v>6345</v>
      </c>
      <c r="K2204" s="143">
        <v>150</v>
      </c>
      <c r="L2204" s="143">
        <v>130</v>
      </c>
      <c r="S2204" s="215"/>
      <c r="T2204" s="215"/>
      <c r="U2204" s="215"/>
      <c r="V2204" s="216"/>
      <c r="W2204" s="143" t="s">
        <v>3147</v>
      </c>
      <c r="X2204" s="143" t="str">
        <f t="shared" si="7"/>
        <v>天丝冰丽格</v>
      </c>
      <c r="Y2204" s="169" t="s">
        <v>6336</v>
      </c>
      <c r="Z2204" s="143" t="str">
        <f t="shared" si="8"/>
        <v>天丝冰丽格</v>
      </c>
      <c r="AA2204" s="173">
        <v>12.5</v>
      </c>
      <c r="AB2204" s="191">
        <v>45978</v>
      </c>
    </row>
    <row r="2205" ht="15" spans="1:28">
      <c r="A2205" s="143">
        <v>2163</v>
      </c>
      <c r="B2205" s="144">
        <v>45971</v>
      </c>
      <c r="C2205" s="169" t="s">
        <v>3277</v>
      </c>
      <c r="D2205" s="143" t="s">
        <v>41</v>
      </c>
      <c r="E2205" s="196" t="s">
        <v>5540</v>
      </c>
      <c r="F2205" s="169" t="s">
        <v>6346</v>
      </c>
      <c r="H2205" s="143" t="s">
        <v>6347</v>
      </c>
      <c r="I2205" s="143" t="s">
        <v>6348</v>
      </c>
      <c r="J2205" s="143" t="s">
        <v>6349</v>
      </c>
      <c r="K2205" s="143">
        <v>150</v>
      </c>
      <c r="L2205" s="143">
        <v>100</v>
      </c>
      <c r="S2205" s="215"/>
      <c r="T2205" s="215"/>
      <c r="U2205" s="215"/>
      <c r="V2205" s="216"/>
      <c r="W2205" s="143" t="s">
        <v>3147</v>
      </c>
      <c r="X2205" s="143" t="str">
        <f t="shared" si="7"/>
        <v>千屿皱</v>
      </c>
      <c r="Y2205" s="169" t="s">
        <v>6336</v>
      </c>
      <c r="Z2205" s="143" t="str">
        <f t="shared" si="8"/>
        <v>千屿皱</v>
      </c>
      <c r="AA2205" s="173">
        <v>11.5</v>
      </c>
      <c r="AB2205" s="191">
        <v>45978</v>
      </c>
    </row>
    <row r="2206" ht="15" spans="1:28">
      <c r="A2206" s="143">
        <v>2164</v>
      </c>
      <c r="B2206" s="144">
        <v>45971</v>
      </c>
      <c r="C2206" s="169" t="s">
        <v>3277</v>
      </c>
      <c r="D2206" s="143" t="s">
        <v>41</v>
      </c>
      <c r="E2206" s="196" t="s">
        <v>5540</v>
      </c>
      <c r="F2206" s="169" t="s">
        <v>6350</v>
      </c>
      <c r="H2206" s="143" t="s">
        <v>6351</v>
      </c>
      <c r="I2206" s="143" t="s">
        <v>844</v>
      </c>
      <c r="J2206" s="143" t="s">
        <v>845</v>
      </c>
      <c r="K2206" s="143">
        <v>150</v>
      </c>
      <c r="L2206" s="143">
        <v>75</v>
      </c>
      <c r="S2206" s="215"/>
      <c r="T2206" s="215"/>
      <c r="U2206" s="215"/>
      <c r="V2206" s="216"/>
      <c r="W2206" s="143" t="s">
        <v>3147</v>
      </c>
      <c r="X2206" s="143" t="str">
        <f t="shared" si="7"/>
        <v>罗纱条</v>
      </c>
      <c r="Y2206" s="169" t="s">
        <v>6336</v>
      </c>
      <c r="Z2206" s="143" t="str">
        <f t="shared" si="8"/>
        <v>罗纱条</v>
      </c>
      <c r="AA2206" s="173">
        <v>11</v>
      </c>
      <c r="AB2206" s="191">
        <v>45978</v>
      </c>
    </row>
    <row r="2207" ht="15" spans="1:28">
      <c r="A2207" s="143">
        <v>2165</v>
      </c>
      <c r="B2207" s="144">
        <v>45971</v>
      </c>
      <c r="C2207" s="169" t="s">
        <v>3277</v>
      </c>
      <c r="D2207" s="143" t="s">
        <v>41</v>
      </c>
      <c r="E2207" s="196" t="s">
        <v>5540</v>
      </c>
      <c r="F2207" s="169" t="s">
        <v>6352</v>
      </c>
      <c r="H2207" s="143" t="s">
        <v>6353</v>
      </c>
      <c r="I2207" s="143" t="s">
        <v>6354</v>
      </c>
      <c r="J2207" s="143" t="s">
        <v>3433</v>
      </c>
      <c r="K2207" s="143">
        <v>150</v>
      </c>
      <c r="L2207" s="143">
        <v>72</v>
      </c>
      <c r="S2207" s="215"/>
      <c r="T2207" s="215"/>
      <c r="U2207" s="215"/>
      <c r="V2207" s="216"/>
      <c r="W2207" s="143" t="s">
        <v>3147</v>
      </c>
      <c r="X2207" s="143" t="str">
        <f t="shared" si="7"/>
        <v>四喜条</v>
      </c>
      <c r="Y2207" s="169" t="s">
        <v>6336</v>
      </c>
      <c r="Z2207" s="143" t="str">
        <f t="shared" si="8"/>
        <v>四喜条</v>
      </c>
      <c r="AA2207" s="173">
        <v>9.7</v>
      </c>
      <c r="AB2207" s="191">
        <v>45978</v>
      </c>
    </row>
    <row r="2208" ht="15" spans="1:28">
      <c r="A2208" s="143">
        <v>2166</v>
      </c>
      <c r="B2208" s="144">
        <v>45971</v>
      </c>
      <c r="C2208" s="169" t="s">
        <v>3277</v>
      </c>
      <c r="D2208" s="143" t="s">
        <v>41</v>
      </c>
      <c r="E2208" s="196" t="s">
        <v>5540</v>
      </c>
      <c r="F2208" s="169" t="s">
        <v>6355</v>
      </c>
      <c r="G2208" s="169" t="s">
        <v>6356</v>
      </c>
      <c r="H2208" s="143" t="s">
        <v>6357</v>
      </c>
      <c r="I2208" s="143" t="s">
        <v>1200</v>
      </c>
      <c r="J2208" s="143" t="s">
        <v>6358</v>
      </c>
      <c r="K2208" s="143">
        <v>150</v>
      </c>
      <c r="L2208" s="143">
        <v>55</v>
      </c>
      <c r="S2208" s="215"/>
      <c r="T2208" s="215"/>
      <c r="U2208" s="215"/>
      <c r="V2208" s="216"/>
      <c r="W2208" s="143" t="s">
        <v>3147</v>
      </c>
      <c r="X2208" s="143" t="str">
        <f t="shared" si="7"/>
        <v>咪咕皱</v>
      </c>
      <c r="Y2208" s="169" t="s">
        <v>6336</v>
      </c>
      <c r="Z2208" s="143" t="str">
        <f t="shared" si="8"/>
        <v>咪咕皱</v>
      </c>
      <c r="AA2208" s="173">
        <v>10.6</v>
      </c>
      <c r="AB2208" s="191">
        <v>45978</v>
      </c>
    </row>
    <row r="2209" ht="15" spans="1:28">
      <c r="A2209" s="143">
        <v>2167</v>
      </c>
      <c r="B2209" s="144">
        <v>45971</v>
      </c>
      <c r="C2209" s="169" t="s">
        <v>3148</v>
      </c>
      <c r="D2209" s="143" t="s">
        <v>41</v>
      </c>
      <c r="E2209" s="196" t="s">
        <v>3857</v>
      </c>
      <c r="F2209" s="143">
        <v>2201</v>
      </c>
      <c r="H2209" s="143" t="s">
        <v>6359</v>
      </c>
      <c r="W2209" s="143" t="s">
        <v>3147</v>
      </c>
      <c r="X2209" s="143">
        <v>2201</v>
      </c>
      <c r="Y2209" s="143" t="s">
        <v>3147</v>
      </c>
      <c r="Z2209" s="143">
        <v>2201</v>
      </c>
      <c r="AA2209" s="173">
        <v>18</v>
      </c>
      <c r="AB2209" s="191">
        <v>45978</v>
      </c>
    </row>
    <row r="2210" ht="15" spans="1:28">
      <c r="A2210" s="143">
        <v>2168</v>
      </c>
      <c r="B2210" s="144">
        <v>45971</v>
      </c>
      <c r="C2210" s="169" t="s">
        <v>3148</v>
      </c>
      <c r="D2210" s="143" t="s">
        <v>41</v>
      </c>
      <c r="E2210" s="196" t="s">
        <v>3857</v>
      </c>
      <c r="F2210" s="143" t="s">
        <v>6360</v>
      </c>
      <c r="H2210" s="143" t="s">
        <v>6361</v>
      </c>
      <c r="I2210" s="143" t="s">
        <v>6362</v>
      </c>
      <c r="J2210" s="143" t="s">
        <v>2860</v>
      </c>
      <c r="W2210" s="143" t="s">
        <v>3147</v>
      </c>
      <c r="X2210" s="143" t="s">
        <v>6360</v>
      </c>
      <c r="Y2210" s="143" t="s">
        <v>3147</v>
      </c>
      <c r="Z2210" s="143" t="s">
        <v>6360</v>
      </c>
      <c r="AA2210" s="173"/>
      <c r="AB2210" s="191">
        <v>45978</v>
      </c>
    </row>
    <row r="2211" ht="15" spans="1:28">
      <c r="A2211" s="143">
        <v>2169</v>
      </c>
      <c r="B2211" s="144">
        <v>45971</v>
      </c>
      <c r="C2211" s="169" t="s">
        <v>3148</v>
      </c>
      <c r="D2211" s="143" t="s">
        <v>41</v>
      </c>
      <c r="E2211" s="196" t="s">
        <v>3857</v>
      </c>
      <c r="F2211" s="169" t="s">
        <v>6363</v>
      </c>
      <c r="H2211" s="143" t="s">
        <v>6364</v>
      </c>
      <c r="I2211" s="143" t="s">
        <v>6365</v>
      </c>
      <c r="J2211" s="143" t="s">
        <v>3861</v>
      </c>
      <c r="W2211" s="143" t="s">
        <v>3147</v>
      </c>
      <c r="X2211" s="169" t="s">
        <v>6363</v>
      </c>
      <c r="Y2211" s="143" t="s">
        <v>3147</v>
      </c>
      <c r="Z2211" s="169" t="s">
        <v>6363</v>
      </c>
      <c r="AA2211" s="173">
        <v>34</v>
      </c>
      <c r="AB2211" s="191">
        <v>45978</v>
      </c>
    </row>
    <row r="2212" ht="15" spans="1:28">
      <c r="A2212" s="143">
        <v>2170</v>
      </c>
      <c r="B2212" s="144">
        <v>45971</v>
      </c>
      <c r="C2212" s="169" t="s">
        <v>3148</v>
      </c>
      <c r="D2212" s="143" t="s">
        <v>41</v>
      </c>
      <c r="E2212" s="196" t="s">
        <v>3857</v>
      </c>
      <c r="F2212" s="169" t="s">
        <v>6366</v>
      </c>
      <c r="H2212" s="143" t="s">
        <v>6367</v>
      </c>
      <c r="I2212" s="143" t="s">
        <v>2859</v>
      </c>
      <c r="J2212" s="143" t="s">
        <v>2860</v>
      </c>
      <c r="W2212" s="143" t="s">
        <v>3147</v>
      </c>
      <c r="X2212" s="169" t="s">
        <v>6366</v>
      </c>
      <c r="Y2212" s="143" t="s">
        <v>3147</v>
      </c>
      <c r="Z2212" s="169" t="s">
        <v>6366</v>
      </c>
      <c r="AA2212" s="173">
        <v>18.5</v>
      </c>
      <c r="AB2212" s="191">
        <v>45978</v>
      </c>
    </row>
    <row r="2213" ht="15" spans="1:28">
      <c r="A2213" s="143">
        <v>2171</v>
      </c>
      <c r="B2213" s="144">
        <v>45971</v>
      </c>
      <c r="C2213" s="169" t="s">
        <v>3148</v>
      </c>
      <c r="D2213" s="143" t="s">
        <v>41</v>
      </c>
      <c r="E2213" s="196" t="s">
        <v>3857</v>
      </c>
      <c r="F2213" s="143">
        <v>2086</v>
      </c>
      <c r="H2213" s="143" t="s">
        <v>6368</v>
      </c>
      <c r="I2213" s="143" t="s">
        <v>6369</v>
      </c>
      <c r="J2213" s="143" t="s">
        <v>6370</v>
      </c>
      <c r="W2213" s="143" t="s">
        <v>3147</v>
      </c>
      <c r="X2213" s="143">
        <v>2086</v>
      </c>
      <c r="Y2213" s="143" t="s">
        <v>3147</v>
      </c>
      <c r="Z2213" s="143">
        <v>2086</v>
      </c>
      <c r="AA2213" s="173">
        <v>18.9</v>
      </c>
      <c r="AB2213" s="191">
        <v>45978</v>
      </c>
    </row>
    <row r="2214" ht="15" spans="1:28">
      <c r="A2214" s="143">
        <v>2172</v>
      </c>
      <c r="B2214" s="144">
        <v>45971</v>
      </c>
      <c r="C2214" s="169" t="s">
        <v>3148</v>
      </c>
      <c r="D2214" s="143" t="s">
        <v>41</v>
      </c>
      <c r="E2214" s="196" t="s">
        <v>3857</v>
      </c>
      <c r="F2214" s="169" t="s">
        <v>6371</v>
      </c>
      <c r="H2214" s="143" t="s">
        <v>6372</v>
      </c>
      <c r="I2214" s="143" t="s">
        <v>6373</v>
      </c>
      <c r="J2214" s="143" t="s">
        <v>6374</v>
      </c>
      <c r="W2214" s="143" t="s">
        <v>3147</v>
      </c>
      <c r="X2214" s="169" t="s">
        <v>6371</v>
      </c>
      <c r="Y2214" s="143" t="s">
        <v>3147</v>
      </c>
      <c r="Z2214" s="169" t="s">
        <v>6371</v>
      </c>
      <c r="AA2214" s="173">
        <v>16.2</v>
      </c>
      <c r="AB2214" s="191">
        <v>45978</v>
      </c>
    </row>
    <row r="2215" ht="15" spans="1:28">
      <c r="A2215" s="143">
        <v>2173</v>
      </c>
      <c r="B2215" s="144">
        <v>45971</v>
      </c>
      <c r="C2215" s="169" t="s">
        <v>3148</v>
      </c>
      <c r="D2215" s="143" t="s">
        <v>41</v>
      </c>
      <c r="E2215" s="196" t="s">
        <v>3857</v>
      </c>
      <c r="F2215" s="169" t="s">
        <v>6375</v>
      </c>
      <c r="H2215" s="143" t="s">
        <v>6376</v>
      </c>
      <c r="I2215" s="143" t="s">
        <v>2859</v>
      </c>
      <c r="J2215" s="143" t="s">
        <v>6377</v>
      </c>
      <c r="W2215" s="143" t="s">
        <v>3147</v>
      </c>
      <c r="X2215" s="169" t="s">
        <v>6375</v>
      </c>
      <c r="Y2215" s="143" t="s">
        <v>3147</v>
      </c>
      <c r="Z2215" s="169" t="s">
        <v>6375</v>
      </c>
      <c r="AA2215" s="173">
        <v>18.5</v>
      </c>
      <c r="AB2215" s="191">
        <v>45978</v>
      </c>
    </row>
    <row r="2216" ht="15" spans="1:28">
      <c r="A2216" s="143">
        <v>2174</v>
      </c>
      <c r="B2216" s="144">
        <v>45971</v>
      </c>
      <c r="C2216" s="169" t="s">
        <v>3148</v>
      </c>
      <c r="D2216" s="143" t="s">
        <v>41</v>
      </c>
      <c r="E2216" s="196" t="s">
        <v>3857</v>
      </c>
      <c r="F2216" s="169" t="s">
        <v>6378</v>
      </c>
      <c r="H2216" s="143" t="s">
        <v>6379</v>
      </c>
      <c r="I2216" s="143" t="s">
        <v>2859</v>
      </c>
      <c r="J2216" s="143" t="s">
        <v>6377</v>
      </c>
      <c r="W2216" s="143" t="s">
        <v>3147</v>
      </c>
      <c r="X2216" s="169" t="s">
        <v>6378</v>
      </c>
      <c r="Y2216" s="143" t="s">
        <v>3147</v>
      </c>
      <c r="Z2216" s="169" t="s">
        <v>6378</v>
      </c>
      <c r="AA2216" s="173">
        <v>30</v>
      </c>
      <c r="AB2216" s="191">
        <v>45978</v>
      </c>
    </row>
    <row r="2217" ht="15" spans="1:28">
      <c r="A2217" s="143">
        <v>2175</v>
      </c>
      <c r="B2217" s="144">
        <v>45971</v>
      </c>
      <c r="C2217" s="169" t="s">
        <v>3148</v>
      </c>
      <c r="D2217" s="143" t="s">
        <v>41</v>
      </c>
      <c r="E2217" s="196" t="s">
        <v>3857</v>
      </c>
      <c r="F2217" s="143" t="s">
        <v>6380</v>
      </c>
      <c r="H2217" s="143" t="s">
        <v>6381</v>
      </c>
      <c r="I2217" s="143" t="s">
        <v>2859</v>
      </c>
      <c r="W2217" s="143" t="s">
        <v>3147</v>
      </c>
      <c r="X2217" s="143" t="s">
        <v>6380</v>
      </c>
      <c r="Y2217" s="143" t="s">
        <v>3147</v>
      </c>
      <c r="Z2217" s="143" t="s">
        <v>6380</v>
      </c>
      <c r="AA2217" s="173">
        <v>20.8</v>
      </c>
      <c r="AB2217" s="191">
        <v>45978</v>
      </c>
    </row>
    <row r="2218" ht="15" spans="1:28">
      <c r="A2218" s="143">
        <v>2176</v>
      </c>
      <c r="B2218" s="144">
        <v>45971</v>
      </c>
      <c r="C2218" s="169" t="s">
        <v>3148</v>
      </c>
      <c r="D2218" s="143" t="s">
        <v>41</v>
      </c>
      <c r="E2218" s="196" t="s">
        <v>3857</v>
      </c>
      <c r="F2218" s="169" t="s">
        <v>6382</v>
      </c>
      <c r="H2218" s="143" t="s">
        <v>6383</v>
      </c>
      <c r="I2218" s="143" t="s">
        <v>2859</v>
      </c>
      <c r="J2218" s="143" t="s">
        <v>6377</v>
      </c>
      <c r="W2218" s="143" t="s">
        <v>3147</v>
      </c>
      <c r="X2218" s="169" t="s">
        <v>6382</v>
      </c>
      <c r="Y2218" s="143" t="s">
        <v>3147</v>
      </c>
      <c r="Z2218" s="169" t="s">
        <v>6382</v>
      </c>
      <c r="AA2218" s="173">
        <v>19</v>
      </c>
      <c r="AB2218" s="191">
        <v>45978</v>
      </c>
    </row>
    <row r="2219" ht="15" spans="1:28">
      <c r="A2219" s="143">
        <v>2177</v>
      </c>
      <c r="B2219" s="144">
        <v>45971</v>
      </c>
      <c r="C2219" s="169" t="s">
        <v>3148</v>
      </c>
      <c r="D2219" s="143" t="s">
        <v>41</v>
      </c>
      <c r="E2219" s="196" t="s">
        <v>3857</v>
      </c>
      <c r="F2219" s="169" t="s">
        <v>6384</v>
      </c>
      <c r="H2219" s="143" t="s">
        <v>6385</v>
      </c>
      <c r="I2219" s="143" t="s">
        <v>2859</v>
      </c>
      <c r="J2219" s="143" t="s">
        <v>6377</v>
      </c>
      <c r="W2219" s="143" t="s">
        <v>3147</v>
      </c>
      <c r="X2219" s="169" t="s">
        <v>6384</v>
      </c>
      <c r="Y2219" s="143" t="s">
        <v>3147</v>
      </c>
      <c r="Z2219" s="169" t="s">
        <v>6384</v>
      </c>
      <c r="AA2219" s="173">
        <v>20.5</v>
      </c>
      <c r="AB2219" s="191">
        <v>45978</v>
      </c>
    </row>
    <row r="2220" ht="15" spans="1:28">
      <c r="A2220" s="143">
        <v>2178</v>
      </c>
      <c r="B2220" s="144">
        <v>45971</v>
      </c>
      <c r="C2220" s="169" t="s">
        <v>3148</v>
      </c>
      <c r="D2220" s="143" t="s">
        <v>41</v>
      </c>
      <c r="E2220" s="196" t="s">
        <v>3857</v>
      </c>
      <c r="F2220" s="169" t="s">
        <v>6386</v>
      </c>
      <c r="H2220" s="143" t="s">
        <v>6387</v>
      </c>
      <c r="I2220" s="143" t="s">
        <v>6388</v>
      </c>
      <c r="J2220" s="143" t="s">
        <v>6389</v>
      </c>
      <c r="W2220" s="143" t="s">
        <v>3147</v>
      </c>
      <c r="X2220" s="169" t="s">
        <v>6386</v>
      </c>
      <c r="Y2220" s="143" t="s">
        <v>3147</v>
      </c>
      <c r="Z2220" s="169" t="s">
        <v>6386</v>
      </c>
      <c r="AA2220" s="173">
        <v>31.5</v>
      </c>
      <c r="AB2220" s="191">
        <v>45978</v>
      </c>
    </row>
    <row r="2221" ht="15" spans="1:28">
      <c r="A2221" s="143">
        <v>2179</v>
      </c>
      <c r="B2221" s="144">
        <v>45971</v>
      </c>
      <c r="C2221" s="169" t="s">
        <v>3148</v>
      </c>
      <c r="D2221" s="143" t="s">
        <v>41</v>
      </c>
      <c r="E2221" s="196" t="s">
        <v>3857</v>
      </c>
      <c r="F2221" s="143" t="s">
        <v>6390</v>
      </c>
      <c r="H2221" s="143" t="s">
        <v>6391</v>
      </c>
      <c r="I2221" s="143" t="s">
        <v>6392</v>
      </c>
      <c r="J2221" s="143" t="s">
        <v>6393</v>
      </c>
      <c r="W2221" s="143" t="s">
        <v>3147</v>
      </c>
      <c r="X2221" s="143" t="s">
        <v>6390</v>
      </c>
      <c r="Y2221" s="143" t="s">
        <v>3147</v>
      </c>
      <c r="Z2221" s="143" t="s">
        <v>6390</v>
      </c>
      <c r="AA2221" s="173">
        <v>21</v>
      </c>
      <c r="AB2221" s="191">
        <v>45978</v>
      </c>
    </row>
    <row r="2222" ht="15" spans="1:28">
      <c r="A2222" s="143">
        <v>2180</v>
      </c>
      <c r="B2222" s="144">
        <v>45971</v>
      </c>
      <c r="C2222" s="169" t="s">
        <v>3148</v>
      </c>
      <c r="D2222" s="143" t="s">
        <v>41</v>
      </c>
      <c r="E2222" s="196" t="s">
        <v>3857</v>
      </c>
      <c r="F2222" s="169" t="s">
        <v>6394</v>
      </c>
      <c r="H2222" s="143" t="s">
        <v>6395</v>
      </c>
      <c r="I2222" s="143" t="s">
        <v>6373</v>
      </c>
      <c r="J2222" s="143" t="s">
        <v>5168</v>
      </c>
      <c r="W2222" s="143" t="s">
        <v>3147</v>
      </c>
      <c r="X2222" s="169" t="s">
        <v>6394</v>
      </c>
      <c r="Y2222" s="143" t="s">
        <v>3147</v>
      </c>
      <c r="Z2222" s="169" t="s">
        <v>6394</v>
      </c>
      <c r="AA2222" s="173">
        <v>13.5</v>
      </c>
      <c r="AB2222" s="191">
        <v>45978</v>
      </c>
    </row>
    <row r="2223" ht="15" spans="1:28">
      <c r="A2223" s="143">
        <v>2181</v>
      </c>
      <c r="B2223" s="144">
        <v>45971</v>
      </c>
      <c r="C2223" s="169" t="s">
        <v>3148</v>
      </c>
      <c r="D2223" s="143" t="s">
        <v>41</v>
      </c>
      <c r="E2223" s="196" t="s">
        <v>3857</v>
      </c>
      <c r="F2223" s="143" t="s">
        <v>6396</v>
      </c>
      <c r="H2223" s="143" t="s">
        <v>6397</v>
      </c>
      <c r="I2223" s="143" t="s">
        <v>6398</v>
      </c>
      <c r="J2223" s="143" t="s">
        <v>6399</v>
      </c>
      <c r="W2223" s="143" t="s">
        <v>3147</v>
      </c>
      <c r="X2223" s="143" t="s">
        <v>6396</v>
      </c>
      <c r="Y2223" s="143" t="s">
        <v>3147</v>
      </c>
      <c r="Z2223" s="143" t="s">
        <v>6396</v>
      </c>
      <c r="AA2223" s="173">
        <v>24</v>
      </c>
      <c r="AB2223" s="191">
        <v>45978</v>
      </c>
    </row>
    <row r="2224" ht="15" spans="1:28">
      <c r="A2224" s="143">
        <v>2182</v>
      </c>
      <c r="B2224" s="144">
        <v>45971</v>
      </c>
      <c r="C2224" s="169" t="s">
        <v>3148</v>
      </c>
      <c r="D2224" s="143" t="s">
        <v>41</v>
      </c>
      <c r="E2224" s="196" t="s">
        <v>3857</v>
      </c>
      <c r="F2224" s="143" t="s">
        <v>6400</v>
      </c>
      <c r="H2224" s="143" t="s">
        <v>6401</v>
      </c>
      <c r="I2224" s="143" t="s">
        <v>6362</v>
      </c>
      <c r="J2224" s="143" t="s">
        <v>6377</v>
      </c>
      <c r="W2224" s="143" t="s">
        <v>3147</v>
      </c>
      <c r="X2224" s="143" t="s">
        <v>6400</v>
      </c>
      <c r="Y2224" s="143" t="s">
        <v>3147</v>
      </c>
      <c r="Z2224" s="143" t="s">
        <v>6400</v>
      </c>
      <c r="AA2224" s="173">
        <v>18</v>
      </c>
      <c r="AB2224" s="191">
        <v>45978</v>
      </c>
    </row>
    <row r="2225" ht="15" spans="1:28">
      <c r="A2225" s="143">
        <v>2183</v>
      </c>
      <c r="B2225" s="144">
        <v>45971</v>
      </c>
      <c r="C2225" s="169" t="s">
        <v>3148</v>
      </c>
      <c r="D2225" s="143" t="s">
        <v>41</v>
      </c>
      <c r="E2225" s="196" t="s">
        <v>3857</v>
      </c>
      <c r="F2225" s="169" t="s">
        <v>6402</v>
      </c>
      <c r="H2225" s="143" t="s">
        <v>6403</v>
      </c>
      <c r="I2225" s="143" t="s">
        <v>6362</v>
      </c>
      <c r="J2225" s="143" t="s">
        <v>6377</v>
      </c>
      <c r="W2225" s="143" t="s">
        <v>3147</v>
      </c>
      <c r="X2225" s="169" t="s">
        <v>6402</v>
      </c>
      <c r="Y2225" s="143" t="s">
        <v>3147</v>
      </c>
      <c r="Z2225" s="169" t="s">
        <v>6402</v>
      </c>
      <c r="AA2225" s="173">
        <v>23</v>
      </c>
      <c r="AB2225" s="191">
        <v>45978</v>
      </c>
    </row>
    <row r="2226" ht="15" spans="1:28">
      <c r="A2226" s="143">
        <v>2184</v>
      </c>
      <c r="B2226" s="144">
        <v>45971</v>
      </c>
      <c r="C2226" s="169" t="s">
        <v>3148</v>
      </c>
      <c r="D2226" s="143" t="s">
        <v>41</v>
      </c>
      <c r="E2226" s="196" t="s">
        <v>3857</v>
      </c>
      <c r="F2226" s="169" t="s">
        <v>6404</v>
      </c>
      <c r="H2226" s="143" t="s">
        <v>6405</v>
      </c>
      <c r="I2226" s="143" t="s">
        <v>6406</v>
      </c>
      <c r="J2226" s="143" t="s">
        <v>3861</v>
      </c>
      <c r="K2226" s="143">
        <v>160</v>
      </c>
      <c r="W2226" s="143" t="s">
        <v>3147</v>
      </c>
      <c r="X2226" s="169" t="s">
        <v>6404</v>
      </c>
      <c r="Y2226" s="143" t="s">
        <v>3147</v>
      </c>
      <c r="Z2226" s="169" t="s">
        <v>6404</v>
      </c>
      <c r="AA2226" s="173">
        <v>20</v>
      </c>
      <c r="AB2226" s="191">
        <v>45978</v>
      </c>
    </row>
    <row r="2227" ht="15" spans="1:28">
      <c r="A2227" s="143">
        <v>2185</v>
      </c>
      <c r="B2227" s="144">
        <v>45971</v>
      </c>
      <c r="C2227" s="169" t="s">
        <v>3148</v>
      </c>
      <c r="D2227" s="143" t="s">
        <v>41</v>
      </c>
      <c r="E2227" s="196" t="s">
        <v>3857</v>
      </c>
      <c r="F2227" s="169" t="s">
        <v>6407</v>
      </c>
      <c r="H2227" s="143" t="s">
        <v>6408</v>
      </c>
      <c r="I2227" s="143" t="s">
        <v>6388</v>
      </c>
      <c r="J2227" s="143" t="s">
        <v>6409</v>
      </c>
      <c r="W2227" s="143" t="s">
        <v>3147</v>
      </c>
      <c r="X2227" s="169" t="s">
        <v>6407</v>
      </c>
      <c r="Y2227" s="143" t="s">
        <v>3147</v>
      </c>
      <c r="Z2227" s="169" t="s">
        <v>6407</v>
      </c>
      <c r="AA2227" s="173">
        <v>26</v>
      </c>
      <c r="AB2227" s="191">
        <v>45978</v>
      </c>
    </row>
    <row r="2228" ht="15" spans="1:28">
      <c r="A2228" s="143">
        <v>2186</v>
      </c>
      <c r="B2228" s="144">
        <v>45971</v>
      </c>
      <c r="C2228" s="169" t="s">
        <v>3148</v>
      </c>
      <c r="D2228" s="143" t="s">
        <v>41</v>
      </c>
      <c r="E2228" s="196" t="s">
        <v>3857</v>
      </c>
      <c r="F2228" s="169" t="s">
        <v>6410</v>
      </c>
      <c r="H2228" s="143" t="s">
        <v>6411</v>
      </c>
      <c r="I2228" s="143" t="s">
        <v>6412</v>
      </c>
      <c r="J2228" s="143" t="s">
        <v>6413</v>
      </c>
      <c r="W2228" s="143" t="s">
        <v>3147</v>
      </c>
      <c r="X2228" s="169" t="s">
        <v>6410</v>
      </c>
      <c r="Y2228" s="143" t="s">
        <v>3147</v>
      </c>
      <c r="Z2228" s="169" t="s">
        <v>6410</v>
      </c>
      <c r="AA2228" s="173">
        <v>30</v>
      </c>
      <c r="AB2228" s="191">
        <v>45978</v>
      </c>
    </row>
    <row r="2229" ht="15" spans="1:28">
      <c r="A2229" s="143">
        <v>2187</v>
      </c>
      <c r="B2229" s="144">
        <v>45971</v>
      </c>
      <c r="C2229" s="169" t="s">
        <v>3148</v>
      </c>
      <c r="D2229" s="143" t="s">
        <v>41</v>
      </c>
      <c r="E2229" s="196" t="s">
        <v>3857</v>
      </c>
      <c r="F2229" s="169" t="s">
        <v>6414</v>
      </c>
      <c r="H2229" s="143" t="s">
        <v>6415</v>
      </c>
      <c r="I2229" s="143" t="s">
        <v>6392</v>
      </c>
      <c r="J2229" s="143" t="s">
        <v>6393</v>
      </c>
      <c r="W2229" s="143" t="s">
        <v>3147</v>
      </c>
      <c r="X2229" s="169" t="s">
        <v>6414</v>
      </c>
      <c r="Y2229" s="143" t="s">
        <v>3147</v>
      </c>
      <c r="Z2229" s="169" t="s">
        <v>6414</v>
      </c>
      <c r="AA2229" s="173">
        <v>24.2</v>
      </c>
      <c r="AB2229" s="191">
        <v>45978</v>
      </c>
    </row>
    <row r="2230" ht="15" spans="1:28">
      <c r="A2230" s="143">
        <v>2188</v>
      </c>
      <c r="B2230" s="144">
        <v>45971</v>
      </c>
      <c r="C2230" s="169" t="s">
        <v>3148</v>
      </c>
      <c r="D2230" s="143" t="s">
        <v>41</v>
      </c>
      <c r="E2230" s="196" t="s">
        <v>3857</v>
      </c>
      <c r="F2230" s="169" t="s">
        <v>6416</v>
      </c>
      <c r="H2230" s="143" t="s">
        <v>6417</v>
      </c>
      <c r="I2230" s="143" t="s">
        <v>6369</v>
      </c>
      <c r="J2230" s="143" t="s">
        <v>6370</v>
      </c>
      <c r="W2230" s="143" t="s">
        <v>3147</v>
      </c>
      <c r="X2230" s="169" t="s">
        <v>6416</v>
      </c>
      <c r="Y2230" s="143" t="s">
        <v>3147</v>
      </c>
      <c r="Z2230" s="169" t="s">
        <v>6416</v>
      </c>
      <c r="AA2230" s="173">
        <v>22.5</v>
      </c>
      <c r="AB2230" s="191">
        <v>45978</v>
      </c>
    </row>
    <row r="2231" ht="15" spans="1:28">
      <c r="A2231" s="143">
        <v>2189</v>
      </c>
      <c r="B2231" s="144">
        <v>45971</v>
      </c>
      <c r="C2231" s="169" t="s">
        <v>3148</v>
      </c>
      <c r="D2231" s="143" t="s">
        <v>41</v>
      </c>
      <c r="E2231" s="196" t="s">
        <v>3857</v>
      </c>
      <c r="F2231" s="169" t="s">
        <v>6418</v>
      </c>
      <c r="H2231" s="143" t="s">
        <v>6419</v>
      </c>
      <c r="I2231" s="143" t="s">
        <v>6362</v>
      </c>
      <c r="J2231" s="143" t="s">
        <v>6377</v>
      </c>
      <c r="W2231" s="143" t="s">
        <v>3147</v>
      </c>
      <c r="X2231" s="169" t="s">
        <v>6418</v>
      </c>
      <c r="Y2231" s="143" t="s">
        <v>3147</v>
      </c>
      <c r="Z2231" s="169" t="s">
        <v>6418</v>
      </c>
      <c r="AA2231" s="173">
        <v>14.5</v>
      </c>
      <c r="AB2231" s="191">
        <v>45978</v>
      </c>
    </row>
    <row r="2232" ht="15" spans="1:28">
      <c r="A2232" s="143">
        <v>2190</v>
      </c>
      <c r="B2232" s="144">
        <v>45971</v>
      </c>
      <c r="C2232" s="169" t="s">
        <v>3148</v>
      </c>
      <c r="D2232" s="143" t="s">
        <v>41</v>
      </c>
      <c r="E2232" s="196" t="s">
        <v>3857</v>
      </c>
      <c r="F2232" s="143" t="s">
        <v>6420</v>
      </c>
      <c r="H2232" s="143" t="s">
        <v>6421</v>
      </c>
      <c r="I2232" s="143" t="s">
        <v>6422</v>
      </c>
      <c r="J2232" s="143" t="s">
        <v>5146</v>
      </c>
      <c r="W2232" s="143" t="s">
        <v>3147</v>
      </c>
      <c r="X2232" s="143" t="s">
        <v>6420</v>
      </c>
      <c r="Y2232" s="143" t="s">
        <v>3147</v>
      </c>
      <c r="Z2232" s="143" t="s">
        <v>6420</v>
      </c>
      <c r="AA2232" s="173">
        <v>14.5</v>
      </c>
      <c r="AB2232" s="191">
        <v>45978</v>
      </c>
    </row>
    <row r="2233" ht="15" spans="1:28">
      <c r="A2233" s="143">
        <v>2191</v>
      </c>
      <c r="B2233" s="144">
        <v>45971</v>
      </c>
      <c r="C2233" s="169" t="s">
        <v>3148</v>
      </c>
      <c r="D2233" s="143" t="s">
        <v>41</v>
      </c>
      <c r="E2233" s="196" t="s">
        <v>3857</v>
      </c>
      <c r="F2233" s="143" t="s">
        <v>6423</v>
      </c>
      <c r="H2233" s="143" t="s">
        <v>6424</v>
      </c>
      <c r="I2233" s="143" t="s">
        <v>6362</v>
      </c>
      <c r="J2233" s="143" t="s">
        <v>6377</v>
      </c>
      <c r="W2233" s="143" t="s">
        <v>3147</v>
      </c>
      <c r="X2233" s="143" t="s">
        <v>6423</v>
      </c>
      <c r="Y2233" s="143" t="s">
        <v>3147</v>
      </c>
      <c r="Z2233" s="143" t="s">
        <v>6423</v>
      </c>
      <c r="AA2233" s="173">
        <v>21.6</v>
      </c>
      <c r="AB2233" s="191">
        <v>45978</v>
      </c>
    </row>
    <row r="2234" ht="15" spans="1:28">
      <c r="A2234" s="143">
        <v>2192</v>
      </c>
      <c r="B2234" s="144">
        <v>45971</v>
      </c>
      <c r="C2234" s="169" t="s">
        <v>3148</v>
      </c>
      <c r="D2234" s="143" t="s">
        <v>41</v>
      </c>
      <c r="E2234" s="196" t="s">
        <v>3857</v>
      </c>
      <c r="F2234" s="169" t="s">
        <v>6425</v>
      </c>
      <c r="H2234" s="143" t="s">
        <v>6426</v>
      </c>
      <c r="I2234" s="143" t="s">
        <v>6427</v>
      </c>
      <c r="J2234" s="143" t="s">
        <v>6370</v>
      </c>
      <c r="W2234" s="143" t="s">
        <v>3147</v>
      </c>
      <c r="X2234" s="169" t="s">
        <v>6425</v>
      </c>
      <c r="Y2234" s="143" t="s">
        <v>3147</v>
      </c>
      <c r="Z2234" s="169" t="s">
        <v>6425</v>
      </c>
      <c r="AA2234" s="173">
        <v>20</v>
      </c>
      <c r="AB2234" s="191">
        <v>45978</v>
      </c>
    </row>
    <row r="2235" ht="15" spans="1:28">
      <c r="A2235" s="143">
        <v>2193</v>
      </c>
      <c r="B2235" s="144">
        <v>45971</v>
      </c>
      <c r="C2235" s="169" t="s">
        <v>3148</v>
      </c>
      <c r="D2235" s="143" t="s">
        <v>41</v>
      </c>
      <c r="E2235" s="196" t="s">
        <v>3857</v>
      </c>
      <c r="F2235" s="169" t="s">
        <v>6428</v>
      </c>
      <c r="H2235" s="143" t="s">
        <v>6429</v>
      </c>
      <c r="I2235" s="143" t="s">
        <v>6362</v>
      </c>
      <c r="J2235" s="143" t="s">
        <v>6377</v>
      </c>
      <c r="W2235" s="143" t="s">
        <v>3147</v>
      </c>
      <c r="X2235" s="169" t="s">
        <v>6428</v>
      </c>
      <c r="Y2235" s="143" t="s">
        <v>3147</v>
      </c>
      <c r="Z2235" s="169" t="s">
        <v>6428</v>
      </c>
      <c r="AA2235" s="173">
        <v>18.6</v>
      </c>
      <c r="AB2235" s="191">
        <v>45978</v>
      </c>
    </row>
    <row r="2236" ht="15" spans="1:28">
      <c r="A2236" s="143">
        <v>2194</v>
      </c>
      <c r="B2236" s="144">
        <v>45971</v>
      </c>
      <c r="C2236" s="169" t="s">
        <v>3148</v>
      </c>
      <c r="D2236" s="143" t="s">
        <v>41</v>
      </c>
      <c r="E2236" s="196" t="s">
        <v>3857</v>
      </c>
      <c r="F2236" s="169" t="s">
        <v>6430</v>
      </c>
      <c r="H2236" s="143" t="s">
        <v>6431</v>
      </c>
      <c r="I2236" s="143" t="s">
        <v>6432</v>
      </c>
      <c r="J2236" s="143" t="s">
        <v>6374</v>
      </c>
      <c r="W2236" s="143" t="s">
        <v>3147</v>
      </c>
      <c r="X2236" s="169" t="s">
        <v>6430</v>
      </c>
      <c r="Y2236" s="143" t="s">
        <v>3147</v>
      </c>
      <c r="Z2236" s="169" t="s">
        <v>6430</v>
      </c>
      <c r="AA2236" s="173">
        <v>18.8</v>
      </c>
      <c r="AB2236" s="191">
        <v>45978</v>
      </c>
    </row>
    <row r="2237" ht="15" spans="1:28">
      <c r="A2237" s="143">
        <v>2195</v>
      </c>
      <c r="B2237" s="144">
        <v>45971</v>
      </c>
      <c r="C2237" s="169" t="s">
        <v>3148</v>
      </c>
      <c r="D2237" s="143" t="s">
        <v>41</v>
      </c>
      <c r="E2237" s="196" t="s">
        <v>3857</v>
      </c>
      <c r="F2237" s="169" t="s">
        <v>6433</v>
      </c>
      <c r="H2237" s="143" t="s">
        <v>6434</v>
      </c>
      <c r="I2237" s="143" t="s">
        <v>6362</v>
      </c>
      <c r="J2237" s="143" t="s">
        <v>6377</v>
      </c>
      <c r="W2237" s="143" t="s">
        <v>3147</v>
      </c>
      <c r="X2237" s="169" t="s">
        <v>6433</v>
      </c>
      <c r="Y2237" s="143" t="s">
        <v>3147</v>
      </c>
      <c r="Z2237" s="169" t="s">
        <v>6433</v>
      </c>
      <c r="AA2237" s="173">
        <v>22</v>
      </c>
      <c r="AB2237" s="191">
        <v>45978</v>
      </c>
    </row>
    <row r="2238" ht="15" spans="1:28">
      <c r="A2238" s="143">
        <v>2196</v>
      </c>
      <c r="B2238" s="144">
        <v>45971</v>
      </c>
      <c r="C2238" s="169" t="s">
        <v>3148</v>
      </c>
      <c r="D2238" s="143" t="s">
        <v>41</v>
      </c>
      <c r="E2238" s="196" t="s">
        <v>3857</v>
      </c>
      <c r="F2238" s="143" t="s">
        <v>6435</v>
      </c>
      <c r="H2238" s="143" t="s">
        <v>6436</v>
      </c>
      <c r="I2238" s="143" t="s">
        <v>6437</v>
      </c>
      <c r="J2238" s="143" t="s">
        <v>6374</v>
      </c>
      <c r="W2238" s="143" t="s">
        <v>3147</v>
      </c>
      <c r="X2238" s="143" t="s">
        <v>6435</v>
      </c>
      <c r="Y2238" s="143" t="s">
        <v>3147</v>
      </c>
      <c r="Z2238" s="143" t="s">
        <v>6435</v>
      </c>
      <c r="AA2238" s="173">
        <v>19.5</v>
      </c>
      <c r="AB2238" s="191">
        <v>45978</v>
      </c>
    </row>
    <row r="2239" ht="15" spans="1:28">
      <c r="A2239" s="143">
        <v>2197</v>
      </c>
      <c r="B2239" s="144">
        <v>45971</v>
      </c>
      <c r="C2239" s="169" t="s">
        <v>3148</v>
      </c>
      <c r="D2239" s="143" t="s">
        <v>41</v>
      </c>
      <c r="E2239" s="196" t="s">
        <v>3857</v>
      </c>
      <c r="F2239" s="169" t="s">
        <v>6438</v>
      </c>
      <c r="H2239" s="143" t="s">
        <v>6439</v>
      </c>
      <c r="I2239" s="143" t="s">
        <v>6362</v>
      </c>
      <c r="J2239" s="143" t="s">
        <v>6377</v>
      </c>
      <c r="W2239" s="143" t="s">
        <v>3147</v>
      </c>
      <c r="X2239" s="169" t="s">
        <v>6438</v>
      </c>
      <c r="Y2239" s="143" t="s">
        <v>3147</v>
      </c>
      <c r="Z2239" s="169" t="s">
        <v>6438</v>
      </c>
      <c r="AA2239" s="173">
        <v>14.5</v>
      </c>
      <c r="AB2239" s="191">
        <v>45978</v>
      </c>
    </row>
    <row r="2240" ht="15" spans="1:28">
      <c r="A2240" s="143">
        <v>2198</v>
      </c>
      <c r="B2240" s="144">
        <v>45971</v>
      </c>
      <c r="C2240" s="169" t="s">
        <v>3148</v>
      </c>
      <c r="D2240" s="143" t="s">
        <v>41</v>
      </c>
      <c r="E2240" s="196" t="s">
        <v>3857</v>
      </c>
      <c r="F2240" s="169" t="s">
        <v>6440</v>
      </c>
      <c r="H2240" s="143" t="s">
        <v>6441</v>
      </c>
      <c r="I2240" s="143" t="s">
        <v>6437</v>
      </c>
      <c r="J2240" s="143" t="s">
        <v>5168</v>
      </c>
      <c r="K2240" s="143">
        <v>140</v>
      </c>
      <c r="W2240" s="143" t="s">
        <v>3147</v>
      </c>
      <c r="X2240" s="169" t="s">
        <v>6440</v>
      </c>
      <c r="Y2240" s="143" t="s">
        <v>3147</v>
      </c>
      <c r="Z2240" s="169" t="s">
        <v>6440</v>
      </c>
      <c r="AA2240" s="173">
        <v>20.5</v>
      </c>
      <c r="AB2240" s="191">
        <v>45978</v>
      </c>
    </row>
    <row r="2241" ht="15" spans="1:28">
      <c r="A2241" s="143">
        <v>2199</v>
      </c>
      <c r="B2241" s="144">
        <v>45971</v>
      </c>
      <c r="C2241" s="169" t="s">
        <v>3148</v>
      </c>
      <c r="D2241" s="143" t="s">
        <v>41</v>
      </c>
      <c r="E2241" s="196" t="s">
        <v>3857</v>
      </c>
      <c r="F2241" s="169" t="s">
        <v>6442</v>
      </c>
      <c r="H2241" s="143" t="s">
        <v>6443</v>
      </c>
      <c r="I2241" s="143" t="s">
        <v>6444</v>
      </c>
      <c r="J2241" s="143" t="s">
        <v>3861</v>
      </c>
      <c r="W2241" s="143" t="s">
        <v>3147</v>
      </c>
      <c r="X2241" s="169" t="s">
        <v>6442</v>
      </c>
      <c r="Y2241" s="143" t="s">
        <v>3147</v>
      </c>
      <c r="Z2241" s="169" t="s">
        <v>6442</v>
      </c>
      <c r="AA2241" s="173">
        <v>29.5</v>
      </c>
      <c r="AB2241" s="191">
        <v>45978</v>
      </c>
    </row>
    <row r="2242" ht="15" spans="1:28">
      <c r="A2242" s="143">
        <v>2200</v>
      </c>
      <c r="B2242" s="144">
        <v>45971</v>
      </c>
      <c r="C2242" s="169" t="s">
        <v>3148</v>
      </c>
      <c r="D2242" s="143" t="s">
        <v>41</v>
      </c>
      <c r="E2242" s="196" t="s">
        <v>3857</v>
      </c>
      <c r="F2242" s="169" t="s">
        <v>6445</v>
      </c>
      <c r="H2242" s="143" t="s">
        <v>6446</v>
      </c>
      <c r="I2242" s="143" t="s">
        <v>6447</v>
      </c>
      <c r="J2242" s="143" t="s">
        <v>6409</v>
      </c>
      <c r="W2242" s="143" t="s">
        <v>3147</v>
      </c>
      <c r="X2242" s="169" t="s">
        <v>6445</v>
      </c>
      <c r="Y2242" s="143" t="s">
        <v>3147</v>
      </c>
      <c r="Z2242" s="169" t="s">
        <v>6445</v>
      </c>
      <c r="AA2242" s="173">
        <v>24.6</v>
      </c>
      <c r="AB2242" s="191">
        <v>45978</v>
      </c>
    </row>
    <row r="2243" ht="15" spans="1:28">
      <c r="A2243" s="143">
        <v>2201</v>
      </c>
      <c r="B2243" s="144">
        <v>45971</v>
      </c>
      <c r="C2243" s="169" t="s">
        <v>3148</v>
      </c>
      <c r="D2243" s="143" t="s">
        <v>41</v>
      </c>
      <c r="E2243" s="196" t="s">
        <v>3857</v>
      </c>
      <c r="F2243" s="169" t="s">
        <v>6448</v>
      </c>
      <c r="H2243" s="143" t="s">
        <v>6449</v>
      </c>
      <c r="I2243" s="143" t="s">
        <v>6447</v>
      </c>
      <c r="J2243" s="143" t="s">
        <v>6409</v>
      </c>
      <c r="W2243" s="143" t="s">
        <v>3147</v>
      </c>
      <c r="X2243" s="169" t="s">
        <v>6448</v>
      </c>
      <c r="Y2243" s="143" t="s">
        <v>3147</v>
      </c>
      <c r="Z2243" s="169" t="s">
        <v>6448</v>
      </c>
      <c r="AA2243" s="173">
        <v>23.5</v>
      </c>
      <c r="AB2243" s="191">
        <v>45978</v>
      </c>
    </row>
    <row r="2244" ht="15" spans="1:28">
      <c r="A2244" s="143">
        <v>2202</v>
      </c>
      <c r="B2244" s="144">
        <v>45971</v>
      </c>
      <c r="C2244" s="169" t="s">
        <v>3148</v>
      </c>
      <c r="D2244" s="143" t="s">
        <v>41</v>
      </c>
      <c r="E2244" s="196" t="s">
        <v>3857</v>
      </c>
      <c r="F2244" s="169" t="s">
        <v>6450</v>
      </c>
      <c r="H2244" s="143" t="s">
        <v>6451</v>
      </c>
      <c r="I2244" s="143" t="s">
        <v>6447</v>
      </c>
      <c r="J2244" s="143" t="s">
        <v>6409</v>
      </c>
      <c r="W2244" s="143" t="s">
        <v>3147</v>
      </c>
      <c r="X2244" s="169" t="s">
        <v>6450</v>
      </c>
      <c r="Y2244" s="143" t="s">
        <v>3147</v>
      </c>
      <c r="Z2244" s="169" t="s">
        <v>6450</v>
      </c>
      <c r="AA2244" s="173">
        <v>27.6</v>
      </c>
      <c r="AB2244" s="191">
        <v>45978</v>
      </c>
    </row>
    <row r="2245" ht="15" spans="1:28">
      <c r="A2245" s="143">
        <v>2203</v>
      </c>
      <c r="B2245" s="144">
        <v>45971</v>
      </c>
      <c r="C2245" s="169" t="s">
        <v>3148</v>
      </c>
      <c r="D2245" s="143" t="s">
        <v>41</v>
      </c>
      <c r="E2245" s="196" t="s">
        <v>3857</v>
      </c>
      <c r="F2245" s="169" t="s">
        <v>6452</v>
      </c>
      <c r="H2245" s="143" t="s">
        <v>6453</v>
      </c>
      <c r="I2245" s="143" t="s">
        <v>6447</v>
      </c>
      <c r="J2245" s="143" t="s">
        <v>6409</v>
      </c>
      <c r="W2245" s="143" t="s">
        <v>3147</v>
      </c>
      <c r="X2245" s="169" t="s">
        <v>6452</v>
      </c>
      <c r="Y2245" s="143" t="s">
        <v>3147</v>
      </c>
      <c r="Z2245" s="169" t="s">
        <v>6452</v>
      </c>
      <c r="AA2245" s="173">
        <v>27.2</v>
      </c>
      <c r="AB2245" s="191">
        <v>45978</v>
      </c>
    </row>
    <row r="2246" ht="15" spans="1:28">
      <c r="A2246" s="143">
        <v>2204</v>
      </c>
      <c r="B2246" s="144">
        <v>45971</v>
      </c>
      <c r="C2246" s="169" t="s">
        <v>3148</v>
      </c>
      <c r="D2246" s="143" t="s">
        <v>41</v>
      </c>
      <c r="E2246" s="196" t="s">
        <v>3857</v>
      </c>
      <c r="F2246" s="169" t="s">
        <v>6454</v>
      </c>
      <c r="H2246" s="143" t="s">
        <v>6455</v>
      </c>
      <c r="I2246" s="143" t="s">
        <v>6362</v>
      </c>
      <c r="J2246" s="143" t="s">
        <v>6377</v>
      </c>
      <c r="W2246" s="143" t="s">
        <v>3147</v>
      </c>
      <c r="X2246" s="169" t="s">
        <v>6454</v>
      </c>
      <c r="Y2246" s="143" t="s">
        <v>3147</v>
      </c>
      <c r="Z2246" s="169" t="s">
        <v>6454</v>
      </c>
      <c r="AA2246" s="173">
        <v>18.9</v>
      </c>
      <c r="AB2246" s="191">
        <v>45978</v>
      </c>
    </row>
    <row r="2247" ht="15" spans="1:28">
      <c r="A2247" s="143">
        <v>2205</v>
      </c>
      <c r="B2247" s="144">
        <v>45971</v>
      </c>
      <c r="C2247" s="169" t="s">
        <v>3148</v>
      </c>
      <c r="D2247" s="143" t="s">
        <v>41</v>
      </c>
      <c r="E2247" s="196" t="s">
        <v>3857</v>
      </c>
      <c r="F2247" s="143" t="s">
        <v>6456</v>
      </c>
      <c r="H2247" s="143" t="s">
        <v>6457</v>
      </c>
      <c r="I2247" s="143" t="s">
        <v>6458</v>
      </c>
      <c r="J2247" s="143" t="s">
        <v>6459</v>
      </c>
      <c r="W2247" s="143" t="s">
        <v>3147</v>
      </c>
      <c r="X2247" s="143" t="s">
        <v>6456</v>
      </c>
      <c r="Y2247" s="143" t="s">
        <v>3147</v>
      </c>
      <c r="Z2247" s="143" t="s">
        <v>6456</v>
      </c>
      <c r="AA2247" s="173">
        <v>20.5</v>
      </c>
      <c r="AB2247" s="191">
        <v>45978</v>
      </c>
    </row>
    <row r="2248" ht="15" spans="1:28">
      <c r="A2248" s="143">
        <v>2206</v>
      </c>
      <c r="B2248" s="144">
        <v>45971</v>
      </c>
      <c r="C2248" s="169" t="s">
        <v>3148</v>
      </c>
      <c r="D2248" s="143" t="s">
        <v>41</v>
      </c>
      <c r="E2248" s="196" t="s">
        <v>3857</v>
      </c>
      <c r="F2248" s="143" t="s">
        <v>6460</v>
      </c>
      <c r="H2248" s="143" t="s">
        <v>6461</v>
      </c>
      <c r="I2248" s="143" t="s">
        <v>6458</v>
      </c>
      <c r="J2248" s="143" t="s">
        <v>6459</v>
      </c>
      <c r="W2248" s="143" t="s">
        <v>3147</v>
      </c>
      <c r="X2248" s="143" t="s">
        <v>6460</v>
      </c>
      <c r="Y2248" s="143" t="s">
        <v>3147</v>
      </c>
      <c r="Z2248" s="143" t="s">
        <v>6460</v>
      </c>
      <c r="AA2248" s="173">
        <v>19.4</v>
      </c>
      <c r="AB2248" s="191">
        <v>45978</v>
      </c>
    </row>
    <row r="2249" ht="15" spans="1:28">
      <c r="A2249" s="143">
        <v>2207</v>
      </c>
      <c r="B2249" s="144">
        <v>45971</v>
      </c>
      <c r="C2249" s="169" t="s">
        <v>3148</v>
      </c>
      <c r="D2249" s="143" t="s">
        <v>41</v>
      </c>
      <c r="E2249" s="196" t="s">
        <v>3857</v>
      </c>
      <c r="F2249" s="169" t="s">
        <v>6462</v>
      </c>
      <c r="H2249" s="143" t="s">
        <v>6463</v>
      </c>
      <c r="I2249" s="143" t="s">
        <v>6464</v>
      </c>
      <c r="J2249" s="143" t="s">
        <v>6465</v>
      </c>
      <c r="W2249" s="143" t="s">
        <v>3147</v>
      </c>
      <c r="X2249" s="169" t="s">
        <v>6462</v>
      </c>
      <c r="Y2249" s="143" t="s">
        <v>3147</v>
      </c>
      <c r="Z2249" s="169" t="s">
        <v>6462</v>
      </c>
      <c r="AA2249" s="173">
        <v>17.3</v>
      </c>
      <c r="AB2249" s="191">
        <v>45978</v>
      </c>
    </row>
    <row r="2250" ht="15" spans="1:28">
      <c r="A2250" s="143">
        <v>2208</v>
      </c>
      <c r="B2250" s="144">
        <v>45971</v>
      </c>
      <c r="C2250" s="169" t="s">
        <v>3148</v>
      </c>
      <c r="D2250" s="143" t="s">
        <v>41</v>
      </c>
      <c r="E2250" s="196" t="s">
        <v>3857</v>
      </c>
      <c r="F2250" s="270" t="s">
        <v>6466</v>
      </c>
      <c r="H2250" s="143" t="s">
        <v>6467</v>
      </c>
      <c r="W2250" s="143" t="s">
        <v>3147</v>
      </c>
      <c r="X2250" s="270" t="s">
        <v>6466</v>
      </c>
      <c r="Y2250" s="143" t="s">
        <v>3147</v>
      </c>
      <c r="Z2250" s="270" t="s">
        <v>6466</v>
      </c>
      <c r="AA2250" s="173">
        <v>13.5</v>
      </c>
    </row>
    <row r="2251" ht="15" spans="1:28">
      <c r="A2251" s="143">
        <v>2209</v>
      </c>
      <c r="B2251" s="144">
        <v>45971</v>
      </c>
      <c r="C2251" s="169" t="s">
        <v>3148</v>
      </c>
      <c r="D2251" s="143" t="s">
        <v>41</v>
      </c>
      <c r="E2251" s="196" t="s">
        <v>3857</v>
      </c>
      <c r="F2251" s="270" t="s">
        <v>6468</v>
      </c>
      <c r="H2251" s="143" t="s">
        <v>6469</v>
      </c>
      <c r="K2251" s="143">
        <v>150</v>
      </c>
      <c r="W2251" s="143" t="s">
        <v>3147</v>
      </c>
      <c r="X2251" s="270" t="s">
        <v>6468</v>
      </c>
      <c r="Y2251" s="143" t="s">
        <v>3147</v>
      </c>
      <c r="Z2251" s="270" t="s">
        <v>6468</v>
      </c>
      <c r="AA2251" s="173">
        <v>10.8</v>
      </c>
    </row>
    <row r="2252" ht="15" spans="1:28">
      <c r="A2252" s="143">
        <v>2210</v>
      </c>
      <c r="B2252" s="144">
        <v>45971</v>
      </c>
      <c r="C2252" s="169" t="s">
        <v>3148</v>
      </c>
      <c r="D2252" s="143" t="s">
        <v>41</v>
      </c>
      <c r="E2252" s="196" t="s">
        <v>3857</v>
      </c>
      <c r="F2252" s="169" t="s">
        <v>6470</v>
      </c>
      <c r="H2252" s="143" t="s">
        <v>6471</v>
      </c>
      <c r="W2252" s="143" t="s">
        <v>3147</v>
      </c>
      <c r="X2252" s="169" t="s">
        <v>6470</v>
      </c>
      <c r="Y2252" s="143" t="s">
        <v>3147</v>
      </c>
      <c r="Z2252" s="169" t="s">
        <v>6470</v>
      </c>
      <c r="AA2252" s="173">
        <v>20.3</v>
      </c>
    </row>
    <row r="2253" ht="15" spans="1:28">
      <c r="A2253" s="143">
        <v>2211</v>
      </c>
      <c r="B2253" s="144">
        <v>45971</v>
      </c>
      <c r="C2253" s="169" t="s">
        <v>3148</v>
      </c>
      <c r="D2253" s="143" t="s">
        <v>41</v>
      </c>
      <c r="E2253" s="196" t="s">
        <v>3857</v>
      </c>
      <c r="F2253" s="143">
        <v>239</v>
      </c>
      <c r="H2253" s="143" t="s">
        <v>6472</v>
      </c>
      <c r="I2253" s="143" t="s">
        <v>6427</v>
      </c>
      <c r="J2253" s="143" t="s">
        <v>6370</v>
      </c>
      <c r="W2253" s="143" t="s">
        <v>3147</v>
      </c>
      <c r="X2253" s="143">
        <v>239</v>
      </c>
      <c r="Y2253" s="143" t="s">
        <v>3147</v>
      </c>
      <c r="Z2253" s="143">
        <v>239</v>
      </c>
      <c r="AA2253" s="173">
        <v>11.5</v>
      </c>
    </row>
    <row r="2254" ht="15" spans="1:28">
      <c r="A2254" s="143">
        <v>2212</v>
      </c>
      <c r="B2254" s="144">
        <v>45971</v>
      </c>
      <c r="C2254" s="169" t="s">
        <v>3148</v>
      </c>
      <c r="D2254" s="143" t="s">
        <v>41</v>
      </c>
      <c r="E2254" s="196" t="s">
        <v>3857</v>
      </c>
      <c r="F2254" s="169" t="s">
        <v>6473</v>
      </c>
      <c r="H2254" s="143" t="s">
        <v>6474</v>
      </c>
      <c r="I2254" s="143" t="s">
        <v>6437</v>
      </c>
      <c r="J2254" s="143" t="s">
        <v>6374</v>
      </c>
      <c r="W2254" s="143" t="s">
        <v>3147</v>
      </c>
      <c r="X2254" s="169" t="s">
        <v>6473</v>
      </c>
      <c r="Y2254" s="143" t="s">
        <v>3147</v>
      </c>
      <c r="Z2254" s="169" t="s">
        <v>6473</v>
      </c>
      <c r="AA2254" s="173">
        <v>23.6</v>
      </c>
    </row>
    <row r="2255" ht="15" spans="1:28">
      <c r="A2255" s="143">
        <v>2213</v>
      </c>
      <c r="B2255" s="144">
        <v>45971</v>
      </c>
      <c r="C2255" s="169" t="s">
        <v>3148</v>
      </c>
      <c r="D2255" s="143" t="s">
        <v>41</v>
      </c>
      <c r="E2255" s="196" t="s">
        <v>3857</v>
      </c>
      <c r="F2255" s="169" t="s">
        <v>6475</v>
      </c>
      <c r="H2255" s="143" t="s">
        <v>6476</v>
      </c>
      <c r="I2255" s="143" t="s">
        <v>6437</v>
      </c>
      <c r="J2255" s="143" t="s">
        <v>6374</v>
      </c>
      <c r="W2255" s="143" t="s">
        <v>3147</v>
      </c>
      <c r="X2255" s="169" t="s">
        <v>6475</v>
      </c>
      <c r="Y2255" s="143" t="s">
        <v>3147</v>
      </c>
      <c r="Z2255" s="169" t="s">
        <v>6475</v>
      </c>
      <c r="AA2255" s="173">
        <v>18.7</v>
      </c>
    </row>
    <row r="2256" ht="15" spans="1:28">
      <c r="A2256" s="143">
        <v>2214</v>
      </c>
      <c r="B2256" s="144">
        <v>45971</v>
      </c>
      <c r="C2256" s="169" t="s">
        <v>3148</v>
      </c>
      <c r="D2256" s="143" t="s">
        <v>41</v>
      </c>
      <c r="E2256" s="196" t="s">
        <v>3857</v>
      </c>
      <c r="F2256" s="169" t="s">
        <v>6477</v>
      </c>
      <c r="H2256" s="143" t="s">
        <v>6478</v>
      </c>
      <c r="I2256" s="143" t="s">
        <v>6362</v>
      </c>
      <c r="J2256" s="143" t="s">
        <v>6377</v>
      </c>
      <c r="W2256" s="143" t="s">
        <v>3147</v>
      </c>
      <c r="X2256" s="169" t="s">
        <v>6477</v>
      </c>
      <c r="Y2256" s="143" t="s">
        <v>3147</v>
      </c>
      <c r="Z2256" s="169" t="s">
        <v>6477</v>
      </c>
      <c r="AA2256" s="173">
        <v>28.6</v>
      </c>
    </row>
    <row r="2257" ht="15" spans="1:34">
      <c r="A2257" s="143">
        <v>2215</v>
      </c>
      <c r="B2257" s="144">
        <v>45971</v>
      </c>
      <c r="C2257" s="169" t="s">
        <v>3148</v>
      </c>
      <c r="D2257" s="143" t="s">
        <v>41</v>
      </c>
      <c r="E2257" s="196" t="s">
        <v>3857</v>
      </c>
      <c r="F2257" s="169" t="s">
        <v>6479</v>
      </c>
      <c r="H2257" s="143" t="s">
        <v>6480</v>
      </c>
      <c r="I2257" s="143" t="s">
        <v>6362</v>
      </c>
      <c r="J2257" s="143" t="s">
        <v>6377</v>
      </c>
      <c r="K2257" s="143">
        <v>138</v>
      </c>
      <c r="W2257" s="143" t="s">
        <v>3147</v>
      </c>
      <c r="X2257" s="169" t="s">
        <v>6479</v>
      </c>
      <c r="Y2257" s="143" t="s">
        <v>3147</v>
      </c>
      <c r="Z2257" s="169" t="s">
        <v>6479</v>
      </c>
      <c r="AA2257" s="173">
        <v>20</v>
      </c>
    </row>
    <row r="2258" ht="15" spans="1:34">
      <c r="A2258" s="143">
        <v>2216</v>
      </c>
      <c r="B2258" s="144">
        <v>45971</v>
      </c>
      <c r="C2258" s="169" t="s">
        <v>3148</v>
      </c>
      <c r="D2258" s="143" t="s">
        <v>41</v>
      </c>
      <c r="E2258" s="196" t="s">
        <v>3857</v>
      </c>
      <c r="F2258" s="143" t="s">
        <v>6481</v>
      </c>
      <c r="H2258" s="143" t="s">
        <v>6482</v>
      </c>
      <c r="I2258" s="143" t="s">
        <v>6444</v>
      </c>
      <c r="J2258" s="143" t="s">
        <v>3861</v>
      </c>
      <c r="K2258" s="143">
        <v>180</v>
      </c>
      <c r="W2258" s="143" t="s">
        <v>3147</v>
      </c>
      <c r="X2258" s="143" t="s">
        <v>6481</v>
      </c>
      <c r="Y2258" s="143" t="s">
        <v>3147</v>
      </c>
      <c r="Z2258" s="143" t="s">
        <v>6481</v>
      </c>
      <c r="AA2258" s="173">
        <v>23.5</v>
      </c>
    </row>
    <row r="2259" ht="15" spans="1:34">
      <c r="A2259" s="143">
        <v>2217</v>
      </c>
      <c r="B2259" s="144">
        <v>45971</v>
      </c>
      <c r="C2259" s="169" t="s">
        <v>3148</v>
      </c>
      <c r="D2259" s="143" t="s">
        <v>41</v>
      </c>
      <c r="E2259" s="196" t="s">
        <v>3857</v>
      </c>
      <c r="F2259" s="169" t="s">
        <v>6483</v>
      </c>
      <c r="H2259" s="143" t="s">
        <v>6484</v>
      </c>
      <c r="I2259" s="143" t="s">
        <v>6437</v>
      </c>
      <c r="J2259" s="143" t="s">
        <v>6374</v>
      </c>
      <c r="W2259" s="143" t="s">
        <v>3147</v>
      </c>
      <c r="X2259" s="169" t="s">
        <v>6483</v>
      </c>
      <c r="Y2259" s="143" t="s">
        <v>3147</v>
      </c>
      <c r="Z2259" s="169" t="s">
        <v>6483</v>
      </c>
      <c r="AA2259" s="173">
        <v>27.8</v>
      </c>
    </row>
    <row r="2260" ht="15" spans="1:34">
      <c r="A2260" s="143">
        <v>2218</v>
      </c>
      <c r="B2260" s="144">
        <v>45971</v>
      </c>
      <c r="C2260" s="169" t="s">
        <v>3148</v>
      </c>
      <c r="D2260" s="143" t="s">
        <v>41</v>
      </c>
      <c r="E2260" s="196" t="s">
        <v>3857</v>
      </c>
      <c r="F2260" s="143" t="s">
        <v>6485</v>
      </c>
      <c r="H2260" s="143" t="s">
        <v>6486</v>
      </c>
      <c r="I2260" s="143" t="s">
        <v>6437</v>
      </c>
      <c r="W2260" s="143" t="s">
        <v>3147</v>
      </c>
      <c r="X2260" s="143" t="s">
        <v>6485</v>
      </c>
      <c r="Y2260" s="143" t="s">
        <v>3147</v>
      </c>
      <c r="Z2260" s="143" t="s">
        <v>6485</v>
      </c>
      <c r="AA2260" s="173">
        <v>23.5</v>
      </c>
    </row>
    <row r="2261" ht="15" spans="1:34">
      <c r="A2261" s="143">
        <v>2219</v>
      </c>
      <c r="B2261" s="144">
        <v>45971</v>
      </c>
      <c r="C2261" s="169" t="s">
        <v>3277</v>
      </c>
      <c r="D2261" s="143" t="s">
        <v>41</v>
      </c>
      <c r="E2261" s="196" t="s">
        <v>6487</v>
      </c>
      <c r="F2261" s="169" t="s">
        <v>6488</v>
      </c>
      <c r="H2261" s="177" t="s">
        <v>6489</v>
      </c>
      <c r="I2261" s="143" t="s">
        <v>3157</v>
      </c>
      <c r="J2261" s="143" t="s">
        <v>3684</v>
      </c>
      <c r="K2261" s="143">
        <v>150</v>
      </c>
      <c r="L2261" s="143">
        <v>285</v>
      </c>
      <c r="S2261" s="215"/>
      <c r="T2261" s="215"/>
      <c r="U2261" s="215"/>
      <c r="V2261" s="216"/>
      <c r="W2261" s="143" t="s">
        <v>3147</v>
      </c>
      <c r="X2261" s="143" t="str">
        <f t="shared" ref="X2261:X2299" si="9">F2261</f>
        <v>超柔纱卡砂洗磨毛 H2455</v>
      </c>
      <c r="Y2261" s="143" t="s">
        <v>3147</v>
      </c>
      <c r="Z2261" s="143" t="str">
        <f t="shared" ref="Z2261:Z2299" si="10">X2261</f>
        <v>超柔纱卡砂洗磨毛 H2455</v>
      </c>
      <c r="AA2261" s="173">
        <v>14.6</v>
      </c>
      <c r="AB2261" s="191">
        <v>46150</v>
      </c>
      <c r="AH2261" s="143" t="s">
        <v>5302</v>
      </c>
    </row>
    <row r="2262" ht="15" spans="1:34">
      <c r="A2262" s="143">
        <v>2220</v>
      </c>
      <c r="B2262" s="144">
        <v>45971</v>
      </c>
      <c r="C2262" s="169" t="s">
        <v>3277</v>
      </c>
      <c r="D2262" s="143" t="s">
        <v>41</v>
      </c>
      <c r="E2262" s="196" t="s">
        <v>6487</v>
      </c>
      <c r="F2262" s="169" t="s">
        <v>6490</v>
      </c>
      <c r="H2262" s="177" t="s">
        <v>6491</v>
      </c>
      <c r="I2262" s="143" t="s">
        <v>3157</v>
      </c>
      <c r="J2262" s="143" t="s">
        <v>3684</v>
      </c>
      <c r="K2262" s="143">
        <v>150</v>
      </c>
      <c r="L2262" s="143">
        <v>310</v>
      </c>
      <c r="S2262" s="215"/>
      <c r="T2262" s="215"/>
      <c r="U2262" s="215"/>
      <c r="V2262" s="216"/>
      <c r="W2262" s="143" t="s">
        <v>3147</v>
      </c>
      <c r="X2262" s="143" t="str">
        <f t="shared" si="9"/>
        <v>精梳10X10洗水 H2492</v>
      </c>
      <c r="Y2262" s="169" t="s">
        <v>6492</v>
      </c>
      <c r="Z2262" s="143" t="str">
        <f t="shared" si="10"/>
        <v>精梳10X10洗水 H2492</v>
      </c>
      <c r="AA2262" s="173">
        <v>15</v>
      </c>
      <c r="AB2262" s="191">
        <v>46150</v>
      </c>
      <c r="AH2262" s="143" t="s">
        <v>5302</v>
      </c>
    </row>
    <row r="2263" ht="15" spans="1:34">
      <c r="A2263" s="143">
        <v>2221</v>
      </c>
      <c r="B2263" s="144">
        <v>45971</v>
      </c>
      <c r="C2263" s="169" t="s">
        <v>3277</v>
      </c>
      <c r="D2263" s="143" t="s">
        <v>41</v>
      </c>
      <c r="E2263" s="196" t="s">
        <v>6487</v>
      </c>
      <c r="F2263" s="143" t="s">
        <v>6493</v>
      </c>
      <c r="H2263" s="177" t="s">
        <v>6494</v>
      </c>
      <c r="I2263" s="143" t="s">
        <v>3157</v>
      </c>
      <c r="J2263" s="143" t="s">
        <v>3684</v>
      </c>
      <c r="K2263" s="143">
        <v>153</v>
      </c>
      <c r="L2263" s="143">
        <v>225</v>
      </c>
      <c r="S2263" s="215"/>
      <c r="T2263" s="215"/>
      <c r="U2263" s="215"/>
      <c r="V2263" s="216"/>
      <c r="W2263" s="143" t="s">
        <v>3147</v>
      </c>
      <c r="X2263" s="143" t="str">
        <f t="shared" si="9"/>
        <v>1/3细斜砂洗 H2024</v>
      </c>
      <c r="Y2263" s="169" t="s">
        <v>6492</v>
      </c>
      <c r="Z2263" s="143" t="str">
        <f t="shared" si="10"/>
        <v>1/3细斜砂洗 H2024</v>
      </c>
      <c r="AA2263" s="173">
        <v>13.6</v>
      </c>
    </row>
    <row r="2264" ht="15" spans="1:34">
      <c r="A2264" s="143">
        <v>2222</v>
      </c>
      <c r="B2264" s="144">
        <v>45971</v>
      </c>
      <c r="C2264" s="169" t="s">
        <v>3277</v>
      </c>
      <c r="D2264" s="143" t="s">
        <v>41</v>
      </c>
      <c r="E2264" s="196" t="s">
        <v>6487</v>
      </c>
      <c r="F2264" s="169" t="s">
        <v>6495</v>
      </c>
      <c r="H2264" s="177" t="s">
        <v>6496</v>
      </c>
      <c r="I2264" s="143" t="s">
        <v>3157</v>
      </c>
      <c r="J2264" s="143" t="s">
        <v>3684</v>
      </c>
      <c r="K2264" s="143">
        <v>150</v>
      </c>
      <c r="L2264" s="143">
        <v>300</v>
      </c>
      <c r="S2264" s="215"/>
      <c r="T2264" s="215"/>
      <c r="U2264" s="215"/>
      <c r="V2264" s="216"/>
      <c r="W2264" s="143" t="s">
        <v>3147</v>
      </c>
      <c r="X2264" s="143" t="str">
        <f t="shared" si="9"/>
        <v>高密斜超柔洗褪 H2394</v>
      </c>
      <c r="Y2264" s="169" t="s">
        <v>6492</v>
      </c>
      <c r="Z2264" s="143" t="str">
        <f t="shared" si="10"/>
        <v>高密斜超柔洗褪 H2394</v>
      </c>
      <c r="AA2264" s="173">
        <v>16.6</v>
      </c>
    </row>
    <row r="2265" ht="15" spans="1:34">
      <c r="A2265" s="143">
        <v>2223</v>
      </c>
      <c r="B2265" s="144">
        <v>45971</v>
      </c>
      <c r="C2265" s="169" t="s">
        <v>3277</v>
      </c>
      <c r="D2265" s="143" t="s">
        <v>41</v>
      </c>
      <c r="E2265" s="196" t="s">
        <v>6487</v>
      </c>
      <c r="F2265" s="143" t="s">
        <v>6497</v>
      </c>
      <c r="H2265" s="177" t="s">
        <v>6498</v>
      </c>
      <c r="I2265" s="143" t="s">
        <v>3157</v>
      </c>
      <c r="J2265" s="143" t="s">
        <v>3684</v>
      </c>
      <c r="K2265" s="143">
        <v>155</v>
      </c>
      <c r="L2265" s="143">
        <v>260</v>
      </c>
      <c r="S2265" s="215"/>
      <c r="T2265" s="215"/>
      <c r="U2265" s="215"/>
      <c r="V2265" s="216"/>
      <c r="W2265" s="143" t="s">
        <v>3147</v>
      </c>
      <c r="X2265" s="143" t="str">
        <f t="shared" si="9"/>
        <v>108X56砂洗 H1096</v>
      </c>
      <c r="Y2265" s="169" t="s">
        <v>6492</v>
      </c>
      <c r="Z2265" s="143" t="str">
        <f t="shared" si="10"/>
        <v>108X56砂洗 H1096</v>
      </c>
      <c r="AA2265" s="173">
        <v>12.6</v>
      </c>
    </row>
    <row r="2266" ht="15" spans="1:34">
      <c r="A2266" s="143">
        <v>2224</v>
      </c>
      <c r="B2266" s="144">
        <v>45971</v>
      </c>
      <c r="C2266" s="169" t="s">
        <v>3277</v>
      </c>
      <c r="D2266" s="143" t="s">
        <v>41</v>
      </c>
      <c r="E2266" s="196" t="s">
        <v>6487</v>
      </c>
      <c r="F2266" s="169" t="s">
        <v>6499</v>
      </c>
      <c r="H2266" s="177" t="s">
        <v>6500</v>
      </c>
      <c r="I2266" s="143" t="s">
        <v>3157</v>
      </c>
      <c r="J2266" s="143" t="s">
        <v>3684</v>
      </c>
      <c r="K2266" s="143">
        <v>150</v>
      </c>
      <c r="L2266" s="143">
        <v>285</v>
      </c>
      <c r="S2266" s="215"/>
      <c r="T2266" s="215"/>
      <c r="U2266" s="215"/>
      <c r="V2266" s="216"/>
      <c r="W2266" s="143" t="s">
        <v>3147</v>
      </c>
      <c r="X2266" s="143" t="str">
        <f t="shared" si="9"/>
        <v>碳磨超柔洗水 980#</v>
      </c>
      <c r="Y2266" s="169" t="s">
        <v>3159</v>
      </c>
      <c r="Z2266" s="143" t="str">
        <f t="shared" si="10"/>
        <v>碳磨超柔洗水 980#</v>
      </c>
      <c r="AA2266" s="173">
        <v>15.5</v>
      </c>
    </row>
    <row r="2267" ht="15" spans="1:34">
      <c r="A2267" s="143">
        <v>2225</v>
      </c>
      <c r="B2267" s="144">
        <v>45971</v>
      </c>
      <c r="C2267" s="169" t="s">
        <v>3277</v>
      </c>
      <c r="D2267" s="143" t="s">
        <v>41</v>
      </c>
      <c r="E2267" s="196" t="s">
        <v>6487</v>
      </c>
      <c r="F2267" s="143" t="s">
        <v>6501</v>
      </c>
      <c r="H2267" s="177" t="s">
        <v>6502</v>
      </c>
      <c r="I2267" s="143" t="s">
        <v>3157</v>
      </c>
      <c r="J2267" s="143" t="s">
        <v>3684</v>
      </c>
      <c r="K2267" s="143">
        <v>155</v>
      </c>
      <c r="L2267" s="143">
        <v>190</v>
      </c>
      <c r="S2267" s="215"/>
      <c r="T2267" s="215"/>
      <c r="U2267" s="215"/>
      <c r="V2267" s="216"/>
      <c r="W2267" s="143" t="s">
        <v>3147</v>
      </c>
      <c r="X2267" s="143" t="str">
        <f t="shared" si="9"/>
        <v>40X21高密斜洗水 856</v>
      </c>
      <c r="Y2267" s="169" t="s">
        <v>3159</v>
      </c>
      <c r="Z2267" s="143" t="str">
        <f t="shared" si="10"/>
        <v>40X21高密斜洗水 856</v>
      </c>
      <c r="AA2267" s="173">
        <v>14.8</v>
      </c>
      <c r="AB2267" s="191">
        <v>46150</v>
      </c>
      <c r="AH2267" s="143" t="s">
        <v>5302</v>
      </c>
    </row>
    <row r="2268" ht="15" spans="1:34">
      <c r="A2268" s="143">
        <v>2226</v>
      </c>
      <c r="B2268" s="144">
        <v>45971</v>
      </c>
      <c r="C2268" s="169" t="s">
        <v>3277</v>
      </c>
      <c r="D2268" s="143" t="s">
        <v>41</v>
      </c>
      <c r="E2268" s="196" t="s">
        <v>6487</v>
      </c>
      <c r="F2268" s="169" t="s">
        <v>6503</v>
      </c>
      <c r="H2268" s="177" t="s">
        <v>6504</v>
      </c>
      <c r="I2268" s="143" t="s">
        <v>3157</v>
      </c>
      <c r="J2268" s="143" t="s">
        <v>3684</v>
      </c>
      <c r="K2268" s="143">
        <v>152</v>
      </c>
      <c r="L2268" s="143">
        <v>270</v>
      </c>
      <c r="S2268" s="215"/>
      <c r="T2268" s="215"/>
      <c r="U2268" s="215"/>
      <c r="V2268" s="216"/>
      <c r="W2268" s="143" t="s">
        <v>3147</v>
      </c>
      <c r="X2268" s="143" t="str">
        <f t="shared" si="9"/>
        <v>高山棉 480</v>
      </c>
      <c r="Y2268" s="169" t="s">
        <v>3159</v>
      </c>
      <c r="Z2268" s="143" t="str">
        <f t="shared" si="10"/>
        <v>高山棉 480</v>
      </c>
      <c r="AA2268" s="173">
        <v>14.8</v>
      </c>
      <c r="AB2268" s="191">
        <v>46150</v>
      </c>
      <c r="AH2268" s="143" t="s">
        <v>5302</v>
      </c>
    </row>
    <row r="2269" ht="15" spans="1:34">
      <c r="A2269" s="143">
        <v>2227</v>
      </c>
      <c r="B2269" s="144">
        <v>45971</v>
      </c>
      <c r="C2269" s="169" t="s">
        <v>3277</v>
      </c>
      <c r="D2269" s="143" t="s">
        <v>41</v>
      </c>
      <c r="E2269" s="196" t="s">
        <v>6487</v>
      </c>
      <c r="F2269" s="169" t="s">
        <v>6505</v>
      </c>
      <c r="H2269" s="177" t="s">
        <v>6506</v>
      </c>
      <c r="I2269" s="143" t="s">
        <v>3157</v>
      </c>
      <c r="J2269" s="143" t="s">
        <v>3684</v>
      </c>
      <c r="K2269" s="143">
        <v>155</v>
      </c>
      <c r="L2269" s="143">
        <v>230</v>
      </c>
      <c r="S2269" s="215"/>
      <c r="T2269" s="215"/>
      <c r="U2269" s="215"/>
      <c r="V2269" s="216"/>
      <c r="W2269" s="143" t="s">
        <v>3147</v>
      </c>
      <c r="X2269" s="143" t="str">
        <f t="shared" si="9"/>
        <v>中厚骑兵斜洗水 912#</v>
      </c>
      <c r="Y2269" s="169" t="s">
        <v>3159</v>
      </c>
      <c r="Z2269" s="143" t="str">
        <f t="shared" si="10"/>
        <v>中厚骑兵斜洗水 912#</v>
      </c>
      <c r="AA2269" s="173" t="s">
        <v>6507</v>
      </c>
    </row>
    <row r="2270" ht="15" spans="1:34">
      <c r="A2270" s="143">
        <v>2228</v>
      </c>
      <c r="B2270" s="144">
        <v>45971</v>
      </c>
      <c r="C2270" s="169" t="s">
        <v>3277</v>
      </c>
      <c r="D2270" s="143" t="s">
        <v>41</v>
      </c>
      <c r="E2270" s="196" t="s">
        <v>6487</v>
      </c>
      <c r="F2270" s="143" t="s">
        <v>6508</v>
      </c>
      <c r="H2270" s="177" t="s">
        <v>6509</v>
      </c>
      <c r="I2270" s="143" t="s">
        <v>6510</v>
      </c>
      <c r="J2270" s="143" t="s">
        <v>6511</v>
      </c>
      <c r="K2270" s="143">
        <v>150</v>
      </c>
      <c r="L2270" s="143">
        <v>200</v>
      </c>
      <c r="S2270" s="215"/>
      <c r="T2270" s="215"/>
      <c r="U2270" s="215"/>
      <c r="V2270" s="216"/>
      <c r="W2270" s="143" t="s">
        <v>3147</v>
      </c>
      <c r="X2270" s="143" t="str">
        <f t="shared" si="9"/>
        <v>6209#</v>
      </c>
      <c r="Y2270" s="169" t="s">
        <v>6512</v>
      </c>
      <c r="Z2270" s="143" t="str">
        <f t="shared" si="10"/>
        <v>6209#</v>
      </c>
      <c r="AA2270" s="173">
        <v>27</v>
      </c>
    </row>
    <row r="2271" ht="15" spans="1:34">
      <c r="A2271" s="143">
        <v>2229</v>
      </c>
      <c r="B2271" s="144">
        <v>45971</v>
      </c>
      <c r="C2271" s="169" t="s">
        <v>3277</v>
      </c>
      <c r="D2271" s="143" t="s">
        <v>41</v>
      </c>
      <c r="E2271" s="196" t="s">
        <v>6487</v>
      </c>
      <c r="F2271" s="143" t="s">
        <v>6513</v>
      </c>
      <c r="H2271" s="177" t="s">
        <v>6514</v>
      </c>
      <c r="I2271" s="143" t="s">
        <v>3157</v>
      </c>
      <c r="J2271" s="143" t="s">
        <v>3684</v>
      </c>
      <c r="K2271" s="143">
        <v>150</v>
      </c>
      <c r="L2271" s="143">
        <v>130</v>
      </c>
      <c r="S2271" s="215"/>
      <c r="T2271" s="215"/>
      <c r="U2271" s="215"/>
      <c r="V2271" s="216"/>
      <c r="W2271" s="143" t="s">
        <v>3147</v>
      </c>
      <c r="X2271" s="143" t="str">
        <f t="shared" si="9"/>
        <v>9801 新羽棉</v>
      </c>
      <c r="Y2271" s="169" t="s">
        <v>6515</v>
      </c>
      <c r="Z2271" s="143" t="str">
        <f t="shared" si="10"/>
        <v>9801 新羽棉</v>
      </c>
      <c r="AA2271" s="173">
        <v>16.3</v>
      </c>
      <c r="AB2271" s="191">
        <v>46150</v>
      </c>
      <c r="AH2271" s="143" t="s">
        <v>5302</v>
      </c>
    </row>
    <row r="2272" ht="15" spans="1:34">
      <c r="A2272" s="143">
        <v>2230</v>
      </c>
      <c r="B2272" s="144">
        <v>45971</v>
      </c>
      <c r="C2272" s="169" t="s">
        <v>3277</v>
      </c>
      <c r="D2272" s="143" t="s">
        <v>41</v>
      </c>
      <c r="E2272" s="196" t="s">
        <v>6487</v>
      </c>
      <c r="F2272" s="143" t="s">
        <v>4649</v>
      </c>
      <c r="H2272" s="177" t="s">
        <v>6516</v>
      </c>
      <c r="I2272" s="143" t="s">
        <v>3157</v>
      </c>
      <c r="J2272" s="143" t="s">
        <v>3684</v>
      </c>
      <c r="K2272" s="143">
        <v>145</v>
      </c>
      <c r="L2272" s="143">
        <v>126</v>
      </c>
      <c r="S2272" s="215"/>
      <c r="T2272" s="215"/>
      <c r="U2272" s="215"/>
      <c r="V2272" s="216"/>
      <c r="W2272" s="143" t="s">
        <v>3147</v>
      </c>
      <c r="X2272" s="143" t="str">
        <f t="shared" si="9"/>
        <v>1802#</v>
      </c>
      <c r="Y2272" s="169" t="s">
        <v>6517</v>
      </c>
      <c r="Z2272" s="143" t="str">
        <f t="shared" si="10"/>
        <v>1802#</v>
      </c>
      <c r="AA2272" s="173">
        <v>18.2</v>
      </c>
    </row>
    <row r="2273" ht="15" spans="1:28">
      <c r="A2273" s="143">
        <v>2231</v>
      </c>
      <c r="B2273" s="144">
        <v>45971</v>
      </c>
      <c r="C2273" s="169" t="s">
        <v>3277</v>
      </c>
      <c r="D2273" s="143" t="s">
        <v>41</v>
      </c>
      <c r="E2273" s="196" t="s">
        <v>6487</v>
      </c>
      <c r="F2273" s="143" t="s">
        <v>6518</v>
      </c>
      <c r="H2273" s="177" t="s">
        <v>6519</v>
      </c>
      <c r="I2273" s="143" t="s">
        <v>3157</v>
      </c>
      <c r="J2273" s="143" t="s">
        <v>3684</v>
      </c>
      <c r="K2273" s="143">
        <v>155</v>
      </c>
      <c r="L2273" s="143">
        <v>130</v>
      </c>
      <c r="S2273" s="215"/>
      <c r="T2273" s="215"/>
      <c r="U2273" s="215"/>
      <c r="V2273" s="216"/>
      <c r="W2273" s="143" t="s">
        <v>3147</v>
      </c>
      <c r="X2273" s="143" t="str">
        <f t="shared" si="9"/>
        <v>40支高密夫砂洗皱 668</v>
      </c>
      <c r="Y2273" s="143" t="s">
        <v>203</v>
      </c>
      <c r="Z2273" s="143" t="str">
        <f t="shared" si="10"/>
        <v>40支高密夫砂洗皱 668</v>
      </c>
      <c r="AA2273" s="173">
        <v>10.5</v>
      </c>
    </row>
    <row r="2274" ht="15" spans="1:28">
      <c r="A2274" s="143">
        <v>2232</v>
      </c>
      <c r="B2274" s="144">
        <v>45971</v>
      </c>
      <c r="C2274" s="169" t="s">
        <v>3277</v>
      </c>
      <c r="D2274" s="143" t="s">
        <v>41</v>
      </c>
      <c r="E2274" s="196" t="s">
        <v>6487</v>
      </c>
      <c r="F2274" s="143" t="s">
        <v>6520</v>
      </c>
      <c r="H2274" s="143" t="s">
        <v>6521</v>
      </c>
      <c r="K2274" s="143">
        <v>160</v>
      </c>
      <c r="S2274" s="215"/>
      <c r="T2274" s="215"/>
      <c r="U2274" s="215"/>
      <c r="V2274" s="216"/>
      <c r="W2274" s="143" t="s">
        <v>3147</v>
      </c>
      <c r="X2274" s="143" t="str">
        <f t="shared" si="9"/>
        <v>40支高密夫洗水棉 851</v>
      </c>
      <c r="Y2274" s="169" t="s">
        <v>6522</v>
      </c>
      <c r="Z2274" s="143" t="str">
        <f t="shared" si="10"/>
        <v>40支高密夫洗水棉 851</v>
      </c>
      <c r="AA2274" s="173">
        <v>10.2</v>
      </c>
    </row>
    <row r="2275" ht="15" spans="1:28">
      <c r="A2275" s="143">
        <v>2233</v>
      </c>
      <c r="B2275" s="144">
        <v>45971</v>
      </c>
      <c r="C2275" s="169" t="s">
        <v>3277</v>
      </c>
      <c r="D2275" s="143" t="s">
        <v>41</v>
      </c>
      <c r="E2275" s="196" t="s">
        <v>6523</v>
      </c>
      <c r="F2275" s="143" t="s">
        <v>6524</v>
      </c>
      <c r="H2275" s="143" t="s">
        <v>6525</v>
      </c>
      <c r="I2275" s="143" t="s">
        <v>4322</v>
      </c>
      <c r="J2275" s="143" t="s">
        <v>1588</v>
      </c>
      <c r="K2275" s="143">
        <v>150</v>
      </c>
      <c r="S2275" s="215"/>
      <c r="T2275" s="215"/>
      <c r="U2275" s="215"/>
      <c r="V2275" s="216"/>
      <c r="W2275" s="143" t="s">
        <v>3147</v>
      </c>
      <c r="X2275" s="143" t="str">
        <f t="shared" si="9"/>
        <v>1410加密</v>
      </c>
      <c r="Y2275" s="169" t="s">
        <v>4780</v>
      </c>
      <c r="Z2275" s="143" t="str">
        <f t="shared" si="10"/>
        <v>1410加密</v>
      </c>
      <c r="AA2275" s="173">
        <v>11.5</v>
      </c>
    </row>
    <row r="2276" ht="15" spans="1:28">
      <c r="A2276" s="143">
        <v>2234</v>
      </c>
      <c r="B2276" s="144">
        <v>45971</v>
      </c>
      <c r="C2276" s="169" t="s">
        <v>3277</v>
      </c>
      <c r="D2276" s="143" t="s">
        <v>41</v>
      </c>
      <c r="E2276" s="196" t="s">
        <v>6523</v>
      </c>
      <c r="F2276" s="143" t="s">
        <v>6526</v>
      </c>
      <c r="H2276" s="177" t="s">
        <v>6527</v>
      </c>
      <c r="I2276" s="143" t="s">
        <v>3218</v>
      </c>
      <c r="J2276" s="143" t="s">
        <v>1577</v>
      </c>
      <c r="K2276" s="143">
        <v>150</v>
      </c>
      <c r="L2276" s="143">
        <v>110</v>
      </c>
      <c r="S2276" s="215"/>
      <c r="T2276" s="215"/>
      <c r="U2276" s="215"/>
      <c r="V2276" s="216"/>
      <c r="W2276" s="143" t="s">
        <v>3147</v>
      </c>
      <c r="X2276" s="143" t="str">
        <f t="shared" si="9"/>
        <v>43077# 斜纹水蜜桃</v>
      </c>
      <c r="Y2276" s="143" t="s">
        <v>6528</v>
      </c>
      <c r="Z2276" s="143" t="str">
        <f t="shared" si="10"/>
        <v>43077# 斜纹水蜜桃</v>
      </c>
      <c r="AA2276" s="173"/>
    </row>
    <row r="2277" ht="15" spans="1:28">
      <c r="A2277" s="143">
        <v>2235</v>
      </c>
      <c r="B2277" s="144">
        <v>45971</v>
      </c>
      <c r="C2277" s="169" t="s">
        <v>3277</v>
      </c>
      <c r="D2277" s="143" t="s">
        <v>41</v>
      </c>
      <c r="E2277" s="196" t="s">
        <v>6523</v>
      </c>
      <c r="F2277" s="169" t="s">
        <v>6529</v>
      </c>
      <c r="H2277" s="143" t="s">
        <v>6530</v>
      </c>
      <c r="K2277" s="143">
        <v>150</v>
      </c>
      <c r="S2277" s="215"/>
      <c r="T2277" s="215"/>
      <c r="U2277" s="215"/>
      <c r="V2277" s="216"/>
      <c r="W2277" s="143" t="s">
        <v>3147</v>
      </c>
      <c r="X2277" s="143" t="str">
        <f t="shared" si="9"/>
        <v>银光斜 A3597#</v>
      </c>
      <c r="Y2277" s="169" t="s">
        <v>6531</v>
      </c>
      <c r="Z2277" s="143" t="str">
        <f t="shared" si="10"/>
        <v>银光斜 A3597#</v>
      </c>
      <c r="AA2277" s="173">
        <v>8.6</v>
      </c>
    </row>
    <row r="2278" ht="15" spans="1:28">
      <c r="A2278" s="143">
        <v>2236</v>
      </c>
      <c r="B2278" s="144">
        <v>45971</v>
      </c>
      <c r="C2278" s="169" t="s">
        <v>3277</v>
      </c>
      <c r="D2278" s="143" t="s">
        <v>41</v>
      </c>
      <c r="E2278" s="196" t="s">
        <v>6523</v>
      </c>
      <c r="F2278" s="143" t="s">
        <v>6532</v>
      </c>
      <c r="H2278" s="177" t="s">
        <v>6533</v>
      </c>
      <c r="I2278" s="143" t="s">
        <v>3218</v>
      </c>
      <c r="J2278" s="143" t="s">
        <v>1577</v>
      </c>
      <c r="K2278" s="143">
        <v>150</v>
      </c>
      <c r="L2278" s="143">
        <v>135</v>
      </c>
      <c r="S2278" s="215"/>
      <c r="T2278" s="215"/>
      <c r="U2278" s="215"/>
      <c r="V2278" s="216"/>
      <c r="W2278" s="143" t="s">
        <v>3147</v>
      </c>
      <c r="X2278" s="143" t="str">
        <f t="shared" si="9"/>
        <v>Y31#T8砂洗2/2斜</v>
      </c>
      <c r="Y2278" s="169" t="s">
        <v>6534</v>
      </c>
      <c r="Z2278" s="143" t="str">
        <f t="shared" si="10"/>
        <v>Y31#T8砂洗2/2斜</v>
      </c>
      <c r="AA2278" s="173">
        <v>6.8</v>
      </c>
    </row>
    <row r="2279" spans="1:28">
      <c r="A2279" s="143">
        <v>2237</v>
      </c>
      <c r="B2279" s="144">
        <v>45971</v>
      </c>
      <c r="C2279" s="169" t="s">
        <v>3277</v>
      </c>
      <c r="D2279" s="143" t="s">
        <v>41</v>
      </c>
      <c r="E2279" s="196" t="s">
        <v>6523</v>
      </c>
      <c r="F2279" s="143" t="s">
        <v>6535</v>
      </c>
      <c r="H2279" s="177" t="s">
        <v>6536</v>
      </c>
      <c r="I2279" s="143" t="s">
        <v>4322</v>
      </c>
      <c r="J2279" s="143" t="s">
        <v>1588</v>
      </c>
      <c r="K2279" s="143">
        <v>150</v>
      </c>
      <c r="L2279" s="143">
        <v>155</v>
      </c>
      <c r="S2279" s="215"/>
      <c r="T2279" s="215"/>
      <c r="U2279" s="215"/>
      <c r="V2279" s="216"/>
      <c r="W2279" s="143" t="s">
        <v>3147</v>
      </c>
      <c r="X2279" s="143" t="str">
        <f t="shared" si="9"/>
        <v>A8941</v>
      </c>
      <c r="Y2279" s="169" t="s">
        <v>4770</v>
      </c>
      <c r="Z2279" s="143" t="str">
        <f t="shared" si="10"/>
        <v>A8941</v>
      </c>
      <c r="AA2279" s="143">
        <v>8.6</v>
      </c>
      <c r="AB2279" s="191">
        <v>45994</v>
      </c>
    </row>
    <row r="2280" spans="1:28">
      <c r="A2280" s="143">
        <v>2238</v>
      </c>
      <c r="B2280" s="144">
        <v>45971</v>
      </c>
      <c r="C2280" s="169" t="s">
        <v>3277</v>
      </c>
      <c r="D2280" s="143" t="s">
        <v>41</v>
      </c>
      <c r="E2280" s="196" t="s">
        <v>6523</v>
      </c>
      <c r="F2280" s="143" t="s">
        <v>6537</v>
      </c>
      <c r="H2280" s="143" t="s">
        <v>6538</v>
      </c>
      <c r="I2280" s="143" t="s">
        <v>6539</v>
      </c>
      <c r="J2280" s="143" t="s">
        <v>784</v>
      </c>
      <c r="K2280" s="143">
        <v>148</v>
      </c>
      <c r="S2280" s="215"/>
      <c r="T2280" s="215"/>
      <c r="U2280" s="215"/>
      <c r="V2280" s="216"/>
      <c r="W2280" s="143" t="s">
        <v>3147</v>
      </c>
      <c r="X2280" s="143" t="str">
        <f t="shared" si="9"/>
        <v>A1348-1</v>
      </c>
      <c r="Y2280" s="169" t="s">
        <v>6540</v>
      </c>
      <c r="Z2280" s="143" t="str">
        <f t="shared" si="10"/>
        <v>A1348-1</v>
      </c>
    </row>
    <row r="2281" spans="1:28">
      <c r="A2281" s="143">
        <v>2239</v>
      </c>
      <c r="B2281" s="144">
        <v>45971</v>
      </c>
      <c r="C2281" s="169" t="s">
        <v>3277</v>
      </c>
      <c r="D2281" s="143" t="s">
        <v>41</v>
      </c>
      <c r="E2281" s="196" t="s">
        <v>6523</v>
      </c>
      <c r="F2281" s="169" t="s">
        <v>6541</v>
      </c>
      <c r="H2281" s="143" t="s">
        <v>6542</v>
      </c>
      <c r="I2281" s="143" t="s">
        <v>6539</v>
      </c>
      <c r="J2281" s="143" t="s">
        <v>784</v>
      </c>
      <c r="K2281" s="143">
        <v>150</v>
      </c>
      <c r="L2281" s="143">
        <v>62</v>
      </c>
      <c r="S2281" s="215"/>
      <c r="T2281" s="215"/>
      <c r="U2281" s="215"/>
      <c r="V2281" s="216"/>
      <c r="W2281" s="143" t="s">
        <v>3147</v>
      </c>
      <c r="X2281" s="143" t="str">
        <f t="shared" si="9"/>
        <v>V6024</v>
      </c>
      <c r="Y2281" s="143" t="s">
        <v>6543</v>
      </c>
      <c r="Z2281" s="143" t="str">
        <f t="shared" si="10"/>
        <v>V6024</v>
      </c>
    </row>
    <row r="2282" spans="1:28">
      <c r="A2282" s="143">
        <v>2240</v>
      </c>
      <c r="B2282" s="144">
        <v>45971</v>
      </c>
      <c r="C2282" s="169" t="s">
        <v>3277</v>
      </c>
      <c r="D2282" s="143" t="s">
        <v>41</v>
      </c>
      <c r="E2282" s="196" t="s">
        <v>6523</v>
      </c>
      <c r="F2282" s="143" t="s">
        <v>6544</v>
      </c>
      <c r="H2282" s="143" t="s">
        <v>6545</v>
      </c>
      <c r="K2282" s="143">
        <v>143</v>
      </c>
      <c r="S2282" s="215"/>
      <c r="T2282" s="215"/>
      <c r="U2282" s="215"/>
      <c r="V2282" s="216"/>
      <c r="W2282" s="143" t="s">
        <v>3147</v>
      </c>
      <c r="X2282" s="143" t="str">
        <f t="shared" si="9"/>
        <v>HX1285</v>
      </c>
      <c r="Y2282" s="169" t="s">
        <v>6546</v>
      </c>
      <c r="Z2282" s="143" t="str">
        <f t="shared" si="10"/>
        <v>HX1285</v>
      </c>
    </row>
    <row r="2283" spans="1:28">
      <c r="A2283" s="143">
        <v>2241</v>
      </c>
      <c r="B2283" s="144">
        <v>45971</v>
      </c>
      <c r="C2283" s="169" t="s">
        <v>3277</v>
      </c>
      <c r="D2283" s="143" t="s">
        <v>41</v>
      </c>
      <c r="E2283" s="196" t="s">
        <v>6523</v>
      </c>
      <c r="F2283" s="143" t="s">
        <v>6547</v>
      </c>
      <c r="H2283" s="143" t="s">
        <v>6548</v>
      </c>
      <c r="K2283" s="143">
        <v>145</v>
      </c>
      <c r="S2283" s="215"/>
      <c r="T2283" s="215"/>
      <c r="U2283" s="215"/>
      <c r="V2283" s="216"/>
      <c r="W2283" s="143" t="s">
        <v>3147</v>
      </c>
      <c r="X2283" s="143" t="str">
        <f t="shared" si="9"/>
        <v>YYH669</v>
      </c>
      <c r="Y2283" s="169" t="s">
        <v>6549</v>
      </c>
      <c r="Z2283" s="143" t="str">
        <f t="shared" si="10"/>
        <v>YYH669</v>
      </c>
    </row>
    <row r="2284" spans="1:28">
      <c r="A2284" s="143">
        <v>2242</v>
      </c>
      <c r="B2284" s="144">
        <v>45971</v>
      </c>
      <c r="C2284" s="169" t="s">
        <v>3277</v>
      </c>
      <c r="D2284" s="143" t="s">
        <v>41</v>
      </c>
      <c r="E2284" s="196" t="s">
        <v>6523</v>
      </c>
      <c r="F2284" s="143" t="s">
        <v>6550</v>
      </c>
      <c r="H2284" s="177" t="s">
        <v>6551</v>
      </c>
      <c r="I2284" s="143" t="s">
        <v>3218</v>
      </c>
      <c r="J2284" s="143" t="s">
        <v>1577</v>
      </c>
      <c r="K2284" s="143">
        <v>150</v>
      </c>
      <c r="L2284" s="143">
        <v>170</v>
      </c>
      <c r="S2284" s="215"/>
      <c r="T2284" s="215"/>
      <c r="U2284" s="215"/>
      <c r="V2284" s="216"/>
      <c r="W2284" s="143" t="s">
        <v>3147</v>
      </c>
      <c r="X2284" s="143" t="str">
        <f t="shared" si="9"/>
        <v>6864# 精品东乐棉</v>
      </c>
      <c r="Y2284" s="169" t="s">
        <v>6552</v>
      </c>
      <c r="Z2284" s="143" t="str">
        <f t="shared" si="10"/>
        <v>6864# 精品东乐棉</v>
      </c>
      <c r="AA2284" s="143">
        <v>9.8</v>
      </c>
    </row>
    <row r="2285" spans="1:28">
      <c r="A2285" s="143">
        <v>2243</v>
      </c>
      <c r="B2285" s="144">
        <v>45971</v>
      </c>
      <c r="C2285" s="169" t="s">
        <v>3277</v>
      </c>
      <c r="D2285" s="143" t="s">
        <v>41</v>
      </c>
      <c r="E2285" s="196" t="s">
        <v>6523</v>
      </c>
      <c r="F2285" s="143" t="s">
        <v>6553</v>
      </c>
      <c r="H2285" s="177" t="s">
        <v>6554</v>
      </c>
      <c r="I2285" s="143" t="s">
        <v>6555</v>
      </c>
      <c r="J2285" s="143" t="s">
        <v>6556</v>
      </c>
      <c r="K2285" s="143">
        <v>150</v>
      </c>
      <c r="L2285" s="143">
        <v>450</v>
      </c>
      <c r="S2285" s="215"/>
      <c r="T2285" s="215"/>
      <c r="U2285" s="215"/>
      <c r="V2285" s="216"/>
      <c r="W2285" s="143" t="s">
        <v>3147</v>
      </c>
      <c r="X2285" s="143" t="str">
        <f t="shared" si="9"/>
        <v>N00716#</v>
      </c>
      <c r="Y2285" s="169" t="s">
        <v>6557</v>
      </c>
      <c r="Z2285" s="143" t="str">
        <f t="shared" si="10"/>
        <v>N00716#</v>
      </c>
      <c r="AA2285" s="143">
        <v>21</v>
      </c>
      <c r="AB2285" s="191">
        <v>45988</v>
      </c>
    </row>
    <row r="2286" spans="1:28">
      <c r="A2286" s="143">
        <v>2244</v>
      </c>
      <c r="B2286" s="144">
        <v>45971</v>
      </c>
      <c r="C2286" s="169" t="s">
        <v>3277</v>
      </c>
      <c r="D2286" s="143" t="s">
        <v>41</v>
      </c>
      <c r="E2286" s="196" t="s">
        <v>6523</v>
      </c>
      <c r="F2286" s="143" t="s">
        <v>6558</v>
      </c>
      <c r="H2286" s="177" t="s">
        <v>6559</v>
      </c>
      <c r="I2286" s="143" t="s">
        <v>6560</v>
      </c>
      <c r="J2286" s="143" t="s">
        <v>1894</v>
      </c>
      <c r="K2286" s="143">
        <v>150</v>
      </c>
      <c r="L2286" s="143">
        <v>360</v>
      </c>
      <c r="S2286" s="215"/>
      <c r="T2286" s="215"/>
      <c r="U2286" s="215"/>
      <c r="V2286" s="216"/>
      <c r="W2286" s="143" t="s">
        <v>3147</v>
      </c>
      <c r="X2286" s="143" t="str">
        <f t="shared" si="9"/>
        <v>N00549#</v>
      </c>
      <c r="Y2286" s="169" t="s">
        <v>6557</v>
      </c>
      <c r="Z2286" s="143" t="str">
        <f t="shared" si="10"/>
        <v>N00549#</v>
      </c>
      <c r="AA2286" s="143">
        <v>22.6</v>
      </c>
      <c r="AB2286" s="191">
        <v>45988</v>
      </c>
    </row>
    <row r="2287" spans="1:28">
      <c r="A2287" s="143">
        <v>2245</v>
      </c>
      <c r="B2287" s="144">
        <v>45971</v>
      </c>
      <c r="C2287" s="169" t="s">
        <v>3277</v>
      </c>
      <c r="D2287" s="143" t="s">
        <v>41</v>
      </c>
      <c r="E2287" s="196" t="s">
        <v>6523</v>
      </c>
      <c r="F2287" s="143">
        <v>517</v>
      </c>
      <c r="H2287" s="143" t="s">
        <v>6561</v>
      </c>
      <c r="I2287" s="143" t="s">
        <v>6562</v>
      </c>
      <c r="J2287" s="143" t="s">
        <v>3684</v>
      </c>
      <c r="K2287" s="143">
        <v>155</v>
      </c>
      <c r="L2287" s="143">
        <v>100</v>
      </c>
      <c r="S2287" s="215"/>
      <c r="T2287" s="215"/>
      <c r="U2287" s="215"/>
      <c r="V2287" s="216"/>
      <c r="W2287" s="143" t="s">
        <v>3147</v>
      </c>
      <c r="X2287" s="143">
        <f t="shared" si="9"/>
        <v>517</v>
      </c>
      <c r="Y2287" s="169" t="s">
        <v>4854</v>
      </c>
      <c r="Z2287" s="143">
        <f t="shared" si="10"/>
        <v>517</v>
      </c>
      <c r="AA2287" s="143">
        <v>12.5</v>
      </c>
    </row>
    <row r="2288" spans="1:28">
      <c r="A2288" s="143">
        <v>2246</v>
      </c>
      <c r="B2288" s="144">
        <v>45971</v>
      </c>
      <c r="C2288" s="169" t="s">
        <v>3277</v>
      </c>
      <c r="D2288" s="143" t="s">
        <v>41</v>
      </c>
      <c r="E2288" s="196" t="s">
        <v>6523</v>
      </c>
      <c r="F2288" s="143">
        <v>811</v>
      </c>
      <c r="H2288" s="143" t="s">
        <v>6563</v>
      </c>
      <c r="I2288" s="143" t="s">
        <v>6562</v>
      </c>
      <c r="J2288" s="143" t="s">
        <v>3684</v>
      </c>
      <c r="K2288" s="143">
        <v>150</v>
      </c>
      <c r="L2288" s="143">
        <v>130</v>
      </c>
      <c r="S2288" s="215"/>
      <c r="T2288" s="215"/>
      <c r="U2288" s="215"/>
      <c r="V2288" s="216"/>
      <c r="W2288" s="143" t="s">
        <v>3147</v>
      </c>
      <c r="X2288" s="143">
        <f t="shared" si="9"/>
        <v>811</v>
      </c>
      <c r="Y2288" s="169" t="s">
        <v>4854</v>
      </c>
      <c r="Z2288" s="143">
        <f t="shared" si="10"/>
        <v>811</v>
      </c>
      <c r="AA2288" s="143">
        <v>10</v>
      </c>
    </row>
    <row r="2289" spans="1:27">
      <c r="A2289" s="143">
        <v>2247</v>
      </c>
      <c r="B2289" s="144">
        <v>45971</v>
      </c>
      <c r="C2289" s="169" t="s">
        <v>3277</v>
      </c>
      <c r="D2289" s="143" t="s">
        <v>41</v>
      </c>
      <c r="E2289" s="196" t="s">
        <v>6523</v>
      </c>
      <c r="F2289" s="270" t="s">
        <v>6564</v>
      </c>
      <c r="H2289" s="143" t="s">
        <v>6565</v>
      </c>
      <c r="I2289" s="143" t="s">
        <v>3157</v>
      </c>
      <c r="J2289" s="143" t="s">
        <v>3684</v>
      </c>
      <c r="K2289" s="143">
        <v>160</v>
      </c>
      <c r="L2289" s="143">
        <v>95</v>
      </c>
      <c r="S2289" s="215"/>
      <c r="T2289" s="215"/>
      <c r="U2289" s="215"/>
      <c r="V2289" s="216"/>
      <c r="W2289" s="143" t="s">
        <v>3147</v>
      </c>
      <c r="X2289" s="270" t="str">
        <f t="shared" si="9"/>
        <v>038</v>
      </c>
      <c r="Y2289" s="169" t="s">
        <v>4854</v>
      </c>
      <c r="Z2289" s="270" t="str">
        <f t="shared" si="10"/>
        <v>038</v>
      </c>
      <c r="AA2289" s="143">
        <v>10.5</v>
      </c>
    </row>
    <row r="2290" spans="1:27">
      <c r="A2290" s="143">
        <v>2248</v>
      </c>
      <c r="B2290" s="144">
        <v>45971</v>
      </c>
      <c r="C2290" s="169" t="s">
        <v>3277</v>
      </c>
      <c r="D2290" s="143" t="s">
        <v>41</v>
      </c>
      <c r="E2290" s="196" t="s">
        <v>6523</v>
      </c>
      <c r="F2290" s="270" t="s">
        <v>6566</v>
      </c>
      <c r="H2290" s="143" t="s">
        <v>6567</v>
      </c>
      <c r="I2290" s="143" t="s">
        <v>3157</v>
      </c>
      <c r="J2290" s="143" t="s">
        <v>3684</v>
      </c>
      <c r="K2290" s="143">
        <v>160</v>
      </c>
      <c r="L2290" s="143">
        <v>140</v>
      </c>
      <c r="S2290" s="215"/>
      <c r="T2290" s="215"/>
      <c r="U2290" s="215"/>
      <c r="V2290" s="216"/>
      <c r="W2290" s="143" t="s">
        <v>3147</v>
      </c>
      <c r="X2290" s="270" t="str">
        <f t="shared" si="9"/>
        <v>035</v>
      </c>
      <c r="Y2290" s="169" t="s">
        <v>4854</v>
      </c>
      <c r="Z2290" s="270" t="str">
        <f t="shared" si="10"/>
        <v>035</v>
      </c>
      <c r="AA2290" s="143">
        <v>10.6</v>
      </c>
    </row>
    <row r="2291" spans="1:27">
      <c r="A2291" s="143">
        <v>2249</v>
      </c>
      <c r="B2291" s="144">
        <v>45971</v>
      </c>
      <c r="C2291" s="169" t="s">
        <v>3277</v>
      </c>
      <c r="D2291" s="143" t="s">
        <v>41</v>
      </c>
      <c r="E2291" s="196" t="s">
        <v>6523</v>
      </c>
      <c r="F2291" s="143" t="s">
        <v>4574</v>
      </c>
      <c r="H2291" s="177" t="s">
        <v>4575</v>
      </c>
      <c r="I2291" s="143" t="s">
        <v>4576</v>
      </c>
      <c r="J2291" s="143" t="s">
        <v>6568</v>
      </c>
      <c r="K2291" s="143">
        <v>150</v>
      </c>
      <c r="L2291" s="143">
        <v>265</v>
      </c>
      <c r="S2291" s="215"/>
      <c r="T2291" s="215"/>
      <c r="U2291" s="215"/>
      <c r="V2291" s="216"/>
      <c r="W2291" s="143" t="s">
        <v>3147</v>
      </c>
      <c r="X2291" s="143" t="str">
        <f t="shared" si="9"/>
        <v>206#</v>
      </c>
      <c r="Y2291" s="169" t="s">
        <v>2107</v>
      </c>
      <c r="Z2291" s="143" t="str">
        <f t="shared" si="10"/>
        <v>206#</v>
      </c>
      <c r="AA2291" s="143">
        <v>15.7</v>
      </c>
    </row>
    <row r="2292" spans="1:27">
      <c r="A2292" s="143">
        <v>2250</v>
      </c>
      <c r="B2292" s="144">
        <v>45971</v>
      </c>
      <c r="C2292" s="169" t="s">
        <v>3277</v>
      </c>
      <c r="D2292" s="143" t="s">
        <v>41</v>
      </c>
      <c r="E2292" s="196" t="s">
        <v>6523</v>
      </c>
      <c r="F2292" s="143" t="s">
        <v>4565</v>
      </c>
      <c r="H2292" s="177" t="s">
        <v>4566</v>
      </c>
      <c r="I2292" s="143" t="s">
        <v>4576</v>
      </c>
      <c r="J2292" s="143" t="s">
        <v>6568</v>
      </c>
      <c r="K2292" s="143">
        <v>150</v>
      </c>
      <c r="L2292" s="143">
        <v>190</v>
      </c>
      <c r="Q2292" s="143" t="s">
        <v>6569</v>
      </c>
      <c r="S2292" s="215"/>
      <c r="T2292" s="215"/>
      <c r="U2292" s="215"/>
      <c r="V2292" s="216"/>
      <c r="W2292" s="143" t="s">
        <v>3147</v>
      </c>
      <c r="X2292" s="143" t="str">
        <f t="shared" si="9"/>
        <v>201#</v>
      </c>
      <c r="Y2292" s="169" t="s">
        <v>2107</v>
      </c>
      <c r="Z2292" s="143" t="str">
        <f t="shared" si="10"/>
        <v>201#</v>
      </c>
      <c r="AA2292" s="143">
        <v>11.6</v>
      </c>
    </row>
    <row r="2293" spans="1:27">
      <c r="A2293" s="143">
        <v>2251</v>
      </c>
      <c r="B2293" s="144">
        <v>45971</v>
      </c>
      <c r="C2293" s="169" t="s">
        <v>3277</v>
      </c>
      <c r="D2293" s="143" t="s">
        <v>41</v>
      </c>
      <c r="E2293" s="196" t="s">
        <v>6523</v>
      </c>
      <c r="F2293" s="143" t="s">
        <v>6570</v>
      </c>
      <c r="H2293" s="177" t="s">
        <v>6571</v>
      </c>
      <c r="I2293" s="143" t="s">
        <v>4576</v>
      </c>
      <c r="J2293" s="143" t="s">
        <v>6568</v>
      </c>
      <c r="K2293" s="143">
        <v>150</v>
      </c>
      <c r="L2293" s="143">
        <v>180</v>
      </c>
      <c r="Q2293" s="143" t="s">
        <v>6572</v>
      </c>
      <c r="S2293" s="215"/>
      <c r="T2293" s="215"/>
      <c r="U2293" s="215"/>
      <c r="V2293" s="216"/>
      <c r="W2293" s="143" t="s">
        <v>3147</v>
      </c>
      <c r="X2293" s="143" t="str">
        <f t="shared" si="9"/>
        <v>202#</v>
      </c>
      <c r="Y2293" s="169" t="s">
        <v>2107</v>
      </c>
      <c r="Z2293" s="143" t="str">
        <f t="shared" si="10"/>
        <v>202#</v>
      </c>
      <c r="AA2293" s="143">
        <v>11.6</v>
      </c>
    </row>
    <row r="2294" spans="1:27">
      <c r="A2294" s="143">
        <v>2252</v>
      </c>
      <c r="B2294" s="144">
        <v>45971</v>
      </c>
      <c r="C2294" s="169" t="s">
        <v>3277</v>
      </c>
      <c r="D2294" s="143" t="s">
        <v>41</v>
      </c>
      <c r="E2294" s="196" t="s">
        <v>6523</v>
      </c>
      <c r="F2294" s="143" t="s">
        <v>6573</v>
      </c>
      <c r="H2294" s="177" t="s">
        <v>6574</v>
      </c>
      <c r="I2294" s="143" t="s">
        <v>6575</v>
      </c>
      <c r="J2294" s="143" t="s">
        <v>6576</v>
      </c>
      <c r="K2294" s="143">
        <v>150</v>
      </c>
      <c r="L2294" s="143">
        <v>150</v>
      </c>
      <c r="S2294" s="215"/>
      <c r="T2294" s="215"/>
      <c r="U2294" s="215"/>
      <c r="V2294" s="216"/>
      <c r="W2294" s="143" t="s">
        <v>3147</v>
      </c>
      <c r="X2294" s="143" t="str">
        <f t="shared" si="9"/>
        <v>1024#</v>
      </c>
      <c r="Y2294" s="169" t="s">
        <v>2107</v>
      </c>
      <c r="Z2294" s="143" t="str">
        <f t="shared" si="10"/>
        <v>1024#</v>
      </c>
      <c r="AA2294" s="143">
        <v>12.8</v>
      </c>
    </row>
    <row r="2295" spans="1:27">
      <c r="A2295" s="143">
        <v>2253</v>
      </c>
      <c r="B2295" s="144">
        <v>45971</v>
      </c>
      <c r="C2295" s="169" t="s">
        <v>3277</v>
      </c>
      <c r="D2295" s="143" t="s">
        <v>41</v>
      </c>
      <c r="E2295" s="196" t="s">
        <v>6523</v>
      </c>
      <c r="F2295" s="143" t="s">
        <v>6577</v>
      </c>
      <c r="H2295" s="177" t="s">
        <v>6578</v>
      </c>
      <c r="I2295" s="143" t="s">
        <v>4235</v>
      </c>
      <c r="J2295" s="143" t="s">
        <v>3385</v>
      </c>
      <c r="K2295" s="143">
        <v>150</v>
      </c>
      <c r="L2295" s="143">
        <v>170</v>
      </c>
      <c r="Q2295" s="143" t="s">
        <v>6579</v>
      </c>
      <c r="S2295" s="215"/>
      <c r="T2295" s="215"/>
      <c r="U2295" s="215"/>
      <c r="V2295" s="216"/>
      <c r="W2295" s="143" t="s">
        <v>3147</v>
      </c>
      <c r="X2295" s="143" t="str">
        <f t="shared" si="9"/>
        <v>1023#</v>
      </c>
      <c r="Y2295" s="169" t="s">
        <v>2107</v>
      </c>
      <c r="Z2295" s="143" t="str">
        <f t="shared" si="10"/>
        <v>1023#</v>
      </c>
      <c r="AA2295" s="143">
        <v>14.5</v>
      </c>
    </row>
    <row r="2296" spans="1:27">
      <c r="A2296" s="143">
        <v>2254</v>
      </c>
      <c r="B2296" s="144">
        <v>45971</v>
      </c>
      <c r="C2296" s="169" t="s">
        <v>3277</v>
      </c>
      <c r="D2296" s="143" t="s">
        <v>41</v>
      </c>
      <c r="E2296" s="196" t="s">
        <v>6523</v>
      </c>
      <c r="F2296" s="143" t="s">
        <v>6580</v>
      </c>
      <c r="H2296" s="177" t="s">
        <v>6581</v>
      </c>
      <c r="I2296" s="143" t="s">
        <v>1625</v>
      </c>
      <c r="J2296" s="143" t="s">
        <v>1626</v>
      </c>
      <c r="K2296" s="143">
        <v>152</v>
      </c>
      <c r="L2296" s="143">
        <v>305</v>
      </c>
      <c r="S2296" s="215"/>
      <c r="T2296" s="215"/>
      <c r="U2296" s="215"/>
      <c r="V2296" s="216"/>
      <c r="W2296" s="143" t="s">
        <v>3147</v>
      </c>
      <c r="X2296" s="143" t="str">
        <f t="shared" si="9"/>
        <v>293#</v>
      </c>
      <c r="Y2296" s="169" t="s">
        <v>2107</v>
      </c>
      <c r="Z2296" s="143" t="str">
        <f t="shared" si="10"/>
        <v>293#</v>
      </c>
      <c r="AA2296" s="143">
        <v>14.4</v>
      </c>
    </row>
    <row r="2297" spans="1:27">
      <c r="A2297" s="143">
        <v>2255</v>
      </c>
      <c r="B2297" s="144">
        <v>45971</v>
      </c>
      <c r="C2297" s="169" t="s">
        <v>3277</v>
      </c>
      <c r="D2297" s="143" t="s">
        <v>41</v>
      </c>
      <c r="E2297" s="196" t="s">
        <v>6523</v>
      </c>
      <c r="F2297" s="143" t="s">
        <v>6582</v>
      </c>
      <c r="H2297" s="177" t="s">
        <v>6583</v>
      </c>
      <c r="I2297" s="143" t="s">
        <v>4775</v>
      </c>
      <c r="J2297" s="143" t="s">
        <v>2913</v>
      </c>
      <c r="K2297" s="143">
        <v>150</v>
      </c>
      <c r="L2297" s="143">
        <v>140</v>
      </c>
      <c r="S2297" s="215"/>
      <c r="T2297" s="215"/>
      <c r="U2297" s="215"/>
      <c r="V2297" s="216"/>
      <c r="W2297" s="143" t="s">
        <v>3147</v>
      </c>
      <c r="X2297" s="143" t="str">
        <f t="shared" si="9"/>
        <v>100D细斜四面弹</v>
      </c>
      <c r="Y2297" s="143" t="s">
        <v>4371</v>
      </c>
      <c r="Z2297" s="143" t="str">
        <f t="shared" si="10"/>
        <v>100D细斜四面弹</v>
      </c>
      <c r="AA2297" s="143">
        <v>9.7</v>
      </c>
    </row>
    <row r="2298" spans="1:27">
      <c r="A2298" s="143">
        <v>2256</v>
      </c>
      <c r="B2298" s="144">
        <v>45971</v>
      </c>
      <c r="C2298" s="169" t="s">
        <v>3277</v>
      </c>
      <c r="D2298" s="143" t="s">
        <v>41</v>
      </c>
      <c r="E2298" s="196" t="s">
        <v>5292</v>
      </c>
      <c r="F2298" s="143" t="s">
        <v>6584</v>
      </c>
      <c r="H2298" s="177" t="s">
        <v>6585</v>
      </c>
      <c r="I2298" s="143" t="s">
        <v>4322</v>
      </c>
      <c r="J2298" s="143" t="s">
        <v>1588</v>
      </c>
      <c r="K2298" s="143">
        <v>150</v>
      </c>
      <c r="L2298" s="143">
        <v>93</v>
      </c>
      <c r="S2298" s="215"/>
      <c r="T2298" s="215"/>
      <c r="U2298" s="215"/>
      <c r="V2298" s="216"/>
      <c r="W2298" s="143" t="s">
        <v>3147</v>
      </c>
      <c r="X2298" s="143" t="str">
        <f t="shared" si="9"/>
        <v>F加密防真丝</v>
      </c>
      <c r="Y2298" s="169" t="s">
        <v>6586</v>
      </c>
      <c r="Z2298" s="143" t="str">
        <f t="shared" si="10"/>
        <v>F加密防真丝</v>
      </c>
      <c r="AA2298" s="143">
        <v>10</v>
      </c>
    </row>
    <row r="2299" spans="1:27">
      <c r="A2299" s="143">
        <v>2257</v>
      </c>
      <c r="B2299" s="144">
        <v>45971</v>
      </c>
      <c r="C2299" s="169" t="s">
        <v>3277</v>
      </c>
      <c r="D2299" s="143" t="s">
        <v>41</v>
      </c>
      <c r="E2299" s="196" t="s">
        <v>5292</v>
      </c>
      <c r="F2299" s="169" t="s">
        <v>6587</v>
      </c>
      <c r="H2299" s="143" t="s">
        <v>6588</v>
      </c>
      <c r="I2299" s="143" t="s">
        <v>6589</v>
      </c>
      <c r="J2299" s="143" t="s">
        <v>1705</v>
      </c>
      <c r="K2299" s="143">
        <v>150</v>
      </c>
      <c r="L2299" s="143">
        <v>125</v>
      </c>
      <c r="S2299" s="215"/>
      <c r="T2299" s="215"/>
      <c r="U2299" s="215"/>
      <c r="V2299" s="216"/>
      <c r="W2299" s="143" t="s">
        <v>3147</v>
      </c>
      <c r="X2299" s="143" t="str">
        <f t="shared" si="9"/>
        <v>钻石麻</v>
      </c>
      <c r="Y2299" s="169" t="s">
        <v>6336</v>
      </c>
      <c r="Z2299" s="143" t="str">
        <f t="shared" si="10"/>
        <v>钻石麻</v>
      </c>
      <c r="AA2299" s="143">
        <v>13.6</v>
      </c>
    </row>
    <row r="2300" spans="1:27">
      <c r="A2300" s="143">
        <v>2258</v>
      </c>
      <c r="B2300" s="144">
        <v>45971</v>
      </c>
      <c r="C2300" s="143" t="s">
        <v>3148</v>
      </c>
      <c r="E2300" s="196" t="s">
        <v>6590</v>
      </c>
      <c r="F2300" s="143" t="s">
        <v>6591</v>
      </c>
      <c r="H2300" s="143" t="s">
        <v>6592</v>
      </c>
      <c r="I2300" s="143" t="s">
        <v>3218</v>
      </c>
      <c r="J2300" s="143" t="s">
        <v>1577</v>
      </c>
      <c r="K2300" s="143">
        <v>150</v>
      </c>
      <c r="W2300" s="143" t="s">
        <v>3147</v>
      </c>
      <c r="X2300" s="143" t="s">
        <v>6591</v>
      </c>
      <c r="Y2300" s="143" t="s">
        <v>3441</v>
      </c>
      <c r="Z2300" s="143" t="s">
        <v>6591</v>
      </c>
      <c r="AA2300" s="143">
        <v>11.5</v>
      </c>
    </row>
    <row r="2301" spans="1:27">
      <c r="A2301" s="143">
        <v>2259</v>
      </c>
      <c r="B2301" s="144">
        <v>45971</v>
      </c>
      <c r="C2301" s="143" t="s">
        <v>3148</v>
      </c>
      <c r="E2301" s="196" t="s">
        <v>6590</v>
      </c>
      <c r="F2301" s="143" t="s">
        <v>6593</v>
      </c>
      <c r="H2301" s="177" t="s">
        <v>6594</v>
      </c>
      <c r="I2301" s="143" t="s">
        <v>5575</v>
      </c>
      <c r="J2301" s="143" t="s">
        <v>5576</v>
      </c>
      <c r="K2301" s="143">
        <v>160</v>
      </c>
      <c r="L2301" s="143">
        <v>210</v>
      </c>
      <c r="W2301" s="143" t="s">
        <v>3147</v>
      </c>
      <c r="X2301" s="143" t="s">
        <v>6593</v>
      </c>
      <c r="Y2301" s="169" t="s">
        <v>6595</v>
      </c>
      <c r="Z2301" s="143" t="s">
        <v>6593</v>
      </c>
    </row>
    <row r="2302" spans="1:27">
      <c r="A2302" s="143">
        <v>2260</v>
      </c>
      <c r="B2302" s="144">
        <v>45971</v>
      </c>
      <c r="C2302" s="143" t="s">
        <v>3148</v>
      </c>
      <c r="E2302" s="196" t="s">
        <v>6590</v>
      </c>
      <c r="F2302" s="143" t="s">
        <v>6596</v>
      </c>
      <c r="H2302" s="177" t="s">
        <v>6597</v>
      </c>
      <c r="I2302" s="143" t="s">
        <v>5575</v>
      </c>
      <c r="J2302" s="143" t="s">
        <v>6598</v>
      </c>
      <c r="K2302" s="143">
        <v>160</v>
      </c>
      <c r="L2302" s="143">
        <v>210</v>
      </c>
      <c r="W2302" s="143" t="s">
        <v>3147</v>
      </c>
      <c r="X2302" s="143" t="s">
        <v>6596</v>
      </c>
      <c r="Y2302" s="169" t="s">
        <v>6595</v>
      </c>
      <c r="Z2302" s="143" t="s">
        <v>6596</v>
      </c>
    </row>
    <row r="2303" spans="1:27">
      <c r="A2303" s="143">
        <v>2261</v>
      </c>
      <c r="B2303" s="144">
        <v>45971</v>
      </c>
      <c r="C2303" s="143" t="s">
        <v>3148</v>
      </c>
      <c r="E2303" s="196" t="s">
        <v>6590</v>
      </c>
      <c r="F2303" s="143" t="s">
        <v>6599</v>
      </c>
      <c r="H2303" s="177" t="s">
        <v>6600</v>
      </c>
      <c r="I2303" s="143" t="s">
        <v>5575</v>
      </c>
      <c r="J2303" s="143" t="s">
        <v>5576</v>
      </c>
      <c r="K2303" s="143">
        <v>160</v>
      </c>
      <c r="L2303" s="143">
        <v>210</v>
      </c>
      <c r="W2303" s="143" t="s">
        <v>3147</v>
      </c>
      <c r="X2303" s="143" t="s">
        <v>6599</v>
      </c>
      <c r="Y2303" s="169" t="s">
        <v>6595</v>
      </c>
      <c r="Z2303" s="143" t="s">
        <v>6599</v>
      </c>
    </row>
    <row r="2304" spans="1:27">
      <c r="A2304" s="143">
        <v>2262</v>
      </c>
      <c r="B2304" s="144">
        <v>45971</v>
      </c>
      <c r="C2304" s="143" t="s">
        <v>3148</v>
      </c>
      <c r="E2304" s="196" t="s">
        <v>6590</v>
      </c>
      <c r="F2304" s="143" t="s">
        <v>6601</v>
      </c>
      <c r="H2304" s="177" t="s">
        <v>6602</v>
      </c>
      <c r="I2304" s="143" t="s">
        <v>5653</v>
      </c>
      <c r="J2304" s="143" t="s">
        <v>5576</v>
      </c>
      <c r="K2304" s="143">
        <v>160</v>
      </c>
      <c r="L2304" s="143">
        <v>210</v>
      </c>
      <c r="W2304" s="143" t="s">
        <v>3147</v>
      </c>
      <c r="X2304" s="143" t="s">
        <v>6601</v>
      </c>
      <c r="Y2304" s="169" t="s">
        <v>6595</v>
      </c>
      <c r="Z2304" s="143" t="s">
        <v>6601</v>
      </c>
    </row>
    <row r="2305" spans="1:27">
      <c r="A2305" s="143">
        <v>2263</v>
      </c>
      <c r="B2305" s="144">
        <v>45971</v>
      </c>
      <c r="C2305" s="143" t="s">
        <v>3148</v>
      </c>
      <c r="E2305" s="196" t="s">
        <v>6590</v>
      </c>
      <c r="F2305" s="169" t="s">
        <v>6603</v>
      </c>
      <c r="H2305" s="143" t="s">
        <v>6604</v>
      </c>
      <c r="I2305" s="143" t="s">
        <v>6605</v>
      </c>
      <c r="J2305" s="143" t="s">
        <v>6606</v>
      </c>
      <c r="K2305" s="143">
        <v>150</v>
      </c>
      <c r="W2305" s="143" t="s">
        <v>3147</v>
      </c>
      <c r="X2305" s="169" t="s">
        <v>6603</v>
      </c>
      <c r="Y2305" s="169" t="s">
        <v>6607</v>
      </c>
      <c r="Z2305" s="169" t="s">
        <v>6603</v>
      </c>
      <c r="AA2305" s="143">
        <v>8.7</v>
      </c>
    </row>
    <row r="2306" spans="1:27">
      <c r="A2306" s="143">
        <v>2264</v>
      </c>
      <c r="B2306" s="144">
        <v>45971</v>
      </c>
      <c r="C2306" s="143" t="s">
        <v>3148</v>
      </c>
      <c r="E2306" s="196" t="s">
        <v>6590</v>
      </c>
      <c r="F2306" s="169" t="s">
        <v>6608</v>
      </c>
      <c r="H2306" s="143" t="s">
        <v>6609</v>
      </c>
      <c r="I2306" s="143" t="s">
        <v>6605</v>
      </c>
      <c r="J2306" s="143" t="s">
        <v>6606</v>
      </c>
      <c r="K2306" s="143">
        <v>150</v>
      </c>
      <c r="W2306" s="143" t="s">
        <v>3147</v>
      </c>
      <c r="X2306" s="169" t="s">
        <v>6608</v>
      </c>
      <c r="Y2306" s="169" t="s">
        <v>6607</v>
      </c>
      <c r="Z2306" s="169" t="s">
        <v>6608</v>
      </c>
      <c r="AA2306" s="143">
        <v>8.7</v>
      </c>
    </row>
    <row r="2307" spans="1:27">
      <c r="A2307" s="143">
        <v>2265</v>
      </c>
      <c r="B2307" s="144">
        <v>45971</v>
      </c>
      <c r="C2307" s="143" t="s">
        <v>3148</v>
      </c>
      <c r="E2307" s="196" t="s">
        <v>6590</v>
      </c>
      <c r="F2307" s="169" t="s">
        <v>6610</v>
      </c>
      <c r="H2307" s="143" t="s">
        <v>6611</v>
      </c>
      <c r="I2307" s="143" t="s">
        <v>6605</v>
      </c>
      <c r="J2307" s="143" t="s">
        <v>6606</v>
      </c>
      <c r="K2307" s="143">
        <v>150</v>
      </c>
      <c r="W2307" s="143" t="s">
        <v>3147</v>
      </c>
      <c r="X2307" s="169" t="s">
        <v>6610</v>
      </c>
      <c r="Y2307" s="169" t="s">
        <v>6607</v>
      </c>
      <c r="Z2307" s="169" t="s">
        <v>6610</v>
      </c>
      <c r="AA2307" s="143">
        <v>8.7</v>
      </c>
    </row>
    <row r="2308" spans="1:27">
      <c r="A2308" s="143">
        <v>2266</v>
      </c>
      <c r="B2308" s="144">
        <v>45971</v>
      </c>
      <c r="C2308" s="143" t="s">
        <v>3148</v>
      </c>
      <c r="E2308" s="196" t="s">
        <v>6590</v>
      </c>
      <c r="F2308" s="169" t="s">
        <v>6612</v>
      </c>
      <c r="H2308" s="143" t="s">
        <v>6613</v>
      </c>
      <c r="I2308" s="143" t="s">
        <v>6605</v>
      </c>
      <c r="J2308" s="143" t="s">
        <v>6606</v>
      </c>
      <c r="K2308" s="143">
        <v>150</v>
      </c>
      <c r="W2308" s="143" t="s">
        <v>3147</v>
      </c>
      <c r="X2308" s="169" t="s">
        <v>6612</v>
      </c>
      <c r="Y2308" s="169" t="s">
        <v>6607</v>
      </c>
      <c r="Z2308" s="169" t="s">
        <v>6612</v>
      </c>
      <c r="AA2308" s="143">
        <v>8.7</v>
      </c>
    </row>
    <row r="2309" spans="1:27">
      <c r="A2309" s="143">
        <v>2267</v>
      </c>
      <c r="B2309" s="144">
        <v>45971</v>
      </c>
      <c r="C2309" s="143" t="s">
        <v>3148</v>
      </c>
      <c r="E2309" s="196" t="s">
        <v>6590</v>
      </c>
      <c r="F2309" s="169" t="s">
        <v>6614</v>
      </c>
      <c r="H2309" s="143" t="s">
        <v>6615</v>
      </c>
      <c r="I2309" s="143" t="s">
        <v>6605</v>
      </c>
      <c r="J2309" s="143" t="s">
        <v>6606</v>
      </c>
      <c r="K2309" s="143">
        <v>150</v>
      </c>
      <c r="W2309" s="143" t="s">
        <v>3147</v>
      </c>
      <c r="X2309" s="169" t="s">
        <v>6614</v>
      </c>
      <c r="Y2309" s="169" t="s">
        <v>6607</v>
      </c>
      <c r="Z2309" s="169" t="s">
        <v>6614</v>
      </c>
      <c r="AA2309" s="143">
        <v>8.7</v>
      </c>
    </row>
    <row r="2310" spans="1:27">
      <c r="A2310" s="143">
        <v>2268</v>
      </c>
      <c r="B2310" s="144">
        <v>45971</v>
      </c>
      <c r="C2310" s="143" t="s">
        <v>3148</v>
      </c>
      <c r="E2310" s="196" t="s">
        <v>6590</v>
      </c>
      <c r="F2310" s="169" t="s">
        <v>6616</v>
      </c>
      <c r="H2310" s="143" t="s">
        <v>6617</v>
      </c>
      <c r="I2310" s="143" t="s">
        <v>6605</v>
      </c>
      <c r="J2310" s="143" t="s">
        <v>6606</v>
      </c>
      <c r="K2310" s="143">
        <v>150</v>
      </c>
      <c r="W2310" s="143" t="s">
        <v>3147</v>
      </c>
      <c r="X2310" s="169" t="s">
        <v>6616</v>
      </c>
      <c r="Y2310" s="169" t="s">
        <v>6607</v>
      </c>
      <c r="Z2310" s="169" t="s">
        <v>6616</v>
      </c>
      <c r="AA2310" s="143">
        <v>8.7</v>
      </c>
    </row>
    <row r="2311" spans="1:27">
      <c r="A2311" s="143">
        <v>2269</v>
      </c>
      <c r="B2311" s="144">
        <v>45971</v>
      </c>
      <c r="C2311" s="143" t="s">
        <v>3148</v>
      </c>
      <c r="E2311" s="196" t="s">
        <v>6590</v>
      </c>
      <c r="F2311" s="169" t="s">
        <v>6618</v>
      </c>
      <c r="H2311" s="143" t="s">
        <v>6619</v>
      </c>
      <c r="I2311" s="143" t="s">
        <v>6605</v>
      </c>
      <c r="J2311" s="143" t="s">
        <v>6606</v>
      </c>
      <c r="K2311" s="143">
        <v>150</v>
      </c>
      <c r="W2311" s="143" t="s">
        <v>3147</v>
      </c>
      <c r="X2311" s="169" t="s">
        <v>6618</v>
      </c>
      <c r="Y2311" s="169" t="s">
        <v>6607</v>
      </c>
      <c r="Z2311" s="169" t="s">
        <v>6618</v>
      </c>
      <c r="AA2311" s="143">
        <v>8.7</v>
      </c>
    </row>
    <row r="2312" spans="1:27">
      <c r="A2312" s="143">
        <v>2270</v>
      </c>
      <c r="B2312" s="144">
        <v>45971</v>
      </c>
      <c r="C2312" s="143" t="s">
        <v>3148</v>
      </c>
      <c r="E2312" s="196" t="s">
        <v>6590</v>
      </c>
      <c r="F2312" s="169" t="s">
        <v>6620</v>
      </c>
      <c r="H2312" s="143" t="s">
        <v>6621</v>
      </c>
      <c r="I2312" s="143" t="s">
        <v>6605</v>
      </c>
      <c r="J2312" s="143" t="s">
        <v>6606</v>
      </c>
      <c r="K2312" s="143">
        <v>150</v>
      </c>
      <c r="W2312" s="143" t="s">
        <v>3147</v>
      </c>
      <c r="X2312" s="169" t="s">
        <v>6620</v>
      </c>
      <c r="Y2312" s="169" t="s">
        <v>6607</v>
      </c>
      <c r="Z2312" s="169" t="s">
        <v>6620</v>
      </c>
      <c r="AA2312" s="143">
        <v>8.7</v>
      </c>
    </row>
    <row r="2313" spans="1:27">
      <c r="A2313" s="143">
        <v>2271</v>
      </c>
      <c r="B2313" s="144">
        <v>45971</v>
      </c>
      <c r="C2313" s="143" t="s">
        <v>3148</v>
      </c>
      <c r="E2313" s="196" t="s">
        <v>6590</v>
      </c>
      <c r="F2313" s="169" t="s">
        <v>6622</v>
      </c>
      <c r="H2313" s="143" t="s">
        <v>6623</v>
      </c>
      <c r="I2313" s="143" t="s">
        <v>6605</v>
      </c>
      <c r="J2313" s="143" t="s">
        <v>6606</v>
      </c>
      <c r="K2313" s="143">
        <v>150</v>
      </c>
      <c r="W2313" s="143" t="s">
        <v>3147</v>
      </c>
      <c r="X2313" s="169" t="s">
        <v>6622</v>
      </c>
      <c r="Y2313" s="169" t="s">
        <v>6607</v>
      </c>
      <c r="Z2313" s="169" t="s">
        <v>6622</v>
      </c>
      <c r="AA2313" s="143">
        <v>8.7</v>
      </c>
    </row>
    <row r="2314" spans="1:27">
      <c r="A2314" s="143">
        <v>2272</v>
      </c>
      <c r="B2314" s="144">
        <v>45971</v>
      </c>
      <c r="C2314" s="143" t="s">
        <v>3148</v>
      </c>
      <c r="E2314" s="196" t="s">
        <v>6590</v>
      </c>
      <c r="F2314" s="169" t="s">
        <v>6624</v>
      </c>
      <c r="H2314" s="143" t="s">
        <v>6625</v>
      </c>
      <c r="I2314" s="143" t="s">
        <v>6605</v>
      </c>
      <c r="J2314" s="143" t="s">
        <v>6606</v>
      </c>
      <c r="K2314" s="143">
        <v>150</v>
      </c>
      <c r="W2314" s="143" t="s">
        <v>3147</v>
      </c>
      <c r="X2314" s="169" t="s">
        <v>6624</v>
      </c>
      <c r="Y2314" s="169" t="s">
        <v>6607</v>
      </c>
      <c r="Z2314" s="169" t="s">
        <v>6624</v>
      </c>
      <c r="AA2314" s="143">
        <v>8.7</v>
      </c>
    </row>
    <row r="2315" spans="1:27">
      <c r="A2315" s="143">
        <v>2273</v>
      </c>
      <c r="B2315" s="144">
        <v>45971</v>
      </c>
      <c r="C2315" s="143" t="s">
        <v>3148</v>
      </c>
      <c r="E2315" s="196" t="s">
        <v>6590</v>
      </c>
      <c r="F2315" s="169" t="s">
        <v>6626</v>
      </c>
      <c r="H2315" s="143" t="s">
        <v>6627</v>
      </c>
      <c r="I2315" s="143" t="s">
        <v>6605</v>
      </c>
      <c r="J2315" s="143" t="s">
        <v>6606</v>
      </c>
      <c r="K2315" s="143">
        <v>150</v>
      </c>
      <c r="W2315" s="143" t="s">
        <v>3147</v>
      </c>
      <c r="X2315" s="169" t="s">
        <v>6626</v>
      </c>
      <c r="Y2315" s="169" t="s">
        <v>6607</v>
      </c>
      <c r="Z2315" s="169" t="s">
        <v>6626</v>
      </c>
      <c r="AA2315" s="143">
        <v>8.7</v>
      </c>
    </row>
    <row r="2316" spans="1:27">
      <c r="A2316" s="143">
        <v>2274</v>
      </c>
      <c r="B2316" s="144">
        <v>45971</v>
      </c>
      <c r="C2316" s="143" t="s">
        <v>3148</v>
      </c>
      <c r="E2316" s="196" t="s">
        <v>6590</v>
      </c>
      <c r="F2316" s="169" t="s">
        <v>6628</v>
      </c>
      <c r="H2316" s="143" t="s">
        <v>6629</v>
      </c>
      <c r="I2316" s="143" t="s">
        <v>6605</v>
      </c>
      <c r="J2316" s="143" t="s">
        <v>6606</v>
      </c>
      <c r="K2316" s="143">
        <v>150</v>
      </c>
      <c r="W2316" s="143" t="s">
        <v>3147</v>
      </c>
      <c r="X2316" s="169" t="s">
        <v>6628</v>
      </c>
      <c r="Y2316" s="169" t="s">
        <v>6607</v>
      </c>
      <c r="Z2316" s="169" t="s">
        <v>6628</v>
      </c>
      <c r="AA2316" s="143">
        <v>8.7</v>
      </c>
    </row>
    <row r="2317" spans="1:27">
      <c r="A2317" s="143">
        <v>2275</v>
      </c>
      <c r="B2317" s="144">
        <v>45971</v>
      </c>
      <c r="C2317" s="143" t="s">
        <v>3148</v>
      </c>
      <c r="E2317" s="196" t="s">
        <v>6590</v>
      </c>
      <c r="F2317" s="169" t="s">
        <v>6630</v>
      </c>
      <c r="H2317" s="143" t="s">
        <v>6631</v>
      </c>
      <c r="I2317" s="143" t="s">
        <v>6605</v>
      </c>
      <c r="J2317" s="143" t="s">
        <v>6606</v>
      </c>
      <c r="K2317" s="143">
        <v>150</v>
      </c>
      <c r="W2317" s="143" t="s">
        <v>3147</v>
      </c>
      <c r="X2317" s="169" t="s">
        <v>6630</v>
      </c>
      <c r="Y2317" s="169" t="s">
        <v>6607</v>
      </c>
      <c r="Z2317" s="169" t="s">
        <v>6630</v>
      </c>
      <c r="AA2317" s="143">
        <v>8.7</v>
      </c>
    </row>
    <row r="2318" spans="1:27">
      <c r="A2318" s="143">
        <v>2276</v>
      </c>
      <c r="B2318" s="144">
        <v>45971</v>
      </c>
      <c r="C2318" s="143" t="s">
        <v>3148</v>
      </c>
      <c r="E2318" s="196" t="s">
        <v>6590</v>
      </c>
      <c r="F2318" s="143" t="s">
        <v>6632</v>
      </c>
      <c r="H2318" s="143" t="s">
        <v>6633</v>
      </c>
      <c r="I2318" s="143" t="s">
        <v>6634</v>
      </c>
      <c r="J2318" s="143" t="s">
        <v>6635</v>
      </c>
      <c r="K2318" s="143">
        <v>145</v>
      </c>
      <c r="W2318" s="143" t="s">
        <v>3147</v>
      </c>
      <c r="X2318" s="143" t="s">
        <v>6632</v>
      </c>
      <c r="Y2318" s="143" t="s">
        <v>6183</v>
      </c>
      <c r="Z2318" s="143" t="s">
        <v>6632</v>
      </c>
      <c r="AA2318" s="143">
        <v>16.8</v>
      </c>
    </row>
    <row r="2319" spans="1:27">
      <c r="A2319" s="143">
        <v>2277</v>
      </c>
      <c r="B2319" s="144">
        <v>45971</v>
      </c>
      <c r="C2319" s="143" t="s">
        <v>3148</v>
      </c>
      <c r="E2319" s="196" t="s">
        <v>6590</v>
      </c>
      <c r="F2319" s="143" t="s">
        <v>6636</v>
      </c>
      <c r="H2319" s="143" t="s">
        <v>6637</v>
      </c>
      <c r="I2319" s="143" t="s">
        <v>3157</v>
      </c>
      <c r="J2319" s="143" t="s">
        <v>3684</v>
      </c>
      <c r="K2319" s="143">
        <v>145</v>
      </c>
      <c r="W2319" s="143" t="s">
        <v>3147</v>
      </c>
      <c r="X2319" s="143" t="s">
        <v>6636</v>
      </c>
      <c r="Y2319" s="143" t="s">
        <v>6183</v>
      </c>
      <c r="Z2319" s="143" t="s">
        <v>6636</v>
      </c>
      <c r="AA2319" s="143">
        <v>15.6</v>
      </c>
    </row>
    <row r="2320" spans="1:27">
      <c r="A2320" s="143">
        <v>2278</v>
      </c>
      <c r="B2320" s="144">
        <v>45971</v>
      </c>
      <c r="C2320" s="143" t="s">
        <v>3148</v>
      </c>
      <c r="E2320" s="196" t="s">
        <v>6590</v>
      </c>
      <c r="F2320" s="143" t="s">
        <v>6638</v>
      </c>
      <c r="H2320" s="143" t="s">
        <v>6639</v>
      </c>
      <c r="I2320" s="143" t="s">
        <v>3157</v>
      </c>
      <c r="J2320" s="143" t="s">
        <v>3684</v>
      </c>
      <c r="K2320" s="143">
        <v>145</v>
      </c>
      <c r="W2320" s="143" t="s">
        <v>3147</v>
      </c>
      <c r="X2320" s="143" t="s">
        <v>6638</v>
      </c>
      <c r="Y2320" s="143" t="s">
        <v>6183</v>
      </c>
      <c r="Z2320" s="143" t="s">
        <v>6638</v>
      </c>
      <c r="AA2320" s="143">
        <v>15.6</v>
      </c>
    </row>
    <row r="2321" spans="1:27">
      <c r="A2321" s="143">
        <v>2279</v>
      </c>
      <c r="B2321" s="144">
        <v>45971</v>
      </c>
      <c r="C2321" s="143" t="s">
        <v>3148</v>
      </c>
      <c r="E2321" s="196" t="s">
        <v>6590</v>
      </c>
      <c r="F2321" s="143" t="s">
        <v>6640</v>
      </c>
      <c r="H2321" s="143" t="s">
        <v>6641</v>
      </c>
      <c r="I2321" s="143" t="s">
        <v>4690</v>
      </c>
      <c r="J2321" s="143" t="s">
        <v>1460</v>
      </c>
      <c r="K2321" s="143">
        <v>140</v>
      </c>
      <c r="W2321" s="143" t="s">
        <v>3147</v>
      </c>
      <c r="X2321" s="143" t="s">
        <v>6640</v>
      </c>
      <c r="Y2321" s="143" t="s">
        <v>6183</v>
      </c>
      <c r="Z2321" s="143" t="s">
        <v>6640</v>
      </c>
      <c r="AA2321" s="143">
        <v>9.8</v>
      </c>
    </row>
    <row r="2322" spans="1:27">
      <c r="A2322" s="143">
        <v>2280</v>
      </c>
      <c r="B2322" s="144">
        <v>45971</v>
      </c>
      <c r="C2322" s="143" t="s">
        <v>3148</v>
      </c>
      <c r="E2322" s="196" t="s">
        <v>6590</v>
      </c>
      <c r="F2322" s="143" t="s">
        <v>6642</v>
      </c>
      <c r="H2322" s="143" t="s">
        <v>6643</v>
      </c>
      <c r="I2322" s="143" t="s">
        <v>4690</v>
      </c>
      <c r="J2322" s="143" t="s">
        <v>1460</v>
      </c>
      <c r="K2322" s="143">
        <v>140</v>
      </c>
      <c r="W2322" s="143" t="s">
        <v>3147</v>
      </c>
      <c r="X2322" s="143" t="s">
        <v>6642</v>
      </c>
      <c r="Y2322" s="143" t="s">
        <v>6183</v>
      </c>
      <c r="Z2322" s="143" t="s">
        <v>6642</v>
      </c>
      <c r="AA2322" s="143">
        <v>9.8</v>
      </c>
    </row>
    <row r="2323" spans="1:27">
      <c r="A2323" s="143">
        <v>2281</v>
      </c>
      <c r="B2323" s="144">
        <v>45971</v>
      </c>
      <c r="C2323" s="143" t="s">
        <v>3148</v>
      </c>
      <c r="E2323" s="196" t="s">
        <v>6590</v>
      </c>
      <c r="F2323" s="143" t="s">
        <v>6644</v>
      </c>
      <c r="H2323" s="143" t="s">
        <v>6645</v>
      </c>
      <c r="I2323" s="143" t="s">
        <v>4690</v>
      </c>
      <c r="J2323" s="143" t="s">
        <v>1460</v>
      </c>
      <c r="K2323" s="143">
        <v>140</v>
      </c>
      <c r="W2323" s="143" t="s">
        <v>3147</v>
      </c>
      <c r="X2323" s="143" t="s">
        <v>6644</v>
      </c>
      <c r="Y2323" s="143" t="s">
        <v>6183</v>
      </c>
      <c r="Z2323" s="143" t="s">
        <v>6644</v>
      </c>
      <c r="AA2323" s="143">
        <v>9.8</v>
      </c>
    </row>
    <row r="2324" spans="1:27">
      <c r="A2324" s="143">
        <v>2282</v>
      </c>
      <c r="B2324" s="144">
        <v>45971</v>
      </c>
      <c r="C2324" s="143" t="s">
        <v>3148</v>
      </c>
      <c r="E2324" s="196" t="s">
        <v>6590</v>
      </c>
      <c r="F2324" s="143" t="s">
        <v>6646</v>
      </c>
      <c r="H2324" s="143" t="s">
        <v>6647</v>
      </c>
      <c r="I2324" s="143" t="s">
        <v>6648</v>
      </c>
      <c r="J2324" s="143" t="s">
        <v>6649</v>
      </c>
      <c r="K2324" s="143">
        <v>140</v>
      </c>
      <c r="W2324" s="143" t="s">
        <v>3147</v>
      </c>
      <c r="X2324" s="143" t="s">
        <v>6646</v>
      </c>
      <c r="Y2324" s="143" t="s">
        <v>6183</v>
      </c>
      <c r="Z2324" s="143" t="s">
        <v>6646</v>
      </c>
      <c r="AA2324" s="143">
        <v>18.8</v>
      </c>
    </row>
    <row r="2325" spans="1:27">
      <c r="A2325" s="143">
        <v>2283</v>
      </c>
      <c r="B2325" s="144">
        <v>45971</v>
      </c>
      <c r="C2325" s="143" t="s">
        <v>3148</v>
      </c>
      <c r="E2325" s="196" t="s">
        <v>6590</v>
      </c>
      <c r="F2325" s="143" t="s">
        <v>6650</v>
      </c>
      <c r="H2325" s="143" t="s">
        <v>6651</v>
      </c>
      <c r="I2325" s="143" t="s">
        <v>3157</v>
      </c>
      <c r="J2325" s="143" t="s">
        <v>3684</v>
      </c>
      <c r="K2325" s="143">
        <v>145</v>
      </c>
      <c r="W2325" s="143" t="s">
        <v>3147</v>
      </c>
      <c r="X2325" s="143" t="s">
        <v>6650</v>
      </c>
      <c r="Y2325" s="143" t="s">
        <v>6183</v>
      </c>
      <c r="Z2325" s="143" t="s">
        <v>6650</v>
      </c>
      <c r="AA2325" s="143">
        <v>15</v>
      </c>
    </row>
    <row r="2326" spans="1:27">
      <c r="A2326" s="143">
        <v>2284</v>
      </c>
      <c r="B2326" s="144">
        <v>45971</v>
      </c>
      <c r="C2326" s="143" t="s">
        <v>3148</v>
      </c>
      <c r="E2326" s="196" t="s">
        <v>6590</v>
      </c>
      <c r="F2326" s="143" t="s">
        <v>6652</v>
      </c>
      <c r="H2326" s="143" t="s">
        <v>6653</v>
      </c>
      <c r="I2326" s="143" t="s">
        <v>3157</v>
      </c>
      <c r="J2326" s="143" t="s">
        <v>3684</v>
      </c>
      <c r="K2326" s="143">
        <v>145</v>
      </c>
      <c r="W2326" s="143" t="s">
        <v>3147</v>
      </c>
      <c r="X2326" s="143" t="s">
        <v>6652</v>
      </c>
      <c r="Y2326" s="143" t="s">
        <v>6183</v>
      </c>
      <c r="Z2326" s="143" t="s">
        <v>6652</v>
      </c>
      <c r="AA2326" s="143">
        <v>15</v>
      </c>
    </row>
    <row r="2327" spans="1:27">
      <c r="A2327" s="143">
        <v>2285</v>
      </c>
      <c r="B2327" s="144">
        <v>45971</v>
      </c>
      <c r="C2327" s="143" t="s">
        <v>3148</v>
      </c>
      <c r="E2327" s="196" t="s">
        <v>6590</v>
      </c>
      <c r="F2327" s="143" t="s">
        <v>6654</v>
      </c>
      <c r="H2327" s="143" t="s">
        <v>6655</v>
      </c>
      <c r="I2327" s="143" t="s">
        <v>3157</v>
      </c>
      <c r="J2327" s="143" t="s">
        <v>3684</v>
      </c>
      <c r="K2327" s="143">
        <v>145</v>
      </c>
      <c r="W2327" s="143" t="s">
        <v>3147</v>
      </c>
      <c r="X2327" s="143" t="s">
        <v>6654</v>
      </c>
      <c r="Y2327" s="143" t="s">
        <v>6183</v>
      </c>
      <c r="Z2327" s="143" t="s">
        <v>6654</v>
      </c>
      <c r="AA2327" s="143">
        <v>15</v>
      </c>
    </row>
    <row r="2328" spans="1:27">
      <c r="A2328" s="143">
        <v>2286</v>
      </c>
      <c r="B2328" s="144">
        <v>45971</v>
      </c>
      <c r="C2328" s="143" t="s">
        <v>3148</v>
      </c>
      <c r="E2328" s="196" t="s">
        <v>6590</v>
      </c>
      <c r="F2328" s="143" t="s">
        <v>6656</v>
      </c>
      <c r="H2328" s="143" t="s">
        <v>6657</v>
      </c>
      <c r="I2328" s="143" t="s">
        <v>45</v>
      </c>
      <c r="J2328" s="143" t="s">
        <v>3684</v>
      </c>
      <c r="K2328" s="143">
        <v>145</v>
      </c>
      <c r="W2328" s="143" t="s">
        <v>3147</v>
      </c>
      <c r="X2328" s="143" t="s">
        <v>6656</v>
      </c>
      <c r="Y2328" s="143" t="s">
        <v>6183</v>
      </c>
      <c r="Z2328" s="143" t="s">
        <v>6656</v>
      </c>
      <c r="AA2328" s="143">
        <v>15</v>
      </c>
    </row>
    <row r="2329" spans="1:27">
      <c r="A2329" s="143">
        <v>2287</v>
      </c>
      <c r="B2329" s="144">
        <v>45971</v>
      </c>
      <c r="C2329" s="143" t="s">
        <v>3148</v>
      </c>
      <c r="E2329" s="196" t="s">
        <v>6590</v>
      </c>
      <c r="F2329" s="143" t="s">
        <v>6658</v>
      </c>
      <c r="H2329" s="143" t="s">
        <v>6659</v>
      </c>
      <c r="I2329" s="143" t="s">
        <v>3157</v>
      </c>
      <c r="J2329" s="143" t="s">
        <v>3684</v>
      </c>
      <c r="K2329" s="143">
        <v>145</v>
      </c>
      <c r="W2329" s="143" t="s">
        <v>3147</v>
      </c>
      <c r="X2329" s="143" t="s">
        <v>6658</v>
      </c>
      <c r="Y2329" s="143" t="s">
        <v>6183</v>
      </c>
      <c r="Z2329" s="143" t="s">
        <v>6658</v>
      </c>
      <c r="AA2329" s="143">
        <v>15</v>
      </c>
    </row>
    <row r="2330" spans="1:27">
      <c r="A2330" s="143">
        <v>2288</v>
      </c>
      <c r="B2330" s="144">
        <v>45971</v>
      </c>
      <c r="C2330" s="143" t="s">
        <v>3148</v>
      </c>
      <c r="E2330" s="196" t="s">
        <v>6590</v>
      </c>
      <c r="F2330" s="169" t="s">
        <v>6660</v>
      </c>
      <c r="H2330" s="143" t="s">
        <v>6661</v>
      </c>
      <c r="I2330" s="143" t="s">
        <v>6662</v>
      </c>
      <c r="J2330" s="143" t="s">
        <v>6606</v>
      </c>
      <c r="K2330" s="143">
        <v>148</v>
      </c>
      <c r="W2330" s="143" t="s">
        <v>3147</v>
      </c>
      <c r="X2330" s="169" t="s">
        <v>6660</v>
      </c>
      <c r="Y2330" s="169" t="s">
        <v>6663</v>
      </c>
      <c r="Z2330" s="169" t="s">
        <v>6660</v>
      </c>
      <c r="AA2330" s="143">
        <v>10</v>
      </c>
    </row>
    <row r="2331" spans="1:27">
      <c r="A2331" s="143">
        <v>2289</v>
      </c>
      <c r="B2331" s="144">
        <v>45971</v>
      </c>
      <c r="C2331" s="143" t="s">
        <v>3148</v>
      </c>
      <c r="E2331" s="196" t="s">
        <v>6590</v>
      </c>
      <c r="F2331" s="143" t="s">
        <v>6664</v>
      </c>
      <c r="H2331" s="143" t="s">
        <v>6665</v>
      </c>
      <c r="I2331" s="143" t="s">
        <v>4690</v>
      </c>
      <c r="J2331" s="143" t="s">
        <v>1460</v>
      </c>
      <c r="K2331" s="143">
        <v>142</v>
      </c>
      <c r="W2331" s="143" t="s">
        <v>3147</v>
      </c>
      <c r="X2331" s="143" t="s">
        <v>6664</v>
      </c>
      <c r="Y2331" s="169" t="s">
        <v>6663</v>
      </c>
      <c r="Z2331" s="143" t="s">
        <v>6664</v>
      </c>
      <c r="AA2331" s="143">
        <v>9.6</v>
      </c>
    </row>
    <row r="2332" spans="1:27">
      <c r="A2332" s="143">
        <v>2290</v>
      </c>
      <c r="B2332" s="144">
        <v>45971</v>
      </c>
      <c r="C2332" s="143" t="s">
        <v>3148</v>
      </c>
      <c r="E2332" s="196" t="s">
        <v>6590</v>
      </c>
      <c r="F2332" s="143" t="s">
        <v>6666</v>
      </c>
      <c r="H2332" s="143" t="s">
        <v>6667</v>
      </c>
      <c r="I2332" s="143" t="s">
        <v>4690</v>
      </c>
      <c r="J2332" s="143" t="s">
        <v>1460</v>
      </c>
      <c r="K2332" s="143">
        <v>145</v>
      </c>
      <c r="W2332" s="143" t="s">
        <v>3147</v>
      </c>
      <c r="X2332" s="143" t="s">
        <v>6666</v>
      </c>
      <c r="Y2332" s="169" t="s">
        <v>6663</v>
      </c>
      <c r="Z2332" s="143" t="s">
        <v>6666</v>
      </c>
      <c r="AA2332" s="143">
        <v>9.6</v>
      </c>
    </row>
    <row r="2333" spans="1:27">
      <c r="A2333" s="143">
        <v>2291</v>
      </c>
      <c r="B2333" s="144">
        <v>45971</v>
      </c>
      <c r="C2333" s="143" t="s">
        <v>3148</v>
      </c>
      <c r="E2333" s="196" t="s">
        <v>6590</v>
      </c>
      <c r="F2333" s="143" t="s">
        <v>6668</v>
      </c>
      <c r="H2333" s="143" t="s">
        <v>6669</v>
      </c>
      <c r="I2333" s="143" t="s">
        <v>4690</v>
      </c>
      <c r="J2333" s="143" t="s">
        <v>1460</v>
      </c>
      <c r="K2333" s="143">
        <v>145</v>
      </c>
      <c r="W2333" s="143" t="s">
        <v>3147</v>
      </c>
      <c r="X2333" s="143" t="s">
        <v>6668</v>
      </c>
      <c r="Y2333" s="169" t="s">
        <v>6663</v>
      </c>
      <c r="Z2333" s="143" t="s">
        <v>6668</v>
      </c>
      <c r="AA2333" s="143">
        <v>9.6</v>
      </c>
    </row>
    <row r="2334" spans="1:27">
      <c r="A2334" s="143">
        <v>2292</v>
      </c>
      <c r="B2334" s="144">
        <v>45971</v>
      </c>
      <c r="C2334" s="143" t="s">
        <v>3148</v>
      </c>
      <c r="E2334" s="196" t="s">
        <v>6590</v>
      </c>
      <c r="F2334" s="143" t="s">
        <v>6670</v>
      </c>
      <c r="H2334" s="143" t="s">
        <v>6671</v>
      </c>
      <c r="I2334" s="143" t="s">
        <v>4690</v>
      </c>
      <c r="J2334" s="143" t="s">
        <v>1460</v>
      </c>
      <c r="K2334" s="143">
        <v>142</v>
      </c>
      <c r="W2334" s="143" t="s">
        <v>3147</v>
      </c>
      <c r="X2334" s="143" t="s">
        <v>6670</v>
      </c>
      <c r="Y2334" s="169" t="s">
        <v>6663</v>
      </c>
      <c r="Z2334" s="143" t="s">
        <v>6670</v>
      </c>
      <c r="AA2334" s="143">
        <v>9.6</v>
      </c>
    </row>
    <row r="2335" spans="1:27">
      <c r="A2335" s="143">
        <v>2293</v>
      </c>
      <c r="B2335" s="144">
        <v>45971</v>
      </c>
      <c r="C2335" s="143" t="s">
        <v>3148</v>
      </c>
      <c r="E2335" s="196" t="s">
        <v>6590</v>
      </c>
      <c r="F2335" s="143" t="s">
        <v>6672</v>
      </c>
      <c r="H2335" s="143" t="s">
        <v>6673</v>
      </c>
      <c r="I2335" s="143" t="s">
        <v>4690</v>
      </c>
      <c r="J2335" s="143" t="s">
        <v>1460</v>
      </c>
      <c r="K2335" s="143">
        <v>142</v>
      </c>
      <c r="W2335" s="143" t="s">
        <v>3147</v>
      </c>
      <c r="X2335" s="143" t="s">
        <v>6672</v>
      </c>
      <c r="Y2335" s="169" t="s">
        <v>6663</v>
      </c>
      <c r="Z2335" s="143" t="s">
        <v>6672</v>
      </c>
      <c r="AA2335" s="143">
        <v>9.6</v>
      </c>
    </row>
    <row r="2336" spans="1:27">
      <c r="A2336" s="143">
        <v>2294</v>
      </c>
      <c r="B2336" s="144">
        <v>45971</v>
      </c>
      <c r="C2336" s="143" t="s">
        <v>3148</v>
      </c>
      <c r="E2336" s="196" t="s">
        <v>6590</v>
      </c>
      <c r="F2336" s="143" t="s">
        <v>6674</v>
      </c>
      <c r="H2336" s="143" t="s">
        <v>6675</v>
      </c>
      <c r="I2336" s="143" t="s">
        <v>4690</v>
      </c>
      <c r="J2336" s="143" t="s">
        <v>1460</v>
      </c>
      <c r="K2336" s="143">
        <v>142</v>
      </c>
      <c r="W2336" s="143" t="s">
        <v>3147</v>
      </c>
      <c r="X2336" s="143" t="s">
        <v>6674</v>
      </c>
      <c r="Y2336" s="169" t="s">
        <v>6663</v>
      </c>
      <c r="Z2336" s="143" t="s">
        <v>6674</v>
      </c>
      <c r="AA2336" s="143">
        <v>9.6</v>
      </c>
    </row>
    <row r="2337" spans="1:27">
      <c r="A2337" s="143">
        <v>2295</v>
      </c>
      <c r="B2337" s="144">
        <v>45971</v>
      </c>
      <c r="C2337" s="143" t="s">
        <v>3148</v>
      </c>
      <c r="E2337" s="196" t="s">
        <v>6590</v>
      </c>
      <c r="F2337" s="143" t="s">
        <v>6676</v>
      </c>
      <c r="H2337" s="143" t="s">
        <v>6677</v>
      </c>
      <c r="I2337" s="143" t="s">
        <v>4690</v>
      </c>
      <c r="J2337" s="143" t="s">
        <v>1460</v>
      </c>
      <c r="K2337" s="143">
        <v>142</v>
      </c>
      <c r="W2337" s="143" t="s">
        <v>3147</v>
      </c>
      <c r="X2337" s="143" t="s">
        <v>6676</v>
      </c>
      <c r="Y2337" s="169" t="s">
        <v>6663</v>
      </c>
      <c r="Z2337" s="143" t="s">
        <v>6676</v>
      </c>
      <c r="AA2337" s="143">
        <v>9.6</v>
      </c>
    </row>
    <row r="2338" spans="1:27">
      <c r="A2338" s="143">
        <v>2296</v>
      </c>
      <c r="B2338" s="144">
        <v>45971</v>
      </c>
      <c r="C2338" s="143" t="s">
        <v>3148</v>
      </c>
      <c r="E2338" s="196" t="s">
        <v>6590</v>
      </c>
      <c r="F2338" s="143" t="s">
        <v>6678</v>
      </c>
      <c r="H2338" s="143" t="s">
        <v>6679</v>
      </c>
      <c r="I2338" s="143" t="s">
        <v>4690</v>
      </c>
      <c r="J2338" s="143" t="s">
        <v>1460</v>
      </c>
      <c r="K2338" s="143">
        <v>145</v>
      </c>
      <c r="W2338" s="143" t="s">
        <v>3147</v>
      </c>
      <c r="X2338" s="143" t="s">
        <v>6678</v>
      </c>
      <c r="Y2338" s="169" t="s">
        <v>6663</v>
      </c>
      <c r="Z2338" s="143" t="s">
        <v>6678</v>
      </c>
      <c r="AA2338" s="143">
        <v>9.6</v>
      </c>
    </row>
    <row r="2339" spans="1:27">
      <c r="A2339" s="143">
        <v>2297</v>
      </c>
      <c r="B2339" s="144">
        <v>45971</v>
      </c>
      <c r="C2339" s="143" t="s">
        <v>3148</v>
      </c>
      <c r="E2339" s="196" t="s">
        <v>6590</v>
      </c>
      <c r="F2339" s="143" t="s">
        <v>6680</v>
      </c>
      <c r="H2339" s="143" t="s">
        <v>6681</v>
      </c>
      <c r="I2339" s="143" t="s">
        <v>4690</v>
      </c>
      <c r="J2339" s="143" t="s">
        <v>1460</v>
      </c>
      <c r="K2339" s="143">
        <v>142</v>
      </c>
      <c r="W2339" s="143" t="s">
        <v>3147</v>
      </c>
      <c r="X2339" s="143" t="s">
        <v>6680</v>
      </c>
      <c r="Y2339" s="169" t="s">
        <v>6663</v>
      </c>
      <c r="Z2339" s="143" t="s">
        <v>6680</v>
      </c>
      <c r="AA2339" s="143">
        <v>9.6</v>
      </c>
    </row>
    <row r="2340" spans="1:27">
      <c r="A2340" s="143">
        <v>2298</v>
      </c>
      <c r="B2340" s="144">
        <v>45971</v>
      </c>
      <c r="C2340" s="143" t="s">
        <v>3148</v>
      </c>
      <c r="E2340" s="196" t="s">
        <v>6590</v>
      </c>
      <c r="F2340" s="143" t="s">
        <v>6682</v>
      </c>
      <c r="H2340" s="143" t="s">
        <v>6683</v>
      </c>
      <c r="I2340" s="143" t="s">
        <v>4690</v>
      </c>
      <c r="J2340" s="143" t="s">
        <v>1460</v>
      </c>
      <c r="K2340" s="143">
        <v>142</v>
      </c>
      <c r="W2340" s="143" t="s">
        <v>3147</v>
      </c>
      <c r="X2340" s="143" t="s">
        <v>6682</v>
      </c>
      <c r="Y2340" s="169" t="s">
        <v>6663</v>
      </c>
      <c r="Z2340" s="143" t="s">
        <v>6682</v>
      </c>
      <c r="AA2340" s="143">
        <v>9.6</v>
      </c>
    </row>
    <row r="2341" spans="1:27">
      <c r="A2341" s="143">
        <v>2299</v>
      </c>
      <c r="B2341" s="144">
        <v>45971</v>
      </c>
      <c r="C2341" s="143" t="s">
        <v>3148</v>
      </c>
      <c r="E2341" s="196" t="s">
        <v>6590</v>
      </c>
      <c r="F2341" s="143" t="s">
        <v>6684</v>
      </c>
      <c r="H2341" s="143" t="s">
        <v>6685</v>
      </c>
      <c r="I2341" s="143" t="s">
        <v>4690</v>
      </c>
      <c r="J2341" s="143" t="s">
        <v>1460</v>
      </c>
      <c r="K2341" s="143">
        <v>145</v>
      </c>
      <c r="W2341" s="143" t="s">
        <v>3147</v>
      </c>
      <c r="X2341" s="143" t="s">
        <v>6684</v>
      </c>
      <c r="Y2341" s="169" t="s">
        <v>6663</v>
      </c>
      <c r="Z2341" s="143" t="s">
        <v>6684</v>
      </c>
      <c r="AA2341" s="143">
        <v>9.6</v>
      </c>
    </row>
    <row r="2342" spans="1:27">
      <c r="A2342" s="143">
        <v>2300</v>
      </c>
      <c r="B2342" s="144">
        <v>45971</v>
      </c>
      <c r="C2342" s="143" t="s">
        <v>3148</v>
      </c>
      <c r="E2342" s="196" t="s">
        <v>6590</v>
      </c>
      <c r="F2342" s="143" t="s">
        <v>6686</v>
      </c>
      <c r="H2342" s="143" t="s">
        <v>6687</v>
      </c>
      <c r="I2342" s="143" t="s">
        <v>4690</v>
      </c>
      <c r="J2342" s="143" t="s">
        <v>1460</v>
      </c>
      <c r="K2342" s="143">
        <v>142</v>
      </c>
      <c r="W2342" s="143" t="s">
        <v>3147</v>
      </c>
      <c r="X2342" s="143" t="s">
        <v>6686</v>
      </c>
      <c r="Y2342" s="169" t="s">
        <v>6663</v>
      </c>
      <c r="Z2342" s="143" t="s">
        <v>6686</v>
      </c>
      <c r="AA2342" s="143">
        <v>9.6</v>
      </c>
    </row>
    <row r="2343" spans="1:27">
      <c r="A2343" s="143">
        <v>2301</v>
      </c>
      <c r="B2343" s="144">
        <v>45971</v>
      </c>
      <c r="C2343" s="143" t="s">
        <v>3148</v>
      </c>
      <c r="E2343" s="196" t="s">
        <v>6590</v>
      </c>
      <c r="F2343" s="143" t="s">
        <v>6688</v>
      </c>
      <c r="H2343" s="143" t="s">
        <v>6689</v>
      </c>
      <c r="I2343" s="143" t="s">
        <v>4690</v>
      </c>
      <c r="J2343" s="143" t="s">
        <v>1460</v>
      </c>
      <c r="K2343" s="143">
        <v>142</v>
      </c>
      <c r="W2343" s="143" t="s">
        <v>3147</v>
      </c>
      <c r="X2343" s="143" t="s">
        <v>6688</v>
      </c>
      <c r="Y2343" s="169" t="s">
        <v>6663</v>
      </c>
      <c r="Z2343" s="143" t="s">
        <v>6688</v>
      </c>
      <c r="AA2343" s="143">
        <v>9.6</v>
      </c>
    </row>
    <row r="2344" spans="1:27">
      <c r="A2344" s="143">
        <v>2302</v>
      </c>
      <c r="B2344" s="144">
        <v>45971</v>
      </c>
      <c r="C2344" s="143" t="s">
        <v>3148</v>
      </c>
      <c r="E2344" s="196" t="s">
        <v>6590</v>
      </c>
      <c r="F2344" s="143" t="s">
        <v>6690</v>
      </c>
      <c r="H2344" s="143" t="s">
        <v>6691</v>
      </c>
      <c r="I2344" s="143" t="s">
        <v>4690</v>
      </c>
      <c r="J2344" s="143" t="s">
        <v>1460</v>
      </c>
      <c r="K2344" s="143">
        <v>145</v>
      </c>
      <c r="W2344" s="143" t="s">
        <v>3147</v>
      </c>
      <c r="X2344" s="143" t="s">
        <v>6690</v>
      </c>
      <c r="Y2344" s="169" t="s">
        <v>6663</v>
      </c>
      <c r="Z2344" s="143" t="s">
        <v>6690</v>
      </c>
      <c r="AA2344" s="143">
        <v>9.6</v>
      </c>
    </row>
    <row r="2345" spans="1:27">
      <c r="A2345" s="143">
        <v>2303</v>
      </c>
      <c r="B2345" s="144">
        <v>45971</v>
      </c>
      <c r="C2345" s="143" t="s">
        <v>3148</v>
      </c>
      <c r="E2345" s="196" t="s">
        <v>6590</v>
      </c>
      <c r="F2345" s="169" t="s">
        <v>6692</v>
      </c>
      <c r="H2345" s="143" t="s">
        <v>6693</v>
      </c>
      <c r="I2345" s="143" t="s">
        <v>3157</v>
      </c>
      <c r="J2345" s="143" t="s">
        <v>3684</v>
      </c>
      <c r="K2345" s="143">
        <v>150</v>
      </c>
      <c r="W2345" s="143" t="s">
        <v>3147</v>
      </c>
      <c r="X2345" s="169" t="s">
        <v>6692</v>
      </c>
      <c r="Y2345" s="169" t="s">
        <v>6663</v>
      </c>
      <c r="Z2345" s="169" t="s">
        <v>6692</v>
      </c>
      <c r="AA2345" s="143">
        <v>14.5</v>
      </c>
    </row>
    <row r="2346" spans="1:27">
      <c r="A2346" s="143">
        <v>2304</v>
      </c>
      <c r="B2346" s="144">
        <v>45971</v>
      </c>
      <c r="C2346" s="143" t="s">
        <v>3148</v>
      </c>
      <c r="E2346" s="196" t="s">
        <v>6590</v>
      </c>
      <c r="F2346" s="169" t="s">
        <v>6694</v>
      </c>
      <c r="H2346" s="143" t="s">
        <v>6695</v>
      </c>
      <c r="I2346" s="143" t="s">
        <v>3157</v>
      </c>
      <c r="J2346" s="143" t="s">
        <v>3684</v>
      </c>
      <c r="K2346" s="143">
        <v>150</v>
      </c>
      <c r="W2346" s="143" t="s">
        <v>3147</v>
      </c>
      <c r="X2346" s="169" t="s">
        <v>6694</v>
      </c>
      <c r="Y2346" s="169" t="s">
        <v>6663</v>
      </c>
      <c r="Z2346" s="169" t="s">
        <v>6694</v>
      </c>
      <c r="AA2346" s="143">
        <v>14.5</v>
      </c>
    </row>
    <row r="2347" spans="1:27">
      <c r="A2347" s="143">
        <v>2305</v>
      </c>
      <c r="B2347" s="144">
        <v>45971</v>
      </c>
      <c r="C2347" s="143" t="s">
        <v>3148</v>
      </c>
      <c r="E2347" s="196" t="s">
        <v>6590</v>
      </c>
      <c r="F2347" s="169" t="s">
        <v>6696</v>
      </c>
      <c r="H2347" s="143" t="s">
        <v>6697</v>
      </c>
      <c r="I2347" s="143" t="s">
        <v>3157</v>
      </c>
      <c r="J2347" s="143" t="s">
        <v>3684</v>
      </c>
      <c r="K2347" s="143">
        <v>150</v>
      </c>
      <c r="W2347" s="143" t="s">
        <v>3147</v>
      </c>
      <c r="X2347" s="169" t="s">
        <v>6696</v>
      </c>
      <c r="Y2347" s="169" t="s">
        <v>6663</v>
      </c>
      <c r="Z2347" s="169" t="s">
        <v>6696</v>
      </c>
      <c r="AA2347" s="143">
        <v>14.5</v>
      </c>
    </row>
    <row r="2348" spans="1:27">
      <c r="A2348" s="143">
        <v>2306</v>
      </c>
      <c r="B2348" s="144">
        <v>45971</v>
      </c>
      <c r="C2348" s="143" t="s">
        <v>3148</v>
      </c>
      <c r="E2348" s="196" t="s">
        <v>6590</v>
      </c>
      <c r="F2348" s="169" t="s">
        <v>6698</v>
      </c>
      <c r="H2348" s="143" t="s">
        <v>6699</v>
      </c>
      <c r="I2348" s="143" t="s">
        <v>3157</v>
      </c>
      <c r="J2348" s="143" t="s">
        <v>3684</v>
      </c>
      <c r="K2348" s="143">
        <v>150</v>
      </c>
      <c r="W2348" s="143" t="s">
        <v>3147</v>
      </c>
      <c r="X2348" s="169" t="s">
        <v>6698</v>
      </c>
      <c r="Y2348" s="169" t="s">
        <v>6663</v>
      </c>
      <c r="Z2348" s="169" t="s">
        <v>6698</v>
      </c>
      <c r="AA2348" s="143">
        <v>14.5</v>
      </c>
    </row>
    <row r="2349" spans="1:27">
      <c r="A2349" s="143">
        <v>2307</v>
      </c>
      <c r="B2349" s="144">
        <v>45971</v>
      </c>
      <c r="C2349" s="143" t="s">
        <v>3148</v>
      </c>
      <c r="E2349" s="196" t="s">
        <v>6590</v>
      </c>
      <c r="F2349" s="169" t="s">
        <v>6700</v>
      </c>
      <c r="H2349" s="143" t="s">
        <v>6701</v>
      </c>
      <c r="I2349" s="143" t="s">
        <v>3157</v>
      </c>
      <c r="J2349" s="143" t="s">
        <v>3684</v>
      </c>
      <c r="K2349" s="143">
        <v>150</v>
      </c>
      <c r="W2349" s="143" t="s">
        <v>3147</v>
      </c>
      <c r="X2349" s="169" t="s">
        <v>6700</v>
      </c>
      <c r="Y2349" s="169" t="s">
        <v>6663</v>
      </c>
      <c r="Z2349" s="169" t="s">
        <v>6700</v>
      </c>
      <c r="AA2349" s="143">
        <v>14.5</v>
      </c>
    </row>
    <row r="2350" spans="1:27">
      <c r="A2350" s="143">
        <v>2308</v>
      </c>
      <c r="B2350" s="144">
        <v>45971</v>
      </c>
      <c r="C2350" s="143" t="s">
        <v>3148</v>
      </c>
      <c r="E2350" s="196" t="s">
        <v>6590</v>
      </c>
      <c r="F2350" s="169" t="s">
        <v>6702</v>
      </c>
      <c r="H2350" s="143" t="s">
        <v>6703</v>
      </c>
      <c r="I2350" s="143" t="s">
        <v>3157</v>
      </c>
      <c r="J2350" s="143" t="s">
        <v>3684</v>
      </c>
      <c r="K2350" s="143">
        <v>150</v>
      </c>
      <c r="W2350" s="143" t="s">
        <v>3147</v>
      </c>
      <c r="X2350" s="169" t="s">
        <v>6702</v>
      </c>
      <c r="Y2350" s="169" t="s">
        <v>6663</v>
      </c>
      <c r="Z2350" s="169" t="s">
        <v>6702</v>
      </c>
      <c r="AA2350" s="143">
        <v>14.5</v>
      </c>
    </row>
    <row r="2351" spans="1:27">
      <c r="A2351" s="143">
        <v>2309</v>
      </c>
      <c r="B2351" s="144">
        <v>45971</v>
      </c>
      <c r="C2351" s="143" t="s">
        <v>3148</v>
      </c>
      <c r="E2351" s="196" t="s">
        <v>6590</v>
      </c>
      <c r="F2351" s="169" t="s">
        <v>6704</v>
      </c>
      <c r="H2351" s="143" t="s">
        <v>6705</v>
      </c>
      <c r="I2351" s="143" t="s">
        <v>3157</v>
      </c>
      <c r="J2351" s="143" t="s">
        <v>3684</v>
      </c>
      <c r="K2351" s="143">
        <v>150</v>
      </c>
      <c r="W2351" s="143" t="s">
        <v>3147</v>
      </c>
      <c r="X2351" s="169" t="s">
        <v>6704</v>
      </c>
      <c r="Y2351" s="169" t="s">
        <v>6663</v>
      </c>
      <c r="Z2351" s="169" t="s">
        <v>6704</v>
      </c>
      <c r="AA2351" s="143">
        <v>14.5</v>
      </c>
    </row>
    <row r="2352" spans="1:27">
      <c r="A2352" s="143">
        <v>2310</v>
      </c>
      <c r="B2352" s="144">
        <v>45971</v>
      </c>
      <c r="C2352" s="143" t="s">
        <v>3148</v>
      </c>
      <c r="E2352" s="196" t="s">
        <v>6590</v>
      </c>
      <c r="F2352" s="143" t="s">
        <v>6706</v>
      </c>
      <c r="H2352" s="143" t="s">
        <v>6707</v>
      </c>
      <c r="I2352" s="143" t="s">
        <v>4690</v>
      </c>
      <c r="J2352" s="143" t="s">
        <v>1460</v>
      </c>
      <c r="K2352" s="143">
        <v>145</v>
      </c>
      <c r="W2352" s="143" t="s">
        <v>3147</v>
      </c>
      <c r="X2352" s="143" t="s">
        <v>6706</v>
      </c>
      <c r="Y2352" s="169" t="s">
        <v>6663</v>
      </c>
      <c r="Z2352" s="143" t="s">
        <v>6706</v>
      </c>
      <c r="AA2352" s="143">
        <v>9.6</v>
      </c>
    </row>
    <row r="2353" spans="1:27">
      <c r="A2353" s="143">
        <v>2311</v>
      </c>
      <c r="B2353" s="144">
        <v>45971</v>
      </c>
      <c r="C2353" s="143" t="s">
        <v>3148</v>
      </c>
      <c r="E2353" s="196" t="s">
        <v>6590</v>
      </c>
      <c r="F2353" s="143" t="s">
        <v>6708</v>
      </c>
      <c r="H2353" s="143" t="s">
        <v>6709</v>
      </c>
      <c r="I2353" s="143" t="s">
        <v>4690</v>
      </c>
      <c r="J2353" s="143" t="s">
        <v>1460</v>
      </c>
      <c r="K2353" s="143">
        <v>145</v>
      </c>
      <c r="W2353" s="143" t="s">
        <v>3147</v>
      </c>
      <c r="X2353" s="143" t="s">
        <v>6708</v>
      </c>
      <c r="Y2353" s="169" t="s">
        <v>6663</v>
      </c>
      <c r="Z2353" s="143" t="s">
        <v>6708</v>
      </c>
      <c r="AA2353" s="143">
        <v>9.6</v>
      </c>
    </row>
    <row r="2354" spans="1:27">
      <c r="A2354" s="143">
        <v>2312</v>
      </c>
      <c r="B2354" s="144">
        <v>45971</v>
      </c>
      <c r="C2354" s="143" t="s">
        <v>3148</v>
      </c>
      <c r="E2354" s="196" t="s">
        <v>6590</v>
      </c>
      <c r="F2354" s="143" t="s">
        <v>6710</v>
      </c>
      <c r="H2354" s="143" t="s">
        <v>6711</v>
      </c>
      <c r="I2354" s="143" t="s">
        <v>4690</v>
      </c>
      <c r="J2354" s="143" t="s">
        <v>1460</v>
      </c>
      <c r="K2354" s="143">
        <v>145</v>
      </c>
      <c r="W2354" s="143" t="s">
        <v>3147</v>
      </c>
      <c r="X2354" s="143" t="s">
        <v>6710</v>
      </c>
      <c r="Y2354" s="169" t="s">
        <v>6663</v>
      </c>
      <c r="Z2354" s="143" t="s">
        <v>6710</v>
      </c>
      <c r="AA2354" s="143">
        <v>9.6</v>
      </c>
    </row>
    <row r="2355" spans="1:27">
      <c r="A2355" s="143">
        <v>2313</v>
      </c>
      <c r="B2355" s="144">
        <v>45971</v>
      </c>
      <c r="C2355" s="143" t="s">
        <v>3148</v>
      </c>
      <c r="E2355" s="196" t="s">
        <v>6590</v>
      </c>
      <c r="F2355" s="143" t="s">
        <v>6712</v>
      </c>
      <c r="H2355" s="143" t="s">
        <v>6713</v>
      </c>
      <c r="I2355" s="143" t="s">
        <v>4690</v>
      </c>
      <c r="J2355" s="143" t="s">
        <v>1460</v>
      </c>
      <c r="K2355" s="143">
        <v>145</v>
      </c>
      <c r="W2355" s="143" t="s">
        <v>3147</v>
      </c>
      <c r="X2355" s="143" t="s">
        <v>6712</v>
      </c>
      <c r="Y2355" s="169" t="s">
        <v>6663</v>
      </c>
      <c r="Z2355" s="143" t="s">
        <v>6712</v>
      </c>
      <c r="AA2355" s="143">
        <v>9.6</v>
      </c>
    </row>
    <row r="2356" spans="1:27">
      <c r="A2356" s="143">
        <v>2314</v>
      </c>
      <c r="B2356" s="144">
        <v>45971</v>
      </c>
      <c r="C2356" s="143" t="s">
        <v>3148</v>
      </c>
      <c r="E2356" s="196" t="s">
        <v>6590</v>
      </c>
      <c r="F2356" s="143" t="s">
        <v>6678</v>
      </c>
      <c r="H2356" s="143" t="s">
        <v>6714</v>
      </c>
      <c r="I2356" s="143" t="s">
        <v>4690</v>
      </c>
      <c r="J2356" s="143" t="s">
        <v>1460</v>
      </c>
      <c r="K2356" s="143">
        <v>142</v>
      </c>
      <c r="W2356" s="143" t="s">
        <v>3147</v>
      </c>
      <c r="X2356" s="143" t="s">
        <v>6678</v>
      </c>
      <c r="Y2356" s="169" t="s">
        <v>6663</v>
      </c>
      <c r="Z2356" s="143" t="s">
        <v>6678</v>
      </c>
      <c r="AA2356" s="143">
        <v>9.6</v>
      </c>
    </row>
    <row r="2357" spans="1:27">
      <c r="A2357" s="143">
        <v>2315</v>
      </c>
      <c r="B2357" s="144">
        <v>45971</v>
      </c>
      <c r="C2357" s="143" t="s">
        <v>3148</v>
      </c>
      <c r="E2357" s="196" t="s">
        <v>6590</v>
      </c>
      <c r="F2357" s="143" t="s">
        <v>6715</v>
      </c>
      <c r="H2357" s="143" t="s">
        <v>6716</v>
      </c>
      <c r="I2357" s="143" t="s">
        <v>4690</v>
      </c>
      <c r="J2357" s="143" t="s">
        <v>1460</v>
      </c>
      <c r="K2357" s="143">
        <v>145</v>
      </c>
      <c r="W2357" s="143" t="s">
        <v>3147</v>
      </c>
      <c r="X2357" s="143" t="s">
        <v>6715</v>
      </c>
      <c r="Y2357" s="169" t="s">
        <v>6663</v>
      </c>
      <c r="Z2357" s="143" t="s">
        <v>6715</v>
      </c>
      <c r="AA2357" s="143">
        <v>9.6</v>
      </c>
    </row>
    <row r="2358" spans="1:27">
      <c r="A2358" s="143">
        <v>2316</v>
      </c>
      <c r="B2358" s="144">
        <v>45971</v>
      </c>
      <c r="C2358" s="143" t="s">
        <v>3148</v>
      </c>
      <c r="E2358" s="196" t="s">
        <v>6590</v>
      </c>
      <c r="F2358" s="169" t="s">
        <v>6717</v>
      </c>
      <c r="H2358" s="143" t="s">
        <v>6718</v>
      </c>
      <c r="I2358" s="143" t="s">
        <v>45</v>
      </c>
      <c r="J2358" s="143" t="s">
        <v>3684</v>
      </c>
      <c r="K2358" s="143">
        <v>150</v>
      </c>
      <c r="W2358" s="143" t="s">
        <v>3147</v>
      </c>
      <c r="X2358" s="169" t="s">
        <v>6717</v>
      </c>
      <c r="Y2358" s="169" t="s">
        <v>6663</v>
      </c>
      <c r="Z2358" s="169" t="s">
        <v>6717</v>
      </c>
      <c r="AA2358" s="143">
        <v>14</v>
      </c>
    </row>
    <row r="2359" spans="1:27">
      <c r="A2359" s="143">
        <v>2317</v>
      </c>
      <c r="B2359" s="144">
        <v>45971</v>
      </c>
      <c r="C2359" s="143" t="s">
        <v>3148</v>
      </c>
      <c r="E2359" s="196" t="s">
        <v>6590</v>
      </c>
      <c r="F2359" s="143" t="s">
        <v>6719</v>
      </c>
      <c r="H2359" s="177" t="s">
        <v>6720</v>
      </c>
      <c r="I2359" s="143" t="s">
        <v>45</v>
      </c>
      <c r="J2359" s="143" t="s">
        <v>3684</v>
      </c>
      <c r="K2359" s="143">
        <v>145</v>
      </c>
      <c r="L2359" s="143">
        <v>90</v>
      </c>
      <c r="W2359" s="143" t="s">
        <v>3147</v>
      </c>
      <c r="X2359" s="143" t="s">
        <v>6719</v>
      </c>
      <c r="Y2359" s="169" t="s">
        <v>3434</v>
      </c>
      <c r="Z2359" s="143" t="s">
        <v>6719</v>
      </c>
      <c r="AA2359" s="143">
        <v>14.4</v>
      </c>
    </row>
    <row r="2360" spans="1:27">
      <c r="A2360" s="143">
        <v>2318</v>
      </c>
      <c r="B2360" s="144">
        <v>45971</v>
      </c>
      <c r="C2360" s="143" t="s">
        <v>3148</v>
      </c>
      <c r="E2360" s="196" t="s">
        <v>6590</v>
      </c>
      <c r="F2360" s="143" t="s">
        <v>6721</v>
      </c>
      <c r="H2360" s="177" t="s">
        <v>6722</v>
      </c>
      <c r="I2360" s="143" t="s">
        <v>45</v>
      </c>
      <c r="J2360" s="143" t="s">
        <v>3684</v>
      </c>
      <c r="K2360" s="143">
        <v>145</v>
      </c>
      <c r="L2360" s="143">
        <v>90</v>
      </c>
      <c r="W2360" s="143" t="s">
        <v>3147</v>
      </c>
      <c r="X2360" s="143" t="s">
        <v>6721</v>
      </c>
      <c r="Y2360" s="169" t="s">
        <v>3434</v>
      </c>
      <c r="Z2360" s="143" t="s">
        <v>6721</v>
      </c>
      <c r="AA2360" s="143">
        <v>14.4</v>
      </c>
    </row>
    <row r="2361" spans="1:27">
      <c r="A2361" s="143">
        <v>2319</v>
      </c>
      <c r="B2361" s="144">
        <v>45971</v>
      </c>
      <c r="C2361" s="143" t="s">
        <v>3148</v>
      </c>
      <c r="E2361" s="196" t="s">
        <v>6590</v>
      </c>
      <c r="F2361" s="143" t="s">
        <v>6723</v>
      </c>
      <c r="H2361" s="177" t="s">
        <v>6724</v>
      </c>
      <c r="I2361" s="143" t="s">
        <v>45</v>
      </c>
      <c r="J2361" s="143" t="s">
        <v>3684</v>
      </c>
      <c r="K2361" s="143">
        <v>145</v>
      </c>
      <c r="L2361" s="143">
        <v>90</v>
      </c>
      <c r="W2361" s="143" t="s">
        <v>3147</v>
      </c>
      <c r="X2361" s="143" t="s">
        <v>6723</v>
      </c>
      <c r="Y2361" s="169" t="s">
        <v>3434</v>
      </c>
      <c r="Z2361" s="143" t="s">
        <v>6723</v>
      </c>
      <c r="AA2361" s="143">
        <v>14.4</v>
      </c>
    </row>
    <row r="2362" spans="1:27">
      <c r="A2362" s="143">
        <v>2320</v>
      </c>
      <c r="B2362" s="144">
        <v>45971</v>
      </c>
      <c r="C2362" s="143" t="s">
        <v>3148</v>
      </c>
      <c r="E2362" s="196" t="s">
        <v>6590</v>
      </c>
      <c r="F2362" s="143" t="s">
        <v>6725</v>
      </c>
      <c r="H2362" s="177" t="s">
        <v>6726</v>
      </c>
      <c r="I2362" s="143" t="s">
        <v>45</v>
      </c>
      <c r="J2362" s="143" t="s">
        <v>3684</v>
      </c>
      <c r="K2362" s="143">
        <v>145</v>
      </c>
      <c r="L2362" s="143">
        <v>90</v>
      </c>
      <c r="W2362" s="143" t="s">
        <v>3147</v>
      </c>
      <c r="X2362" s="143" t="s">
        <v>6725</v>
      </c>
      <c r="Y2362" s="169" t="s">
        <v>3434</v>
      </c>
      <c r="Z2362" s="143" t="s">
        <v>6725</v>
      </c>
      <c r="AA2362" s="143">
        <v>14.4</v>
      </c>
    </row>
    <row r="2363" spans="1:27">
      <c r="A2363" s="143">
        <v>2321</v>
      </c>
      <c r="B2363" s="144">
        <v>45971</v>
      </c>
      <c r="C2363" s="143" t="s">
        <v>3148</v>
      </c>
      <c r="E2363" s="196" t="s">
        <v>6590</v>
      </c>
      <c r="F2363" s="143" t="s">
        <v>6727</v>
      </c>
      <c r="H2363" s="177" t="s">
        <v>6728</v>
      </c>
      <c r="I2363" s="143" t="s">
        <v>45</v>
      </c>
      <c r="J2363" s="143" t="s">
        <v>3684</v>
      </c>
      <c r="K2363" s="143">
        <v>145</v>
      </c>
      <c r="L2363" s="143">
        <v>90</v>
      </c>
      <c r="W2363" s="143" t="s">
        <v>3147</v>
      </c>
      <c r="X2363" s="143" t="s">
        <v>6727</v>
      </c>
      <c r="Y2363" s="169" t="s">
        <v>3434</v>
      </c>
      <c r="Z2363" s="143" t="s">
        <v>6727</v>
      </c>
      <c r="AA2363" s="143">
        <v>14.4</v>
      </c>
    </row>
    <row r="2364" spans="1:27">
      <c r="A2364" s="143">
        <v>2322</v>
      </c>
      <c r="B2364" s="144">
        <v>45971</v>
      </c>
      <c r="C2364" s="143" t="s">
        <v>3148</v>
      </c>
      <c r="E2364" s="196" t="s">
        <v>6590</v>
      </c>
      <c r="F2364" s="143" t="s">
        <v>6729</v>
      </c>
      <c r="H2364" s="177" t="s">
        <v>6730</v>
      </c>
      <c r="I2364" s="143" t="s">
        <v>45</v>
      </c>
      <c r="J2364" s="143" t="s">
        <v>3684</v>
      </c>
      <c r="K2364" s="143">
        <v>145</v>
      </c>
      <c r="L2364" s="143">
        <v>90</v>
      </c>
      <c r="W2364" s="143" t="s">
        <v>3147</v>
      </c>
      <c r="X2364" s="143" t="s">
        <v>6729</v>
      </c>
      <c r="Y2364" s="169" t="s">
        <v>3434</v>
      </c>
      <c r="Z2364" s="143" t="s">
        <v>6729</v>
      </c>
      <c r="AA2364" s="143">
        <v>14.4</v>
      </c>
    </row>
    <row r="2365" spans="1:27">
      <c r="A2365" s="143">
        <v>2323</v>
      </c>
      <c r="B2365" s="144">
        <v>45971</v>
      </c>
      <c r="C2365" s="143" t="s">
        <v>3148</v>
      </c>
      <c r="E2365" s="196" t="s">
        <v>6590</v>
      </c>
      <c r="F2365" s="143" t="s">
        <v>6731</v>
      </c>
      <c r="H2365" s="177" t="s">
        <v>6732</v>
      </c>
      <c r="I2365" s="143" t="s">
        <v>45</v>
      </c>
      <c r="J2365" s="143" t="s">
        <v>3684</v>
      </c>
      <c r="K2365" s="143">
        <v>145</v>
      </c>
      <c r="L2365" s="143">
        <v>90</v>
      </c>
      <c r="W2365" s="143" t="s">
        <v>3147</v>
      </c>
      <c r="X2365" s="143" t="s">
        <v>6731</v>
      </c>
      <c r="Y2365" s="169" t="s">
        <v>3434</v>
      </c>
      <c r="Z2365" s="143" t="s">
        <v>6731</v>
      </c>
      <c r="AA2365" s="143">
        <v>14.4</v>
      </c>
    </row>
    <row r="2366" spans="1:27">
      <c r="A2366" s="143">
        <v>2324</v>
      </c>
      <c r="B2366" s="144">
        <v>45971</v>
      </c>
      <c r="C2366" s="143" t="s">
        <v>3148</v>
      </c>
      <c r="E2366" s="196" t="s">
        <v>6590</v>
      </c>
      <c r="F2366" s="143" t="s">
        <v>6733</v>
      </c>
      <c r="H2366" s="177" t="s">
        <v>6734</v>
      </c>
      <c r="I2366" s="143" t="s">
        <v>45</v>
      </c>
      <c r="J2366" s="143" t="s">
        <v>3684</v>
      </c>
      <c r="K2366" s="143">
        <v>145</v>
      </c>
      <c r="L2366" s="143">
        <v>90</v>
      </c>
      <c r="W2366" s="143" t="s">
        <v>3147</v>
      </c>
      <c r="X2366" s="143" t="s">
        <v>6733</v>
      </c>
      <c r="Y2366" s="169" t="s">
        <v>3434</v>
      </c>
      <c r="Z2366" s="143" t="s">
        <v>6733</v>
      </c>
      <c r="AA2366" s="143">
        <v>14.4</v>
      </c>
    </row>
    <row r="2367" spans="1:27">
      <c r="A2367" s="143">
        <v>2325</v>
      </c>
      <c r="B2367" s="144">
        <v>45971</v>
      </c>
      <c r="C2367" s="143" t="s">
        <v>3148</v>
      </c>
      <c r="E2367" s="196" t="s">
        <v>6590</v>
      </c>
      <c r="F2367" s="143" t="s">
        <v>6735</v>
      </c>
      <c r="H2367" s="177" t="s">
        <v>6736</v>
      </c>
      <c r="I2367" s="143" t="s">
        <v>45</v>
      </c>
      <c r="J2367" s="143" t="s">
        <v>3684</v>
      </c>
      <c r="K2367" s="143">
        <v>145</v>
      </c>
      <c r="L2367" s="143">
        <v>90</v>
      </c>
      <c r="W2367" s="143" t="s">
        <v>3147</v>
      </c>
      <c r="X2367" s="143" t="s">
        <v>6735</v>
      </c>
      <c r="Y2367" s="169" t="s">
        <v>3434</v>
      </c>
      <c r="Z2367" s="143" t="s">
        <v>6735</v>
      </c>
      <c r="AA2367" s="143">
        <v>14.4</v>
      </c>
    </row>
    <row r="2368" spans="1:27">
      <c r="A2368" s="143">
        <v>2326</v>
      </c>
      <c r="B2368" s="144">
        <v>45971</v>
      </c>
      <c r="C2368" s="143" t="s">
        <v>3148</v>
      </c>
      <c r="E2368" s="196" t="s">
        <v>6590</v>
      </c>
      <c r="F2368" s="143" t="s">
        <v>6737</v>
      </c>
      <c r="H2368" s="177" t="s">
        <v>6738</v>
      </c>
      <c r="I2368" s="143" t="s">
        <v>45</v>
      </c>
      <c r="J2368" s="143" t="s">
        <v>3684</v>
      </c>
      <c r="K2368" s="143">
        <v>145</v>
      </c>
      <c r="L2368" s="143">
        <v>90</v>
      </c>
      <c r="W2368" s="143" t="s">
        <v>3147</v>
      </c>
      <c r="X2368" s="143" t="s">
        <v>6737</v>
      </c>
      <c r="Y2368" s="169" t="s">
        <v>3434</v>
      </c>
      <c r="Z2368" s="143" t="s">
        <v>6737</v>
      </c>
      <c r="AA2368" s="143">
        <v>14.4</v>
      </c>
    </row>
    <row r="2369" spans="1:27">
      <c r="A2369" s="143">
        <v>2327</v>
      </c>
      <c r="B2369" s="144">
        <v>45971</v>
      </c>
      <c r="C2369" s="143" t="s">
        <v>3148</v>
      </c>
      <c r="E2369" s="196" t="s">
        <v>6590</v>
      </c>
      <c r="F2369" s="143" t="s">
        <v>6739</v>
      </c>
      <c r="H2369" s="177" t="s">
        <v>6740</v>
      </c>
      <c r="I2369" s="143" t="s">
        <v>45</v>
      </c>
      <c r="J2369" s="143" t="s">
        <v>3684</v>
      </c>
      <c r="K2369" s="143">
        <v>145</v>
      </c>
      <c r="L2369" s="143">
        <v>90</v>
      </c>
      <c r="W2369" s="143" t="s">
        <v>3147</v>
      </c>
      <c r="X2369" s="143" t="s">
        <v>6739</v>
      </c>
      <c r="Y2369" s="169" t="s">
        <v>3434</v>
      </c>
      <c r="Z2369" s="143" t="s">
        <v>6739</v>
      </c>
      <c r="AA2369" s="143">
        <v>14.4</v>
      </c>
    </row>
    <row r="2370" spans="1:27">
      <c r="A2370" s="143">
        <v>2328</v>
      </c>
      <c r="B2370" s="144">
        <v>45971</v>
      </c>
      <c r="C2370" s="143" t="s">
        <v>3148</v>
      </c>
      <c r="E2370" s="196" t="s">
        <v>6590</v>
      </c>
      <c r="F2370" s="143" t="s">
        <v>6741</v>
      </c>
      <c r="H2370" s="177" t="s">
        <v>6742</v>
      </c>
      <c r="I2370" s="143" t="s">
        <v>45</v>
      </c>
      <c r="J2370" s="143" t="s">
        <v>3684</v>
      </c>
      <c r="K2370" s="143">
        <v>145</v>
      </c>
      <c r="L2370" s="143">
        <v>90</v>
      </c>
      <c r="W2370" s="143" t="s">
        <v>3147</v>
      </c>
      <c r="X2370" s="143" t="s">
        <v>6741</v>
      </c>
      <c r="Y2370" s="169" t="s">
        <v>3434</v>
      </c>
      <c r="Z2370" s="143" t="s">
        <v>6741</v>
      </c>
      <c r="AA2370" s="143">
        <v>14.4</v>
      </c>
    </row>
    <row r="2371" spans="1:27">
      <c r="A2371" s="143">
        <v>2329</v>
      </c>
      <c r="B2371" s="144">
        <v>45971</v>
      </c>
      <c r="C2371" s="143" t="s">
        <v>3148</v>
      </c>
      <c r="E2371" s="196" t="s">
        <v>6590</v>
      </c>
      <c r="F2371" s="143" t="s">
        <v>6743</v>
      </c>
      <c r="H2371" s="177" t="s">
        <v>6744</v>
      </c>
      <c r="I2371" s="143" t="s">
        <v>45</v>
      </c>
      <c r="J2371" s="143" t="s">
        <v>3684</v>
      </c>
      <c r="K2371" s="143">
        <v>145</v>
      </c>
      <c r="L2371" s="143">
        <v>90</v>
      </c>
      <c r="W2371" s="143" t="s">
        <v>3147</v>
      </c>
      <c r="X2371" s="143" t="s">
        <v>6743</v>
      </c>
      <c r="Y2371" s="169" t="s">
        <v>3434</v>
      </c>
      <c r="Z2371" s="143" t="s">
        <v>6743</v>
      </c>
      <c r="AA2371" s="143">
        <v>14.4</v>
      </c>
    </row>
    <row r="2372" spans="1:27">
      <c r="A2372" s="143">
        <v>2330</v>
      </c>
      <c r="B2372" s="144">
        <v>45971</v>
      </c>
      <c r="C2372" s="143" t="s">
        <v>3148</v>
      </c>
      <c r="E2372" s="196" t="s">
        <v>6590</v>
      </c>
      <c r="F2372" s="143">
        <v>79060</v>
      </c>
      <c r="H2372" s="177" t="s">
        <v>6745</v>
      </c>
      <c r="I2372" s="143" t="s">
        <v>6746</v>
      </c>
      <c r="J2372" s="143" t="s">
        <v>6747</v>
      </c>
      <c r="K2372" s="143">
        <v>148</v>
      </c>
      <c r="L2372" s="143">
        <v>110</v>
      </c>
      <c r="W2372" s="143" t="s">
        <v>3147</v>
      </c>
      <c r="X2372" s="143">
        <v>79060</v>
      </c>
      <c r="Y2372" s="169" t="s">
        <v>3434</v>
      </c>
      <c r="Z2372" s="143">
        <v>79060</v>
      </c>
      <c r="AA2372" s="143">
        <v>16</v>
      </c>
    </row>
    <row r="2373" spans="1:27">
      <c r="A2373" s="143">
        <v>2331</v>
      </c>
      <c r="B2373" s="144">
        <v>45971</v>
      </c>
      <c r="C2373" s="143" t="s">
        <v>3148</v>
      </c>
      <c r="E2373" s="196" t="s">
        <v>6590</v>
      </c>
      <c r="F2373" s="143">
        <v>79051</v>
      </c>
      <c r="H2373" s="177" t="s">
        <v>6748</v>
      </c>
      <c r="I2373" s="143" t="s">
        <v>6746</v>
      </c>
      <c r="J2373" s="143" t="s">
        <v>6747</v>
      </c>
      <c r="K2373" s="143">
        <v>148</v>
      </c>
      <c r="L2373" s="143">
        <v>110</v>
      </c>
      <c r="W2373" s="143" t="s">
        <v>3147</v>
      </c>
      <c r="X2373" s="143">
        <v>79051</v>
      </c>
      <c r="Y2373" s="169" t="s">
        <v>3434</v>
      </c>
      <c r="Z2373" s="143">
        <v>79051</v>
      </c>
      <c r="AA2373" s="143">
        <v>16</v>
      </c>
    </row>
    <row r="2374" spans="1:27">
      <c r="A2374" s="143">
        <v>2332</v>
      </c>
      <c r="B2374" s="144">
        <v>45971</v>
      </c>
      <c r="C2374" s="143" t="s">
        <v>3148</v>
      </c>
      <c r="E2374" s="196" t="s">
        <v>6590</v>
      </c>
      <c r="F2374" s="143">
        <v>79064</v>
      </c>
      <c r="H2374" s="177" t="s">
        <v>6749</v>
      </c>
      <c r="I2374" s="143" t="s">
        <v>6746</v>
      </c>
      <c r="J2374" s="143" t="s">
        <v>6747</v>
      </c>
      <c r="K2374" s="143">
        <v>148</v>
      </c>
      <c r="L2374" s="143">
        <v>110</v>
      </c>
      <c r="W2374" s="143" t="s">
        <v>3147</v>
      </c>
      <c r="X2374" s="143">
        <v>79064</v>
      </c>
      <c r="Y2374" s="169" t="s">
        <v>3434</v>
      </c>
      <c r="Z2374" s="143">
        <v>79064</v>
      </c>
      <c r="AA2374" s="143">
        <v>16</v>
      </c>
    </row>
    <row r="2375" spans="1:27">
      <c r="A2375" s="143">
        <v>2333</v>
      </c>
      <c r="B2375" s="144">
        <v>45971</v>
      </c>
      <c r="C2375" s="143" t="s">
        <v>3148</v>
      </c>
      <c r="E2375" s="196" t="s">
        <v>6590</v>
      </c>
      <c r="F2375" s="143">
        <v>79025</v>
      </c>
      <c r="H2375" s="177" t="s">
        <v>6750</v>
      </c>
      <c r="I2375" s="143" t="s">
        <v>6746</v>
      </c>
      <c r="J2375" s="143" t="s">
        <v>6747</v>
      </c>
      <c r="K2375" s="143">
        <v>148</v>
      </c>
      <c r="L2375" s="143">
        <v>110</v>
      </c>
      <c r="W2375" s="143" t="s">
        <v>3147</v>
      </c>
      <c r="X2375" s="143">
        <v>79025</v>
      </c>
      <c r="Y2375" s="169" t="s">
        <v>3434</v>
      </c>
      <c r="Z2375" s="143">
        <v>79025</v>
      </c>
      <c r="AA2375" s="143">
        <v>16</v>
      </c>
    </row>
    <row r="2376" spans="1:27">
      <c r="A2376" s="143">
        <v>2334</v>
      </c>
      <c r="B2376" s="144">
        <v>45971</v>
      </c>
      <c r="C2376" s="143" t="s">
        <v>3148</v>
      </c>
      <c r="E2376" s="196" t="s">
        <v>6590</v>
      </c>
      <c r="F2376" s="143">
        <v>79028</v>
      </c>
      <c r="H2376" s="177" t="s">
        <v>6751</v>
      </c>
      <c r="I2376" s="143" t="s">
        <v>6746</v>
      </c>
      <c r="J2376" s="143" t="s">
        <v>6747</v>
      </c>
      <c r="K2376" s="143">
        <v>148</v>
      </c>
      <c r="L2376" s="143">
        <v>110</v>
      </c>
      <c r="W2376" s="143" t="s">
        <v>3147</v>
      </c>
      <c r="X2376" s="143">
        <v>79028</v>
      </c>
      <c r="Y2376" s="169" t="s">
        <v>3434</v>
      </c>
      <c r="Z2376" s="143">
        <v>79028</v>
      </c>
      <c r="AA2376" s="143">
        <v>16</v>
      </c>
    </row>
    <row r="2377" spans="1:27">
      <c r="A2377" s="143">
        <v>2335</v>
      </c>
      <c r="B2377" s="144">
        <v>45971</v>
      </c>
      <c r="C2377" s="143" t="s">
        <v>3148</v>
      </c>
      <c r="E2377" s="196" t="s">
        <v>6590</v>
      </c>
      <c r="F2377" s="143">
        <v>79004</v>
      </c>
      <c r="H2377" s="177" t="s">
        <v>6752</v>
      </c>
      <c r="I2377" s="143" t="s">
        <v>6746</v>
      </c>
      <c r="J2377" s="143" t="s">
        <v>6747</v>
      </c>
      <c r="K2377" s="143">
        <v>148</v>
      </c>
      <c r="L2377" s="143">
        <v>110</v>
      </c>
      <c r="W2377" s="143" t="s">
        <v>3147</v>
      </c>
      <c r="X2377" s="143">
        <v>79004</v>
      </c>
      <c r="Y2377" s="169" t="s">
        <v>3434</v>
      </c>
      <c r="Z2377" s="143">
        <v>79004</v>
      </c>
      <c r="AA2377" s="143">
        <v>16</v>
      </c>
    </row>
    <row r="2378" spans="1:27">
      <c r="A2378" s="143">
        <v>2336</v>
      </c>
      <c r="B2378" s="144">
        <v>45971</v>
      </c>
      <c r="C2378" s="143" t="s">
        <v>3148</v>
      </c>
      <c r="E2378" s="196" t="s">
        <v>6590</v>
      </c>
      <c r="F2378" s="143">
        <v>79046</v>
      </c>
      <c r="H2378" s="177" t="s">
        <v>6753</v>
      </c>
      <c r="I2378" s="143" t="s">
        <v>6746</v>
      </c>
      <c r="J2378" s="143" t="s">
        <v>6747</v>
      </c>
      <c r="K2378" s="143">
        <v>148</v>
      </c>
      <c r="L2378" s="143">
        <v>110</v>
      </c>
      <c r="W2378" s="143" t="s">
        <v>3147</v>
      </c>
      <c r="X2378" s="143">
        <v>79046</v>
      </c>
      <c r="Y2378" s="169" t="s">
        <v>3434</v>
      </c>
      <c r="Z2378" s="143">
        <v>79046</v>
      </c>
      <c r="AA2378" s="143">
        <v>16</v>
      </c>
    </row>
    <row r="2379" spans="1:27">
      <c r="A2379" s="143">
        <v>2337</v>
      </c>
      <c r="B2379" s="144">
        <v>45971</v>
      </c>
      <c r="C2379" s="143" t="s">
        <v>3148</v>
      </c>
      <c r="E2379" s="196" t="s">
        <v>6590</v>
      </c>
      <c r="F2379" s="143">
        <v>50037</v>
      </c>
      <c r="H2379" s="177" t="s">
        <v>6754</v>
      </c>
      <c r="I2379" s="143" t="s">
        <v>6746</v>
      </c>
      <c r="J2379" s="143" t="s">
        <v>6747</v>
      </c>
      <c r="K2379" s="143">
        <v>150</v>
      </c>
      <c r="L2379" s="143">
        <v>55</v>
      </c>
      <c r="W2379" s="143" t="s">
        <v>3147</v>
      </c>
      <c r="X2379" s="143">
        <v>50037</v>
      </c>
      <c r="Y2379" s="169" t="s">
        <v>3434</v>
      </c>
      <c r="Z2379" s="143">
        <v>50037</v>
      </c>
      <c r="AA2379" s="143">
        <v>16</v>
      </c>
    </row>
    <row r="2380" spans="1:27">
      <c r="A2380" s="143">
        <v>2338</v>
      </c>
      <c r="B2380" s="144">
        <v>45971</v>
      </c>
      <c r="C2380" s="143" t="s">
        <v>3148</v>
      </c>
      <c r="E2380" s="196" t="s">
        <v>6590</v>
      </c>
      <c r="F2380" s="143">
        <v>19259</v>
      </c>
      <c r="H2380" s="177" t="s">
        <v>6755</v>
      </c>
      <c r="I2380" s="143" t="s">
        <v>6354</v>
      </c>
      <c r="J2380" s="143" t="s">
        <v>6756</v>
      </c>
      <c r="K2380" s="143">
        <v>150</v>
      </c>
      <c r="L2380" s="143">
        <v>105</v>
      </c>
      <c r="W2380" s="143" t="s">
        <v>3147</v>
      </c>
      <c r="X2380" s="143">
        <v>19259</v>
      </c>
      <c r="Y2380" s="169" t="s">
        <v>3434</v>
      </c>
      <c r="Z2380" s="143">
        <v>19259</v>
      </c>
      <c r="AA2380" s="143">
        <v>14.2</v>
      </c>
    </row>
    <row r="2381" spans="1:27">
      <c r="A2381" s="143">
        <v>2339</v>
      </c>
      <c r="B2381" s="144">
        <v>45971</v>
      </c>
      <c r="C2381" s="143" t="s">
        <v>3148</v>
      </c>
      <c r="E2381" s="196" t="s">
        <v>6590</v>
      </c>
      <c r="F2381" s="143">
        <v>19315</v>
      </c>
      <c r="H2381" s="177" t="s">
        <v>6757</v>
      </c>
      <c r="I2381" s="143" t="s">
        <v>6354</v>
      </c>
      <c r="J2381" s="143" t="s">
        <v>6756</v>
      </c>
      <c r="K2381" s="143">
        <v>150</v>
      </c>
      <c r="L2381" s="143">
        <v>105</v>
      </c>
      <c r="W2381" s="143" t="s">
        <v>3147</v>
      </c>
      <c r="X2381" s="143">
        <v>19315</v>
      </c>
      <c r="Y2381" s="169" t="s">
        <v>3434</v>
      </c>
      <c r="Z2381" s="143">
        <v>19315</v>
      </c>
      <c r="AA2381" s="143">
        <v>14.2</v>
      </c>
    </row>
    <row r="2382" spans="1:27">
      <c r="A2382" s="143">
        <v>2340</v>
      </c>
      <c r="B2382" s="144">
        <v>45971</v>
      </c>
      <c r="C2382" s="143" t="s">
        <v>3148</v>
      </c>
      <c r="E2382" s="196" t="s">
        <v>6590</v>
      </c>
      <c r="F2382" s="143">
        <v>19260</v>
      </c>
      <c r="H2382" s="177" t="s">
        <v>6758</v>
      </c>
      <c r="I2382" s="143" t="s">
        <v>6354</v>
      </c>
      <c r="J2382" s="143" t="s">
        <v>6756</v>
      </c>
      <c r="K2382" s="143">
        <v>150</v>
      </c>
      <c r="L2382" s="143">
        <v>105</v>
      </c>
      <c r="W2382" s="143" t="s">
        <v>3147</v>
      </c>
      <c r="X2382" s="143">
        <v>19260</v>
      </c>
      <c r="Y2382" s="169" t="s">
        <v>3434</v>
      </c>
      <c r="Z2382" s="143">
        <v>19260</v>
      </c>
      <c r="AA2382" s="143">
        <v>14.2</v>
      </c>
    </row>
    <row r="2383" spans="1:27">
      <c r="A2383" s="143">
        <v>2341</v>
      </c>
      <c r="B2383" s="144">
        <v>45971</v>
      </c>
      <c r="C2383" s="143" t="s">
        <v>3148</v>
      </c>
      <c r="E2383" s="196" t="s">
        <v>6590</v>
      </c>
      <c r="F2383" s="143">
        <v>19360</v>
      </c>
      <c r="H2383" s="177" t="s">
        <v>6759</v>
      </c>
      <c r="I2383" s="143" t="s">
        <v>6354</v>
      </c>
      <c r="J2383" s="143" t="s">
        <v>6756</v>
      </c>
      <c r="K2383" s="143">
        <v>150</v>
      </c>
      <c r="L2383" s="143">
        <v>105</v>
      </c>
      <c r="W2383" s="143" t="s">
        <v>3147</v>
      </c>
      <c r="X2383" s="143">
        <v>19360</v>
      </c>
      <c r="Y2383" s="169" t="s">
        <v>3434</v>
      </c>
      <c r="Z2383" s="143">
        <v>19360</v>
      </c>
      <c r="AA2383" s="143">
        <v>14.2</v>
      </c>
    </row>
    <row r="2384" spans="1:27">
      <c r="A2384" s="143">
        <v>2342</v>
      </c>
      <c r="B2384" s="144">
        <v>45971</v>
      </c>
      <c r="C2384" s="143" t="s">
        <v>3148</v>
      </c>
      <c r="E2384" s="196" t="s">
        <v>6590</v>
      </c>
      <c r="F2384" s="169" t="s">
        <v>6760</v>
      </c>
      <c r="H2384" s="177" t="s">
        <v>6761</v>
      </c>
      <c r="I2384" s="143" t="s">
        <v>6762</v>
      </c>
      <c r="J2384" s="143" t="s">
        <v>2328</v>
      </c>
      <c r="K2384" s="143">
        <v>150</v>
      </c>
      <c r="L2384" s="143">
        <v>125</v>
      </c>
      <c r="W2384" s="143" t="s">
        <v>3147</v>
      </c>
      <c r="X2384" s="169" t="s">
        <v>6760</v>
      </c>
      <c r="Y2384" s="169" t="s">
        <v>3434</v>
      </c>
      <c r="Z2384" s="169" t="s">
        <v>6760</v>
      </c>
      <c r="AA2384" s="143">
        <v>11.5</v>
      </c>
    </row>
    <row r="2385" spans="1:27">
      <c r="A2385" s="143">
        <v>2343</v>
      </c>
      <c r="B2385" s="144">
        <v>45971</v>
      </c>
      <c r="C2385" s="143" t="s">
        <v>3148</v>
      </c>
      <c r="E2385" s="196" t="s">
        <v>6590</v>
      </c>
      <c r="F2385" s="169" t="s">
        <v>6763</v>
      </c>
      <c r="H2385" s="177" t="s">
        <v>6764</v>
      </c>
      <c r="I2385" s="143" t="s">
        <v>6762</v>
      </c>
      <c r="J2385" s="143" t="s">
        <v>2328</v>
      </c>
      <c r="K2385" s="143">
        <v>150</v>
      </c>
      <c r="L2385" s="143">
        <v>125</v>
      </c>
      <c r="W2385" s="143" t="s">
        <v>3147</v>
      </c>
      <c r="X2385" s="169" t="s">
        <v>6763</v>
      </c>
      <c r="Y2385" s="169" t="s">
        <v>3434</v>
      </c>
      <c r="Z2385" s="169" t="s">
        <v>6763</v>
      </c>
      <c r="AA2385" s="143">
        <v>11.5</v>
      </c>
    </row>
    <row r="2386" spans="1:27">
      <c r="A2386" s="143">
        <v>2344</v>
      </c>
      <c r="B2386" s="144">
        <v>45971</v>
      </c>
      <c r="C2386" s="143" t="s">
        <v>3148</v>
      </c>
      <c r="E2386" s="196" t="s">
        <v>6590</v>
      </c>
      <c r="F2386" s="169" t="s">
        <v>6765</v>
      </c>
      <c r="H2386" s="177" t="s">
        <v>6766</v>
      </c>
      <c r="I2386" s="143" t="s">
        <v>6762</v>
      </c>
      <c r="J2386" s="143" t="s">
        <v>2328</v>
      </c>
      <c r="K2386" s="143">
        <v>150</v>
      </c>
      <c r="L2386" s="143">
        <v>125</v>
      </c>
      <c r="W2386" s="143" t="s">
        <v>3147</v>
      </c>
      <c r="X2386" s="169" t="s">
        <v>6765</v>
      </c>
      <c r="Y2386" s="169" t="s">
        <v>3434</v>
      </c>
      <c r="Z2386" s="169" t="s">
        <v>6765</v>
      </c>
      <c r="AA2386" s="143">
        <v>11.5</v>
      </c>
    </row>
    <row r="2387" spans="1:27">
      <c r="A2387" s="143">
        <v>2345</v>
      </c>
      <c r="B2387" s="144">
        <v>45971</v>
      </c>
      <c r="C2387" s="143" t="s">
        <v>3148</v>
      </c>
      <c r="E2387" s="196" t="s">
        <v>6590</v>
      </c>
      <c r="F2387" s="143" t="s">
        <v>6767</v>
      </c>
      <c r="H2387" s="143" t="s">
        <v>6768</v>
      </c>
      <c r="I2387" s="143" t="s">
        <v>324</v>
      </c>
      <c r="J2387" s="143" t="s">
        <v>1577</v>
      </c>
      <c r="K2387" s="143">
        <v>148</v>
      </c>
      <c r="W2387" s="143" t="s">
        <v>3147</v>
      </c>
      <c r="X2387" s="143" t="s">
        <v>6767</v>
      </c>
      <c r="Y2387" s="169" t="s">
        <v>6769</v>
      </c>
      <c r="Z2387" s="143" t="s">
        <v>6767</v>
      </c>
      <c r="AA2387" s="143">
        <v>10.2</v>
      </c>
    </row>
    <row r="2388" spans="1:27">
      <c r="A2388" s="143">
        <v>2346</v>
      </c>
      <c r="B2388" s="144">
        <v>45971</v>
      </c>
      <c r="C2388" s="143" t="s">
        <v>3148</v>
      </c>
      <c r="E2388" s="196" t="s">
        <v>6590</v>
      </c>
      <c r="F2388" s="143" t="s">
        <v>6770</v>
      </c>
      <c r="H2388" s="143" t="s">
        <v>6771</v>
      </c>
      <c r="I2388" s="143" t="s">
        <v>324</v>
      </c>
      <c r="J2388" s="143" t="s">
        <v>1577</v>
      </c>
      <c r="K2388" s="143">
        <v>148</v>
      </c>
      <c r="W2388" s="143" t="s">
        <v>3147</v>
      </c>
      <c r="X2388" s="143" t="s">
        <v>6770</v>
      </c>
      <c r="Y2388" s="169" t="s">
        <v>6769</v>
      </c>
      <c r="Z2388" s="143" t="s">
        <v>6770</v>
      </c>
      <c r="AA2388" s="143">
        <v>10.2</v>
      </c>
    </row>
    <row r="2389" spans="1:27">
      <c r="A2389" s="143">
        <v>2347</v>
      </c>
      <c r="B2389" s="144">
        <v>45971</v>
      </c>
      <c r="C2389" s="143" t="s">
        <v>3148</v>
      </c>
      <c r="E2389" s="196" t="s">
        <v>6590</v>
      </c>
      <c r="F2389" s="143" t="s">
        <v>6772</v>
      </c>
      <c r="H2389" s="143" t="s">
        <v>6773</v>
      </c>
      <c r="I2389" s="143" t="s">
        <v>324</v>
      </c>
      <c r="J2389" s="143" t="s">
        <v>1577</v>
      </c>
      <c r="K2389" s="143">
        <v>148</v>
      </c>
      <c r="W2389" s="143" t="s">
        <v>3147</v>
      </c>
      <c r="X2389" s="143" t="s">
        <v>6772</v>
      </c>
      <c r="Y2389" s="169" t="s">
        <v>6769</v>
      </c>
      <c r="Z2389" s="143" t="s">
        <v>6772</v>
      </c>
      <c r="AA2389" s="143">
        <v>10</v>
      </c>
    </row>
    <row r="2390" spans="1:27">
      <c r="A2390" s="143">
        <v>2348</v>
      </c>
      <c r="B2390" s="144">
        <v>45971</v>
      </c>
      <c r="C2390" s="143" t="s">
        <v>3148</v>
      </c>
      <c r="E2390" s="196" t="s">
        <v>6590</v>
      </c>
      <c r="F2390" s="143" t="s">
        <v>6774</v>
      </c>
      <c r="H2390" s="143" t="s">
        <v>6775</v>
      </c>
      <c r="I2390" s="143" t="s">
        <v>324</v>
      </c>
      <c r="J2390" s="143" t="s">
        <v>1577</v>
      </c>
      <c r="K2390" s="143">
        <v>148</v>
      </c>
      <c r="W2390" s="143" t="s">
        <v>3147</v>
      </c>
      <c r="X2390" s="143" t="s">
        <v>6774</v>
      </c>
      <c r="Y2390" s="169" t="s">
        <v>6769</v>
      </c>
      <c r="Z2390" s="143" t="s">
        <v>6774</v>
      </c>
      <c r="AA2390" s="143">
        <v>13.6</v>
      </c>
    </row>
    <row r="2391" spans="1:27">
      <c r="A2391" s="143">
        <v>2349</v>
      </c>
      <c r="B2391" s="144">
        <v>45971</v>
      </c>
      <c r="C2391" s="143" t="s">
        <v>3148</v>
      </c>
      <c r="E2391" s="196" t="s">
        <v>6590</v>
      </c>
      <c r="F2391" s="143" t="s">
        <v>6776</v>
      </c>
      <c r="H2391" s="143" t="s">
        <v>6777</v>
      </c>
      <c r="I2391" s="143" t="s">
        <v>324</v>
      </c>
      <c r="J2391" s="143" t="s">
        <v>1577</v>
      </c>
      <c r="K2391" s="143">
        <v>148</v>
      </c>
      <c r="W2391" s="143" t="s">
        <v>3147</v>
      </c>
      <c r="X2391" s="143" t="s">
        <v>6776</v>
      </c>
      <c r="Y2391" s="169" t="s">
        <v>6769</v>
      </c>
      <c r="Z2391" s="143" t="s">
        <v>6776</v>
      </c>
      <c r="AA2391" s="143">
        <v>16.3</v>
      </c>
    </row>
    <row r="2392" spans="1:27">
      <c r="A2392" s="143">
        <v>2350</v>
      </c>
      <c r="B2392" s="144">
        <v>45971</v>
      </c>
      <c r="C2392" s="143" t="s">
        <v>3148</v>
      </c>
      <c r="E2392" s="196" t="s">
        <v>6590</v>
      </c>
      <c r="F2392" s="143" t="s">
        <v>6778</v>
      </c>
      <c r="H2392" s="143" t="s">
        <v>6779</v>
      </c>
      <c r="I2392" s="143" t="s">
        <v>324</v>
      </c>
      <c r="J2392" s="143" t="s">
        <v>1577</v>
      </c>
      <c r="K2392" s="143">
        <v>148</v>
      </c>
      <c r="W2392" s="143" t="s">
        <v>3147</v>
      </c>
      <c r="X2392" s="143" t="s">
        <v>6778</v>
      </c>
      <c r="Y2392" s="169" t="s">
        <v>6769</v>
      </c>
      <c r="Z2392" s="143" t="s">
        <v>6778</v>
      </c>
      <c r="AA2392" s="143">
        <v>10.2</v>
      </c>
    </row>
    <row r="2393" spans="1:27">
      <c r="A2393" s="143">
        <v>2351</v>
      </c>
      <c r="B2393" s="144">
        <v>45971</v>
      </c>
      <c r="C2393" s="143" t="s">
        <v>3148</v>
      </c>
      <c r="E2393" s="196" t="s">
        <v>6590</v>
      </c>
      <c r="F2393" s="143" t="s">
        <v>6780</v>
      </c>
      <c r="H2393" s="143" t="s">
        <v>6781</v>
      </c>
      <c r="I2393" s="143" t="s">
        <v>324</v>
      </c>
      <c r="J2393" s="143" t="s">
        <v>1577</v>
      </c>
      <c r="K2393" s="143">
        <v>148</v>
      </c>
      <c r="W2393" s="143" t="s">
        <v>3147</v>
      </c>
      <c r="X2393" s="143" t="s">
        <v>6780</v>
      </c>
      <c r="Y2393" s="169" t="s">
        <v>6769</v>
      </c>
      <c r="Z2393" s="143" t="s">
        <v>6780</v>
      </c>
      <c r="AA2393" s="143">
        <v>10.2</v>
      </c>
    </row>
    <row r="2394" spans="1:27">
      <c r="A2394" s="143">
        <v>2352</v>
      </c>
      <c r="B2394" s="144">
        <v>45971</v>
      </c>
      <c r="C2394" s="143" t="s">
        <v>3148</v>
      </c>
      <c r="E2394" s="196" t="s">
        <v>6590</v>
      </c>
      <c r="F2394" s="143" t="s">
        <v>6782</v>
      </c>
      <c r="H2394" s="143" t="s">
        <v>6783</v>
      </c>
      <c r="I2394" s="143" t="s">
        <v>324</v>
      </c>
      <c r="J2394" s="143" t="s">
        <v>1577</v>
      </c>
      <c r="K2394" s="143">
        <v>148</v>
      </c>
      <c r="W2394" s="143" t="s">
        <v>3147</v>
      </c>
      <c r="X2394" s="143" t="s">
        <v>6782</v>
      </c>
      <c r="Y2394" s="169" t="s">
        <v>6769</v>
      </c>
      <c r="Z2394" s="143" t="s">
        <v>6782</v>
      </c>
      <c r="AA2394" s="143">
        <v>10.2</v>
      </c>
    </row>
    <row r="2395" spans="1:27">
      <c r="A2395" s="143">
        <v>2353</v>
      </c>
      <c r="B2395" s="144">
        <v>45971</v>
      </c>
      <c r="C2395" s="143" t="s">
        <v>3148</v>
      </c>
      <c r="E2395" s="196" t="s">
        <v>6590</v>
      </c>
      <c r="F2395" s="143" t="s">
        <v>6784</v>
      </c>
      <c r="H2395" s="143" t="s">
        <v>6785</v>
      </c>
      <c r="I2395" s="143" t="s">
        <v>324</v>
      </c>
      <c r="J2395" s="143" t="s">
        <v>1577</v>
      </c>
      <c r="K2395" s="143">
        <v>148</v>
      </c>
      <c r="W2395" s="143" t="s">
        <v>3147</v>
      </c>
      <c r="X2395" s="143" t="s">
        <v>6784</v>
      </c>
      <c r="Y2395" s="169" t="s">
        <v>6769</v>
      </c>
      <c r="Z2395" s="143" t="s">
        <v>6784</v>
      </c>
      <c r="AA2395" s="143">
        <v>10.2</v>
      </c>
    </row>
    <row r="2396" spans="1:27">
      <c r="A2396" s="143">
        <v>2354</v>
      </c>
      <c r="B2396" s="144">
        <v>45971</v>
      </c>
      <c r="C2396" s="143" t="s">
        <v>3148</v>
      </c>
      <c r="E2396" s="196" t="s">
        <v>6590</v>
      </c>
      <c r="F2396" s="143" t="s">
        <v>6786</v>
      </c>
      <c r="H2396" s="143" t="s">
        <v>6787</v>
      </c>
      <c r="I2396" s="143" t="s">
        <v>324</v>
      </c>
      <c r="J2396" s="143" t="s">
        <v>1577</v>
      </c>
      <c r="K2396" s="143">
        <v>148</v>
      </c>
      <c r="W2396" s="143" t="s">
        <v>3147</v>
      </c>
      <c r="X2396" s="143" t="s">
        <v>6786</v>
      </c>
      <c r="Y2396" s="169" t="s">
        <v>6769</v>
      </c>
      <c r="Z2396" s="143" t="s">
        <v>6786</v>
      </c>
      <c r="AA2396" s="143">
        <v>10.2</v>
      </c>
    </row>
    <row r="2397" spans="1:27">
      <c r="A2397" s="143">
        <v>2355</v>
      </c>
      <c r="B2397" s="144">
        <v>45971</v>
      </c>
      <c r="C2397" s="143" t="s">
        <v>3148</v>
      </c>
      <c r="E2397" s="196" t="s">
        <v>6590</v>
      </c>
      <c r="F2397" s="143" t="s">
        <v>6788</v>
      </c>
      <c r="H2397" s="143" t="s">
        <v>6789</v>
      </c>
      <c r="I2397" s="143" t="s">
        <v>324</v>
      </c>
      <c r="J2397" s="143" t="s">
        <v>1577</v>
      </c>
      <c r="K2397" s="143">
        <v>148</v>
      </c>
      <c r="W2397" s="143" t="s">
        <v>3147</v>
      </c>
      <c r="X2397" s="143" t="s">
        <v>6788</v>
      </c>
      <c r="Y2397" s="169" t="s">
        <v>6769</v>
      </c>
      <c r="Z2397" s="143" t="s">
        <v>6788</v>
      </c>
      <c r="AA2397" s="143">
        <v>10.2</v>
      </c>
    </row>
    <row r="2398" spans="1:27">
      <c r="A2398" s="143">
        <v>2356</v>
      </c>
      <c r="B2398" s="144">
        <v>45971</v>
      </c>
      <c r="C2398" s="143" t="s">
        <v>3148</v>
      </c>
      <c r="E2398" s="196" t="s">
        <v>6590</v>
      </c>
      <c r="F2398" s="143" t="s">
        <v>6790</v>
      </c>
      <c r="H2398" s="143" t="s">
        <v>6791</v>
      </c>
      <c r="I2398" s="143" t="s">
        <v>324</v>
      </c>
      <c r="J2398" s="143" t="s">
        <v>1577</v>
      </c>
      <c r="K2398" s="143">
        <v>148</v>
      </c>
      <c r="W2398" s="143" t="s">
        <v>3147</v>
      </c>
      <c r="X2398" s="143" t="s">
        <v>6790</v>
      </c>
      <c r="Y2398" s="169" t="s">
        <v>6769</v>
      </c>
      <c r="Z2398" s="143" t="s">
        <v>6790</v>
      </c>
      <c r="AA2398" s="143">
        <v>10.7</v>
      </c>
    </row>
    <row r="2399" spans="1:27">
      <c r="A2399" s="143">
        <v>2357</v>
      </c>
      <c r="B2399" s="144">
        <v>45971</v>
      </c>
      <c r="C2399" s="143" t="s">
        <v>3148</v>
      </c>
      <c r="E2399" s="196" t="s">
        <v>6590</v>
      </c>
      <c r="F2399" s="143" t="s">
        <v>6792</v>
      </c>
      <c r="H2399" s="143" t="s">
        <v>6793</v>
      </c>
      <c r="I2399" s="143" t="s">
        <v>324</v>
      </c>
      <c r="J2399" s="143" t="s">
        <v>1577</v>
      </c>
      <c r="K2399" s="143">
        <v>148</v>
      </c>
      <c r="W2399" s="143" t="s">
        <v>3147</v>
      </c>
      <c r="X2399" s="143" t="s">
        <v>6792</v>
      </c>
      <c r="Y2399" s="169" t="s">
        <v>6769</v>
      </c>
      <c r="Z2399" s="143" t="s">
        <v>6792</v>
      </c>
      <c r="AA2399" s="143">
        <v>10.7</v>
      </c>
    </row>
    <row r="2400" spans="1:27">
      <c r="A2400" s="143">
        <v>2358</v>
      </c>
      <c r="B2400" s="144">
        <v>45971</v>
      </c>
      <c r="C2400" s="143" t="s">
        <v>3148</v>
      </c>
      <c r="E2400" s="196" t="s">
        <v>6590</v>
      </c>
      <c r="F2400" s="143" t="s">
        <v>6794</v>
      </c>
      <c r="H2400" s="143" t="s">
        <v>6795</v>
      </c>
      <c r="I2400" s="143" t="s">
        <v>324</v>
      </c>
      <c r="J2400" s="143" t="s">
        <v>1577</v>
      </c>
      <c r="K2400" s="143">
        <v>148</v>
      </c>
      <c r="W2400" s="143" t="s">
        <v>3147</v>
      </c>
      <c r="X2400" s="143" t="s">
        <v>6794</v>
      </c>
      <c r="Y2400" s="169" t="s">
        <v>6769</v>
      </c>
      <c r="Z2400" s="143" t="s">
        <v>6794</v>
      </c>
      <c r="AA2400" s="143">
        <v>10.7</v>
      </c>
    </row>
    <row r="2401" spans="1:27">
      <c r="A2401" s="143">
        <v>2359</v>
      </c>
      <c r="B2401" s="144">
        <v>45971</v>
      </c>
      <c r="C2401" s="143" t="s">
        <v>3148</v>
      </c>
      <c r="E2401" s="196" t="s">
        <v>6590</v>
      </c>
      <c r="F2401" s="143" t="s">
        <v>6796</v>
      </c>
      <c r="H2401" s="143" t="s">
        <v>6797</v>
      </c>
      <c r="I2401" s="143" t="s">
        <v>324</v>
      </c>
      <c r="J2401" s="143" t="s">
        <v>1577</v>
      </c>
      <c r="K2401" s="143">
        <v>148</v>
      </c>
      <c r="W2401" s="143" t="s">
        <v>3147</v>
      </c>
      <c r="X2401" s="143" t="s">
        <v>6796</v>
      </c>
      <c r="Y2401" s="169" t="s">
        <v>6769</v>
      </c>
      <c r="Z2401" s="143" t="s">
        <v>6796</v>
      </c>
      <c r="AA2401" s="143">
        <v>10.2</v>
      </c>
    </row>
    <row r="2402" spans="1:27">
      <c r="A2402" s="143">
        <v>2360</v>
      </c>
      <c r="B2402" s="144">
        <v>45971</v>
      </c>
      <c r="C2402" s="143" t="s">
        <v>3148</v>
      </c>
      <c r="E2402" s="196" t="s">
        <v>6590</v>
      </c>
      <c r="F2402" s="143" t="s">
        <v>6798</v>
      </c>
      <c r="H2402" s="143" t="s">
        <v>6799</v>
      </c>
      <c r="I2402" s="143" t="s">
        <v>324</v>
      </c>
      <c r="J2402" s="143" t="s">
        <v>1577</v>
      </c>
      <c r="K2402" s="143">
        <v>148</v>
      </c>
      <c r="W2402" s="143" t="s">
        <v>3147</v>
      </c>
      <c r="X2402" s="143" t="s">
        <v>6798</v>
      </c>
      <c r="Y2402" s="169" t="s">
        <v>6769</v>
      </c>
      <c r="Z2402" s="143" t="s">
        <v>6798</v>
      </c>
      <c r="AA2402" s="143">
        <v>10.5</v>
      </c>
    </row>
    <row r="2403" spans="1:27">
      <c r="A2403" s="143">
        <v>2361</v>
      </c>
      <c r="B2403" s="144">
        <v>45971</v>
      </c>
      <c r="C2403" s="143" t="s">
        <v>3148</v>
      </c>
      <c r="E2403" s="196" t="s">
        <v>6590</v>
      </c>
      <c r="F2403" s="143" t="s">
        <v>6800</v>
      </c>
      <c r="H2403" s="143" t="s">
        <v>6801</v>
      </c>
      <c r="I2403" s="143" t="s">
        <v>324</v>
      </c>
      <c r="J2403" s="143" t="s">
        <v>1577</v>
      </c>
      <c r="K2403" s="143">
        <v>148</v>
      </c>
      <c r="W2403" s="143" t="s">
        <v>3147</v>
      </c>
      <c r="X2403" s="143" t="s">
        <v>6800</v>
      </c>
      <c r="Y2403" s="169" t="s">
        <v>6769</v>
      </c>
      <c r="Z2403" s="143" t="s">
        <v>6800</v>
      </c>
      <c r="AA2403" s="143">
        <v>10.5</v>
      </c>
    </row>
    <row r="2404" spans="1:27">
      <c r="A2404" s="143">
        <v>2362</v>
      </c>
      <c r="B2404" s="144">
        <v>45971</v>
      </c>
      <c r="C2404" s="143" t="s">
        <v>3148</v>
      </c>
      <c r="E2404" s="196" t="s">
        <v>6590</v>
      </c>
      <c r="F2404" s="143" t="s">
        <v>6802</v>
      </c>
      <c r="H2404" s="143" t="s">
        <v>6803</v>
      </c>
      <c r="I2404" s="143" t="s">
        <v>324</v>
      </c>
      <c r="J2404" s="143" t="s">
        <v>1577</v>
      </c>
      <c r="K2404" s="143">
        <v>148</v>
      </c>
      <c r="W2404" s="143" t="s">
        <v>3147</v>
      </c>
      <c r="X2404" s="143" t="s">
        <v>6802</v>
      </c>
      <c r="Y2404" s="169" t="s">
        <v>6769</v>
      </c>
      <c r="Z2404" s="143" t="s">
        <v>6802</v>
      </c>
      <c r="AA2404" s="143">
        <v>10.5</v>
      </c>
    </row>
    <row r="2405" spans="1:27">
      <c r="A2405" s="143">
        <v>2363</v>
      </c>
      <c r="B2405" s="144">
        <v>45971</v>
      </c>
      <c r="C2405" s="143" t="s">
        <v>3148</v>
      </c>
      <c r="E2405" s="196" t="s">
        <v>6590</v>
      </c>
      <c r="F2405" s="143" t="s">
        <v>6804</v>
      </c>
      <c r="H2405" s="143" t="s">
        <v>6805</v>
      </c>
      <c r="I2405" s="143" t="s">
        <v>324</v>
      </c>
      <c r="J2405" s="143" t="s">
        <v>1577</v>
      </c>
      <c r="K2405" s="143">
        <v>148</v>
      </c>
      <c r="W2405" s="143" t="s">
        <v>3147</v>
      </c>
      <c r="X2405" s="143" t="s">
        <v>6804</v>
      </c>
      <c r="Y2405" s="169" t="s">
        <v>6769</v>
      </c>
      <c r="Z2405" s="143" t="s">
        <v>6804</v>
      </c>
      <c r="AA2405" s="143">
        <v>10.5</v>
      </c>
    </row>
    <row r="2406" spans="1:27">
      <c r="A2406" s="143">
        <v>2364</v>
      </c>
      <c r="B2406" s="144">
        <v>45971</v>
      </c>
      <c r="C2406" s="143" t="s">
        <v>3148</v>
      </c>
      <c r="E2406" s="196" t="s">
        <v>6590</v>
      </c>
      <c r="F2406" s="143" t="s">
        <v>6806</v>
      </c>
      <c r="H2406" s="143" t="s">
        <v>6807</v>
      </c>
      <c r="I2406" s="143" t="s">
        <v>324</v>
      </c>
      <c r="J2406" s="143" t="s">
        <v>1577</v>
      </c>
      <c r="K2406" s="143">
        <v>148</v>
      </c>
      <c r="W2406" s="143" t="s">
        <v>3147</v>
      </c>
      <c r="X2406" s="143" t="s">
        <v>6806</v>
      </c>
      <c r="Y2406" s="169" t="s">
        <v>6769</v>
      </c>
      <c r="Z2406" s="143" t="s">
        <v>6806</v>
      </c>
      <c r="AA2406" s="143">
        <v>10.5</v>
      </c>
    </row>
    <row r="2407" spans="1:27">
      <c r="A2407" s="143">
        <v>2365</v>
      </c>
      <c r="B2407" s="144">
        <v>45971</v>
      </c>
      <c r="C2407" s="143" t="s">
        <v>3148</v>
      </c>
      <c r="E2407" s="196" t="s">
        <v>6590</v>
      </c>
      <c r="F2407" s="143" t="s">
        <v>6808</v>
      </c>
      <c r="H2407" s="143" t="s">
        <v>6809</v>
      </c>
      <c r="I2407" s="143" t="s">
        <v>324</v>
      </c>
      <c r="J2407" s="143" t="s">
        <v>1577</v>
      </c>
      <c r="K2407" s="143">
        <v>148</v>
      </c>
      <c r="W2407" s="143" t="s">
        <v>3147</v>
      </c>
      <c r="X2407" s="143" t="s">
        <v>6808</v>
      </c>
      <c r="Y2407" s="169" t="s">
        <v>6769</v>
      </c>
      <c r="Z2407" s="143" t="s">
        <v>6808</v>
      </c>
      <c r="AA2407" s="143">
        <v>10</v>
      </c>
    </row>
    <row r="2408" spans="1:27">
      <c r="A2408" s="143">
        <v>2366</v>
      </c>
      <c r="B2408" s="144">
        <v>45971</v>
      </c>
      <c r="C2408" s="143" t="s">
        <v>3148</v>
      </c>
      <c r="E2408" s="196" t="s">
        <v>6590</v>
      </c>
      <c r="F2408" s="143" t="s">
        <v>6810</v>
      </c>
      <c r="H2408" s="143" t="s">
        <v>6811</v>
      </c>
      <c r="I2408" s="143" t="s">
        <v>324</v>
      </c>
      <c r="J2408" s="143" t="s">
        <v>1577</v>
      </c>
      <c r="K2408" s="143">
        <v>148</v>
      </c>
      <c r="W2408" s="143" t="s">
        <v>3147</v>
      </c>
      <c r="X2408" s="143" t="s">
        <v>6810</v>
      </c>
      <c r="Y2408" s="169" t="s">
        <v>6769</v>
      </c>
      <c r="Z2408" s="143" t="s">
        <v>6810</v>
      </c>
      <c r="AA2408" s="143">
        <v>10</v>
      </c>
    </row>
    <row r="2409" spans="1:27">
      <c r="A2409" s="143">
        <v>2367</v>
      </c>
      <c r="B2409" s="144">
        <v>45971</v>
      </c>
      <c r="C2409" s="143" t="s">
        <v>3148</v>
      </c>
      <c r="E2409" s="196" t="s">
        <v>6590</v>
      </c>
      <c r="F2409" s="143" t="s">
        <v>6812</v>
      </c>
      <c r="H2409" s="143" t="s">
        <v>6813</v>
      </c>
      <c r="I2409" s="143" t="s">
        <v>324</v>
      </c>
      <c r="J2409" s="143" t="s">
        <v>1577</v>
      </c>
      <c r="K2409" s="143">
        <v>148</v>
      </c>
      <c r="W2409" s="143" t="s">
        <v>3147</v>
      </c>
      <c r="X2409" s="143" t="s">
        <v>6812</v>
      </c>
      <c r="Y2409" s="169" t="s">
        <v>6769</v>
      </c>
      <c r="Z2409" s="143" t="s">
        <v>6812</v>
      </c>
      <c r="AA2409" s="143">
        <v>10</v>
      </c>
    </row>
    <row r="2410" spans="1:27">
      <c r="A2410" s="143">
        <v>2368</v>
      </c>
      <c r="B2410" s="144">
        <v>45971</v>
      </c>
      <c r="C2410" s="143" t="s">
        <v>3148</v>
      </c>
      <c r="E2410" s="196" t="s">
        <v>6590</v>
      </c>
      <c r="F2410" s="143" t="s">
        <v>6814</v>
      </c>
      <c r="H2410" s="143" t="s">
        <v>6815</v>
      </c>
      <c r="I2410" s="143" t="s">
        <v>324</v>
      </c>
      <c r="J2410" s="143" t="s">
        <v>1577</v>
      </c>
      <c r="K2410" s="143">
        <v>148</v>
      </c>
      <c r="W2410" s="143" t="s">
        <v>3147</v>
      </c>
      <c r="X2410" s="143" t="s">
        <v>6814</v>
      </c>
      <c r="Y2410" s="169" t="s">
        <v>6769</v>
      </c>
      <c r="Z2410" s="143" t="s">
        <v>6814</v>
      </c>
      <c r="AA2410" s="143">
        <v>10</v>
      </c>
    </row>
    <row r="2411" spans="1:27">
      <c r="A2411" s="143">
        <v>2369</v>
      </c>
      <c r="B2411" s="144">
        <v>45971</v>
      </c>
      <c r="C2411" s="143" t="s">
        <v>3148</v>
      </c>
      <c r="E2411" s="196" t="s">
        <v>6590</v>
      </c>
      <c r="F2411" s="143" t="s">
        <v>6816</v>
      </c>
      <c r="H2411" s="143" t="s">
        <v>6817</v>
      </c>
      <c r="I2411" s="143" t="s">
        <v>324</v>
      </c>
      <c r="J2411" s="143" t="s">
        <v>1577</v>
      </c>
      <c r="K2411" s="143">
        <v>148</v>
      </c>
      <c r="W2411" s="143" t="s">
        <v>3147</v>
      </c>
      <c r="X2411" s="143" t="s">
        <v>6816</v>
      </c>
      <c r="Y2411" s="169" t="s">
        <v>6769</v>
      </c>
      <c r="Z2411" s="143" t="s">
        <v>6816</v>
      </c>
      <c r="AA2411" s="143">
        <v>10</v>
      </c>
    </row>
    <row r="2412" spans="1:27">
      <c r="A2412" s="143">
        <v>2370</v>
      </c>
      <c r="B2412" s="144">
        <v>45971</v>
      </c>
      <c r="C2412" s="143" t="s">
        <v>3148</v>
      </c>
      <c r="E2412" s="196" t="s">
        <v>6590</v>
      </c>
      <c r="F2412" s="143" t="s">
        <v>6818</v>
      </c>
      <c r="H2412" s="143" t="s">
        <v>6819</v>
      </c>
      <c r="I2412" s="143" t="s">
        <v>324</v>
      </c>
      <c r="J2412" s="143" t="s">
        <v>1577</v>
      </c>
      <c r="K2412" s="143">
        <v>148</v>
      </c>
      <c r="W2412" s="143" t="s">
        <v>3147</v>
      </c>
      <c r="X2412" s="143" t="s">
        <v>6818</v>
      </c>
      <c r="Y2412" s="169" t="s">
        <v>6769</v>
      </c>
      <c r="Z2412" s="143" t="s">
        <v>6818</v>
      </c>
      <c r="AA2412" s="143">
        <v>10</v>
      </c>
    </row>
    <row r="2413" spans="1:27">
      <c r="A2413" s="143">
        <v>2371</v>
      </c>
      <c r="B2413" s="144">
        <v>45971</v>
      </c>
      <c r="C2413" s="143" t="s">
        <v>3148</v>
      </c>
      <c r="E2413" s="196" t="s">
        <v>6590</v>
      </c>
      <c r="F2413" s="143" t="s">
        <v>6820</v>
      </c>
      <c r="H2413" s="143" t="s">
        <v>6821</v>
      </c>
      <c r="I2413" s="143" t="s">
        <v>324</v>
      </c>
      <c r="J2413" s="143" t="s">
        <v>1577</v>
      </c>
      <c r="K2413" s="143">
        <v>148</v>
      </c>
      <c r="W2413" s="143" t="s">
        <v>3147</v>
      </c>
      <c r="X2413" s="143" t="s">
        <v>6820</v>
      </c>
      <c r="Y2413" s="169" t="s">
        <v>6769</v>
      </c>
      <c r="Z2413" s="143" t="s">
        <v>6820</v>
      </c>
      <c r="AA2413" s="143">
        <v>10</v>
      </c>
    </row>
    <row r="2414" spans="1:27">
      <c r="A2414" s="143">
        <v>2372</v>
      </c>
      <c r="B2414" s="144">
        <v>45971</v>
      </c>
      <c r="C2414" s="143" t="s">
        <v>3148</v>
      </c>
      <c r="E2414" s="196" t="s">
        <v>6590</v>
      </c>
      <c r="F2414" s="143" t="s">
        <v>6822</v>
      </c>
      <c r="H2414" s="143" t="s">
        <v>6823</v>
      </c>
      <c r="I2414" s="143" t="s">
        <v>324</v>
      </c>
      <c r="J2414" s="143" t="s">
        <v>1577</v>
      </c>
      <c r="K2414" s="143">
        <v>148</v>
      </c>
      <c r="W2414" s="143" t="s">
        <v>3147</v>
      </c>
      <c r="X2414" s="143" t="s">
        <v>6822</v>
      </c>
      <c r="Y2414" s="169" t="s">
        <v>6769</v>
      </c>
      <c r="Z2414" s="143" t="s">
        <v>6822</v>
      </c>
      <c r="AA2414" s="143">
        <v>10</v>
      </c>
    </row>
    <row r="2415" spans="1:27">
      <c r="A2415" s="143">
        <v>2373</v>
      </c>
      <c r="B2415" s="144">
        <v>45971</v>
      </c>
      <c r="C2415" s="143" t="s">
        <v>3148</v>
      </c>
      <c r="E2415" s="196" t="s">
        <v>6590</v>
      </c>
      <c r="F2415" s="143" t="s">
        <v>6824</v>
      </c>
      <c r="H2415" s="143" t="s">
        <v>6825</v>
      </c>
      <c r="I2415" s="143" t="s">
        <v>324</v>
      </c>
      <c r="J2415" s="143" t="s">
        <v>1577</v>
      </c>
      <c r="K2415" s="143">
        <v>148</v>
      </c>
      <c r="W2415" s="143" t="s">
        <v>3147</v>
      </c>
      <c r="X2415" s="143" t="s">
        <v>6824</v>
      </c>
      <c r="Y2415" s="169" t="s">
        <v>6769</v>
      </c>
      <c r="Z2415" s="143" t="s">
        <v>6824</v>
      </c>
      <c r="AA2415" s="143">
        <v>10</v>
      </c>
    </row>
    <row r="2416" spans="1:27">
      <c r="A2416" s="143">
        <v>2374</v>
      </c>
      <c r="B2416" s="144">
        <v>45971</v>
      </c>
      <c r="C2416" s="143" t="s">
        <v>3148</v>
      </c>
      <c r="E2416" s="196" t="s">
        <v>6590</v>
      </c>
      <c r="F2416" s="143" t="s">
        <v>6826</v>
      </c>
      <c r="H2416" s="143" t="s">
        <v>6827</v>
      </c>
      <c r="I2416" s="143" t="s">
        <v>324</v>
      </c>
      <c r="J2416" s="143" t="s">
        <v>1577</v>
      </c>
      <c r="K2416" s="143">
        <v>148</v>
      </c>
      <c r="W2416" s="143" t="s">
        <v>3147</v>
      </c>
      <c r="X2416" s="143" t="s">
        <v>6826</v>
      </c>
      <c r="Y2416" s="169" t="s">
        <v>6769</v>
      </c>
      <c r="Z2416" s="143" t="s">
        <v>6826</v>
      </c>
      <c r="AA2416" s="143">
        <v>10</v>
      </c>
    </row>
    <row r="2417" spans="1:27">
      <c r="A2417" s="143">
        <v>2375</v>
      </c>
      <c r="B2417" s="144">
        <v>45971</v>
      </c>
      <c r="C2417" s="143" t="s">
        <v>3148</v>
      </c>
      <c r="E2417" s="196" t="s">
        <v>6590</v>
      </c>
      <c r="F2417" s="143" t="s">
        <v>6828</v>
      </c>
      <c r="H2417" s="143" t="s">
        <v>6829</v>
      </c>
      <c r="I2417" s="143" t="s">
        <v>324</v>
      </c>
      <c r="J2417" s="143" t="s">
        <v>1577</v>
      </c>
      <c r="K2417" s="143">
        <v>148</v>
      </c>
      <c r="W2417" s="143" t="s">
        <v>3147</v>
      </c>
      <c r="X2417" s="143" t="s">
        <v>6828</v>
      </c>
      <c r="Y2417" s="169" t="s">
        <v>6769</v>
      </c>
      <c r="Z2417" s="143" t="s">
        <v>6828</v>
      </c>
      <c r="AA2417" s="143">
        <v>10</v>
      </c>
    </row>
    <row r="2418" spans="1:27">
      <c r="A2418" s="143">
        <v>2376</v>
      </c>
      <c r="B2418" s="144">
        <v>45971</v>
      </c>
      <c r="C2418" s="143" t="s">
        <v>3148</v>
      </c>
      <c r="E2418" s="196" t="s">
        <v>6590</v>
      </c>
      <c r="F2418" s="143" t="s">
        <v>6830</v>
      </c>
      <c r="H2418" s="143" t="s">
        <v>6831</v>
      </c>
      <c r="I2418" s="143" t="s">
        <v>324</v>
      </c>
      <c r="J2418" s="143" t="s">
        <v>1577</v>
      </c>
      <c r="K2418" s="143">
        <v>148</v>
      </c>
      <c r="W2418" s="143" t="s">
        <v>3147</v>
      </c>
      <c r="X2418" s="143" t="s">
        <v>6830</v>
      </c>
      <c r="Y2418" s="169" t="s">
        <v>6769</v>
      </c>
      <c r="Z2418" s="143" t="s">
        <v>6830</v>
      </c>
      <c r="AA2418" s="143">
        <v>10</v>
      </c>
    </row>
    <row r="2419" spans="1:27">
      <c r="A2419" s="143">
        <v>2377</v>
      </c>
      <c r="B2419" s="144">
        <v>45971</v>
      </c>
      <c r="C2419" s="143" t="s">
        <v>3148</v>
      </c>
      <c r="E2419" s="196" t="s">
        <v>6590</v>
      </c>
      <c r="F2419" s="143" t="s">
        <v>6832</v>
      </c>
      <c r="H2419" s="143" t="s">
        <v>6833</v>
      </c>
      <c r="I2419" s="143" t="s">
        <v>324</v>
      </c>
      <c r="J2419" s="143" t="s">
        <v>1577</v>
      </c>
      <c r="K2419" s="143">
        <v>148</v>
      </c>
      <c r="W2419" s="143" t="s">
        <v>3147</v>
      </c>
      <c r="X2419" s="143" t="s">
        <v>6832</v>
      </c>
      <c r="Y2419" s="169" t="s">
        <v>6769</v>
      </c>
      <c r="Z2419" s="143" t="s">
        <v>6832</v>
      </c>
      <c r="AA2419" s="143">
        <v>10</v>
      </c>
    </row>
    <row r="2420" spans="1:27">
      <c r="A2420" s="143">
        <v>2378</v>
      </c>
      <c r="B2420" s="144">
        <v>45971</v>
      </c>
      <c r="C2420" s="143" t="s">
        <v>3148</v>
      </c>
      <c r="E2420" s="196" t="s">
        <v>6590</v>
      </c>
      <c r="F2420" s="143" t="s">
        <v>6834</v>
      </c>
      <c r="H2420" s="143" t="s">
        <v>6835</v>
      </c>
      <c r="I2420" s="143" t="s">
        <v>324</v>
      </c>
      <c r="J2420" s="143" t="s">
        <v>1577</v>
      </c>
      <c r="K2420" s="143">
        <v>148</v>
      </c>
      <c r="W2420" s="143" t="s">
        <v>3147</v>
      </c>
      <c r="X2420" s="143" t="s">
        <v>6834</v>
      </c>
      <c r="Y2420" s="169" t="s">
        <v>6769</v>
      </c>
      <c r="Z2420" s="143" t="s">
        <v>6834</v>
      </c>
      <c r="AA2420" s="143">
        <v>10</v>
      </c>
    </row>
    <row r="2421" spans="1:27">
      <c r="A2421" s="143">
        <v>2379</v>
      </c>
      <c r="B2421" s="144">
        <v>45971</v>
      </c>
      <c r="C2421" s="143" t="s">
        <v>3148</v>
      </c>
      <c r="E2421" s="196" t="s">
        <v>6590</v>
      </c>
      <c r="F2421" s="143" t="s">
        <v>6836</v>
      </c>
      <c r="H2421" s="143" t="s">
        <v>6837</v>
      </c>
      <c r="I2421" s="143" t="s">
        <v>324</v>
      </c>
      <c r="J2421" s="143" t="s">
        <v>1577</v>
      </c>
      <c r="K2421" s="143">
        <v>148</v>
      </c>
      <c r="W2421" s="143" t="s">
        <v>3147</v>
      </c>
      <c r="X2421" s="143" t="s">
        <v>6836</v>
      </c>
      <c r="Y2421" s="169" t="s">
        <v>6769</v>
      </c>
      <c r="Z2421" s="143" t="s">
        <v>6836</v>
      </c>
      <c r="AA2421" s="143">
        <v>10</v>
      </c>
    </row>
    <row r="2422" spans="1:27">
      <c r="A2422" s="143">
        <v>2380</v>
      </c>
      <c r="B2422" s="144">
        <v>45971</v>
      </c>
      <c r="C2422" s="143" t="s">
        <v>3148</v>
      </c>
      <c r="E2422" s="196" t="s">
        <v>6590</v>
      </c>
      <c r="F2422" s="143" t="s">
        <v>6838</v>
      </c>
      <c r="H2422" s="143" t="s">
        <v>6839</v>
      </c>
      <c r="I2422" s="143" t="s">
        <v>324</v>
      </c>
      <c r="J2422" s="143" t="s">
        <v>1577</v>
      </c>
      <c r="K2422" s="143">
        <v>148</v>
      </c>
      <c r="W2422" s="143" t="s">
        <v>3147</v>
      </c>
      <c r="X2422" s="143" t="s">
        <v>6838</v>
      </c>
      <c r="Y2422" s="169" t="s">
        <v>6769</v>
      </c>
      <c r="Z2422" s="143" t="s">
        <v>6838</v>
      </c>
      <c r="AA2422" s="143">
        <v>10</v>
      </c>
    </row>
    <row r="2423" spans="1:27">
      <c r="A2423" s="143">
        <v>2381</v>
      </c>
      <c r="B2423" s="144">
        <v>45971</v>
      </c>
      <c r="C2423" s="143" t="s">
        <v>3148</v>
      </c>
      <c r="E2423" s="196" t="s">
        <v>6590</v>
      </c>
      <c r="F2423" s="143" t="s">
        <v>6840</v>
      </c>
      <c r="H2423" s="143" t="s">
        <v>6841</v>
      </c>
      <c r="I2423" s="143" t="s">
        <v>324</v>
      </c>
      <c r="J2423" s="143" t="s">
        <v>1577</v>
      </c>
      <c r="K2423" s="143">
        <v>148</v>
      </c>
      <c r="W2423" s="143" t="s">
        <v>3147</v>
      </c>
      <c r="X2423" s="143" t="s">
        <v>6840</v>
      </c>
      <c r="Y2423" s="169" t="s">
        <v>6769</v>
      </c>
      <c r="Z2423" s="143" t="s">
        <v>6840</v>
      </c>
      <c r="AA2423" s="143">
        <v>10.2</v>
      </c>
    </row>
    <row r="2424" spans="1:27">
      <c r="A2424" s="143">
        <v>2382</v>
      </c>
      <c r="B2424" s="144">
        <v>45971</v>
      </c>
      <c r="C2424" s="143" t="s">
        <v>3148</v>
      </c>
      <c r="E2424" s="196" t="s">
        <v>6590</v>
      </c>
      <c r="F2424" s="143" t="s">
        <v>6842</v>
      </c>
      <c r="H2424" s="143" t="s">
        <v>6843</v>
      </c>
      <c r="I2424" s="143" t="s">
        <v>324</v>
      </c>
      <c r="J2424" s="143" t="s">
        <v>1577</v>
      </c>
      <c r="K2424" s="143">
        <v>148</v>
      </c>
      <c r="W2424" s="143" t="s">
        <v>3147</v>
      </c>
      <c r="X2424" s="143" t="s">
        <v>6842</v>
      </c>
      <c r="Y2424" s="169" t="s">
        <v>6769</v>
      </c>
      <c r="Z2424" s="143" t="s">
        <v>6842</v>
      </c>
      <c r="AA2424" s="143">
        <v>10.2</v>
      </c>
    </row>
    <row r="2425" spans="1:27">
      <c r="A2425" s="143">
        <v>2383</v>
      </c>
      <c r="B2425" s="144">
        <v>45971</v>
      </c>
      <c r="C2425" s="143" t="s">
        <v>3148</v>
      </c>
      <c r="E2425" s="196" t="s">
        <v>6590</v>
      </c>
      <c r="F2425" s="143" t="s">
        <v>6844</v>
      </c>
      <c r="H2425" s="143" t="s">
        <v>6845</v>
      </c>
      <c r="I2425" s="143" t="s">
        <v>324</v>
      </c>
      <c r="J2425" s="143" t="s">
        <v>1577</v>
      </c>
      <c r="K2425" s="143">
        <v>148</v>
      </c>
      <c r="W2425" s="143" t="s">
        <v>3147</v>
      </c>
      <c r="X2425" s="143" t="s">
        <v>6844</v>
      </c>
      <c r="Y2425" s="169" t="s">
        <v>6769</v>
      </c>
      <c r="Z2425" s="143" t="s">
        <v>6844</v>
      </c>
      <c r="AA2425" s="143">
        <v>10.2</v>
      </c>
    </row>
    <row r="2426" spans="1:27">
      <c r="A2426" s="143">
        <v>2384</v>
      </c>
      <c r="B2426" s="144">
        <v>45971</v>
      </c>
      <c r="C2426" s="143" t="s">
        <v>3148</v>
      </c>
      <c r="E2426" s="196" t="s">
        <v>6590</v>
      </c>
      <c r="F2426" s="143" t="s">
        <v>6846</v>
      </c>
      <c r="H2426" s="143" t="s">
        <v>6847</v>
      </c>
      <c r="I2426" s="143" t="s">
        <v>324</v>
      </c>
      <c r="J2426" s="143" t="s">
        <v>1577</v>
      </c>
      <c r="K2426" s="143">
        <v>148</v>
      </c>
      <c r="W2426" s="143" t="s">
        <v>3147</v>
      </c>
      <c r="X2426" s="143" t="s">
        <v>6846</v>
      </c>
      <c r="Y2426" s="169" t="s">
        <v>6769</v>
      </c>
      <c r="Z2426" s="143" t="s">
        <v>6846</v>
      </c>
      <c r="AA2426" s="143">
        <v>10.2</v>
      </c>
    </row>
    <row r="2427" spans="1:27">
      <c r="A2427" s="143">
        <v>2385</v>
      </c>
      <c r="B2427" s="144">
        <v>45971</v>
      </c>
      <c r="C2427" s="143" t="s">
        <v>3148</v>
      </c>
      <c r="E2427" s="196" t="s">
        <v>6590</v>
      </c>
      <c r="F2427" s="143" t="s">
        <v>6848</v>
      </c>
      <c r="H2427" s="143" t="s">
        <v>6849</v>
      </c>
      <c r="I2427" s="143" t="s">
        <v>324</v>
      </c>
      <c r="J2427" s="143" t="s">
        <v>1577</v>
      </c>
      <c r="K2427" s="143">
        <v>148</v>
      </c>
      <c r="W2427" s="143" t="s">
        <v>3147</v>
      </c>
      <c r="X2427" s="143" t="s">
        <v>6848</v>
      </c>
      <c r="Y2427" s="169" t="s">
        <v>6769</v>
      </c>
      <c r="Z2427" s="143" t="s">
        <v>6848</v>
      </c>
      <c r="AA2427" s="143">
        <v>10.2</v>
      </c>
    </row>
    <row r="2428" spans="1:27">
      <c r="A2428" s="143">
        <v>2386</v>
      </c>
      <c r="B2428" s="144">
        <v>45971</v>
      </c>
      <c r="C2428" s="143" t="s">
        <v>3148</v>
      </c>
      <c r="E2428" s="196" t="s">
        <v>6590</v>
      </c>
      <c r="F2428" s="143" t="s">
        <v>6850</v>
      </c>
      <c r="H2428" s="143" t="s">
        <v>6851</v>
      </c>
      <c r="I2428" s="143" t="s">
        <v>324</v>
      </c>
      <c r="J2428" s="143" t="s">
        <v>1577</v>
      </c>
      <c r="K2428" s="143">
        <v>148</v>
      </c>
      <c r="W2428" s="143" t="s">
        <v>3147</v>
      </c>
      <c r="X2428" s="143" t="s">
        <v>6850</v>
      </c>
      <c r="Y2428" s="169" t="s">
        <v>6769</v>
      </c>
      <c r="Z2428" s="143" t="s">
        <v>6850</v>
      </c>
      <c r="AA2428" s="143">
        <v>11.5</v>
      </c>
    </row>
    <row r="2429" spans="1:27">
      <c r="A2429" s="143">
        <v>2387</v>
      </c>
      <c r="B2429" s="144">
        <v>45971</v>
      </c>
      <c r="C2429" s="143" t="s">
        <v>3148</v>
      </c>
      <c r="E2429" s="196" t="s">
        <v>6590</v>
      </c>
      <c r="F2429" s="143" t="s">
        <v>6852</v>
      </c>
      <c r="H2429" s="143" t="s">
        <v>6853</v>
      </c>
      <c r="I2429" s="143" t="s">
        <v>324</v>
      </c>
      <c r="J2429" s="143" t="s">
        <v>1577</v>
      </c>
      <c r="K2429" s="143">
        <v>148</v>
      </c>
      <c r="W2429" s="143" t="s">
        <v>3147</v>
      </c>
      <c r="X2429" s="143" t="s">
        <v>6852</v>
      </c>
      <c r="Y2429" s="169" t="s">
        <v>6769</v>
      </c>
      <c r="Z2429" s="143" t="s">
        <v>6852</v>
      </c>
      <c r="AA2429" s="143">
        <v>16.3</v>
      </c>
    </row>
    <row r="2430" spans="1:27">
      <c r="A2430" s="143">
        <v>2388</v>
      </c>
      <c r="B2430" s="144">
        <v>45971</v>
      </c>
      <c r="C2430" s="143" t="s">
        <v>3148</v>
      </c>
      <c r="E2430" s="196" t="s">
        <v>6590</v>
      </c>
      <c r="F2430" s="143" t="s">
        <v>6854</v>
      </c>
      <c r="H2430" s="143" t="s">
        <v>6855</v>
      </c>
      <c r="I2430" s="143" t="s">
        <v>6856</v>
      </c>
      <c r="J2430" s="143" t="s">
        <v>6857</v>
      </c>
      <c r="K2430" s="143">
        <v>148</v>
      </c>
      <c r="W2430" s="143" t="s">
        <v>3147</v>
      </c>
      <c r="X2430" s="143" t="s">
        <v>6854</v>
      </c>
      <c r="Y2430" s="169" t="s">
        <v>6769</v>
      </c>
      <c r="Z2430" s="143" t="s">
        <v>6854</v>
      </c>
      <c r="AA2430" s="143">
        <v>11</v>
      </c>
    </row>
    <row r="2431" ht="13.5" spans="1:27">
      <c r="A2431" s="143">
        <v>2390</v>
      </c>
      <c r="B2431" s="144">
        <v>45971</v>
      </c>
      <c r="C2431" s="169" t="s">
        <v>3277</v>
      </c>
      <c r="D2431" s="143" t="s">
        <v>41</v>
      </c>
      <c r="E2431" s="196" t="s">
        <v>5292</v>
      </c>
      <c r="F2431" s="169" t="s">
        <v>6858</v>
      </c>
      <c r="H2431" s="143" t="s">
        <v>6859</v>
      </c>
      <c r="I2431" s="143" t="s">
        <v>6860</v>
      </c>
      <c r="J2431" s="143" t="s">
        <v>6861</v>
      </c>
      <c r="K2431" s="143">
        <v>150</v>
      </c>
      <c r="L2431" s="143">
        <v>85</v>
      </c>
      <c r="S2431" s="215"/>
      <c r="T2431" s="215"/>
      <c r="U2431" s="215"/>
      <c r="V2431" s="216"/>
      <c r="W2431" s="143" t="s">
        <v>3147</v>
      </c>
      <c r="X2431" s="143" t="str">
        <f>F2431</f>
        <v>鎏金丝</v>
      </c>
      <c r="Y2431" s="169" t="s">
        <v>6336</v>
      </c>
      <c r="Z2431" s="143" t="str">
        <f>X2431</f>
        <v>鎏金丝</v>
      </c>
      <c r="AA2431" s="217">
        <v>15.2</v>
      </c>
    </row>
    <row r="2432" ht="15" spans="1:27">
      <c r="A2432" s="143">
        <v>2391</v>
      </c>
      <c r="B2432" s="144">
        <v>45971</v>
      </c>
      <c r="C2432" s="169" t="s">
        <v>3646</v>
      </c>
      <c r="D2432" s="143" t="s">
        <v>41</v>
      </c>
      <c r="E2432" s="169" t="s">
        <v>6862</v>
      </c>
      <c r="F2432" s="143" t="s">
        <v>6863</v>
      </c>
      <c r="G2432" s="169" t="s">
        <v>6862</v>
      </c>
      <c r="H2432" s="177" t="s">
        <v>6864</v>
      </c>
      <c r="I2432" s="143" t="s">
        <v>6865</v>
      </c>
      <c r="K2432" s="143">
        <v>135</v>
      </c>
      <c r="L2432" s="143">
        <v>260</v>
      </c>
      <c r="Q2432" s="204">
        <v>2.8</v>
      </c>
      <c r="S2432" s="215"/>
      <c r="T2432" s="215"/>
      <c r="U2432" s="215"/>
      <c r="V2432" s="216"/>
      <c r="W2432" s="169" t="s">
        <v>3147</v>
      </c>
      <c r="X2432" s="143" t="s">
        <v>6863</v>
      </c>
      <c r="Y2432" s="169" t="s">
        <v>6866</v>
      </c>
      <c r="Z2432" s="143" t="s">
        <v>6863</v>
      </c>
      <c r="AA2432" s="217">
        <v>39.5</v>
      </c>
    </row>
    <row r="2433" ht="15" spans="1:27">
      <c r="A2433" s="143">
        <v>2392</v>
      </c>
      <c r="B2433" s="144">
        <v>45971</v>
      </c>
      <c r="C2433" s="169" t="s">
        <v>3646</v>
      </c>
      <c r="D2433" s="143" t="s">
        <v>41</v>
      </c>
      <c r="E2433" s="169" t="s">
        <v>6862</v>
      </c>
      <c r="F2433" s="143" t="s">
        <v>6867</v>
      </c>
      <c r="G2433" s="169" t="s">
        <v>6862</v>
      </c>
      <c r="H2433" s="143" t="s">
        <v>6868</v>
      </c>
      <c r="I2433" s="143" t="s">
        <v>6865</v>
      </c>
      <c r="K2433" s="143">
        <v>175</v>
      </c>
      <c r="L2433" s="143">
        <v>320</v>
      </c>
      <c r="Q2433" s="204">
        <v>1.7</v>
      </c>
      <c r="S2433" s="215"/>
      <c r="T2433" s="215"/>
      <c r="U2433" s="215"/>
      <c r="V2433" s="216"/>
      <c r="W2433" s="169" t="s">
        <v>3147</v>
      </c>
      <c r="X2433" s="143" t="s">
        <v>6867</v>
      </c>
      <c r="Y2433" s="169" t="s">
        <v>6866</v>
      </c>
      <c r="Z2433" s="143" t="s">
        <v>6867</v>
      </c>
      <c r="AA2433" s="217">
        <v>43.6</v>
      </c>
    </row>
    <row r="2434" ht="15" spans="1:27">
      <c r="A2434" s="143">
        <v>2393</v>
      </c>
      <c r="B2434" s="144">
        <v>45971</v>
      </c>
      <c r="C2434" s="169" t="s">
        <v>3646</v>
      </c>
      <c r="D2434" s="143" t="s">
        <v>41</v>
      </c>
      <c r="E2434" s="169" t="s">
        <v>6862</v>
      </c>
      <c r="F2434" s="143" t="s">
        <v>6869</v>
      </c>
      <c r="G2434" s="169" t="s">
        <v>6862</v>
      </c>
      <c r="H2434" s="143" t="s">
        <v>6870</v>
      </c>
      <c r="I2434" s="143" t="s">
        <v>3390</v>
      </c>
      <c r="J2434" s="143" t="s">
        <v>3657</v>
      </c>
      <c r="K2434" s="143">
        <v>185</v>
      </c>
      <c r="L2434" s="143">
        <v>220</v>
      </c>
      <c r="Q2434" s="204">
        <v>2.4</v>
      </c>
      <c r="S2434" s="215"/>
      <c r="T2434" s="215"/>
      <c r="U2434" s="215"/>
      <c r="V2434" s="216"/>
      <c r="W2434" s="169" t="s">
        <v>3147</v>
      </c>
      <c r="X2434" s="143" t="s">
        <v>6869</v>
      </c>
      <c r="Y2434" s="169" t="s">
        <v>6866</v>
      </c>
      <c r="Z2434" s="143" t="s">
        <v>6869</v>
      </c>
      <c r="AA2434" s="217">
        <v>23.5</v>
      </c>
    </row>
    <row r="2435" ht="15" spans="1:27">
      <c r="A2435" s="143">
        <v>2394</v>
      </c>
      <c r="B2435" s="144">
        <v>45971</v>
      </c>
      <c r="C2435" s="169" t="s">
        <v>3646</v>
      </c>
      <c r="D2435" s="143" t="s">
        <v>41</v>
      </c>
      <c r="E2435" s="169" t="s">
        <v>6862</v>
      </c>
      <c r="F2435" s="143" t="s">
        <v>6871</v>
      </c>
      <c r="G2435" s="169" t="s">
        <v>6862</v>
      </c>
      <c r="H2435" s="143" t="s">
        <v>6872</v>
      </c>
      <c r="I2435" s="143" t="s">
        <v>6873</v>
      </c>
      <c r="J2435" s="143" t="s">
        <v>6874</v>
      </c>
      <c r="K2435" s="143">
        <v>175</v>
      </c>
      <c r="L2435" s="143">
        <v>240</v>
      </c>
      <c r="Q2435" s="204">
        <v>2.3</v>
      </c>
      <c r="S2435" s="215"/>
      <c r="T2435" s="215"/>
      <c r="U2435" s="215"/>
      <c r="V2435" s="216"/>
      <c r="W2435" s="169" t="s">
        <v>3147</v>
      </c>
      <c r="X2435" s="143" t="s">
        <v>6871</v>
      </c>
      <c r="Y2435" s="169" t="s">
        <v>6866</v>
      </c>
      <c r="Z2435" s="143" t="s">
        <v>6871</v>
      </c>
      <c r="AA2435" s="217">
        <v>43</v>
      </c>
    </row>
    <row r="2436" ht="15" spans="1:27">
      <c r="A2436" s="143">
        <v>2395</v>
      </c>
      <c r="B2436" s="144">
        <v>45971</v>
      </c>
      <c r="C2436" s="169" t="s">
        <v>3646</v>
      </c>
      <c r="D2436" s="143" t="s">
        <v>41</v>
      </c>
      <c r="E2436" s="169" t="s">
        <v>6862</v>
      </c>
      <c r="F2436" s="143" t="s">
        <v>6875</v>
      </c>
      <c r="G2436" s="169" t="s">
        <v>6862</v>
      </c>
      <c r="H2436" s="143" t="s">
        <v>6876</v>
      </c>
      <c r="I2436" s="143" t="s">
        <v>6877</v>
      </c>
      <c r="K2436" s="143">
        <v>175</v>
      </c>
      <c r="L2436" s="143">
        <v>260</v>
      </c>
      <c r="Q2436" s="204">
        <v>2.1</v>
      </c>
      <c r="S2436" s="215"/>
      <c r="T2436" s="215"/>
      <c r="U2436" s="215"/>
      <c r="V2436" s="216"/>
      <c r="W2436" s="169" t="s">
        <v>3147</v>
      </c>
      <c r="X2436" s="143" t="s">
        <v>6875</v>
      </c>
      <c r="Y2436" s="169" t="s">
        <v>6866</v>
      </c>
      <c r="Z2436" s="143" t="s">
        <v>6875</v>
      </c>
      <c r="AA2436" s="217">
        <v>44.5</v>
      </c>
    </row>
    <row r="2437" ht="15" spans="1:27">
      <c r="A2437" s="143">
        <v>2396</v>
      </c>
      <c r="B2437" s="144">
        <v>45971</v>
      </c>
      <c r="C2437" s="169" t="s">
        <v>3646</v>
      </c>
      <c r="D2437" s="143" t="s">
        <v>41</v>
      </c>
      <c r="E2437" s="169" t="s">
        <v>6862</v>
      </c>
      <c r="F2437" s="143" t="s">
        <v>6878</v>
      </c>
      <c r="G2437" s="169" t="s">
        <v>6862</v>
      </c>
      <c r="H2437" s="143" t="s">
        <v>6879</v>
      </c>
      <c r="I2437" s="143" t="s">
        <v>6865</v>
      </c>
      <c r="J2437" s="143" t="s">
        <v>6880</v>
      </c>
      <c r="K2437" s="143">
        <v>175</v>
      </c>
      <c r="L2437" s="143">
        <v>300</v>
      </c>
      <c r="Q2437" s="204">
        <v>1.7</v>
      </c>
      <c r="S2437" s="215"/>
      <c r="T2437" s="215"/>
      <c r="U2437" s="215"/>
      <c r="V2437" s="216"/>
      <c r="W2437" s="169" t="s">
        <v>3147</v>
      </c>
      <c r="X2437" s="143" t="s">
        <v>6878</v>
      </c>
      <c r="Y2437" s="169" t="s">
        <v>6866</v>
      </c>
      <c r="Z2437" s="143" t="s">
        <v>6878</v>
      </c>
      <c r="AA2437" s="217">
        <v>38.5</v>
      </c>
    </row>
    <row r="2438" ht="15" spans="1:27">
      <c r="A2438" s="143">
        <v>2397</v>
      </c>
      <c r="B2438" s="144">
        <v>45971</v>
      </c>
      <c r="C2438" s="169" t="s">
        <v>3646</v>
      </c>
      <c r="D2438" s="143" t="s">
        <v>41</v>
      </c>
      <c r="E2438" s="169" t="s">
        <v>6862</v>
      </c>
      <c r="F2438" s="143" t="s">
        <v>6881</v>
      </c>
      <c r="G2438" s="169" t="s">
        <v>6862</v>
      </c>
      <c r="H2438" s="143" t="s">
        <v>6882</v>
      </c>
      <c r="I2438" s="143" t="s">
        <v>4605</v>
      </c>
      <c r="J2438" s="143" t="s">
        <v>4606</v>
      </c>
      <c r="K2438" s="143">
        <v>175</v>
      </c>
      <c r="L2438" s="143">
        <v>260</v>
      </c>
      <c r="Q2438" s="204">
        <v>2.1</v>
      </c>
      <c r="S2438" s="215"/>
      <c r="T2438" s="215"/>
      <c r="U2438" s="215"/>
      <c r="V2438" s="216"/>
      <c r="W2438" s="169" t="s">
        <v>3147</v>
      </c>
      <c r="X2438" s="143" t="s">
        <v>6881</v>
      </c>
      <c r="Y2438" s="169" t="s">
        <v>6866</v>
      </c>
      <c r="Z2438" s="143" t="s">
        <v>6881</v>
      </c>
      <c r="AA2438" s="217">
        <v>36.8</v>
      </c>
    </row>
    <row r="2439" ht="15" spans="1:27">
      <c r="A2439" s="143">
        <v>2398</v>
      </c>
      <c r="B2439" s="144">
        <v>45971</v>
      </c>
      <c r="C2439" s="169" t="s">
        <v>3646</v>
      </c>
      <c r="D2439" s="143" t="s">
        <v>41</v>
      </c>
      <c r="E2439" s="169" t="s">
        <v>6862</v>
      </c>
      <c r="F2439" s="143" t="s">
        <v>6883</v>
      </c>
      <c r="G2439" s="169" t="s">
        <v>6862</v>
      </c>
      <c r="H2439" s="143" t="s">
        <v>6884</v>
      </c>
      <c r="I2439" s="169" t="s">
        <v>6885</v>
      </c>
      <c r="K2439" s="143">
        <v>185</v>
      </c>
      <c r="L2439" s="143">
        <v>260</v>
      </c>
      <c r="Q2439" s="204">
        <v>2</v>
      </c>
      <c r="S2439" s="215"/>
      <c r="T2439" s="215"/>
      <c r="U2439" s="215"/>
      <c r="V2439" s="216"/>
      <c r="W2439" s="169" t="s">
        <v>3147</v>
      </c>
      <c r="X2439" s="143" t="s">
        <v>6883</v>
      </c>
      <c r="Y2439" s="169" t="s">
        <v>6866</v>
      </c>
      <c r="Z2439" s="143" t="s">
        <v>6883</v>
      </c>
      <c r="AA2439" s="217">
        <v>35.3</v>
      </c>
    </row>
    <row r="2440" ht="15" spans="1:27">
      <c r="A2440" s="143">
        <v>2399</v>
      </c>
      <c r="B2440" s="144">
        <v>45971</v>
      </c>
      <c r="C2440" s="169" t="s">
        <v>3646</v>
      </c>
      <c r="D2440" s="143" t="s">
        <v>41</v>
      </c>
      <c r="E2440" s="169" t="s">
        <v>6862</v>
      </c>
      <c r="F2440" s="143" t="s">
        <v>6886</v>
      </c>
      <c r="G2440" s="169" t="s">
        <v>6862</v>
      </c>
      <c r="H2440" s="143" t="s">
        <v>6887</v>
      </c>
      <c r="I2440" s="143" t="s">
        <v>6888</v>
      </c>
      <c r="J2440" s="143" t="s">
        <v>2332</v>
      </c>
      <c r="K2440" s="143">
        <v>185</v>
      </c>
      <c r="L2440" s="143">
        <v>300</v>
      </c>
      <c r="Q2440" s="204">
        <v>1.8</v>
      </c>
      <c r="S2440" s="215"/>
      <c r="T2440" s="215"/>
      <c r="U2440" s="215"/>
      <c r="V2440" s="216"/>
      <c r="W2440" s="169" t="s">
        <v>3147</v>
      </c>
      <c r="X2440" s="143" t="s">
        <v>6886</v>
      </c>
      <c r="Y2440" s="169" t="s">
        <v>6866</v>
      </c>
      <c r="Z2440" s="143" t="s">
        <v>6886</v>
      </c>
      <c r="AA2440" s="217">
        <v>33.8</v>
      </c>
    </row>
    <row r="2441" ht="15" spans="1:27">
      <c r="A2441" s="143">
        <v>2400</v>
      </c>
      <c r="B2441" s="144">
        <v>45971</v>
      </c>
      <c r="C2441" s="169" t="s">
        <v>3646</v>
      </c>
      <c r="D2441" s="143" t="s">
        <v>41</v>
      </c>
      <c r="E2441" s="169" t="s">
        <v>6862</v>
      </c>
      <c r="F2441" s="143" t="s">
        <v>6889</v>
      </c>
      <c r="G2441" s="169" t="s">
        <v>6862</v>
      </c>
      <c r="H2441" s="143" t="s">
        <v>6890</v>
      </c>
      <c r="I2441" s="143" t="s">
        <v>4801</v>
      </c>
      <c r="J2441" s="143" t="s">
        <v>2691</v>
      </c>
      <c r="K2441" s="143">
        <v>175</v>
      </c>
      <c r="L2441" s="143">
        <v>210</v>
      </c>
      <c r="Q2441" s="204">
        <v>2.7</v>
      </c>
      <c r="S2441" s="215"/>
      <c r="T2441" s="215"/>
      <c r="U2441" s="215"/>
      <c r="V2441" s="216"/>
      <c r="W2441" s="169" t="s">
        <v>3147</v>
      </c>
      <c r="X2441" s="143" t="s">
        <v>6889</v>
      </c>
      <c r="Y2441" s="169" t="s">
        <v>6866</v>
      </c>
      <c r="Z2441" s="143" t="s">
        <v>6889</v>
      </c>
      <c r="AA2441" s="217">
        <v>42.6</v>
      </c>
    </row>
    <row r="2442" ht="15" spans="1:27">
      <c r="A2442" s="143">
        <v>2401</v>
      </c>
      <c r="B2442" s="144">
        <v>45971</v>
      </c>
      <c r="C2442" s="169" t="s">
        <v>3646</v>
      </c>
      <c r="D2442" s="143" t="s">
        <v>41</v>
      </c>
      <c r="E2442" s="169" t="s">
        <v>6862</v>
      </c>
      <c r="F2442" s="143" t="s">
        <v>6891</v>
      </c>
      <c r="G2442" s="169" t="s">
        <v>6862</v>
      </c>
      <c r="H2442" s="143" t="s">
        <v>6892</v>
      </c>
      <c r="I2442" s="169" t="s">
        <v>6893</v>
      </c>
      <c r="K2442" s="143">
        <v>185</v>
      </c>
      <c r="L2442" s="143">
        <v>210</v>
      </c>
      <c r="Q2442" s="204">
        <v>2.7</v>
      </c>
      <c r="S2442" s="215"/>
      <c r="T2442" s="215"/>
      <c r="U2442" s="215"/>
      <c r="V2442" s="216"/>
      <c r="W2442" s="169" t="s">
        <v>3147</v>
      </c>
      <c r="X2442" s="143" t="s">
        <v>6891</v>
      </c>
      <c r="Y2442" s="169" t="s">
        <v>6866</v>
      </c>
      <c r="Z2442" s="143" t="s">
        <v>6891</v>
      </c>
      <c r="AA2442" s="217">
        <v>39.5</v>
      </c>
    </row>
    <row r="2443" ht="15" spans="1:27">
      <c r="A2443" s="143">
        <v>2402</v>
      </c>
      <c r="B2443" s="144">
        <v>45971</v>
      </c>
      <c r="C2443" s="169" t="s">
        <v>3646</v>
      </c>
      <c r="D2443" s="143" t="s">
        <v>41</v>
      </c>
      <c r="E2443" s="169" t="s">
        <v>6862</v>
      </c>
      <c r="F2443" s="143" t="s">
        <v>6894</v>
      </c>
      <c r="G2443" s="169" t="s">
        <v>6862</v>
      </c>
      <c r="H2443" s="143" t="s">
        <v>6895</v>
      </c>
      <c r="I2443" s="143" t="s">
        <v>6896</v>
      </c>
      <c r="J2443" s="143" t="s">
        <v>6897</v>
      </c>
      <c r="K2443" s="143">
        <v>175</v>
      </c>
      <c r="L2443" s="143">
        <v>180</v>
      </c>
      <c r="Q2443" s="204">
        <v>3.1</v>
      </c>
      <c r="S2443" s="215"/>
      <c r="T2443" s="215"/>
      <c r="U2443" s="215"/>
      <c r="V2443" s="216"/>
      <c r="W2443" s="169" t="s">
        <v>3147</v>
      </c>
      <c r="X2443" s="143" t="s">
        <v>6894</v>
      </c>
      <c r="Y2443" s="169" t="s">
        <v>6866</v>
      </c>
      <c r="Z2443" s="143" t="s">
        <v>6894</v>
      </c>
      <c r="AA2443" s="217">
        <v>38.8</v>
      </c>
    </row>
    <row r="2444" ht="15" spans="1:27">
      <c r="A2444" s="143">
        <v>2403</v>
      </c>
      <c r="B2444" s="144">
        <v>45971</v>
      </c>
      <c r="C2444" s="169" t="s">
        <v>3646</v>
      </c>
      <c r="D2444" s="143" t="s">
        <v>41</v>
      </c>
      <c r="E2444" s="169" t="s">
        <v>6862</v>
      </c>
      <c r="F2444" s="143" t="s">
        <v>6898</v>
      </c>
      <c r="G2444" s="169" t="s">
        <v>6862</v>
      </c>
      <c r="H2444" s="143" t="s">
        <v>6899</v>
      </c>
      <c r="I2444" s="143" t="s">
        <v>6896</v>
      </c>
      <c r="J2444" s="143" t="s">
        <v>6897</v>
      </c>
      <c r="K2444" s="143">
        <v>175</v>
      </c>
      <c r="L2444" s="143">
        <v>260</v>
      </c>
      <c r="Q2444" s="204">
        <v>2.1</v>
      </c>
      <c r="S2444" s="215"/>
      <c r="T2444" s="215"/>
      <c r="U2444" s="215"/>
      <c r="V2444" s="216"/>
      <c r="W2444" s="169" t="s">
        <v>3147</v>
      </c>
      <c r="X2444" s="143" t="s">
        <v>6898</v>
      </c>
      <c r="Y2444" s="169" t="s">
        <v>6866</v>
      </c>
      <c r="Z2444" s="143" t="s">
        <v>6898</v>
      </c>
      <c r="AA2444" s="217">
        <v>38.8</v>
      </c>
    </row>
    <row r="2445" ht="15" spans="1:27">
      <c r="A2445" s="143">
        <v>2404</v>
      </c>
      <c r="B2445" s="144">
        <v>45971</v>
      </c>
      <c r="C2445" s="169" t="s">
        <v>3646</v>
      </c>
      <c r="D2445" s="143" t="s">
        <v>41</v>
      </c>
      <c r="E2445" s="169" t="s">
        <v>6862</v>
      </c>
      <c r="F2445" s="143" t="s">
        <v>6900</v>
      </c>
      <c r="G2445" s="169" t="s">
        <v>6862</v>
      </c>
      <c r="H2445" s="143" t="s">
        <v>6901</v>
      </c>
      <c r="I2445" s="143" t="s">
        <v>6902</v>
      </c>
      <c r="J2445" s="143" t="s">
        <v>6903</v>
      </c>
      <c r="K2445" s="143">
        <v>175</v>
      </c>
      <c r="L2445" s="143">
        <v>210</v>
      </c>
      <c r="Q2445" s="204">
        <v>2.7</v>
      </c>
      <c r="S2445" s="215"/>
      <c r="T2445" s="215"/>
      <c r="U2445" s="215"/>
      <c r="V2445" s="216"/>
      <c r="W2445" s="169" t="s">
        <v>3147</v>
      </c>
      <c r="X2445" s="143" t="s">
        <v>6900</v>
      </c>
      <c r="Y2445" s="169" t="s">
        <v>6866</v>
      </c>
      <c r="Z2445" s="143" t="s">
        <v>6900</v>
      </c>
      <c r="AA2445" s="217">
        <v>45.6</v>
      </c>
    </row>
    <row r="2446" ht="24.75" spans="1:27">
      <c r="A2446" s="143">
        <v>2405</v>
      </c>
      <c r="B2446" s="144">
        <v>45971</v>
      </c>
      <c r="C2446" s="169" t="s">
        <v>3646</v>
      </c>
      <c r="D2446" s="143" t="s">
        <v>41</v>
      </c>
      <c r="E2446" s="169" t="s">
        <v>6862</v>
      </c>
      <c r="F2446" s="143" t="s">
        <v>6904</v>
      </c>
      <c r="G2446" s="169" t="s">
        <v>6862</v>
      </c>
      <c r="H2446" s="143" t="s">
        <v>6905</v>
      </c>
      <c r="I2446" s="169" t="s">
        <v>6906</v>
      </c>
      <c r="J2446" s="152" t="s">
        <v>6907</v>
      </c>
      <c r="K2446" s="143">
        <v>185</v>
      </c>
      <c r="L2446" s="143">
        <v>160</v>
      </c>
      <c r="Q2446" s="204">
        <v>3.2</v>
      </c>
      <c r="S2446" s="215"/>
      <c r="T2446" s="215"/>
      <c r="U2446" s="215"/>
      <c r="V2446" s="216"/>
      <c r="W2446" s="169" t="s">
        <v>3147</v>
      </c>
      <c r="X2446" s="143" t="s">
        <v>6904</v>
      </c>
      <c r="Y2446" s="169" t="s">
        <v>6866</v>
      </c>
      <c r="Z2446" s="143" t="s">
        <v>6904</v>
      </c>
      <c r="AA2446" s="217">
        <v>30.6</v>
      </c>
    </row>
    <row r="2447" ht="15" spans="1:27">
      <c r="A2447" s="143">
        <v>2406</v>
      </c>
      <c r="B2447" s="144">
        <v>45971</v>
      </c>
      <c r="C2447" s="169" t="s">
        <v>3646</v>
      </c>
      <c r="D2447" s="143" t="s">
        <v>41</v>
      </c>
      <c r="E2447" s="169" t="s">
        <v>6862</v>
      </c>
      <c r="F2447" s="143" t="s">
        <v>6908</v>
      </c>
      <c r="G2447" s="169" t="s">
        <v>6862</v>
      </c>
      <c r="H2447" s="143" t="s">
        <v>6909</v>
      </c>
      <c r="I2447" s="143" t="s">
        <v>6910</v>
      </c>
      <c r="J2447" s="143" t="s">
        <v>6911</v>
      </c>
      <c r="K2447" s="143">
        <v>150</v>
      </c>
      <c r="L2447" s="143">
        <v>250</v>
      </c>
      <c r="Q2447" s="204">
        <v>2.6</v>
      </c>
      <c r="S2447" s="215"/>
      <c r="T2447" s="215"/>
      <c r="U2447" s="215"/>
      <c r="V2447" s="216"/>
      <c r="W2447" s="169" t="s">
        <v>3147</v>
      </c>
      <c r="X2447" s="143" t="s">
        <v>6908</v>
      </c>
      <c r="Y2447" s="169" t="s">
        <v>6866</v>
      </c>
      <c r="Z2447" s="143" t="s">
        <v>6908</v>
      </c>
      <c r="AA2447" s="217">
        <v>43.6</v>
      </c>
    </row>
    <row r="2448" ht="15" spans="1:27">
      <c r="A2448" s="143">
        <v>2407</v>
      </c>
      <c r="B2448" s="144">
        <v>45971</v>
      </c>
      <c r="C2448" s="169" t="s">
        <v>3646</v>
      </c>
      <c r="D2448" s="143" t="s">
        <v>41</v>
      </c>
      <c r="E2448" s="169" t="s">
        <v>6862</v>
      </c>
      <c r="F2448" s="143" t="s">
        <v>6912</v>
      </c>
      <c r="G2448" s="169" t="s">
        <v>6862</v>
      </c>
      <c r="H2448" s="143" t="s">
        <v>6913</v>
      </c>
      <c r="I2448" s="143" t="s">
        <v>3157</v>
      </c>
      <c r="J2448" s="143" t="s">
        <v>3684</v>
      </c>
      <c r="K2448" s="143">
        <v>185</v>
      </c>
      <c r="L2448" s="143">
        <v>160</v>
      </c>
      <c r="Q2448" s="204">
        <v>3.3</v>
      </c>
      <c r="S2448" s="215"/>
      <c r="T2448" s="215"/>
      <c r="U2448" s="215"/>
      <c r="V2448" s="216"/>
      <c r="W2448" s="169" t="s">
        <v>3147</v>
      </c>
      <c r="X2448" s="143" t="s">
        <v>6912</v>
      </c>
      <c r="Y2448" s="169" t="s">
        <v>6866</v>
      </c>
      <c r="Z2448" s="143" t="s">
        <v>6912</v>
      </c>
      <c r="AA2448" s="217">
        <v>38</v>
      </c>
    </row>
    <row r="2449" ht="15" spans="1:27">
      <c r="A2449" s="143">
        <v>2408</v>
      </c>
      <c r="B2449" s="144">
        <v>45971</v>
      </c>
      <c r="C2449" s="169" t="s">
        <v>3646</v>
      </c>
      <c r="D2449" s="143" t="s">
        <v>41</v>
      </c>
      <c r="E2449" s="169" t="s">
        <v>6862</v>
      </c>
      <c r="F2449" s="143" t="s">
        <v>6914</v>
      </c>
      <c r="G2449" s="169" t="s">
        <v>6862</v>
      </c>
      <c r="H2449" s="143" t="s">
        <v>6915</v>
      </c>
      <c r="I2449" s="143" t="s">
        <v>3157</v>
      </c>
      <c r="J2449" s="143" t="s">
        <v>3684</v>
      </c>
      <c r="K2449" s="143">
        <v>185</v>
      </c>
      <c r="L2449" s="143">
        <v>200</v>
      </c>
      <c r="Q2449" s="204">
        <v>2.7</v>
      </c>
      <c r="S2449" s="215"/>
      <c r="T2449" s="215"/>
      <c r="U2449" s="215"/>
      <c r="V2449" s="216"/>
      <c r="W2449" s="169" t="s">
        <v>3147</v>
      </c>
      <c r="X2449" s="143" t="s">
        <v>6914</v>
      </c>
      <c r="Y2449" s="169" t="s">
        <v>6866</v>
      </c>
      <c r="Z2449" s="143" t="s">
        <v>6914</v>
      </c>
      <c r="AA2449" s="217">
        <v>36.5</v>
      </c>
    </row>
    <row r="2450" ht="15" spans="1:27">
      <c r="A2450" s="143">
        <v>2409</v>
      </c>
      <c r="B2450" s="144">
        <v>45971</v>
      </c>
      <c r="C2450" s="169" t="s">
        <v>3646</v>
      </c>
      <c r="D2450" s="143" t="s">
        <v>41</v>
      </c>
      <c r="E2450" s="169" t="s">
        <v>6862</v>
      </c>
      <c r="F2450" s="143" t="s">
        <v>6916</v>
      </c>
      <c r="G2450" s="169" t="s">
        <v>6862</v>
      </c>
      <c r="H2450" s="143" t="s">
        <v>6917</v>
      </c>
      <c r="I2450" s="143" t="s">
        <v>3157</v>
      </c>
      <c r="J2450" s="143" t="s">
        <v>3684</v>
      </c>
      <c r="K2450" s="143">
        <v>185</v>
      </c>
      <c r="L2450" s="143">
        <v>160</v>
      </c>
      <c r="Q2450" s="204">
        <v>3.3</v>
      </c>
      <c r="S2450" s="215"/>
      <c r="T2450" s="215"/>
      <c r="U2450" s="215"/>
      <c r="V2450" s="216"/>
      <c r="W2450" s="169" t="s">
        <v>3147</v>
      </c>
      <c r="X2450" s="143" t="s">
        <v>6916</v>
      </c>
      <c r="Y2450" s="169" t="s">
        <v>6866</v>
      </c>
      <c r="Z2450" s="143" t="s">
        <v>6916</v>
      </c>
      <c r="AA2450" s="217">
        <v>36</v>
      </c>
    </row>
    <row r="2451" ht="15" spans="1:27">
      <c r="A2451" s="143">
        <v>2410</v>
      </c>
      <c r="B2451" s="144">
        <v>45971</v>
      </c>
      <c r="C2451" s="169" t="s">
        <v>3646</v>
      </c>
      <c r="D2451" s="143" t="s">
        <v>41</v>
      </c>
      <c r="E2451" s="169" t="s">
        <v>6862</v>
      </c>
      <c r="F2451" s="169" t="s">
        <v>6918</v>
      </c>
      <c r="G2451" s="169" t="s">
        <v>6862</v>
      </c>
      <c r="H2451" s="143" t="s">
        <v>6919</v>
      </c>
      <c r="I2451" s="143" t="s">
        <v>3390</v>
      </c>
      <c r="J2451" s="143" t="s">
        <v>3657</v>
      </c>
      <c r="K2451" s="143">
        <v>165</v>
      </c>
      <c r="L2451" s="143">
        <v>260</v>
      </c>
      <c r="Q2451" s="204">
        <v>2.3</v>
      </c>
      <c r="S2451" s="215"/>
      <c r="T2451" s="215"/>
      <c r="U2451" s="215"/>
      <c r="V2451" s="216"/>
      <c r="W2451" s="169" t="s">
        <v>3147</v>
      </c>
      <c r="X2451" s="169" t="s">
        <v>6918</v>
      </c>
      <c r="Y2451" s="169" t="s">
        <v>6920</v>
      </c>
      <c r="Z2451" s="169" t="s">
        <v>6918</v>
      </c>
      <c r="AA2451" s="217">
        <v>22.5</v>
      </c>
    </row>
    <row r="2452" ht="15" spans="1:27">
      <c r="A2452" s="143">
        <v>2411</v>
      </c>
      <c r="B2452" s="144">
        <v>45971</v>
      </c>
      <c r="C2452" s="169" t="s">
        <v>3646</v>
      </c>
      <c r="D2452" s="143" t="s">
        <v>41</v>
      </c>
      <c r="E2452" s="169" t="s">
        <v>6862</v>
      </c>
      <c r="F2452" s="143" t="s">
        <v>6921</v>
      </c>
      <c r="G2452" s="169" t="s">
        <v>6862</v>
      </c>
      <c r="H2452" s="143" t="s">
        <v>6922</v>
      </c>
      <c r="I2452" s="143" t="s">
        <v>3390</v>
      </c>
      <c r="J2452" s="143" t="s">
        <v>3657</v>
      </c>
      <c r="K2452" s="143">
        <v>165</v>
      </c>
      <c r="L2452" s="143" t="s">
        <v>6923</v>
      </c>
      <c r="Q2452" s="218">
        <v>5</v>
      </c>
      <c r="S2452" s="215"/>
      <c r="T2452" s="215"/>
      <c r="U2452" s="215"/>
      <c r="V2452" s="216"/>
      <c r="W2452" s="169" t="s">
        <v>3147</v>
      </c>
      <c r="X2452" s="143" t="s">
        <v>6921</v>
      </c>
      <c r="Y2452" s="169" t="s">
        <v>6920</v>
      </c>
      <c r="Z2452" s="143" t="s">
        <v>6921</v>
      </c>
      <c r="AA2452" s="217">
        <v>25.6</v>
      </c>
    </row>
    <row r="2453" ht="15" spans="1:27">
      <c r="A2453" s="143">
        <v>2412</v>
      </c>
      <c r="B2453" s="144">
        <v>45971</v>
      </c>
      <c r="C2453" s="169" t="s">
        <v>3646</v>
      </c>
      <c r="D2453" s="143" t="s">
        <v>41</v>
      </c>
      <c r="E2453" s="169" t="s">
        <v>6862</v>
      </c>
      <c r="F2453" s="143" t="s">
        <v>6924</v>
      </c>
      <c r="G2453" s="169" t="s">
        <v>6862</v>
      </c>
      <c r="H2453" s="209" t="s">
        <v>6925</v>
      </c>
      <c r="I2453" s="143" t="s">
        <v>3390</v>
      </c>
      <c r="J2453" s="143" t="s">
        <v>3657</v>
      </c>
      <c r="K2453" s="143">
        <v>165</v>
      </c>
      <c r="L2453" s="143">
        <v>240</v>
      </c>
      <c r="Q2453" s="218">
        <v>2.52525252525252</v>
      </c>
      <c r="S2453" s="215"/>
      <c r="T2453" s="215"/>
      <c r="U2453" s="215"/>
      <c r="V2453" s="216"/>
      <c r="W2453" s="169" t="s">
        <v>3147</v>
      </c>
      <c r="X2453" s="143" t="s">
        <v>6924</v>
      </c>
      <c r="Y2453" s="169" t="s">
        <v>6920</v>
      </c>
      <c r="Z2453" s="143" t="s">
        <v>6924</v>
      </c>
      <c r="AA2453" s="217">
        <v>23.5</v>
      </c>
    </row>
    <row r="2454" ht="15" spans="1:27">
      <c r="A2454" s="143">
        <v>2413</v>
      </c>
      <c r="B2454" s="144">
        <v>45971</v>
      </c>
      <c r="C2454" s="169" t="s">
        <v>3646</v>
      </c>
      <c r="D2454" s="143" t="s">
        <v>41</v>
      </c>
      <c r="E2454" s="169" t="s">
        <v>6862</v>
      </c>
      <c r="F2454" s="143" t="s">
        <v>6926</v>
      </c>
      <c r="G2454" s="169" t="s">
        <v>6862</v>
      </c>
      <c r="H2454" s="143" t="s">
        <v>6927</v>
      </c>
      <c r="I2454" s="143" t="s">
        <v>3390</v>
      </c>
      <c r="J2454" s="143" t="s">
        <v>3657</v>
      </c>
      <c r="K2454" s="143">
        <v>165</v>
      </c>
      <c r="L2454" s="143">
        <v>350</v>
      </c>
      <c r="Q2454" s="218">
        <v>1.73160173160173</v>
      </c>
      <c r="S2454" s="215"/>
      <c r="T2454" s="215"/>
      <c r="U2454" s="215"/>
      <c r="V2454" s="216"/>
      <c r="W2454" s="169" t="s">
        <v>3147</v>
      </c>
      <c r="X2454" s="143" t="s">
        <v>6926</v>
      </c>
      <c r="Y2454" s="169" t="s">
        <v>6920</v>
      </c>
      <c r="Z2454" s="143" t="s">
        <v>6926</v>
      </c>
      <c r="AA2454" s="217">
        <v>24</v>
      </c>
    </row>
    <row r="2455" ht="15" spans="1:27">
      <c r="A2455" s="143">
        <v>2414</v>
      </c>
      <c r="B2455" s="144">
        <v>45971</v>
      </c>
      <c r="C2455" s="169" t="s">
        <v>3646</v>
      </c>
      <c r="D2455" s="143" t="s">
        <v>41</v>
      </c>
      <c r="E2455" s="169" t="s">
        <v>6862</v>
      </c>
      <c r="F2455" s="143" t="s">
        <v>6928</v>
      </c>
      <c r="G2455" s="169" t="s">
        <v>6862</v>
      </c>
      <c r="H2455" s="143" t="s">
        <v>6929</v>
      </c>
      <c r="I2455" s="143" t="s">
        <v>3390</v>
      </c>
      <c r="J2455" s="143" t="s">
        <v>3657</v>
      </c>
      <c r="K2455" s="143">
        <v>165</v>
      </c>
      <c r="L2455" s="143">
        <v>280</v>
      </c>
      <c r="Q2455" s="218">
        <v>2.16450216450216</v>
      </c>
      <c r="S2455" s="215"/>
      <c r="T2455" s="215"/>
      <c r="U2455" s="215"/>
      <c r="V2455" s="216"/>
      <c r="W2455" s="169" t="s">
        <v>3147</v>
      </c>
      <c r="X2455" s="143" t="s">
        <v>6928</v>
      </c>
      <c r="Y2455" s="169" t="s">
        <v>6920</v>
      </c>
      <c r="Z2455" s="143" t="s">
        <v>6928</v>
      </c>
      <c r="AA2455" s="217">
        <v>25.6</v>
      </c>
    </row>
    <row r="2456" ht="15" spans="1:27">
      <c r="A2456" s="143">
        <v>2415</v>
      </c>
      <c r="B2456" s="144">
        <v>45971</v>
      </c>
      <c r="C2456" s="169" t="s">
        <v>3646</v>
      </c>
      <c r="D2456" s="143" t="s">
        <v>41</v>
      </c>
      <c r="E2456" s="169" t="s">
        <v>6862</v>
      </c>
      <c r="F2456" s="143" t="s">
        <v>6930</v>
      </c>
      <c r="G2456" s="169" t="s">
        <v>6862</v>
      </c>
      <c r="H2456" s="177" t="s">
        <v>6931</v>
      </c>
      <c r="I2456" s="143" t="s">
        <v>3742</v>
      </c>
      <c r="J2456" s="143" t="s">
        <v>320</v>
      </c>
      <c r="K2456" s="143">
        <v>165</v>
      </c>
      <c r="L2456" s="143">
        <v>280</v>
      </c>
      <c r="Q2456" s="218">
        <v>2.16450216450216</v>
      </c>
      <c r="S2456" s="215"/>
      <c r="T2456" s="215"/>
      <c r="U2456" s="215"/>
      <c r="V2456" s="216"/>
      <c r="W2456" s="169" t="s">
        <v>3147</v>
      </c>
      <c r="X2456" s="143" t="s">
        <v>6930</v>
      </c>
      <c r="Y2456" s="169" t="s">
        <v>6920</v>
      </c>
      <c r="Z2456" s="143" t="s">
        <v>6930</v>
      </c>
      <c r="AA2456" s="217">
        <v>26</v>
      </c>
    </row>
    <row r="2457" ht="15" spans="1:27">
      <c r="A2457" s="143">
        <v>2416</v>
      </c>
      <c r="B2457" s="144">
        <v>45971</v>
      </c>
      <c r="C2457" s="169" t="s">
        <v>3646</v>
      </c>
      <c r="D2457" s="143" t="s">
        <v>41</v>
      </c>
      <c r="E2457" s="169" t="s">
        <v>6862</v>
      </c>
      <c r="F2457" s="143" t="s">
        <v>6932</v>
      </c>
      <c r="G2457" s="169" t="s">
        <v>6862</v>
      </c>
      <c r="H2457" s="143" t="s">
        <v>6933</v>
      </c>
      <c r="I2457" s="143" t="s">
        <v>3742</v>
      </c>
      <c r="J2457" s="143" t="s">
        <v>320</v>
      </c>
      <c r="K2457" s="143">
        <v>165</v>
      </c>
      <c r="L2457" s="143">
        <v>250</v>
      </c>
      <c r="Q2457" s="218">
        <v>2.42424242424242</v>
      </c>
      <c r="S2457" s="215"/>
      <c r="T2457" s="215"/>
      <c r="U2457" s="215"/>
      <c r="V2457" s="216"/>
      <c r="W2457" s="169" t="s">
        <v>3147</v>
      </c>
      <c r="X2457" s="143" t="s">
        <v>6932</v>
      </c>
      <c r="Y2457" s="169" t="s">
        <v>6920</v>
      </c>
      <c r="Z2457" s="143" t="s">
        <v>6932</v>
      </c>
      <c r="AA2457" s="217">
        <v>27.2</v>
      </c>
    </row>
    <row r="2458" ht="15" spans="1:27">
      <c r="A2458" s="143">
        <v>2417</v>
      </c>
      <c r="B2458" s="144">
        <v>45971</v>
      </c>
      <c r="C2458" s="169" t="s">
        <v>3646</v>
      </c>
      <c r="D2458" s="143" t="s">
        <v>41</v>
      </c>
      <c r="E2458" s="169" t="s">
        <v>6862</v>
      </c>
      <c r="F2458" s="143" t="s">
        <v>6934</v>
      </c>
      <c r="G2458" s="169" t="s">
        <v>6862</v>
      </c>
      <c r="H2458" s="177" t="s">
        <v>6935</v>
      </c>
      <c r="I2458" s="143" t="s">
        <v>3742</v>
      </c>
      <c r="J2458" s="143" t="s">
        <v>320</v>
      </c>
      <c r="K2458" s="143">
        <v>165</v>
      </c>
      <c r="L2458" s="143">
        <v>200</v>
      </c>
      <c r="Q2458" s="218">
        <v>3.03030303030303</v>
      </c>
      <c r="S2458" s="215"/>
      <c r="T2458" s="215"/>
      <c r="U2458" s="215"/>
      <c r="V2458" s="216"/>
      <c r="W2458" s="169" t="s">
        <v>3147</v>
      </c>
      <c r="X2458" s="143" t="s">
        <v>6934</v>
      </c>
      <c r="Y2458" s="169" t="s">
        <v>6920</v>
      </c>
      <c r="Z2458" s="143" t="s">
        <v>6934</v>
      </c>
      <c r="AA2458" s="217">
        <v>25</v>
      </c>
    </row>
    <row r="2459" ht="15" spans="1:27">
      <c r="A2459" s="143">
        <v>2418</v>
      </c>
      <c r="B2459" s="144">
        <v>45971</v>
      </c>
      <c r="C2459" s="169" t="s">
        <v>3646</v>
      </c>
      <c r="D2459" s="143" t="s">
        <v>41</v>
      </c>
      <c r="E2459" s="169" t="s">
        <v>6862</v>
      </c>
      <c r="F2459" s="143" t="s">
        <v>6936</v>
      </c>
      <c r="G2459" s="169" t="s">
        <v>6862</v>
      </c>
      <c r="H2459" s="143" t="s">
        <v>6937</v>
      </c>
      <c r="I2459" s="143" t="s">
        <v>3742</v>
      </c>
      <c r="J2459" s="143" t="s">
        <v>320</v>
      </c>
      <c r="K2459" s="143">
        <v>165</v>
      </c>
      <c r="L2459" s="143">
        <v>220</v>
      </c>
      <c r="Q2459" s="218">
        <v>2.75482093663912</v>
      </c>
      <c r="S2459" s="215"/>
      <c r="T2459" s="215"/>
      <c r="U2459" s="215"/>
      <c r="V2459" s="216"/>
      <c r="W2459" s="169" t="s">
        <v>3147</v>
      </c>
      <c r="X2459" s="143" t="s">
        <v>6936</v>
      </c>
      <c r="Y2459" s="169" t="s">
        <v>6920</v>
      </c>
      <c r="Z2459" s="143" t="s">
        <v>6936</v>
      </c>
      <c r="AA2459" s="217">
        <v>24</v>
      </c>
    </row>
    <row r="2460" ht="15" spans="1:27">
      <c r="A2460" s="143">
        <v>2419</v>
      </c>
      <c r="B2460" s="144">
        <v>45971</v>
      </c>
      <c r="C2460" s="169" t="s">
        <v>3646</v>
      </c>
      <c r="D2460" s="143" t="s">
        <v>41</v>
      </c>
      <c r="E2460" s="169" t="s">
        <v>6862</v>
      </c>
      <c r="F2460" s="143" t="s">
        <v>6938</v>
      </c>
      <c r="G2460" s="169" t="s">
        <v>6862</v>
      </c>
      <c r="H2460" s="177" t="s">
        <v>6939</v>
      </c>
      <c r="I2460" s="143" t="s">
        <v>3742</v>
      </c>
      <c r="J2460" s="143" t="s">
        <v>320</v>
      </c>
      <c r="K2460" s="143">
        <v>168</v>
      </c>
      <c r="L2460" s="143" t="s">
        <v>6940</v>
      </c>
      <c r="Q2460" s="218">
        <v>2.2</v>
      </c>
      <c r="S2460" s="215"/>
      <c r="T2460" s="215"/>
      <c r="U2460" s="215"/>
      <c r="V2460" s="216"/>
      <c r="W2460" s="169" t="s">
        <v>3147</v>
      </c>
      <c r="X2460" s="143" t="s">
        <v>6938</v>
      </c>
      <c r="Y2460" s="169" t="s">
        <v>6920</v>
      </c>
      <c r="Z2460" s="143" t="s">
        <v>6938</v>
      </c>
      <c r="AA2460" s="217">
        <v>26.3</v>
      </c>
    </row>
    <row r="2461" ht="15" spans="1:27">
      <c r="A2461" s="143">
        <v>2420</v>
      </c>
      <c r="B2461" s="144">
        <v>45971</v>
      </c>
      <c r="C2461" s="169" t="s">
        <v>3646</v>
      </c>
      <c r="D2461" s="143" t="s">
        <v>41</v>
      </c>
      <c r="E2461" s="169" t="s">
        <v>6862</v>
      </c>
      <c r="F2461" s="143" t="s">
        <v>6941</v>
      </c>
      <c r="G2461" s="169" t="s">
        <v>6862</v>
      </c>
      <c r="H2461" s="177" t="s">
        <v>6942</v>
      </c>
      <c r="I2461" s="143" t="s">
        <v>6943</v>
      </c>
      <c r="J2461" s="143" t="s">
        <v>3670</v>
      </c>
      <c r="K2461" s="143">
        <v>165</v>
      </c>
      <c r="L2461" s="143">
        <v>320</v>
      </c>
      <c r="Q2461" s="218">
        <v>1.89393939393939</v>
      </c>
      <c r="S2461" s="215"/>
      <c r="T2461" s="215"/>
      <c r="U2461" s="215"/>
      <c r="V2461" s="216"/>
      <c r="W2461" s="169" t="s">
        <v>3147</v>
      </c>
      <c r="X2461" s="143" t="s">
        <v>6941</v>
      </c>
      <c r="Y2461" s="169" t="s">
        <v>6920</v>
      </c>
      <c r="Z2461" s="143" t="s">
        <v>6941</v>
      </c>
      <c r="AA2461" s="217">
        <v>33.2</v>
      </c>
    </row>
    <row r="2462" ht="15" spans="1:27">
      <c r="A2462" s="143">
        <v>2421</v>
      </c>
      <c r="B2462" s="144">
        <v>45971</v>
      </c>
      <c r="C2462" s="169" t="s">
        <v>3646</v>
      </c>
      <c r="D2462" s="143" t="s">
        <v>41</v>
      </c>
      <c r="E2462" s="169" t="s">
        <v>6862</v>
      </c>
      <c r="F2462" s="169" t="s">
        <v>6944</v>
      </c>
      <c r="G2462" s="169" t="s">
        <v>6862</v>
      </c>
      <c r="H2462" s="143" t="s">
        <v>6945</v>
      </c>
      <c r="I2462" s="143" t="s">
        <v>3742</v>
      </c>
      <c r="J2462" s="143" t="s">
        <v>320</v>
      </c>
      <c r="K2462" s="143">
        <v>165</v>
      </c>
      <c r="L2462" s="143" t="s">
        <v>6946</v>
      </c>
      <c r="Q2462" s="218">
        <v>2.8</v>
      </c>
      <c r="S2462" s="215"/>
      <c r="T2462" s="215"/>
      <c r="U2462" s="215"/>
      <c r="V2462" s="216"/>
      <c r="W2462" s="169" t="s">
        <v>3147</v>
      </c>
      <c r="X2462" s="169" t="s">
        <v>6944</v>
      </c>
      <c r="Y2462" s="169" t="s">
        <v>6920</v>
      </c>
      <c r="Z2462" s="169" t="s">
        <v>6944</v>
      </c>
      <c r="AA2462" s="217">
        <v>26.5</v>
      </c>
    </row>
    <row r="2463" ht="15" spans="1:27">
      <c r="A2463" s="143">
        <v>2422</v>
      </c>
      <c r="B2463" s="144">
        <v>45971</v>
      </c>
      <c r="C2463" s="169" t="s">
        <v>3646</v>
      </c>
      <c r="D2463" s="143" t="s">
        <v>41</v>
      </c>
      <c r="E2463" s="169" t="s">
        <v>6862</v>
      </c>
      <c r="F2463" s="169" t="s">
        <v>6947</v>
      </c>
      <c r="G2463" s="169" t="s">
        <v>6862</v>
      </c>
      <c r="H2463" s="143" t="s">
        <v>6948</v>
      </c>
      <c r="I2463" s="143" t="s">
        <v>3742</v>
      </c>
      <c r="J2463" s="143" t="s">
        <v>320</v>
      </c>
      <c r="K2463" s="143">
        <v>180</v>
      </c>
      <c r="L2463" s="143">
        <v>220</v>
      </c>
      <c r="Q2463" s="218">
        <v>2.52525252525252</v>
      </c>
      <c r="S2463" s="215"/>
      <c r="T2463" s="215"/>
      <c r="U2463" s="215"/>
      <c r="V2463" s="216"/>
      <c r="W2463" s="169" t="s">
        <v>3147</v>
      </c>
      <c r="X2463" s="169" t="s">
        <v>6947</v>
      </c>
      <c r="Y2463" s="169" t="s">
        <v>6920</v>
      </c>
      <c r="Z2463" s="169" t="s">
        <v>6947</v>
      </c>
      <c r="AA2463" s="217">
        <v>27</v>
      </c>
    </row>
    <row r="2464" ht="15" spans="1:27">
      <c r="A2464" s="143">
        <v>2423</v>
      </c>
      <c r="B2464" s="144">
        <v>45971</v>
      </c>
      <c r="C2464" s="169" t="s">
        <v>3646</v>
      </c>
      <c r="D2464" s="143" t="s">
        <v>41</v>
      </c>
      <c r="E2464" s="169" t="s">
        <v>6862</v>
      </c>
      <c r="F2464" s="143" t="s">
        <v>6949</v>
      </c>
      <c r="G2464" s="169" t="s">
        <v>6862</v>
      </c>
      <c r="H2464" s="177" t="s">
        <v>6950</v>
      </c>
      <c r="I2464" s="143" t="s">
        <v>6943</v>
      </c>
      <c r="J2464" s="143" t="s">
        <v>3670</v>
      </c>
      <c r="K2464" s="143">
        <v>165</v>
      </c>
      <c r="L2464" s="143">
        <v>270</v>
      </c>
      <c r="Q2464" s="218">
        <v>2.24466891133558</v>
      </c>
      <c r="S2464" s="215"/>
      <c r="T2464" s="215"/>
      <c r="U2464" s="215"/>
      <c r="V2464" s="216"/>
      <c r="W2464" s="169" t="s">
        <v>3147</v>
      </c>
      <c r="X2464" s="143" t="s">
        <v>6949</v>
      </c>
      <c r="Y2464" s="169" t="s">
        <v>6920</v>
      </c>
      <c r="Z2464" s="143" t="s">
        <v>6949</v>
      </c>
      <c r="AA2464" s="217">
        <v>28</v>
      </c>
    </row>
    <row r="2465" ht="15" spans="1:27">
      <c r="A2465" s="143">
        <v>2424</v>
      </c>
      <c r="B2465" s="144">
        <v>45971</v>
      </c>
      <c r="C2465" s="169" t="s">
        <v>3646</v>
      </c>
      <c r="D2465" s="143" t="s">
        <v>41</v>
      </c>
      <c r="E2465" s="169" t="s">
        <v>6862</v>
      </c>
      <c r="F2465" s="169" t="s">
        <v>6951</v>
      </c>
      <c r="G2465" s="169" t="s">
        <v>6862</v>
      </c>
      <c r="H2465" s="143" t="s">
        <v>6952</v>
      </c>
      <c r="I2465" s="143" t="s">
        <v>3742</v>
      </c>
      <c r="J2465" s="143" t="s">
        <v>320</v>
      </c>
      <c r="K2465" s="143">
        <v>165</v>
      </c>
      <c r="L2465" s="143">
        <v>270</v>
      </c>
      <c r="Q2465" s="218">
        <v>2.24466891133558</v>
      </c>
      <c r="S2465" s="215"/>
      <c r="T2465" s="215"/>
      <c r="U2465" s="215"/>
      <c r="V2465" s="216"/>
      <c r="W2465" s="169" t="s">
        <v>3147</v>
      </c>
      <c r="X2465" s="169" t="s">
        <v>6951</v>
      </c>
      <c r="Y2465" s="169" t="s">
        <v>6920</v>
      </c>
      <c r="Z2465" s="169" t="s">
        <v>6951</v>
      </c>
      <c r="AA2465" s="217">
        <v>24.6</v>
      </c>
    </row>
    <row r="2466" ht="15" spans="1:27">
      <c r="A2466" s="143">
        <v>2425</v>
      </c>
      <c r="B2466" s="144">
        <v>45971</v>
      </c>
      <c r="C2466" s="169" t="s">
        <v>3646</v>
      </c>
      <c r="D2466" s="143" t="s">
        <v>41</v>
      </c>
      <c r="E2466" s="169" t="s">
        <v>6862</v>
      </c>
      <c r="F2466" s="169" t="s">
        <v>6953</v>
      </c>
      <c r="G2466" s="169" t="s">
        <v>6862</v>
      </c>
      <c r="H2466" s="143" t="s">
        <v>6954</v>
      </c>
      <c r="I2466" s="143" t="s">
        <v>3742</v>
      </c>
      <c r="J2466" s="143" t="s">
        <v>320</v>
      </c>
      <c r="K2466" s="143">
        <v>165</v>
      </c>
      <c r="L2466" s="143">
        <v>320</v>
      </c>
      <c r="Q2466" s="218">
        <v>1.89393939393939</v>
      </c>
      <c r="S2466" s="215"/>
      <c r="T2466" s="215"/>
      <c r="U2466" s="215"/>
      <c r="V2466" s="216"/>
      <c r="W2466" s="169" t="s">
        <v>3147</v>
      </c>
      <c r="X2466" s="169" t="s">
        <v>6953</v>
      </c>
      <c r="Y2466" s="169" t="s">
        <v>6920</v>
      </c>
      <c r="Z2466" s="169" t="s">
        <v>6953</v>
      </c>
      <c r="AA2466" s="217">
        <v>25.5</v>
      </c>
    </row>
    <row r="2467" ht="15" spans="1:27">
      <c r="A2467" s="143">
        <v>2426</v>
      </c>
      <c r="B2467" s="144">
        <v>45971</v>
      </c>
      <c r="C2467" s="169" t="s">
        <v>3646</v>
      </c>
      <c r="D2467" s="143" t="s">
        <v>41</v>
      </c>
      <c r="E2467" s="169" t="s">
        <v>6862</v>
      </c>
      <c r="F2467" s="169" t="s">
        <v>6955</v>
      </c>
      <c r="G2467" s="169" t="s">
        <v>6862</v>
      </c>
      <c r="H2467" s="143" t="s">
        <v>6956</v>
      </c>
      <c r="I2467" s="143" t="s">
        <v>3742</v>
      </c>
      <c r="J2467" s="143" t="s">
        <v>320</v>
      </c>
      <c r="K2467" s="143">
        <v>165</v>
      </c>
      <c r="L2467" s="143">
        <v>220</v>
      </c>
      <c r="Q2467" s="218">
        <v>2.75482093663912</v>
      </c>
      <c r="S2467" s="215"/>
      <c r="T2467" s="215"/>
      <c r="U2467" s="215"/>
      <c r="V2467" s="216"/>
      <c r="W2467" s="169" t="s">
        <v>3147</v>
      </c>
      <c r="X2467" s="169" t="s">
        <v>6955</v>
      </c>
      <c r="Y2467" s="169" t="s">
        <v>6920</v>
      </c>
      <c r="Z2467" s="169" t="s">
        <v>6955</v>
      </c>
      <c r="AA2467" s="217">
        <v>25.5</v>
      </c>
    </row>
    <row r="2468" ht="15" spans="1:27">
      <c r="A2468" s="143">
        <v>2427</v>
      </c>
      <c r="B2468" s="144">
        <v>45971</v>
      </c>
      <c r="C2468" s="169" t="s">
        <v>3646</v>
      </c>
      <c r="D2468" s="143" t="s">
        <v>41</v>
      </c>
      <c r="E2468" s="169" t="s">
        <v>6862</v>
      </c>
      <c r="F2468" s="143" t="s">
        <v>6957</v>
      </c>
      <c r="G2468" s="169" t="s">
        <v>6862</v>
      </c>
      <c r="H2468" s="177" t="s">
        <v>6958</v>
      </c>
      <c r="I2468" s="143" t="s">
        <v>3742</v>
      </c>
      <c r="J2468" s="143" t="s">
        <v>320</v>
      </c>
      <c r="K2468" s="143">
        <v>165</v>
      </c>
      <c r="L2468" s="143">
        <v>250</v>
      </c>
      <c r="Q2468" s="218">
        <v>2.42424242424242</v>
      </c>
      <c r="S2468" s="215"/>
      <c r="T2468" s="215"/>
      <c r="U2468" s="215"/>
      <c r="V2468" s="216"/>
      <c r="W2468" s="169" t="s">
        <v>3147</v>
      </c>
      <c r="X2468" s="143" t="s">
        <v>6957</v>
      </c>
      <c r="Y2468" s="169" t="s">
        <v>6920</v>
      </c>
      <c r="Z2468" s="143" t="s">
        <v>6957</v>
      </c>
      <c r="AA2468" s="217">
        <v>29.5</v>
      </c>
    </row>
    <row r="2469" ht="15" spans="1:27">
      <c r="A2469" s="143">
        <v>2428</v>
      </c>
      <c r="B2469" s="144">
        <v>45971</v>
      </c>
      <c r="C2469" s="169" t="s">
        <v>3646</v>
      </c>
      <c r="D2469" s="143" t="s">
        <v>41</v>
      </c>
      <c r="E2469" s="169" t="s">
        <v>6862</v>
      </c>
      <c r="F2469" s="143" t="s">
        <v>6959</v>
      </c>
      <c r="G2469" s="169" t="s">
        <v>6862</v>
      </c>
      <c r="H2469" s="143" t="s">
        <v>6960</v>
      </c>
      <c r="I2469" s="143" t="s">
        <v>3742</v>
      </c>
      <c r="J2469" s="143" t="s">
        <v>320</v>
      </c>
      <c r="K2469" s="143">
        <v>160</v>
      </c>
      <c r="L2469" s="143">
        <v>180</v>
      </c>
      <c r="Q2469" s="218">
        <v>3.47222222222222</v>
      </c>
      <c r="S2469" s="215"/>
      <c r="T2469" s="215"/>
      <c r="U2469" s="215"/>
      <c r="V2469" s="216"/>
      <c r="W2469" s="169" t="s">
        <v>3147</v>
      </c>
      <c r="X2469" s="143" t="s">
        <v>6959</v>
      </c>
      <c r="Y2469" s="169" t="s">
        <v>6920</v>
      </c>
      <c r="Z2469" s="143" t="s">
        <v>6959</v>
      </c>
      <c r="AA2469" s="217">
        <v>26</v>
      </c>
    </row>
    <row r="2470" ht="15" spans="1:27">
      <c r="A2470" s="143">
        <v>2429</v>
      </c>
      <c r="B2470" s="144">
        <v>45971</v>
      </c>
      <c r="C2470" s="169" t="s">
        <v>3646</v>
      </c>
      <c r="D2470" s="143" t="s">
        <v>41</v>
      </c>
      <c r="E2470" s="169" t="s">
        <v>6862</v>
      </c>
      <c r="F2470" s="143" t="s">
        <v>6961</v>
      </c>
      <c r="G2470" s="169" t="s">
        <v>6862</v>
      </c>
      <c r="H2470" s="143" t="s">
        <v>6962</v>
      </c>
      <c r="I2470" s="143" t="s">
        <v>3742</v>
      </c>
      <c r="J2470" s="143" t="s">
        <v>320</v>
      </c>
      <c r="K2470" s="143">
        <v>165</v>
      </c>
      <c r="L2470" s="143" t="s">
        <v>6963</v>
      </c>
      <c r="Q2470" s="218">
        <v>3</v>
      </c>
      <c r="S2470" s="215"/>
      <c r="T2470" s="215"/>
      <c r="U2470" s="215"/>
      <c r="V2470" s="216"/>
      <c r="W2470" s="169" t="s">
        <v>3147</v>
      </c>
      <c r="X2470" s="143" t="s">
        <v>6961</v>
      </c>
      <c r="Y2470" s="169" t="s">
        <v>6920</v>
      </c>
      <c r="Z2470" s="143" t="s">
        <v>6961</v>
      </c>
      <c r="AA2470" s="217">
        <v>25.5</v>
      </c>
    </row>
    <row r="2471" ht="15" spans="1:27">
      <c r="A2471" s="143">
        <v>2430</v>
      </c>
      <c r="B2471" s="144">
        <v>45971</v>
      </c>
      <c r="C2471" s="169" t="s">
        <v>3646</v>
      </c>
      <c r="D2471" s="143" t="s">
        <v>41</v>
      </c>
      <c r="E2471" s="169" t="s">
        <v>6862</v>
      </c>
      <c r="F2471" s="143" t="s">
        <v>6964</v>
      </c>
      <c r="G2471" s="169" t="s">
        <v>6862</v>
      </c>
      <c r="H2471" s="177" t="s">
        <v>6965</v>
      </c>
      <c r="I2471" s="143" t="s">
        <v>3742</v>
      </c>
      <c r="J2471" s="143" t="s">
        <v>320</v>
      </c>
      <c r="K2471" s="143">
        <v>165</v>
      </c>
      <c r="L2471" s="143">
        <v>200</v>
      </c>
      <c r="Q2471" s="218">
        <v>3.03030303030303</v>
      </c>
      <c r="S2471" s="215"/>
      <c r="T2471" s="215"/>
      <c r="U2471" s="215"/>
      <c r="V2471" s="216"/>
      <c r="W2471" s="169" t="s">
        <v>3147</v>
      </c>
      <c r="X2471" s="143" t="s">
        <v>6964</v>
      </c>
      <c r="Y2471" s="169" t="s">
        <v>6920</v>
      </c>
      <c r="Z2471" s="143" t="s">
        <v>6964</v>
      </c>
      <c r="AA2471" s="217">
        <v>22.5</v>
      </c>
    </row>
    <row r="2472" ht="15" spans="1:27">
      <c r="A2472" s="143">
        <v>2431</v>
      </c>
      <c r="B2472" s="144">
        <v>45971</v>
      </c>
      <c r="C2472" s="169" t="s">
        <v>3646</v>
      </c>
      <c r="D2472" s="143" t="s">
        <v>41</v>
      </c>
      <c r="E2472" s="169" t="s">
        <v>6862</v>
      </c>
      <c r="F2472" s="143" t="s">
        <v>6966</v>
      </c>
      <c r="G2472" s="169" t="s">
        <v>6356</v>
      </c>
      <c r="H2472" s="143" t="s">
        <v>6967</v>
      </c>
      <c r="I2472" s="143" t="s">
        <v>3418</v>
      </c>
      <c r="J2472" s="143" t="s">
        <v>6968</v>
      </c>
      <c r="K2472" s="143">
        <v>165</v>
      </c>
      <c r="L2472" s="143">
        <v>100</v>
      </c>
      <c r="Q2472" s="218">
        <v>6.06060606060606</v>
      </c>
      <c r="S2472" s="215"/>
      <c r="T2472" s="215"/>
      <c r="U2472" s="215"/>
      <c r="V2472" s="216"/>
      <c r="W2472" s="169" t="s">
        <v>3147</v>
      </c>
      <c r="X2472" s="143" t="s">
        <v>6966</v>
      </c>
      <c r="Y2472" s="169" t="s">
        <v>6920</v>
      </c>
      <c r="Z2472" s="143" t="s">
        <v>6966</v>
      </c>
      <c r="AA2472" s="217">
        <v>24.5</v>
      </c>
    </row>
    <row r="2473" ht="15" spans="1:27">
      <c r="A2473" s="143">
        <v>2432</v>
      </c>
      <c r="B2473" s="144">
        <v>45971</v>
      </c>
      <c r="C2473" s="169" t="s">
        <v>3646</v>
      </c>
      <c r="D2473" s="143" t="s">
        <v>41</v>
      </c>
      <c r="E2473" s="169" t="s">
        <v>6862</v>
      </c>
      <c r="F2473" s="169" t="s">
        <v>6969</v>
      </c>
      <c r="G2473" s="169" t="s">
        <v>6862</v>
      </c>
      <c r="H2473" s="143" t="s">
        <v>6970</v>
      </c>
      <c r="I2473" s="143" t="s">
        <v>3742</v>
      </c>
      <c r="J2473" s="143" t="s">
        <v>320</v>
      </c>
      <c r="K2473" s="143">
        <v>165</v>
      </c>
      <c r="L2473" s="143">
        <v>250</v>
      </c>
      <c r="Q2473" s="218">
        <v>2.42424242424242</v>
      </c>
      <c r="S2473" s="215"/>
      <c r="T2473" s="215"/>
      <c r="U2473" s="215"/>
      <c r="V2473" s="216"/>
      <c r="W2473" s="169" t="s">
        <v>3147</v>
      </c>
      <c r="X2473" s="169" t="s">
        <v>6969</v>
      </c>
      <c r="Y2473" s="169" t="s">
        <v>6920</v>
      </c>
      <c r="Z2473" s="169" t="s">
        <v>6969</v>
      </c>
      <c r="AA2473" s="217">
        <v>28.5</v>
      </c>
    </row>
    <row r="2474" ht="15" spans="1:27">
      <c r="A2474" s="143">
        <v>2433</v>
      </c>
      <c r="B2474" s="144">
        <v>45971</v>
      </c>
      <c r="C2474" s="169" t="s">
        <v>3646</v>
      </c>
      <c r="D2474" s="143" t="s">
        <v>41</v>
      </c>
      <c r="E2474" s="169" t="s">
        <v>6862</v>
      </c>
      <c r="F2474" s="143" t="s">
        <v>6971</v>
      </c>
      <c r="G2474" s="169" t="s">
        <v>6862</v>
      </c>
      <c r="H2474" s="143" t="s">
        <v>6972</v>
      </c>
      <c r="I2474" s="143" t="s">
        <v>3742</v>
      </c>
      <c r="J2474" s="143" t="s">
        <v>320</v>
      </c>
      <c r="K2474" s="143">
        <v>165</v>
      </c>
      <c r="L2474" s="143">
        <v>250</v>
      </c>
      <c r="Q2474" s="218">
        <v>2.42424242424242</v>
      </c>
      <c r="S2474" s="215"/>
      <c r="T2474" s="215"/>
      <c r="U2474" s="215"/>
      <c r="V2474" s="216"/>
      <c r="W2474" s="169" t="s">
        <v>3147</v>
      </c>
      <c r="X2474" s="143" t="s">
        <v>6971</v>
      </c>
      <c r="Y2474" s="169" t="s">
        <v>6920</v>
      </c>
      <c r="Z2474" s="143" t="s">
        <v>6971</v>
      </c>
      <c r="AA2474" s="217">
        <v>23.5</v>
      </c>
    </row>
    <row r="2475" ht="15" spans="1:27">
      <c r="A2475" s="143">
        <v>2434</v>
      </c>
      <c r="B2475" s="144">
        <v>45971</v>
      </c>
      <c r="C2475" s="169" t="s">
        <v>3646</v>
      </c>
      <c r="D2475" s="143" t="s">
        <v>41</v>
      </c>
      <c r="E2475" s="169" t="s">
        <v>6862</v>
      </c>
      <c r="F2475" s="143" t="s">
        <v>6973</v>
      </c>
      <c r="G2475" s="169" t="s">
        <v>6862</v>
      </c>
      <c r="H2475" s="143" t="s">
        <v>6974</v>
      </c>
      <c r="I2475" s="143" t="s">
        <v>3418</v>
      </c>
      <c r="J2475" s="143" t="s">
        <v>2917</v>
      </c>
      <c r="K2475" s="143">
        <v>175</v>
      </c>
      <c r="L2475" s="143">
        <v>230</v>
      </c>
      <c r="Q2475" s="218">
        <v>2.48447204968944</v>
      </c>
      <c r="S2475" s="215"/>
      <c r="T2475" s="215"/>
      <c r="U2475" s="215"/>
      <c r="V2475" s="216"/>
      <c r="W2475" s="169" t="s">
        <v>3147</v>
      </c>
      <c r="X2475" s="143" t="s">
        <v>6973</v>
      </c>
      <c r="Y2475" s="169" t="s">
        <v>6920</v>
      </c>
      <c r="Z2475" s="143" t="s">
        <v>6973</v>
      </c>
      <c r="AA2475" s="217">
        <v>28.5</v>
      </c>
    </row>
    <row r="2476" ht="15" spans="1:27">
      <c r="A2476" s="143">
        <v>2435</v>
      </c>
      <c r="B2476" s="144">
        <v>45971</v>
      </c>
      <c r="C2476" s="169" t="s">
        <v>3646</v>
      </c>
      <c r="D2476" s="143" t="s">
        <v>41</v>
      </c>
      <c r="E2476" s="169" t="s">
        <v>6862</v>
      </c>
      <c r="F2476" s="143" t="s">
        <v>6975</v>
      </c>
      <c r="G2476" s="169" t="s">
        <v>6862</v>
      </c>
      <c r="H2476" s="143" t="s">
        <v>6976</v>
      </c>
      <c r="I2476" s="143" t="s">
        <v>3742</v>
      </c>
      <c r="J2476" s="143" t="s">
        <v>320</v>
      </c>
      <c r="K2476" s="143">
        <v>165</v>
      </c>
      <c r="L2476" s="143" t="s">
        <v>6977</v>
      </c>
      <c r="Q2476" s="218">
        <v>1.7</v>
      </c>
      <c r="S2476" s="215"/>
      <c r="T2476" s="215"/>
      <c r="U2476" s="215"/>
      <c r="V2476" s="216"/>
      <c r="W2476" s="169" t="s">
        <v>3147</v>
      </c>
      <c r="X2476" s="143" t="s">
        <v>6975</v>
      </c>
      <c r="Y2476" s="169" t="s">
        <v>6920</v>
      </c>
      <c r="Z2476" s="143" t="s">
        <v>6975</v>
      </c>
      <c r="AA2476" s="217">
        <v>23.5</v>
      </c>
    </row>
    <row r="2477" ht="15" spans="1:27">
      <c r="A2477" s="143">
        <v>2436</v>
      </c>
      <c r="B2477" s="144">
        <v>45971</v>
      </c>
      <c r="C2477" s="169" t="s">
        <v>3646</v>
      </c>
      <c r="D2477" s="143" t="s">
        <v>41</v>
      </c>
      <c r="E2477" s="169" t="s">
        <v>6862</v>
      </c>
      <c r="F2477" s="143" t="s">
        <v>6978</v>
      </c>
      <c r="G2477" s="169" t="s">
        <v>6862</v>
      </c>
      <c r="H2477" s="143" t="s">
        <v>6979</v>
      </c>
      <c r="I2477" s="143" t="s">
        <v>3742</v>
      </c>
      <c r="J2477" s="143" t="s">
        <v>320</v>
      </c>
      <c r="K2477" s="143">
        <v>165</v>
      </c>
      <c r="L2477" s="143" t="s">
        <v>6980</v>
      </c>
      <c r="Q2477" s="218">
        <v>2</v>
      </c>
      <c r="S2477" s="215"/>
      <c r="T2477" s="215"/>
      <c r="U2477" s="215"/>
      <c r="V2477" s="216"/>
      <c r="W2477" s="169" t="s">
        <v>3147</v>
      </c>
      <c r="X2477" s="143" t="s">
        <v>6978</v>
      </c>
      <c r="Y2477" s="169" t="s">
        <v>6920</v>
      </c>
      <c r="Z2477" s="143" t="s">
        <v>6978</v>
      </c>
      <c r="AA2477" s="217">
        <v>23.5</v>
      </c>
    </row>
    <row r="2478" ht="15" spans="1:27">
      <c r="A2478" s="143">
        <v>2437</v>
      </c>
      <c r="B2478" s="144">
        <v>45971</v>
      </c>
      <c r="C2478" s="169" t="s">
        <v>3646</v>
      </c>
      <c r="D2478" s="143" t="s">
        <v>41</v>
      </c>
      <c r="E2478" s="169" t="s">
        <v>6862</v>
      </c>
      <c r="F2478" s="169" t="s">
        <v>6981</v>
      </c>
      <c r="G2478" s="169" t="s">
        <v>6862</v>
      </c>
      <c r="H2478" s="143" t="s">
        <v>6982</v>
      </c>
      <c r="I2478" s="143" t="s">
        <v>3742</v>
      </c>
      <c r="J2478" s="143" t="s">
        <v>320</v>
      </c>
      <c r="K2478" s="143">
        <v>165</v>
      </c>
      <c r="L2478" s="143">
        <v>200</v>
      </c>
      <c r="Q2478" s="218">
        <v>3.03030303030303</v>
      </c>
      <c r="S2478" s="215"/>
      <c r="T2478" s="215"/>
      <c r="U2478" s="215"/>
      <c r="V2478" s="216"/>
      <c r="W2478" s="169" t="s">
        <v>3147</v>
      </c>
      <c r="X2478" s="169" t="s">
        <v>6981</v>
      </c>
      <c r="Y2478" s="169" t="s">
        <v>6920</v>
      </c>
      <c r="Z2478" s="169" t="s">
        <v>6981</v>
      </c>
      <c r="AA2478" s="217">
        <v>23</v>
      </c>
    </row>
    <row r="2479" ht="15" spans="1:27">
      <c r="A2479" s="143">
        <v>2438</v>
      </c>
      <c r="B2479" s="144">
        <v>45971</v>
      </c>
      <c r="C2479" s="169" t="s">
        <v>3646</v>
      </c>
      <c r="D2479" s="143" t="s">
        <v>41</v>
      </c>
      <c r="E2479" s="169" t="s">
        <v>6862</v>
      </c>
      <c r="F2479" s="143" t="s">
        <v>6983</v>
      </c>
      <c r="G2479" s="169" t="s">
        <v>6862</v>
      </c>
      <c r="H2479" s="143" t="s">
        <v>6984</v>
      </c>
      <c r="I2479" s="143" t="s">
        <v>3742</v>
      </c>
      <c r="J2479" s="143" t="s">
        <v>320</v>
      </c>
      <c r="K2479" s="143">
        <v>165</v>
      </c>
      <c r="L2479" s="143">
        <v>250</v>
      </c>
      <c r="Q2479" s="218">
        <v>2.42424242424242</v>
      </c>
      <c r="S2479" s="215"/>
      <c r="T2479" s="215"/>
      <c r="U2479" s="215"/>
      <c r="V2479" s="216"/>
      <c r="W2479" s="169" t="s">
        <v>3147</v>
      </c>
      <c r="X2479" s="143" t="s">
        <v>6983</v>
      </c>
      <c r="Y2479" s="169" t="s">
        <v>6920</v>
      </c>
      <c r="Z2479" s="143" t="s">
        <v>6983</v>
      </c>
      <c r="AA2479" s="217">
        <v>27.5</v>
      </c>
    </row>
    <row r="2480" ht="15" spans="1:27">
      <c r="A2480" s="143">
        <v>2439</v>
      </c>
      <c r="B2480" s="144">
        <v>45971</v>
      </c>
      <c r="C2480" s="169" t="s">
        <v>3646</v>
      </c>
      <c r="D2480" s="143" t="s">
        <v>41</v>
      </c>
      <c r="E2480" s="169" t="s">
        <v>6862</v>
      </c>
      <c r="F2480" s="169" t="s">
        <v>6985</v>
      </c>
      <c r="G2480" s="169" t="s">
        <v>6862</v>
      </c>
      <c r="H2480" s="143" t="s">
        <v>6986</v>
      </c>
      <c r="I2480" s="143" t="s">
        <v>3742</v>
      </c>
      <c r="J2480" s="143" t="s">
        <v>320</v>
      </c>
      <c r="K2480" s="143">
        <v>175</v>
      </c>
      <c r="L2480" s="143">
        <v>210</v>
      </c>
      <c r="Q2480" s="218">
        <v>2.72108843537415</v>
      </c>
      <c r="S2480" s="215"/>
      <c r="T2480" s="215"/>
      <c r="U2480" s="215"/>
      <c r="V2480" s="216"/>
      <c r="W2480" s="169" t="s">
        <v>3147</v>
      </c>
      <c r="X2480" s="169" t="s">
        <v>6985</v>
      </c>
      <c r="Y2480" s="169" t="s">
        <v>6920</v>
      </c>
      <c r="Z2480" s="169" t="s">
        <v>6985</v>
      </c>
      <c r="AA2480" s="217">
        <v>20.8</v>
      </c>
    </row>
    <row r="2481" ht="15" spans="1:27">
      <c r="A2481" s="143">
        <v>2440</v>
      </c>
      <c r="B2481" s="144">
        <v>45971</v>
      </c>
      <c r="C2481" s="169" t="s">
        <v>3646</v>
      </c>
      <c r="D2481" s="143" t="s">
        <v>41</v>
      </c>
      <c r="E2481" s="169" t="s">
        <v>6862</v>
      </c>
      <c r="F2481" s="143" t="s">
        <v>6987</v>
      </c>
      <c r="G2481" s="169" t="s">
        <v>6862</v>
      </c>
      <c r="H2481" s="143" t="s">
        <v>6988</v>
      </c>
      <c r="I2481" s="143" t="s">
        <v>3742</v>
      </c>
      <c r="J2481" s="143" t="s">
        <v>320</v>
      </c>
      <c r="K2481" s="143">
        <v>155</v>
      </c>
      <c r="L2481" s="143">
        <v>250</v>
      </c>
      <c r="Q2481" s="218">
        <v>2.58064516129032</v>
      </c>
      <c r="S2481" s="215"/>
      <c r="T2481" s="215"/>
      <c r="U2481" s="215"/>
      <c r="V2481" s="216"/>
      <c r="W2481" s="169" t="s">
        <v>3147</v>
      </c>
      <c r="X2481" s="143" t="s">
        <v>6987</v>
      </c>
      <c r="Y2481" s="169" t="s">
        <v>6920</v>
      </c>
      <c r="Z2481" s="143" t="s">
        <v>6987</v>
      </c>
      <c r="AA2481" s="217">
        <v>25.6</v>
      </c>
    </row>
    <row r="2482" ht="15" spans="1:27">
      <c r="A2482" s="143">
        <v>2441</v>
      </c>
      <c r="B2482" s="144">
        <v>45971</v>
      </c>
      <c r="C2482" s="169" t="s">
        <v>3646</v>
      </c>
      <c r="D2482" s="143" t="s">
        <v>41</v>
      </c>
      <c r="E2482" s="169" t="s">
        <v>6862</v>
      </c>
      <c r="F2482" s="143" t="s">
        <v>6989</v>
      </c>
      <c r="G2482" s="169" t="s">
        <v>6862</v>
      </c>
      <c r="H2482" s="143" t="s">
        <v>6990</v>
      </c>
      <c r="I2482" s="143" t="s">
        <v>3742</v>
      </c>
      <c r="J2482" s="143" t="s">
        <v>320</v>
      </c>
      <c r="K2482" s="143">
        <v>165</v>
      </c>
      <c r="L2482" s="143">
        <v>250</v>
      </c>
      <c r="Q2482" s="218">
        <v>2.42424242424242</v>
      </c>
      <c r="S2482" s="215"/>
      <c r="T2482" s="215"/>
      <c r="U2482" s="215"/>
      <c r="V2482" s="216"/>
      <c r="W2482" s="169" t="s">
        <v>3147</v>
      </c>
      <c r="X2482" s="143" t="s">
        <v>6989</v>
      </c>
      <c r="Y2482" s="169" t="s">
        <v>6920</v>
      </c>
      <c r="Z2482" s="143" t="s">
        <v>6989</v>
      </c>
      <c r="AA2482" s="217">
        <v>22</v>
      </c>
    </row>
    <row r="2483" ht="15" spans="1:27">
      <c r="A2483" s="143">
        <v>2442</v>
      </c>
      <c r="B2483" s="144">
        <v>45971</v>
      </c>
      <c r="C2483" s="169" t="s">
        <v>3646</v>
      </c>
      <c r="D2483" s="143" t="s">
        <v>41</v>
      </c>
      <c r="E2483" s="169" t="s">
        <v>6862</v>
      </c>
      <c r="F2483" s="143" t="s">
        <v>6991</v>
      </c>
      <c r="G2483" s="169" t="s">
        <v>6862</v>
      </c>
      <c r="H2483" s="177" t="s">
        <v>6992</v>
      </c>
      <c r="I2483" s="143" t="s">
        <v>3742</v>
      </c>
      <c r="J2483" s="143" t="s">
        <v>320</v>
      </c>
      <c r="K2483" s="143">
        <v>165</v>
      </c>
      <c r="L2483" s="143">
        <v>250</v>
      </c>
      <c r="Q2483" s="218">
        <v>2.42424242424242</v>
      </c>
      <c r="S2483" s="215"/>
      <c r="T2483" s="215"/>
      <c r="U2483" s="215"/>
      <c r="V2483" s="216"/>
      <c r="W2483" s="169" t="s">
        <v>3147</v>
      </c>
      <c r="X2483" s="143" t="s">
        <v>6991</v>
      </c>
      <c r="Y2483" s="169" t="s">
        <v>6920</v>
      </c>
      <c r="Z2483" s="143" t="s">
        <v>6991</v>
      </c>
      <c r="AA2483" s="217">
        <v>30.5</v>
      </c>
    </row>
    <row r="2484" ht="15" spans="1:27">
      <c r="A2484" s="143">
        <v>2443</v>
      </c>
      <c r="B2484" s="144">
        <v>45971</v>
      </c>
      <c r="C2484" s="169" t="s">
        <v>3646</v>
      </c>
      <c r="D2484" s="143" t="s">
        <v>41</v>
      </c>
      <c r="E2484" s="169" t="s">
        <v>6862</v>
      </c>
      <c r="F2484" s="169" t="s">
        <v>6993</v>
      </c>
      <c r="G2484" s="169" t="s">
        <v>6862</v>
      </c>
      <c r="H2484" s="143" t="s">
        <v>6994</v>
      </c>
      <c r="I2484" s="143" t="s">
        <v>3742</v>
      </c>
      <c r="J2484" s="143" t="s">
        <v>320</v>
      </c>
      <c r="K2484" s="143">
        <v>165</v>
      </c>
      <c r="L2484" s="143">
        <v>300</v>
      </c>
      <c r="Q2484" s="218">
        <v>2.02020202020202</v>
      </c>
      <c r="S2484" s="215"/>
      <c r="T2484" s="215"/>
      <c r="U2484" s="215"/>
      <c r="V2484" s="216"/>
      <c r="W2484" s="169" t="s">
        <v>3147</v>
      </c>
      <c r="X2484" s="169" t="s">
        <v>6993</v>
      </c>
      <c r="Y2484" s="169" t="s">
        <v>6920</v>
      </c>
      <c r="Z2484" s="169" t="s">
        <v>6993</v>
      </c>
      <c r="AA2484" s="217">
        <v>27.5</v>
      </c>
    </row>
    <row r="2485" ht="15" spans="1:27">
      <c r="A2485" s="143">
        <v>2444</v>
      </c>
      <c r="B2485" s="144">
        <v>45971</v>
      </c>
      <c r="C2485" s="169" t="s">
        <v>3646</v>
      </c>
      <c r="D2485" s="143" t="s">
        <v>41</v>
      </c>
      <c r="E2485" s="169" t="s">
        <v>6862</v>
      </c>
      <c r="F2485" s="169" t="s">
        <v>6995</v>
      </c>
      <c r="G2485" s="169" t="s">
        <v>6862</v>
      </c>
      <c r="H2485" s="143" t="s">
        <v>6996</v>
      </c>
      <c r="I2485" s="143" t="s">
        <v>3742</v>
      </c>
      <c r="J2485" s="143" t="s">
        <v>320</v>
      </c>
      <c r="K2485" s="143">
        <v>165</v>
      </c>
      <c r="L2485" s="143" t="s">
        <v>6997</v>
      </c>
      <c r="Q2485" s="218">
        <v>3</v>
      </c>
      <c r="S2485" s="215"/>
      <c r="T2485" s="215"/>
      <c r="U2485" s="215"/>
      <c r="V2485" s="216"/>
      <c r="W2485" s="169" t="s">
        <v>3147</v>
      </c>
      <c r="X2485" s="169" t="s">
        <v>6995</v>
      </c>
      <c r="Y2485" s="169" t="s">
        <v>6920</v>
      </c>
      <c r="Z2485" s="169" t="s">
        <v>6995</v>
      </c>
      <c r="AA2485" s="217">
        <v>23.5</v>
      </c>
    </row>
    <row r="2486" ht="15" spans="1:27">
      <c r="A2486" s="143">
        <v>2445</v>
      </c>
      <c r="B2486" s="144">
        <v>45971</v>
      </c>
      <c r="C2486" s="169" t="s">
        <v>3646</v>
      </c>
      <c r="D2486" s="143" t="s">
        <v>41</v>
      </c>
      <c r="E2486" s="169" t="s">
        <v>6862</v>
      </c>
      <c r="F2486" s="169" t="s">
        <v>6998</v>
      </c>
      <c r="G2486" s="169" t="s">
        <v>6862</v>
      </c>
      <c r="H2486" s="143" t="s">
        <v>6999</v>
      </c>
      <c r="I2486" s="143" t="s">
        <v>3218</v>
      </c>
      <c r="J2486" s="143" t="s">
        <v>1577</v>
      </c>
      <c r="K2486" s="143">
        <v>180</v>
      </c>
      <c r="L2486" s="143">
        <v>200</v>
      </c>
      <c r="Q2486" s="218">
        <v>2.77777777777778</v>
      </c>
      <c r="S2486" s="215"/>
      <c r="T2486" s="215"/>
      <c r="U2486" s="215"/>
      <c r="V2486" s="216"/>
      <c r="W2486" s="169" t="s">
        <v>3147</v>
      </c>
      <c r="X2486" s="169" t="s">
        <v>6998</v>
      </c>
      <c r="Y2486" s="169" t="s">
        <v>6920</v>
      </c>
      <c r="Z2486" s="169" t="s">
        <v>6998</v>
      </c>
      <c r="AA2486" s="217">
        <v>20.5</v>
      </c>
    </row>
    <row r="2487" ht="15" spans="1:27">
      <c r="A2487" s="143">
        <v>2446</v>
      </c>
      <c r="B2487" s="144">
        <v>45971</v>
      </c>
      <c r="C2487" s="169" t="s">
        <v>3646</v>
      </c>
      <c r="D2487" s="143" t="s">
        <v>41</v>
      </c>
      <c r="E2487" s="169" t="s">
        <v>6862</v>
      </c>
      <c r="F2487" s="143" t="s">
        <v>7000</v>
      </c>
      <c r="G2487" s="169" t="s">
        <v>6862</v>
      </c>
      <c r="H2487" s="177" t="s">
        <v>7001</v>
      </c>
      <c r="I2487" s="143" t="s">
        <v>3742</v>
      </c>
      <c r="J2487" s="143" t="s">
        <v>320</v>
      </c>
      <c r="K2487" s="143">
        <v>165</v>
      </c>
      <c r="L2487" s="143">
        <v>200</v>
      </c>
      <c r="Q2487" s="218">
        <v>3.03030303030303</v>
      </c>
      <c r="S2487" s="215"/>
      <c r="T2487" s="215"/>
      <c r="U2487" s="215"/>
      <c r="V2487" s="216"/>
      <c r="W2487" s="169" t="s">
        <v>3147</v>
      </c>
      <c r="X2487" s="143" t="s">
        <v>7000</v>
      </c>
      <c r="Y2487" s="169" t="s">
        <v>6920</v>
      </c>
      <c r="Z2487" s="143" t="s">
        <v>7000</v>
      </c>
      <c r="AA2487" s="217">
        <v>17.5</v>
      </c>
    </row>
    <row r="2488" ht="15" spans="1:27">
      <c r="A2488" s="143">
        <v>2447</v>
      </c>
      <c r="B2488" s="144">
        <v>45971</v>
      </c>
      <c r="C2488" s="169" t="s">
        <v>3646</v>
      </c>
      <c r="D2488" s="143" t="s">
        <v>41</v>
      </c>
      <c r="E2488" s="169" t="s">
        <v>6862</v>
      </c>
      <c r="F2488" s="143" t="s">
        <v>7002</v>
      </c>
      <c r="G2488" s="169" t="s">
        <v>6862</v>
      </c>
      <c r="H2488" s="143" t="s">
        <v>7003</v>
      </c>
      <c r="I2488" s="143" t="s">
        <v>3742</v>
      </c>
      <c r="J2488" s="143" t="s">
        <v>320</v>
      </c>
      <c r="K2488" s="143">
        <v>165</v>
      </c>
      <c r="L2488" s="143">
        <v>250</v>
      </c>
      <c r="Q2488" s="218">
        <v>2.42424242424242</v>
      </c>
      <c r="S2488" s="215"/>
      <c r="T2488" s="215"/>
      <c r="U2488" s="215"/>
      <c r="V2488" s="216"/>
      <c r="W2488" s="169" t="s">
        <v>3147</v>
      </c>
      <c r="X2488" s="143" t="s">
        <v>7002</v>
      </c>
      <c r="Y2488" s="169" t="s">
        <v>6920</v>
      </c>
      <c r="Z2488" s="143" t="s">
        <v>7002</v>
      </c>
      <c r="AA2488" s="217">
        <v>19</v>
      </c>
    </row>
    <row r="2489" ht="15" spans="1:27">
      <c r="A2489" s="143">
        <v>2448</v>
      </c>
      <c r="B2489" s="144">
        <v>45971</v>
      </c>
      <c r="C2489" s="169" t="s">
        <v>3646</v>
      </c>
      <c r="D2489" s="143" t="s">
        <v>41</v>
      </c>
      <c r="E2489" s="169" t="s">
        <v>6862</v>
      </c>
      <c r="F2489" s="143" t="s">
        <v>7004</v>
      </c>
      <c r="G2489" s="169" t="s">
        <v>6862</v>
      </c>
      <c r="H2489" s="143" t="s">
        <v>7005</v>
      </c>
      <c r="I2489" s="143" t="s">
        <v>3350</v>
      </c>
      <c r="J2489" s="143" t="s">
        <v>2801</v>
      </c>
      <c r="K2489" s="143">
        <v>165</v>
      </c>
      <c r="L2489" s="143">
        <v>250</v>
      </c>
      <c r="Q2489" s="218">
        <v>2.42424242424242</v>
      </c>
      <c r="S2489" s="215"/>
      <c r="T2489" s="215"/>
      <c r="U2489" s="215"/>
      <c r="V2489" s="216"/>
      <c r="W2489" s="169" t="s">
        <v>3147</v>
      </c>
      <c r="X2489" s="143" t="s">
        <v>7004</v>
      </c>
      <c r="Y2489" s="169" t="s">
        <v>6920</v>
      </c>
      <c r="Z2489" s="143" t="s">
        <v>7004</v>
      </c>
      <c r="AA2489" s="217">
        <v>20.5</v>
      </c>
    </row>
    <row r="2490" ht="15" spans="1:27">
      <c r="A2490" s="143">
        <v>2449</v>
      </c>
      <c r="B2490" s="144">
        <v>45971</v>
      </c>
      <c r="C2490" s="169" t="s">
        <v>3646</v>
      </c>
      <c r="D2490" s="143" t="s">
        <v>41</v>
      </c>
      <c r="E2490" s="169" t="s">
        <v>6862</v>
      </c>
      <c r="F2490" s="143" t="s">
        <v>7006</v>
      </c>
      <c r="G2490" s="169" t="s">
        <v>6862</v>
      </c>
      <c r="H2490" s="143" t="s">
        <v>7007</v>
      </c>
      <c r="I2490" s="143" t="s">
        <v>3742</v>
      </c>
      <c r="J2490" s="143" t="s">
        <v>320</v>
      </c>
      <c r="K2490" s="143">
        <v>165</v>
      </c>
      <c r="L2490" s="143">
        <v>200</v>
      </c>
      <c r="Q2490" s="218">
        <v>3.03030303030303</v>
      </c>
      <c r="S2490" s="215"/>
      <c r="T2490" s="215"/>
      <c r="U2490" s="215"/>
      <c r="V2490" s="216"/>
      <c r="W2490" s="169" t="s">
        <v>3147</v>
      </c>
      <c r="X2490" s="143" t="s">
        <v>7006</v>
      </c>
      <c r="Y2490" s="169" t="s">
        <v>6920</v>
      </c>
      <c r="Z2490" s="143" t="s">
        <v>7006</v>
      </c>
      <c r="AA2490" s="217">
        <v>26.5</v>
      </c>
    </row>
    <row r="2491" ht="15" spans="1:27">
      <c r="A2491" s="143">
        <v>2450</v>
      </c>
      <c r="B2491" s="144">
        <v>45971</v>
      </c>
      <c r="C2491" s="169" t="s">
        <v>3646</v>
      </c>
      <c r="D2491" s="143" t="s">
        <v>41</v>
      </c>
      <c r="E2491" s="169" t="s">
        <v>6862</v>
      </c>
      <c r="F2491" s="143" t="s">
        <v>7008</v>
      </c>
      <c r="G2491" s="169" t="s">
        <v>6862</v>
      </c>
      <c r="H2491" s="143" t="s">
        <v>7009</v>
      </c>
      <c r="I2491" s="143" t="s">
        <v>3742</v>
      </c>
      <c r="J2491" s="143" t="s">
        <v>320</v>
      </c>
      <c r="K2491" s="143">
        <v>165</v>
      </c>
      <c r="L2491" s="143">
        <v>250</v>
      </c>
      <c r="Q2491" s="218">
        <v>2.42424242424242</v>
      </c>
      <c r="S2491" s="215"/>
      <c r="T2491" s="215"/>
      <c r="U2491" s="215"/>
      <c r="V2491" s="216"/>
      <c r="W2491" s="169" t="s">
        <v>3147</v>
      </c>
      <c r="X2491" s="143" t="s">
        <v>7008</v>
      </c>
      <c r="Y2491" s="169" t="s">
        <v>6920</v>
      </c>
      <c r="Z2491" s="143" t="s">
        <v>7008</v>
      </c>
      <c r="AA2491" s="217">
        <v>26.5</v>
      </c>
    </row>
    <row r="2492" ht="15" spans="1:27">
      <c r="A2492" s="143">
        <v>2451</v>
      </c>
      <c r="B2492" s="144">
        <v>45971</v>
      </c>
      <c r="C2492" s="169" t="s">
        <v>3646</v>
      </c>
      <c r="D2492" s="143" t="s">
        <v>41</v>
      </c>
      <c r="E2492" s="169" t="s">
        <v>6862</v>
      </c>
      <c r="F2492" s="169" t="s">
        <v>7010</v>
      </c>
      <c r="G2492" s="169" t="s">
        <v>6862</v>
      </c>
      <c r="H2492" s="143" t="s">
        <v>7011</v>
      </c>
      <c r="I2492" s="143" t="s">
        <v>3742</v>
      </c>
      <c r="J2492" s="143" t="s">
        <v>320</v>
      </c>
      <c r="K2492" s="143">
        <v>165</v>
      </c>
      <c r="L2492" s="143">
        <v>240</v>
      </c>
      <c r="Q2492" s="218">
        <v>2.52525252525252</v>
      </c>
      <c r="S2492" s="215"/>
      <c r="T2492" s="215"/>
      <c r="U2492" s="215"/>
      <c r="V2492" s="216"/>
      <c r="W2492" s="169" t="s">
        <v>3147</v>
      </c>
      <c r="X2492" s="169" t="s">
        <v>7010</v>
      </c>
      <c r="Y2492" s="169" t="s">
        <v>6920</v>
      </c>
      <c r="Z2492" s="169" t="s">
        <v>7010</v>
      </c>
      <c r="AA2492" s="217">
        <v>23.5</v>
      </c>
    </row>
    <row r="2493" ht="15" spans="1:27">
      <c r="A2493" s="143">
        <v>2452</v>
      </c>
      <c r="B2493" s="144">
        <v>45971</v>
      </c>
      <c r="C2493" s="169" t="s">
        <v>3646</v>
      </c>
      <c r="D2493" s="143" t="s">
        <v>41</v>
      </c>
      <c r="E2493" s="169" t="s">
        <v>6862</v>
      </c>
      <c r="F2493" s="143" t="s">
        <v>7012</v>
      </c>
      <c r="G2493" s="169" t="s">
        <v>6862</v>
      </c>
      <c r="H2493" s="143" t="s">
        <v>7013</v>
      </c>
      <c r="I2493" s="143" t="s">
        <v>3742</v>
      </c>
      <c r="J2493" s="143" t="s">
        <v>320</v>
      </c>
      <c r="K2493" s="143">
        <v>165</v>
      </c>
      <c r="L2493" s="143">
        <v>200</v>
      </c>
      <c r="Q2493" s="218">
        <v>3.03030303030303</v>
      </c>
      <c r="S2493" s="215"/>
      <c r="T2493" s="215"/>
      <c r="U2493" s="215"/>
      <c r="V2493" s="216"/>
      <c r="W2493" s="169" t="s">
        <v>3147</v>
      </c>
      <c r="X2493" s="143" t="s">
        <v>7012</v>
      </c>
      <c r="Y2493" s="169" t="s">
        <v>6920</v>
      </c>
      <c r="Z2493" s="143" t="s">
        <v>7012</v>
      </c>
      <c r="AA2493" s="217">
        <v>21.5</v>
      </c>
    </row>
    <row r="2494" ht="15" spans="1:27">
      <c r="A2494" s="143">
        <v>2453</v>
      </c>
      <c r="B2494" s="144">
        <v>45971</v>
      </c>
      <c r="C2494" s="169" t="s">
        <v>3646</v>
      </c>
      <c r="D2494" s="143" t="s">
        <v>41</v>
      </c>
      <c r="E2494" s="169" t="s">
        <v>6862</v>
      </c>
      <c r="F2494" s="143" t="s">
        <v>7014</v>
      </c>
      <c r="G2494" s="169" t="s">
        <v>6862</v>
      </c>
      <c r="H2494" s="143" t="s">
        <v>7015</v>
      </c>
      <c r="I2494" s="143" t="s">
        <v>3742</v>
      </c>
      <c r="J2494" s="143" t="s">
        <v>320</v>
      </c>
      <c r="K2494" s="143">
        <v>165</v>
      </c>
      <c r="L2494" s="143">
        <v>270</v>
      </c>
      <c r="Q2494" s="218">
        <v>2.24466891133558</v>
      </c>
      <c r="S2494" s="215"/>
      <c r="T2494" s="215"/>
      <c r="U2494" s="215"/>
      <c r="V2494" s="216"/>
      <c r="W2494" s="169" t="s">
        <v>3147</v>
      </c>
      <c r="X2494" s="143" t="s">
        <v>7014</v>
      </c>
      <c r="Y2494" s="169" t="s">
        <v>6920</v>
      </c>
      <c r="Z2494" s="143" t="s">
        <v>7014</v>
      </c>
      <c r="AA2494" s="217">
        <v>24.5</v>
      </c>
    </row>
    <row r="2495" ht="15" spans="1:27">
      <c r="A2495" s="143">
        <v>2454</v>
      </c>
      <c r="B2495" s="144">
        <v>45971</v>
      </c>
      <c r="C2495" s="169" t="s">
        <v>3646</v>
      </c>
      <c r="D2495" s="143" t="s">
        <v>41</v>
      </c>
      <c r="E2495" s="169" t="s">
        <v>6862</v>
      </c>
      <c r="F2495" s="143" t="s">
        <v>7016</v>
      </c>
      <c r="G2495" s="169" t="s">
        <v>6862</v>
      </c>
      <c r="H2495" s="143" t="s">
        <v>7017</v>
      </c>
      <c r="I2495" s="143" t="s">
        <v>3742</v>
      </c>
      <c r="J2495" s="143" t="s">
        <v>320</v>
      </c>
      <c r="K2495" s="143">
        <v>165</v>
      </c>
      <c r="L2495" s="143">
        <v>220</v>
      </c>
      <c r="Q2495" s="218">
        <v>2.75482093663912</v>
      </c>
      <c r="S2495" s="215"/>
      <c r="T2495" s="215"/>
      <c r="U2495" s="215"/>
      <c r="V2495" s="216"/>
      <c r="W2495" s="169" t="s">
        <v>3147</v>
      </c>
      <c r="X2495" s="143" t="s">
        <v>7016</v>
      </c>
      <c r="Y2495" s="169" t="s">
        <v>6920</v>
      </c>
      <c r="Z2495" s="143" t="s">
        <v>7016</v>
      </c>
      <c r="AA2495" s="217">
        <v>26.5</v>
      </c>
    </row>
    <row r="2496" ht="15" spans="1:27">
      <c r="A2496" s="143">
        <v>2455</v>
      </c>
      <c r="B2496" s="144">
        <v>45971</v>
      </c>
      <c r="C2496" s="169" t="s">
        <v>3646</v>
      </c>
      <c r="D2496" s="143" t="s">
        <v>41</v>
      </c>
      <c r="E2496" s="169" t="s">
        <v>6862</v>
      </c>
      <c r="F2496" s="143" t="s">
        <v>7018</v>
      </c>
      <c r="G2496" s="169" t="s">
        <v>6862</v>
      </c>
      <c r="H2496" s="143" t="s">
        <v>7019</v>
      </c>
      <c r="I2496" s="143" t="s">
        <v>3742</v>
      </c>
      <c r="J2496" s="143" t="s">
        <v>320</v>
      </c>
      <c r="K2496" s="143">
        <v>165</v>
      </c>
      <c r="L2496" s="143">
        <v>250</v>
      </c>
      <c r="Q2496" s="218">
        <v>2.42424242424242</v>
      </c>
      <c r="S2496" s="215"/>
      <c r="T2496" s="215"/>
      <c r="U2496" s="215"/>
      <c r="V2496" s="216"/>
      <c r="W2496" s="169" t="s">
        <v>3147</v>
      </c>
      <c r="X2496" s="143" t="s">
        <v>7018</v>
      </c>
      <c r="Y2496" s="169" t="s">
        <v>6920</v>
      </c>
      <c r="Z2496" s="143" t="s">
        <v>7018</v>
      </c>
      <c r="AA2496" s="217">
        <v>22</v>
      </c>
    </row>
    <row r="2497" ht="15" spans="1:27">
      <c r="A2497" s="143">
        <v>2456</v>
      </c>
      <c r="B2497" s="144">
        <v>45971</v>
      </c>
      <c r="C2497" s="169" t="s">
        <v>3646</v>
      </c>
      <c r="D2497" s="143" t="s">
        <v>41</v>
      </c>
      <c r="E2497" s="169" t="s">
        <v>6862</v>
      </c>
      <c r="F2497" s="143" t="s">
        <v>7020</v>
      </c>
      <c r="G2497" s="169" t="s">
        <v>6862</v>
      </c>
      <c r="H2497" s="143" t="s">
        <v>7021</v>
      </c>
      <c r="I2497" s="143" t="s">
        <v>3742</v>
      </c>
      <c r="J2497" s="143" t="s">
        <v>320</v>
      </c>
      <c r="K2497" s="143">
        <v>160</v>
      </c>
      <c r="L2497" s="143">
        <v>220</v>
      </c>
      <c r="Q2497" s="218">
        <v>2.84090909090909</v>
      </c>
      <c r="S2497" s="215"/>
      <c r="T2497" s="215"/>
      <c r="U2497" s="215"/>
      <c r="V2497" s="216"/>
      <c r="W2497" s="169" t="s">
        <v>3147</v>
      </c>
      <c r="X2497" s="143" t="s">
        <v>7020</v>
      </c>
      <c r="Y2497" s="169" t="s">
        <v>6920</v>
      </c>
      <c r="Z2497" s="143" t="s">
        <v>7020</v>
      </c>
      <c r="AA2497" s="217">
        <v>21.5</v>
      </c>
    </row>
    <row r="2498" ht="15" spans="1:27">
      <c r="A2498" s="143">
        <v>2457</v>
      </c>
      <c r="B2498" s="144">
        <v>45971</v>
      </c>
      <c r="C2498" s="169" t="s">
        <v>3646</v>
      </c>
      <c r="D2498" s="143" t="s">
        <v>41</v>
      </c>
      <c r="E2498" s="169" t="s">
        <v>6862</v>
      </c>
      <c r="F2498" s="143" t="s">
        <v>7022</v>
      </c>
      <c r="G2498" s="169" t="s">
        <v>6862</v>
      </c>
      <c r="H2498" s="143" t="s">
        <v>7023</v>
      </c>
      <c r="I2498" s="143" t="s">
        <v>6943</v>
      </c>
      <c r="J2498" s="143" t="s">
        <v>2691</v>
      </c>
      <c r="K2498" s="143">
        <v>165</v>
      </c>
      <c r="L2498" s="143">
        <v>220</v>
      </c>
      <c r="Q2498" s="218">
        <v>2.75482093663912</v>
      </c>
      <c r="S2498" s="215"/>
      <c r="T2498" s="215"/>
      <c r="U2498" s="215"/>
      <c r="V2498" s="216"/>
      <c r="W2498" s="169" t="s">
        <v>3147</v>
      </c>
      <c r="X2498" s="143" t="s">
        <v>7022</v>
      </c>
      <c r="Y2498" s="169" t="s">
        <v>6920</v>
      </c>
      <c r="Z2498" s="143" t="s">
        <v>7022</v>
      </c>
      <c r="AA2498" s="217">
        <v>25</v>
      </c>
    </row>
    <row r="2499" ht="15" spans="1:27">
      <c r="A2499" s="143">
        <v>2458</v>
      </c>
      <c r="B2499" s="144">
        <v>45971</v>
      </c>
      <c r="C2499" s="169" t="s">
        <v>3646</v>
      </c>
      <c r="D2499" s="143" t="s">
        <v>41</v>
      </c>
      <c r="E2499" s="169" t="s">
        <v>6862</v>
      </c>
      <c r="F2499" s="143" t="s">
        <v>7024</v>
      </c>
      <c r="G2499" s="169" t="s">
        <v>6862</v>
      </c>
      <c r="H2499" s="143" t="s">
        <v>7025</v>
      </c>
      <c r="I2499" s="143" t="s">
        <v>3742</v>
      </c>
      <c r="J2499" s="143" t="s">
        <v>320</v>
      </c>
      <c r="K2499" s="143">
        <v>165</v>
      </c>
      <c r="L2499" s="143">
        <v>300</v>
      </c>
      <c r="Q2499" s="218">
        <v>2.02020202020202</v>
      </c>
      <c r="S2499" s="215"/>
      <c r="T2499" s="215"/>
      <c r="U2499" s="215"/>
      <c r="V2499" s="216"/>
      <c r="W2499" s="169" t="s">
        <v>3147</v>
      </c>
      <c r="X2499" s="143" t="s">
        <v>7024</v>
      </c>
      <c r="Y2499" s="169" t="s">
        <v>6920</v>
      </c>
      <c r="Z2499" s="143" t="s">
        <v>7024</v>
      </c>
      <c r="AA2499" s="217">
        <v>26.5</v>
      </c>
    </row>
    <row r="2500" ht="15" spans="1:27">
      <c r="A2500" s="143">
        <v>2459</v>
      </c>
      <c r="B2500" s="144">
        <v>45971</v>
      </c>
      <c r="C2500" s="169" t="s">
        <v>3646</v>
      </c>
      <c r="D2500" s="143" t="s">
        <v>41</v>
      </c>
      <c r="E2500" s="169" t="s">
        <v>6862</v>
      </c>
      <c r="F2500" s="143" t="s">
        <v>7026</v>
      </c>
      <c r="G2500" s="169" t="s">
        <v>6862</v>
      </c>
      <c r="H2500" s="143" t="s">
        <v>7027</v>
      </c>
      <c r="I2500" s="143" t="s">
        <v>3742</v>
      </c>
      <c r="J2500" s="143" t="s">
        <v>320</v>
      </c>
      <c r="K2500" s="143">
        <v>165</v>
      </c>
      <c r="L2500" s="143">
        <v>200</v>
      </c>
      <c r="Q2500" s="218">
        <v>3.03030303030303</v>
      </c>
      <c r="S2500" s="215"/>
      <c r="T2500" s="215"/>
      <c r="U2500" s="215"/>
      <c r="V2500" s="216"/>
      <c r="W2500" s="169" t="s">
        <v>3147</v>
      </c>
      <c r="X2500" s="143" t="s">
        <v>7026</v>
      </c>
      <c r="Y2500" s="169" t="s">
        <v>6920</v>
      </c>
      <c r="Z2500" s="143" t="s">
        <v>7026</v>
      </c>
      <c r="AA2500" s="217">
        <v>21.5</v>
      </c>
    </row>
    <row r="2501" ht="15" spans="1:27">
      <c r="A2501" s="143">
        <v>2460</v>
      </c>
      <c r="B2501" s="144">
        <v>45971</v>
      </c>
      <c r="C2501" s="169" t="s">
        <v>3646</v>
      </c>
      <c r="D2501" s="143" t="s">
        <v>41</v>
      </c>
      <c r="E2501" s="169" t="s">
        <v>6862</v>
      </c>
      <c r="F2501" s="143" t="s">
        <v>7028</v>
      </c>
      <c r="G2501" s="169" t="s">
        <v>6862</v>
      </c>
      <c r="H2501" s="143" t="s">
        <v>7029</v>
      </c>
      <c r="I2501" s="143" t="s">
        <v>3742</v>
      </c>
      <c r="J2501" s="143" t="s">
        <v>320</v>
      </c>
      <c r="K2501" s="143">
        <v>175</v>
      </c>
      <c r="L2501" s="143">
        <v>280</v>
      </c>
      <c r="Q2501" s="218">
        <v>2.04081632653061</v>
      </c>
      <c r="S2501" s="215"/>
      <c r="T2501" s="215"/>
      <c r="U2501" s="215"/>
      <c r="V2501" s="216"/>
      <c r="W2501" s="169" t="s">
        <v>3147</v>
      </c>
      <c r="X2501" s="143" t="s">
        <v>7028</v>
      </c>
      <c r="Y2501" s="169" t="s">
        <v>6920</v>
      </c>
      <c r="Z2501" s="143" t="s">
        <v>7028</v>
      </c>
      <c r="AA2501" s="217">
        <v>24</v>
      </c>
    </row>
    <row r="2502" ht="15" spans="1:27">
      <c r="A2502" s="143">
        <v>2461</v>
      </c>
      <c r="B2502" s="144">
        <v>45971</v>
      </c>
      <c r="C2502" s="169" t="s">
        <v>3646</v>
      </c>
      <c r="D2502" s="143" t="s">
        <v>41</v>
      </c>
      <c r="E2502" s="169" t="s">
        <v>6862</v>
      </c>
      <c r="F2502" s="143" t="s">
        <v>7030</v>
      </c>
      <c r="G2502" s="169" t="s">
        <v>6862</v>
      </c>
      <c r="H2502" s="143" t="s">
        <v>7031</v>
      </c>
      <c r="I2502" s="143" t="s">
        <v>3742</v>
      </c>
      <c r="J2502" s="143" t="s">
        <v>320</v>
      </c>
      <c r="K2502" s="143">
        <v>185</v>
      </c>
      <c r="L2502" s="143">
        <v>280</v>
      </c>
      <c r="Q2502" s="218">
        <v>1.93050193050193</v>
      </c>
      <c r="S2502" s="215"/>
      <c r="T2502" s="215"/>
      <c r="U2502" s="215"/>
      <c r="V2502" s="216"/>
      <c r="W2502" s="169" t="s">
        <v>3147</v>
      </c>
      <c r="X2502" s="143" t="s">
        <v>7030</v>
      </c>
      <c r="Y2502" s="169" t="s">
        <v>6920</v>
      </c>
      <c r="Z2502" s="143" t="s">
        <v>7030</v>
      </c>
      <c r="AA2502" s="217">
        <v>27</v>
      </c>
    </row>
    <row r="2503" ht="15" spans="1:27">
      <c r="A2503" s="143">
        <v>2462</v>
      </c>
      <c r="B2503" s="144">
        <v>45971</v>
      </c>
      <c r="C2503" s="169" t="s">
        <v>3646</v>
      </c>
      <c r="D2503" s="143" t="s">
        <v>41</v>
      </c>
      <c r="E2503" s="169" t="s">
        <v>6862</v>
      </c>
      <c r="F2503" s="143" t="s">
        <v>7032</v>
      </c>
      <c r="G2503" s="169" t="s">
        <v>6862</v>
      </c>
      <c r="H2503" s="143" t="s">
        <v>7033</v>
      </c>
      <c r="I2503" s="143" t="s">
        <v>3742</v>
      </c>
      <c r="J2503" s="143" t="s">
        <v>320</v>
      </c>
      <c r="K2503" s="143">
        <v>165</v>
      </c>
      <c r="L2503" s="143">
        <v>220</v>
      </c>
      <c r="Q2503" s="218">
        <v>2.75482093663912</v>
      </c>
      <c r="S2503" s="215"/>
      <c r="T2503" s="215"/>
      <c r="U2503" s="215"/>
      <c r="V2503" s="216"/>
      <c r="W2503" s="169" t="s">
        <v>3147</v>
      </c>
      <c r="X2503" s="143" t="s">
        <v>7032</v>
      </c>
      <c r="Y2503" s="169" t="s">
        <v>6920</v>
      </c>
      <c r="Z2503" s="143" t="s">
        <v>7032</v>
      </c>
      <c r="AA2503" s="217">
        <v>26.5</v>
      </c>
    </row>
    <row r="2504" ht="15" spans="1:27">
      <c r="A2504" s="143">
        <v>2463</v>
      </c>
      <c r="B2504" s="144">
        <v>45971</v>
      </c>
      <c r="C2504" s="169" t="s">
        <v>3646</v>
      </c>
      <c r="D2504" s="143" t="s">
        <v>41</v>
      </c>
      <c r="E2504" s="169" t="s">
        <v>6862</v>
      </c>
      <c r="F2504" s="143" t="s">
        <v>7034</v>
      </c>
      <c r="G2504" s="169" t="s">
        <v>6862</v>
      </c>
      <c r="H2504" s="143" t="s">
        <v>7035</v>
      </c>
      <c r="I2504" s="143" t="s">
        <v>3742</v>
      </c>
      <c r="J2504" s="143" t="s">
        <v>320</v>
      </c>
      <c r="K2504" s="143">
        <v>165</v>
      </c>
      <c r="L2504" s="143">
        <v>300</v>
      </c>
      <c r="Q2504" s="218">
        <v>2.02020202020202</v>
      </c>
      <c r="S2504" s="215"/>
      <c r="T2504" s="215"/>
      <c r="U2504" s="215"/>
      <c r="V2504" s="216"/>
      <c r="W2504" s="169" t="s">
        <v>3147</v>
      </c>
      <c r="X2504" s="143" t="s">
        <v>7034</v>
      </c>
      <c r="Y2504" s="169" t="s">
        <v>6920</v>
      </c>
      <c r="Z2504" s="143" t="s">
        <v>7034</v>
      </c>
      <c r="AA2504" s="217">
        <v>27.5</v>
      </c>
    </row>
    <row r="2505" ht="15" spans="1:27">
      <c r="A2505" s="143">
        <v>2464</v>
      </c>
      <c r="B2505" s="144">
        <v>45971</v>
      </c>
      <c r="C2505" s="169" t="s">
        <v>3646</v>
      </c>
      <c r="D2505" s="143" t="s">
        <v>41</v>
      </c>
      <c r="E2505" s="169" t="s">
        <v>6862</v>
      </c>
      <c r="F2505" s="143" t="s">
        <v>7036</v>
      </c>
      <c r="G2505" s="169" t="s">
        <v>6862</v>
      </c>
      <c r="H2505" s="143" t="s">
        <v>7037</v>
      </c>
      <c r="I2505" s="143" t="s">
        <v>3742</v>
      </c>
      <c r="J2505" s="143" t="s">
        <v>320</v>
      </c>
      <c r="K2505" s="143">
        <v>165</v>
      </c>
      <c r="L2505" s="143" t="s">
        <v>7038</v>
      </c>
      <c r="Q2505" s="218">
        <v>2.8</v>
      </c>
      <c r="S2505" s="215"/>
      <c r="T2505" s="215"/>
      <c r="U2505" s="215"/>
      <c r="V2505" s="216"/>
      <c r="W2505" s="169" t="s">
        <v>3147</v>
      </c>
      <c r="X2505" s="143" t="s">
        <v>7036</v>
      </c>
      <c r="Y2505" s="169" t="s">
        <v>6920</v>
      </c>
      <c r="Z2505" s="143" t="s">
        <v>7036</v>
      </c>
      <c r="AA2505" s="217">
        <v>23.5</v>
      </c>
    </row>
    <row r="2506" ht="15" spans="1:27">
      <c r="A2506" s="143">
        <v>2465</v>
      </c>
      <c r="B2506" s="144">
        <v>45971</v>
      </c>
      <c r="C2506" s="169" t="s">
        <v>3646</v>
      </c>
      <c r="D2506" s="143" t="s">
        <v>41</v>
      </c>
      <c r="E2506" s="169" t="s">
        <v>6862</v>
      </c>
      <c r="F2506" s="143" t="s">
        <v>7039</v>
      </c>
      <c r="G2506" s="169" t="s">
        <v>6862</v>
      </c>
      <c r="H2506" s="143" t="s">
        <v>7040</v>
      </c>
      <c r="I2506" s="143" t="s">
        <v>3742</v>
      </c>
      <c r="J2506" s="143" t="s">
        <v>320</v>
      </c>
      <c r="K2506" s="143">
        <v>165</v>
      </c>
      <c r="L2506" s="143">
        <v>220</v>
      </c>
      <c r="Q2506" s="218">
        <v>2.75482093663912</v>
      </c>
      <c r="S2506" s="215"/>
      <c r="T2506" s="215"/>
      <c r="U2506" s="215"/>
      <c r="V2506" s="216"/>
      <c r="W2506" s="169" t="s">
        <v>3147</v>
      </c>
      <c r="X2506" s="143" t="s">
        <v>7039</v>
      </c>
      <c r="Y2506" s="169" t="s">
        <v>6920</v>
      </c>
      <c r="Z2506" s="143" t="s">
        <v>7039</v>
      </c>
      <c r="AA2506" s="217">
        <v>26.5</v>
      </c>
    </row>
    <row r="2507" ht="15" spans="1:27">
      <c r="A2507" s="143">
        <v>2466</v>
      </c>
      <c r="B2507" s="144">
        <v>45971</v>
      </c>
      <c r="C2507" s="169" t="s">
        <v>3646</v>
      </c>
      <c r="D2507" s="143" t="s">
        <v>41</v>
      </c>
      <c r="E2507" s="169" t="s">
        <v>6862</v>
      </c>
      <c r="F2507" s="143" t="s">
        <v>7041</v>
      </c>
      <c r="G2507" s="169" t="s">
        <v>6862</v>
      </c>
      <c r="H2507" s="143" t="s">
        <v>7042</v>
      </c>
      <c r="I2507" s="143" t="s">
        <v>3742</v>
      </c>
      <c r="J2507" s="143" t="s">
        <v>320</v>
      </c>
      <c r="K2507" s="143">
        <v>165</v>
      </c>
      <c r="L2507" s="143">
        <v>220</v>
      </c>
      <c r="Q2507" s="218">
        <v>2.75482093663912</v>
      </c>
      <c r="S2507" s="215"/>
      <c r="T2507" s="215"/>
      <c r="U2507" s="215"/>
      <c r="V2507" s="216"/>
      <c r="W2507" s="169" t="s">
        <v>3147</v>
      </c>
      <c r="X2507" s="143" t="s">
        <v>7041</v>
      </c>
      <c r="Y2507" s="169" t="s">
        <v>6920</v>
      </c>
      <c r="Z2507" s="143" t="s">
        <v>7041</v>
      </c>
      <c r="AA2507" s="217">
        <v>23.5</v>
      </c>
    </row>
    <row r="2508" ht="15" spans="1:27">
      <c r="A2508" s="143">
        <v>2467</v>
      </c>
      <c r="B2508" s="144">
        <v>45971</v>
      </c>
      <c r="C2508" s="169" t="s">
        <v>3646</v>
      </c>
      <c r="D2508" s="143" t="s">
        <v>41</v>
      </c>
      <c r="E2508" s="169" t="s">
        <v>6862</v>
      </c>
      <c r="F2508" s="143" t="s">
        <v>7043</v>
      </c>
      <c r="G2508" s="169" t="s">
        <v>6862</v>
      </c>
      <c r="H2508" s="143" t="s">
        <v>7044</v>
      </c>
      <c r="I2508" s="143" t="s">
        <v>3742</v>
      </c>
      <c r="J2508" s="143" t="s">
        <v>320</v>
      </c>
      <c r="K2508" s="143">
        <v>185</v>
      </c>
      <c r="L2508" s="143">
        <v>240</v>
      </c>
      <c r="Q2508" s="218">
        <v>2.25225225225225</v>
      </c>
      <c r="S2508" s="215"/>
      <c r="T2508" s="215"/>
      <c r="U2508" s="215"/>
      <c r="V2508" s="216"/>
      <c r="W2508" s="169" t="s">
        <v>3147</v>
      </c>
      <c r="X2508" s="143" t="s">
        <v>7043</v>
      </c>
      <c r="Y2508" s="169" t="s">
        <v>6920</v>
      </c>
      <c r="Z2508" s="143" t="s">
        <v>7043</v>
      </c>
      <c r="AA2508" s="217">
        <v>24</v>
      </c>
    </row>
    <row r="2509" ht="15" spans="1:27">
      <c r="A2509" s="143">
        <v>2468</v>
      </c>
      <c r="B2509" s="144">
        <v>45971</v>
      </c>
      <c r="C2509" s="169" t="s">
        <v>3646</v>
      </c>
      <c r="D2509" s="143" t="s">
        <v>41</v>
      </c>
      <c r="E2509" s="169" t="s">
        <v>6862</v>
      </c>
      <c r="F2509" s="143" t="s">
        <v>7045</v>
      </c>
      <c r="G2509" s="169" t="s">
        <v>6862</v>
      </c>
      <c r="H2509" s="143" t="s">
        <v>7046</v>
      </c>
      <c r="I2509" s="143" t="s">
        <v>3742</v>
      </c>
      <c r="J2509" s="143" t="s">
        <v>320</v>
      </c>
      <c r="K2509" s="143">
        <v>165</v>
      </c>
      <c r="L2509" s="143">
        <v>260</v>
      </c>
      <c r="Q2509" s="218">
        <v>2.33100233100233</v>
      </c>
      <c r="S2509" s="215"/>
      <c r="T2509" s="215"/>
      <c r="U2509" s="215"/>
      <c r="V2509" s="216"/>
      <c r="W2509" s="169" t="s">
        <v>3147</v>
      </c>
      <c r="X2509" s="143" t="s">
        <v>7045</v>
      </c>
      <c r="Y2509" s="169" t="s">
        <v>6920</v>
      </c>
      <c r="Z2509" s="143" t="s">
        <v>7045</v>
      </c>
      <c r="AA2509" s="217">
        <v>20.5</v>
      </c>
    </row>
    <row r="2510" spans="1:27">
      <c r="A2510" s="143">
        <v>2469</v>
      </c>
      <c r="B2510" s="144">
        <v>45971</v>
      </c>
      <c r="C2510" s="169" t="s">
        <v>3277</v>
      </c>
      <c r="D2510" s="143" t="s">
        <v>41</v>
      </c>
      <c r="E2510" s="196" t="s">
        <v>7047</v>
      </c>
      <c r="F2510" s="169" t="s">
        <v>7048</v>
      </c>
      <c r="H2510" s="143" t="s">
        <v>7049</v>
      </c>
      <c r="I2510" s="143" t="s">
        <v>3157</v>
      </c>
      <c r="J2510" s="143" t="s">
        <v>3684</v>
      </c>
      <c r="K2510" s="143">
        <v>145</v>
      </c>
      <c r="S2510" s="215"/>
      <c r="T2510" s="215"/>
      <c r="U2510" s="215"/>
      <c r="V2510" s="216"/>
      <c r="W2510" s="143" t="s">
        <v>3147</v>
      </c>
      <c r="X2510" s="143" t="str">
        <f t="shared" ref="X2510:X2573" si="11">F2510</f>
        <v>时尚格 G20-14#</v>
      </c>
      <c r="Y2510" s="169" t="s">
        <v>5757</v>
      </c>
      <c r="Z2510" s="143" t="str">
        <f t="shared" ref="Z2510:Z2573" si="12">X2510</f>
        <v>时尚格 G20-14#</v>
      </c>
      <c r="AA2510" s="219">
        <v>16</v>
      </c>
    </row>
    <row r="2511" spans="1:27">
      <c r="A2511" s="143">
        <v>2470</v>
      </c>
      <c r="B2511" s="144">
        <v>45971</v>
      </c>
      <c r="C2511" s="169" t="s">
        <v>3277</v>
      </c>
      <c r="D2511" s="143" t="s">
        <v>41</v>
      </c>
      <c r="E2511" s="196" t="s">
        <v>7047</v>
      </c>
      <c r="F2511" s="169" t="s">
        <v>7050</v>
      </c>
      <c r="H2511" s="220" t="s">
        <v>7051</v>
      </c>
      <c r="I2511" s="143" t="s">
        <v>6206</v>
      </c>
      <c r="J2511" s="143" t="s">
        <v>2332</v>
      </c>
      <c r="K2511" s="143">
        <v>145</v>
      </c>
      <c r="L2511" s="143">
        <v>140</v>
      </c>
      <c r="S2511" s="215"/>
      <c r="T2511" s="215"/>
      <c r="U2511" s="215"/>
      <c r="V2511" s="216"/>
      <c r="W2511" s="143" t="s">
        <v>3147</v>
      </c>
      <c r="X2511" s="143" t="str">
        <f t="shared" si="11"/>
        <v>时尚格 G110-21#</v>
      </c>
      <c r="Y2511" s="169" t="s">
        <v>5757</v>
      </c>
      <c r="Z2511" s="143" t="str">
        <f t="shared" si="12"/>
        <v>时尚格 G110-21#</v>
      </c>
      <c r="AA2511" s="219">
        <v>14.8</v>
      </c>
    </row>
    <row r="2512" spans="1:27">
      <c r="A2512" s="143">
        <v>2471</v>
      </c>
      <c r="B2512" s="144">
        <v>45971</v>
      </c>
      <c r="C2512" s="169" t="s">
        <v>3277</v>
      </c>
      <c r="D2512" s="143" t="s">
        <v>41</v>
      </c>
      <c r="E2512" s="196" t="s">
        <v>7047</v>
      </c>
      <c r="F2512" s="169" t="s">
        <v>7052</v>
      </c>
      <c r="H2512" s="143" t="s">
        <v>7053</v>
      </c>
      <c r="I2512" s="143" t="s">
        <v>3157</v>
      </c>
      <c r="J2512" s="143" t="s">
        <v>3684</v>
      </c>
      <c r="K2512" s="143">
        <v>145</v>
      </c>
      <c r="S2512" s="215"/>
      <c r="T2512" s="215"/>
      <c r="U2512" s="215"/>
      <c r="V2512" s="216"/>
      <c r="W2512" s="143" t="s">
        <v>3147</v>
      </c>
      <c r="X2512" s="143" t="str">
        <f t="shared" si="11"/>
        <v>时尚格 G17-28#</v>
      </c>
      <c r="Y2512" s="169" t="s">
        <v>5757</v>
      </c>
      <c r="Z2512" s="143" t="str">
        <f t="shared" si="12"/>
        <v>时尚格 G17-28#</v>
      </c>
      <c r="AA2512" s="219">
        <v>12.8</v>
      </c>
    </row>
    <row r="2513" spans="1:27">
      <c r="A2513" s="143">
        <v>2472</v>
      </c>
      <c r="B2513" s="144">
        <v>45971</v>
      </c>
      <c r="C2513" s="169" t="s">
        <v>3277</v>
      </c>
      <c r="D2513" s="143" t="s">
        <v>41</v>
      </c>
      <c r="E2513" s="196" t="s">
        <v>7047</v>
      </c>
      <c r="F2513" s="169" t="s">
        <v>7054</v>
      </c>
      <c r="H2513" s="143" t="s">
        <v>7055</v>
      </c>
      <c r="I2513" s="143" t="s">
        <v>3157</v>
      </c>
      <c r="J2513" s="143" t="s">
        <v>3684</v>
      </c>
      <c r="K2513" s="143">
        <v>145</v>
      </c>
      <c r="S2513" s="215"/>
      <c r="T2513" s="215"/>
      <c r="U2513" s="215"/>
      <c r="V2513" s="216"/>
      <c r="W2513" s="143" t="s">
        <v>3147</v>
      </c>
      <c r="X2513" s="143" t="str">
        <f t="shared" si="11"/>
        <v>时尚格 G47-26#</v>
      </c>
      <c r="Y2513" s="169" t="s">
        <v>5757</v>
      </c>
      <c r="Z2513" s="143" t="str">
        <f t="shared" si="12"/>
        <v>时尚格 G47-26#</v>
      </c>
      <c r="AA2513" s="219">
        <v>14.2</v>
      </c>
    </row>
    <row r="2514" spans="1:27">
      <c r="A2514" s="143">
        <v>2473</v>
      </c>
      <c r="B2514" s="144">
        <v>45971</v>
      </c>
      <c r="C2514" s="169" t="s">
        <v>3277</v>
      </c>
      <c r="D2514" s="143" t="s">
        <v>41</v>
      </c>
      <c r="E2514" s="196" t="s">
        <v>7047</v>
      </c>
      <c r="F2514" s="169" t="s">
        <v>7056</v>
      </c>
      <c r="H2514" s="143" t="s">
        <v>7057</v>
      </c>
      <c r="I2514" s="143" t="s">
        <v>3157</v>
      </c>
      <c r="J2514" s="143" t="s">
        <v>3684</v>
      </c>
      <c r="K2514" s="143">
        <v>145</v>
      </c>
      <c r="S2514" s="215"/>
      <c r="T2514" s="215"/>
      <c r="U2514" s="215"/>
      <c r="V2514" s="216"/>
      <c r="W2514" s="143" t="s">
        <v>3147</v>
      </c>
      <c r="X2514" s="143" t="str">
        <f t="shared" si="11"/>
        <v>时尚格 G44-14#</v>
      </c>
      <c r="Y2514" s="169" t="s">
        <v>5757</v>
      </c>
      <c r="Z2514" s="143" t="str">
        <f t="shared" si="12"/>
        <v>时尚格 G44-14#</v>
      </c>
      <c r="AA2514" s="219">
        <v>12.8</v>
      </c>
    </row>
    <row r="2515" spans="1:27">
      <c r="A2515" s="143">
        <v>2474</v>
      </c>
      <c r="B2515" s="144">
        <v>45971</v>
      </c>
      <c r="C2515" s="169" t="s">
        <v>3277</v>
      </c>
      <c r="D2515" s="143" t="s">
        <v>41</v>
      </c>
      <c r="E2515" s="196" t="s">
        <v>7047</v>
      </c>
      <c r="F2515" s="169" t="s">
        <v>7058</v>
      </c>
      <c r="H2515" s="143" t="s">
        <v>7059</v>
      </c>
      <c r="I2515" s="143" t="s">
        <v>3157</v>
      </c>
      <c r="J2515" s="143" t="s">
        <v>3684</v>
      </c>
      <c r="K2515" s="143">
        <v>145</v>
      </c>
      <c r="S2515" s="215"/>
      <c r="T2515" s="215"/>
      <c r="U2515" s="215"/>
      <c r="V2515" s="216"/>
      <c r="W2515" s="143" t="s">
        <v>3147</v>
      </c>
      <c r="X2515" s="143" t="str">
        <f t="shared" si="11"/>
        <v>时尚格 G10-25#</v>
      </c>
      <c r="Y2515" s="169" t="s">
        <v>5757</v>
      </c>
      <c r="Z2515" s="143" t="str">
        <f t="shared" si="12"/>
        <v>时尚格 G10-25#</v>
      </c>
      <c r="AA2515" s="219">
        <v>10.6</v>
      </c>
    </row>
    <row r="2516" spans="1:27">
      <c r="A2516" s="143">
        <v>2475</v>
      </c>
      <c r="B2516" s="144">
        <v>45971</v>
      </c>
      <c r="C2516" s="169" t="s">
        <v>3277</v>
      </c>
      <c r="D2516" s="143" t="s">
        <v>41</v>
      </c>
      <c r="E2516" s="196" t="s">
        <v>7047</v>
      </c>
      <c r="F2516" s="169" t="s">
        <v>7060</v>
      </c>
      <c r="H2516" s="143" t="s">
        <v>7061</v>
      </c>
      <c r="I2516" s="143" t="s">
        <v>3157</v>
      </c>
      <c r="J2516" s="143" t="s">
        <v>3684</v>
      </c>
      <c r="K2516" s="143">
        <v>145</v>
      </c>
      <c r="S2516" s="215"/>
      <c r="T2516" s="215"/>
      <c r="U2516" s="215"/>
      <c r="V2516" s="216"/>
      <c r="W2516" s="143" t="s">
        <v>3147</v>
      </c>
      <c r="X2516" s="143" t="str">
        <f t="shared" si="11"/>
        <v>时尚格 G10-26#</v>
      </c>
      <c r="Y2516" s="169" t="s">
        <v>5757</v>
      </c>
      <c r="Z2516" s="143" t="str">
        <f t="shared" si="12"/>
        <v>时尚格 G10-26#</v>
      </c>
      <c r="AA2516" s="219">
        <v>15.3</v>
      </c>
    </row>
    <row r="2517" spans="1:27">
      <c r="A2517" s="143">
        <v>2476</v>
      </c>
      <c r="B2517" s="144">
        <v>45971</v>
      </c>
      <c r="C2517" s="169" t="s">
        <v>3277</v>
      </c>
      <c r="D2517" s="143" t="s">
        <v>41</v>
      </c>
      <c r="E2517" s="196" t="s">
        <v>7047</v>
      </c>
      <c r="F2517" s="169" t="s">
        <v>7062</v>
      </c>
      <c r="H2517" s="220" t="s">
        <v>7063</v>
      </c>
      <c r="I2517" s="143" t="s">
        <v>4529</v>
      </c>
      <c r="J2517" s="143" t="s">
        <v>7064</v>
      </c>
      <c r="K2517" s="143">
        <v>145</v>
      </c>
      <c r="L2517" s="143">
        <v>100</v>
      </c>
      <c r="S2517" s="215"/>
      <c r="T2517" s="215"/>
      <c r="U2517" s="215"/>
      <c r="V2517" s="216"/>
      <c r="W2517" s="143" t="s">
        <v>3147</v>
      </c>
      <c r="X2517" s="143" t="str">
        <f t="shared" si="11"/>
        <v>时尚格 G17-82#</v>
      </c>
      <c r="Y2517" s="169" t="s">
        <v>5757</v>
      </c>
      <c r="Z2517" s="143" t="str">
        <f t="shared" si="12"/>
        <v>时尚格 G17-82#</v>
      </c>
      <c r="AA2517" s="219">
        <v>10.3</v>
      </c>
    </row>
    <row r="2518" spans="1:27">
      <c r="A2518" s="143">
        <v>2477</v>
      </c>
      <c r="B2518" s="144">
        <v>45971</v>
      </c>
      <c r="C2518" s="169" t="s">
        <v>3277</v>
      </c>
      <c r="D2518" s="143" t="s">
        <v>41</v>
      </c>
      <c r="E2518" s="196" t="s">
        <v>7047</v>
      </c>
      <c r="F2518" s="169" t="s">
        <v>7065</v>
      </c>
      <c r="H2518" s="143" t="s">
        <v>7066</v>
      </c>
      <c r="I2518" s="143" t="s">
        <v>3157</v>
      </c>
      <c r="J2518" s="143" t="s">
        <v>3684</v>
      </c>
      <c r="K2518" s="143">
        <v>145</v>
      </c>
      <c r="S2518" s="215"/>
      <c r="T2518" s="215"/>
      <c r="U2518" s="215"/>
      <c r="V2518" s="216"/>
      <c r="W2518" s="143" t="s">
        <v>3147</v>
      </c>
      <c r="X2518" s="143" t="str">
        <f t="shared" si="11"/>
        <v>时尚格 G17-13</v>
      </c>
      <c r="Y2518" s="169" t="s">
        <v>5757</v>
      </c>
      <c r="Z2518" s="143" t="str">
        <f t="shared" si="12"/>
        <v>时尚格 G17-13</v>
      </c>
      <c r="AA2518" s="219">
        <v>13.8</v>
      </c>
    </row>
    <row r="2519" spans="1:27">
      <c r="A2519" s="143">
        <v>2478</v>
      </c>
      <c r="B2519" s="144">
        <v>45971</v>
      </c>
      <c r="C2519" s="169" t="s">
        <v>3277</v>
      </c>
      <c r="D2519" s="143" t="s">
        <v>41</v>
      </c>
      <c r="E2519" s="196" t="s">
        <v>7047</v>
      </c>
      <c r="F2519" s="169" t="s">
        <v>7067</v>
      </c>
      <c r="H2519" s="220" t="s">
        <v>7068</v>
      </c>
      <c r="I2519" s="143" t="s">
        <v>3157</v>
      </c>
      <c r="J2519" s="143" t="s">
        <v>3684</v>
      </c>
      <c r="K2519" s="143">
        <v>145</v>
      </c>
      <c r="L2519" s="143">
        <v>115</v>
      </c>
      <c r="S2519" s="215"/>
      <c r="T2519" s="215"/>
      <c r="U2519" s="215"/>
      <c r="V2519" s="216"/>
      <c r="W2519" s="143" t="s">
        <v>3147</v>
      </c>
      <c r="X2519" s="143" t="str">
        <f t="shared" si="11"/>
        <v>全棉格 G20-12</v>
      </c>
      <c r="Y2519" s="169" t="s">
        <v>5757</v>
      </c>
      <c r="Z2519" s="143" t="str">
        <f t="shared" si="12"/>
        <v>全棉格 G20-12</v>
      </c>
      <c r="AA2519" s="219">
        <v>16</v>
      </c>
    </row>
    <row r="2520" spans="1:27">
      <c r="A2520" s="143">
        <v>2479</v>
      </c>
      <c r="B2520" s="144">
        <v>45971</v>
      </c>
      <c r="C2520" s="169" t="s">
        <v>3277</v>
      </c>
      <c r="D2520" s="143" t="s">
        <v>41</v>
      </c>
      <c r="E2520" s="196" t="s">
        <v>7047</v>
      </c>
      <c r="F2520" s="169" t="s">
        <v>7069</v>
      </c>
      <c r="H2520" s="143" t="s">
        <v>7070</v>
      </c>
      <c r="I2520" s="143" t="s">
        <v>3157</v>
      </c>
      <c r="J2520" s="143" t="s">
        <v>3684</v>
      </c>
      <c r="K2520" s="143">
        <v>145</v>
      </c>
      <c r="S2520" s="215"/>
      <c r="T2520" s="215"/>
      <c r="U2520" s="215"/>
      <c r="V2520" s="216"/>
      <c r="W2520" s="143" t="s">
        <v>3147</v>
      </c>
      <c r="X2520" s="143" t="str">
        <f t="shared" si="11"/>
        <v>时尚格 G17-56#</v>
      </c>
      <c r="Y2520" s="169" t="s">
        <v>5757</v>
      </c>
      <c r="Z2520" s="143" t="str">
        <f t="shared" si="12"/>
        <v>时尚格 G17-56#</v>
      </c>
      <c r="AA2520" s="219">
        <v>14.5</v>
      </c>
    </row>
    <row r="2521" spans="1:27">
      <c r="A2521" s="143">
        <v>2480</v>
      </c>
      <c r="B2521" s="144">
        <v>45971</v>
      </c>
      <c r="C2521" s="169" t="s">
        <v>3277</v>
      </c>
      <c r="D2521" s="143" t="s">
        <v>41</v>
      </c>
      <c r="E2521" s="196" t="s">
        <v>7047</v>
      </c>
      <c r="F2521" s="169" t="s">
        <v>7071</v>
      </c>
      <c r="H2521" s="143" t="s">
        <v>7072</v>
      </c>
      <c r="I2521" s="143" t="s">
        <v>7073</v>
      </c>
      <c r="J2521" s="143" t="s">
        <v>2528</v>
      </c>
      <c r="K2521" s="143">
        <v>145</v>
      </c>
      <c r="S2521" s="215"/>
      <c r="T2521" s="215"/>
      <c r="U2521" s="215"/>
      <c r="V2521" s="216"/>
      <c r="W2521" s="143" t="s">
        <v>3147</v>
      </c>
      <c r="X2521" s="143" t="str">
        <f t="shared" si="11"/>
        <v>磨毛格 G61-18#</v>
      </c>
      <c r="Y2521" s="169" t="s">
        <v>5757</v>
      </c>
      <c r="Z2521" s="143" t="str">
        <f t="shared" si="12"/>
        <v>磨毛格 G61-18#</v>
      </c>
      <c r="AA2521" s="219">
        <v>11</v>
      </c>
    </row>
    <row r="2522" spans="1:27">
      <c r="A2522" s="143">
        <v>2481</v>
      </c>
      <c r="B2522" s="144">
        <v>45971</v>
      </c>
      <c r="C2522" s="169" t="s">
        <v>3277</v>
      </c>
      <c r="D2522" s="143" t="s">
        <v>41</v>
      </c>
      <c r="E2522" s="196" t="s">
        <v>7047</v>
      </c>
      <c r="F2522" s="169" t="s">
        <v>7074</v>
      </c>
      <c r="H2522" s="143" t="s">
        <v>7075</v>
      </c>
      <c r="I2522" s="143" t="s">
        <v>3157</v>
      </c>
      <c r="J2522" s="143" t="s">
        <v>3684</v>
      </c>
      <c r="K2522" s="143">
        <v>145</v>
      </c>
      <c r="S2522" s="215"/>
      <c r="T2522" s="215"/>
      <c r="U2522" s="215"/>
      <c r="V2522" s="216"/>
      <c r="W2522" s="143" t="s">
        <v>3147</v>
      </c>
      <c r="X2522" s="143" t="str">
        <f t="shared" si="11"/>
        <v>192-40#</v>
      </c>
      <c r="Y2522" s="169" t="s">
        <v>5757</v>
      </c>
      <c r="Z2522" s="143" t="str">
        <f t="shared" si="12"/>
        <v>192-40#</v>
      </c>
      <c r="AA2522" s="219">
        <v>18.6</v>
      </c>
    </row>
    <row r="2523" spans="1:27">
      <c r="A2523" s="143">
        <v>2482</v>
      </c>
      <c r="B2523" s="144">
        <v>45971</v>
      </c>
      <c r="C2523" s="169" t="s">
        <v>3277</v>
      </c>
      <c r="D2523" s="143" t="s">
        <v>41</v>
      </c>
      <c r="E2523" s="196" t="s">
        <v>7047</v>
      </c>
      <c r="F2523" s="169" t="s">
        <v>7076</v>
      </c>
      <c r="H2523" s="143" t="s">
        <v>7077</v>
      </c>
      <c r="I2523" s="143" t="s">
        <v>7078</v>
      </c>
      <c r="J2523" s="143" t="s">
        <v>7079</v>
      </c>
      <c r="K2523" s="143">
        <v>145</v>
      </c>
      <c r="S2523" s="215"/>
      <c r="T2523" s="215"/>
      <c r="U2523" s="215"/>
      <c r="V2523" s="216"/>
      <c r="W2523" s="143" t="s">
        <v>3147</v>
      </c>
      <c r="X2523" s="143" t="str">
        <f t="shared" si="11"/>
        <v>磨毛格 G15-17#</v>
      </c>
      <c r="Y2523" s="169" t="s">
        <v>5757</v>
      </c>
      <c r="Z2523" s="143" t="str">
        <f t="shared" si="12"/>
        <v>磨毛格 G15-17#</v>
      </c>
      <c r="AA2523" s="219">
        <v>14.5</v>
      </c>
    </row>
    <row r="2524" spans="1:27">
      <c r="A2524" s="143">
        <v>2483</v>
      </c>
      <c r="B2524" s="144">
        <v>45971</v>
      </c>
      <c r="C2524" s="169" t="s">
        <v>3277</v>
      </c>
      <c r="D2524" s="143" t="s">
        <v>41</v>
      </c>
      <c r="E2524" s="196" t="s">
        <v>7047</v>
      </c>
      <c r="F2524" s="169" t="s">
        <v>7080</v>
      </c>
      <c r="H2524" s="143" t="s">
        <v>7081</v>
      </c>
      <c r="I2524" s="143" t="s">
        <v>3326</v>
      </c>
      <c r="J2524" s="143" t="s">
        <v>7082</v>
      </c>
      <c r="K2524" s="143">
        <v>145</v>
      </c>
      <c r="S2524" s="215"/>
      <c r="T2524" s="215"/>
      <c r="U2524" s="215"/>
      <c r="V2524" s="216"/>
      <c r="W2524" s="143" t="s">
        <v>3147</v>
      </c>
      <c r="X2524" s="143" t="str">
        <f t="shared" si="11"/>
        <v>磨毛格 G53-19#</v>
      </c>
      <c r="Y2524" s="169" t="s">
        <v>5757</v>
      </c>
      <c r="Z2524" s="143" t="str">
        <f t="shared" si="12"/>
        <v>磨毛格 G53-19#</v>
      </c>
      <c r="AA2524" s="219">
        <v>11</v>
      </c>
    </row>
    <row r="2525" ht="16.5" spans="1:27">
      <c r="A2525" s="143">
        <v>2484</v>
      </c>
      <c r="B2525" s="144">
        <v>45971</v>
      </c>
      <c r="C2525" s="169" t="s">
        <v>3277</v>
      </c>
      <c r="D2525" s="143" t="s">
        <v>41</v>
      </c>
      <c r="E2525" s="196" t="s">
        <v>7047</v>
      </c>
      <c r="F2525" s="169" t="s">
        <v>7083</v>
      </c>
      <c r="H2525" s="143" t="s">
        <v>7084</v>
      </c>
      <c r="I2525" s="143" t="s">
        <v>7085</v>
      </c>
      <c r="J2525" s="143" t="s">
        <v>3684</v>
      </c>
      <c r="K2525" s="143">
        <v>145</v>
      </c>
      <c r="S2525" s="215"/>
      <c r="T2525" s="215"/>
      <c r="U2525" s="215"/>
      <c r="V2525" s="216"/>
      <c r="W2525" s="143" t="s">
        <v>3147</v>
      </c>
      <c r="X2525" s="143" t="str">
        <f t="shared" si="11"/>
        <v>磨毛格 G17-38</v>
      </c>
      <c r="Y2525" s="169" t="s">
        <v>5757</v>
      </c>
      <c r="Z2525" s="143" t="str">
        <f t="shared" si="12"/>
        <v>磨毛格 G17-38</v>
      </c>
      <c r="AA2525" s="219">
        <v>16</v>
      </c>
    </row>
    <row r="2526" spans="1:27">
      <c r="A2526" s="143">
        <v>2485</v>
      </c>
      <c r="B2526" s="144">
        <v>45971</v>
      </c>
      <c r="C2526" s="169" t="s">
        <v>3277</v>
      </c>
      <c r="D2526" s="143" t="s">
        <v>41</v>
      </c>
      <c r="E2526" s="196" t="s">
        <v>7047</v>
      </c>
      <c r="F2526" s="169" t="s">
        <v>7086</v>
      </c>
      <c r="H2526" s="143" t="s">
        <v>7087</v>
      </c>
      <c r="I2526" s="143" t="s">
        <v>7073</v>
      </c>
      <c r="J2526" s="143" t="s">
        <v>2528</v>
      </c>
      <c r="K2526" s="143">
        <v>145</v>
      </c>
      <c r="S2526" s="215"/>
      <c r="T2526" s="215"/>
      <c r="U2526" s="215"/>
      <c r="V2526" s="216"/>
      <c r="W2526" s="143" t="s">
        <v>3147</v>
      </c>
      <c r="X2526" s="143" t="str">
        <f t="shared" si="11"/>
        <v>磨毛格 G16-15</v>
      </c>
      <c r="Y2526" s="169" t="s">
        <v>5757</v>
      </c>
      <c r="Z2526" s="143" t="str">
        <f t="shared" si="12"/>
        <v>磨毛格 G16-15</v>
      </c>
      <c r="AA2526" s="219">
        <v>13.5</v>
      </c>
    </row>
    <row r="2527" spans="1:27">
      <c r="A2527" s="143">
        <v>2486</v>
      </c>
      <c r="B2527" s="144">
        <v>45971</v>
      </c>
      <c r="C2527" s="169" t="s">
        <v>3277</v>
      </c>
      <c r="D2527" s="143" t="s">
        <v>41</v>
      </c>
      <c r="E2527" s="196" t="s">
        <v>7047</v>
      </c>
      <c r="F2527" s="169" t="s">
        <v>7088</v>
      </c>
      <c r="H2527" s="143" t="s">
        <v>7089</v>
      </c>
      <c r="I2527" s="143" t="s">
        <v>7073</v>
      </c>
      <c r="J2527" s="143" t="s">
        <v>2528</v>
      </c>
      <c r="K2527" s="143">
        <v>145</v>
      </c>
      <c r="S2527" s="215"/>
      <c r="T2527" s="215"/>
      <c r="U2527" s="215"/>
      <c r="V2527" s="216"/>
      <c r="W2527" s="143" t="s">
        <v>3147</v>
      </c>
      <c r="X2527" s="143" t="str">
        <f t="shared" si="11"/>
        <v>磨毛格 G16-16</v>
      </c>
      <c r="Y2527" s="169" t="s">
        <v>5757</v>
      </c>
      <c r="Z2527" s="143" t="str">
        <f t="shared" si="12"/>
        <v>磨毛格 G16-16</v>
      </c>
      <c r="AA2527" s="219">
        <v>13.5</v>
      </c>
    </row>
    <row r="2528" spans="1:27">
      <c r="A2528" s="143">
        <v>2487</v>
      </c>
      <c r="B2528" s="144">
        <v>45971</v>
      </c>
      <c r="C2528" s="169" t="s">
        <v>3277</v>
      </c>
      <c r="D2528" s="143" t="s">
        <v>41</v>
      </c>
      <c r="E2528" s="196" t="s">
        <v>7047</v>
      </c>
      <c r="F2528" s="169" t="s">
        <v>7090</v>
      </c>
      <c r="H2528" s="143" t="s">
        <v>7091</v>
      </c>
      <c r="I2528" s="143" t="s">
        <v>7073</v>
      </c>
      <c r="J2528" s="143" t="s">
        <v>2528</v>
      </c>
      <c r="K2528" s="143">
        <v>145</v>
      </c>
      <c r="S2528" s="215"/>
      <c r="T2528" s="215"/>
      <c r="U2528" s="215"/>
      <c r="V2528" s="216"/>
      <c r="W2528" s="143" t="s">
        <v>3147</v>
      </c>
      <c r="X2528" s="143" t="str">
        <f t="shared" si="11"/>
        <v>磨毛格 G43-23</v>
      </c>
      <c r="Y2528" s="169" t="s">
        <v>5757</v>
      </c>
      <c r="Z2528" s="143" t="str">
        <f t="shared" si="12"/>
        <v>磨毛格 G43-23</v>
      </c>
      <c r="AA2528" s="219">
        <v>11</v>
      </c>
    </row>
    <row r="2529" spans="1:27">
      <c r="A2529" s="143">
        <v>2488</v>
      </c>
      <c r="B2529" s="144">
        <v>45971</v>
      </c>
      <c r="C2529" s="169" t="s">
        <v>3277</v>
      </c>
      <c r="D2529" s="143" t="s">
        <v>41</v>
      </c>
      <c r="E2529" s="196" t="s">
        <v>7047</v>
      </c>
      <c r="F2529" s="169" t="s">
        <v>7092</v>
      </c>
      <c r="H2529" s="143" t="s">
        <v>7093</v>
      </c>
      <c r="I2529" s="143" t="s">
        <v>3157</v>
      </c>
      <c r="J2529" s="143" t="s">
        <v>3684</v>
      </c>
      <c r="K2529" s="143">
        <v>145</v>
      </c>
      <c r="S2529" s="215"/>
      <c r="T2529" s="215"/>
      <c r="U2529" s="215"/>
      <c r="V2529" s="216"/>
      <c r="W2529" s="143" t="s">
        <v>3147</v>
      </c>
      <c r="X2529" s="143" t="str">
        <f t="shared" si="11"/>
        <v>时尚格 G17-31#</v>
      </c>
      <c r="Y2529" s="169" t="s">
        <v>5757</v>
      </c>
      <c r="Z2529" s="143" t="str">
        <f t="shared" si="12"/>
        <v>时尚格 G17-31#</v>
      </c>
      <c r="AA2529" s="219">
        <v>17.5</v>
      </c>
    </row>
    <row r="2530" spans="1:27">
      <c r="A2530" s="143">
        <v>2489</v>
      </c>
      <c r="B2530" s="144">
        <v>45971</v>
      </c>
      <c r="C2530" s="169" t="s">
        <v>3277</v>
      </c>
      <c r="D2530" s="143" t="s">
        <v>41</v>
      </c>
      <c r="E2530" s="196" t="s">
        <v>7047</v>
      </c>
      <c r="F2530" s="169" t="s">
        <v>7094</v>
      </c>
      <c r="H2530" s="143" t="s">
        <v>7095</v>
      </c>
      <c r="I2530" s="143" t="s">
        <v>7073</v>
      </c>
      <c r="J2530" s="143" t="s">
        <v>2528</v>
      </c>
      <c r="K2530" s="143">
        <v>145</v>
      </c>
      <c r="S2530" s="215"/>
      <c r="T2530" s="215"/>
      <c r="U2530" s="215"/>
      <c r="V2530" s="216"/>
      <c r="W2530" s="143" t="s">
        <v>3147</v>
      </c>
      <c r="X2530" s="143" t="str">
        <f t="shared" si="11"/>
        <v>磨毛格 G43-13</v>
      </c>
      <c r="Y2530" s="169" t="s">
        <v>5757</v>
      </c>
      <c r="Z2530" s="143" t="str">
        <f t="shared" si="12"/>
        <v>磨毛格 G43-13</v>
      </c>
      <c r="AA2530" s="219">
        <v>11</v>
      </c>
    </row>
    <row r="2531" spans="1:27">
      <c r="A2531" s="143">
        <v>2490</v>
      </c>
      <c r="B2531" s="144">
        <v>45971</v>
      </c>
      <c r="C2531" s="169" t="s">
        <v>3277</v>
      </c>
      <c r="D2531" s="143" t="s">
        <v>41</v>
      </c>
      <c r="E2531" s="196" t="s">
        <v>7047</v>
      </c>
      <c r="F2531" s="169" t="s">
        <v>7096</v>
      </c>
      <c r="H2531" s="143" t="s">
        <v>7097</v>
      </c>
      <c r="I2531" s="143" t="s">
        <v>7073</v>
      </c>
      <c r="J2531" s="143" t="s">
        <v>2528</v>
      </c>
      <c r="K2531" s="143">
        <v>145</v>
      </c>
      <c r="S2531" s="215"/>
      <c r="T2531" s="215"/>
      <c r="U2531" s="215"/>
      <c r="V2531" s="216"/>
      <c r="W2531" s="143" t="s">
        <v>3147</v>
      </c>
      <c r="X2531" s="143" t="str">
        <f t="shared" si="11"/>
        <v>磨毛格 G43-14</v>
      </c>
      <c r="Y2531" s="169" t="s">
        <v>5757</v>
      </c>
      <c r="Z2531" s="143" t="str">
        <f t="shared" si="12"/>
        <v>磨毛格 G43-14</v>
      </c>
      <c r="AA2531" s="219">
        <v>11</v>
      </c>
    </row>
    <row r="2532" spans="1:27">
      <c r="A2532" s="143">
        <v>2491</v>
      </c>
      <c r="B2532" s="144">
        <v>45971</v>
      </c>
      <c r="C2532" s="169" t="s">
        <v>3277</v>
      </c>
      <c r="D2532" s="143" t="s">
        <v>41</v>
      </c>
      <c r="E2532" s="196" t="s">
        <v>7047</v>
      </c>
      <c r="F2532" s="169" t="s">
        <v>7098</v>
      </c>
      <c r="H2532" s="143" t="s">
        <v>7099</v>
      </c>
      <c r="I2532" s="143" t="s">
        <v>3157</v>
      </c>
      <c r="J2532" s="143" t="s">
        <v>3684</v>
      </c>
      <c r="K2532" s="143">
        <v>145</v>
      </c>
      <c r="S2532" s="215"/>
      <c r="T2532" s="215"/>
      <c r="U2532" s="215"/>
      <c r="V2532" s="216"/>
      <c r="W2532" s="143" t="s">
        <v>3147</v>
      </c>
      <c r="X2532" s="143" t="str">
        <f t="shared" si="11"/>
        <v>192-41#</v>
      </c>
      <c r="Y2532" s="169" t="s">
        <v>5757</v>
      </c>
      <c r="Z2532" s="143" t="str">
        <f t="shared" si="12"/>
        <v>192-41#</v>
      </c>
      <c r="AA2532" s="219">
        <v>18.5</v>
      </c>
    </row>
    <row r="2533" ht="13.5" spans="1:27">
      <c r="A2533" s="143">
        <v>2492</v>
      </c>
      <c r="B2533" s="144">
        <v>45971</v>
      </c>
      <c r="C2533" s="169" t="s">
        <v>3277</v>
      </c>
      <c r="D2533" s="143" t="s">
        <v>41</v>
      </c>
      <c r="E2533" s="196" t="s">
        <v>7047</v>
      </c>
      <c r="F2533" s="169" t="s">
        <v>7100</v>
      </c>
      <c r="H2533" s="143" t="s">
        <v>7101</v>
      </c>
      <c r="I2533" s="143" t="s">
        <v>7102</v>
      </c>
      <c r="J2533" s="143" t="s">
        <v>7103</v>
      </c>
      <c r="K2533" s="143">
        <v>150</v>
      </c>
      <c r="L2533" s="143">
        <v>88</v>
      </c>
      <c r="S2533" s="215"/>
      <c r="T2533" s="215"/>
      <c r="U2533" s="215"/>
      <c r="V2533" s="216"/>
      <c r="W2533" s="143" t="s">
        <v>3147</v>
      </c>
      <c r="X2533" s="143" t="str">
        <f t="shared" si="11"/>
        <v>新公主格</v>
      </c>
      <c r="Y2533" s="169" t="s">
        <v>6336</v>
      </c>
      <c r="Z2533" s="143" t="str">
        <f t="shared" si="12"/>
        <v>新公主格</v>
      </c>
      <c r="AA2533" s="217">
        <v>9.2</v>
      </c>
    </row>
    <row r="2534" ht="13.5" spans="1:27">
      <c r="A2534" s="143">
        <v>2493</v>
      </c>
      <c r="B2534" s="144">
        <v>45971</v>
      </c>
      <c r="C2534" s="169" t="s">
        <v>3277</v>
      </c>
      <c r="D2534" s="143" t="s">
        <v>41</v>
      </c>
      <c r="E2534" s="196" t="s">
        <v>7047</v>
      </c>
      <c r="F2534" s="143" t="s">
        <v>7104</v>
      </c>
      <c r="H2534" s="177" t="s">
        <v>7105</v>
      </c>
      <c r="I2534" s="143" t="s">
        <v>3218</v>
      </c>
      <c r="J2534" s="143" t="s">
        <v>1577</v>
      </c>
      <c r="K2534" s="143">
        <v>150</v>
      </c>
      <c r="L2534" s="143">
        <v>200</v>
      </c>
      <c r="S2534" s="215"/>
      <c r="T2534" s="215"/>
      <c r="U2534" s="215"/>
      <c r="V2534" s="216"/>
      <c r="W2534" s="143" t="s">
        <v>3147</v>
      </c>
      <c r="X2534" s="143" t="str">
        <f t="shared" si="11"/>
        <v>783#</v>
      </c>
      <c r="Y2534" s="169" t="s">
        <v>3147</v>
      </c>
      <c r="Z2534" s="143" t="str">
        <f t="shared" si="12"/>
        <v>783#</v>
      </c>
      <c r="AA2534" s="217">
        <v>10.6</v>
      </c>
    </row>
    <row r="2535" ht="13.5" spans="1:27">
      <c r="A2535" s="143">
        <v>2494</v>
      </c>
      <c r="B2535" s="144">
        <v>45971</v>
      </c>
      <c r="C2535" s="169" t="s">
        <v>3277</v>
      </c>
      <c r="D2535" s="143" t="s">
        <v>41</v>
      </c>
      <c r="E2535" s="196" t="s">
        <v>7047</v>
      </c>
      <c r="F2535" s="143" t="s">
        <v>7106</v>
      </c>
      <c r="H2535" s="177" t="s">
        <v>7107</v>
      </c>
      <c r="I2535" s="143" t="s">
        <v>4322</v>
      </c>
      <c r="J2535" s="143" t="s">
        <v>1588</v>
      </c>
      <c r="K2535" s="143">
        <v>150</v>
      </c>
      <c r="L2535" s="143">
        <v>175</v>
      </c>
      <c r="S2535" s="215"/>
      <c r="T2535" s="215"/>
      <c r="U2535" s="215"/>
      <c r="V2535" s="216"/>
      <c r="W2535" s="143" t="s">
        <v>3147</v>
      </c>
      <c r="X2535" s="143" t="str">
        <f t="shared" si="11"/>
        <v>603#斜纹小方格</v>
      </c>
      <c r="Y2535" s="169" t="s">
        <v>3147</v>
      </c>
      <c r="Z2535" s="143" t="str">
        <f t="shared" si="12"/>
        <v>603#斜纹小方格</v>
      </c>
      <c r="AA2535" s="217">
        <v>8.8</v>
      </c>
    </row>
    <row r="2536" ht="13.5" spans="1:27">
      <c r="A2536" s="143">
        <v>2495</v>
      </c>
      <c r="B2536" s="144">
        <v>45971</v>
      </c>
      <c r="C2536" s="169" t="s">
        <v>3277</v>
      </c>
      <c r="D2536" s="143" t="s">
        <v>41</v>
      </c>
      <c r="E2536" s="196" t="s">
        <v>7047</v>
      </c>
      <c r="F2536" s="143" t="s">
        <v>7108</v>
      </c>
      <c r="H2536" s="177" t="s">
        <v>7109</v>
      </c>
      <c r="I2536" s="143" t="s">
        <v>4322</v>
      </c>
      <c r="J2536" s="143" t="s">
        <v>1588</v>
      </c>
      <c r="K2536" s="143">
        <v>150</v>
      </c>
      <c r="L2536" s="143">
        <v>170</v>
      </c>
      <c r="S2536" s="215"/>
      <c r="T2536" s="215"/>
      <c r="U2536" s="215"/>
      <c r="V2536" s="216"/>
      <c r="W2536" s="143" t="s">
        <v>3147</v>
      </c>
      <c r="X2536" s="143" t="str">
        <f t="shared" si="11"/>
        <v>883#四方格</v>
      </c>
      <c r="Y2536" s="169" t="s">
        <v>3147</v>
      </c>
      <c r="Z2536" s="143" t="str">
        <f t="shared" si="12"/>
        <v>883#四方格</v>
      </c>
      <c r="AA2536" s="217">
        <v>12.6</v>
      </c>
    </row>
    <row r="2537" ht="13.5" spans="1:27">
      <c r="A2537" s="143">
        <v>2496</v>
      </c>
      <c r="B2537" s="144">
        <v>45971</v>
      </c>
      <c r="C2537" s="169" t="s">
        <v>3277</v>
      </c>
      <c r="D2537" s="143" t="s">
        <v>41</v>
      </c>
      <c r="E2537" s="196" t="s">
        <v>7047</v>
      </c>
      <c r="F2537" s="169" t="s">
        <v>7110</v>
      </c>
      <c r="H2537" s="177" t="s">
        <v>7111</v>
      </c>
      <c r="I2537" s="143" t="s">
        <v>7112</v>
      </c>
      <c r="J2537" s="143" t="s">
        <v>7113</v>
      </c>
      <c r="K2537" s="143">
        <v>145</v>
      </c>
      <c r="L2537" s="143">
        <v>120</v>
      </c>
      <c r="S2537" s="215"/>
      <c r="T2537" s="215"/>
      <c r="U2537" s="215"/>
      <c r="V2537" s="216"/>
      <c r="W2537" s="143" t="s">
        <v>3147</v>
      </c>
      <c r="X2537" s="143" t="str">
        <f t="shared" si="11"/>
        <v>格B174#</v>
      </c>
      <c r="Y2537" s="169" t="s">
        <v>3147</v>
      </c>
      <c r="Z2537" s="143" t="str">
        <f t="shared" si="12"/>
        <v>格B174#</v>
      </c>
      <c r="AA2537" s="217">
        <v>11.8</v>
      </c>
    </row>
    <row r="2538" ht="13.5" spans="1:27">
      <c r="A2538" s="143">
        <v>2497</v>
      </c>
      <c r="B2538" s="144">
        <v>45971</v>
      </c>
      <c r="C2538" s="169" t="s">
        <v>3277</v>
      </c>
      <c r="D2538" s="143" t="s">
        <v>41</v>
      </c>
      <c r="E2538" s="196" t="s">
        <v>7047</v>
      </c>
      <c r="F2538" s="143" t="s">
        <v>7114</v>
      </c>
      <c r="H2538" s="143" t="s">
        <v>7115</v>
      </c>
      <c r="I2538" s="143" t="s">
        <v>4322</v>
      </c>
      <c r="J2538" s="143" t="s">
        <v>1588</v>
      </c>
      <c r="K2538" s="143">
        <v>145</v>
      </c>
      <c r="S2538" s="215"/>
      <c r="T2538" s="215"/>
      <c r="U2538" s="215"/>
      <c r="V2538" s="216"/>
      <c r="W2538" s="143" t="s">
        <v>3147</v>
      </c>
      <c r="X2538" s="143" t="str">
        <f t="shared" si="11"/>
        <v>TR018</v>
      </c>
      <c r="Y2538" s="169" t="s">
        <v>3147</v>
      </c>
      <c r="Z2538" s="143" t="str">
        <f t="shared" si="12"/>
        <v>TR018</v>
      </c>
      <c r="AA2538" s="217">
        <v>10.9</v>
      </c>
    </row>
    <row r="2539" ht="13.5" spans="1:27">
      <c r="A2539" s="143">
        <v>2498</v>
      </c>
      <c r="B2539" s="144">
        <v>45971</v>
      </c>
      <c r="C2539" s="169" t="s">
        <v>3277</v>
      </c>
      <c r="D2539" s="143" t="s">
        <v>41</v>
      </c>
      <c r="E2539" s="196" t="s">
        <v>7047</v>
      </c>
      <c r="F2539" s="143" t="s">
        <v>7116</v>
      </c>
      <c r="H2539" s="143" t="s">
        <v>7117</v>
      </c>
      <c r="I2539" s="143" t="s">
        <v>4322</v>
      </c>
      <c r="J2539" s="143" t="s">
        <v>1588</v>
      </c>
      <c r="K2539" s="143">
        <v>145</v>
      </c>
      <c r="S2539" s="215"/>
      <c r="T2539" s="215"/>
      <c r="U2539" s="215"/>
      <c r="V2539" s="216"/>
      <c r="W2539" s="143" t="s">
        <v>3147</v>
      </c>
      <c r="X2539" s="143" t="str">
        <f t="shared" si="11"/>
        <v>TR017</v>
      </c>
      <c r="Y2539" s="169" t="s">
        <v>3147</v>
      </c>
      <c r="Z2539" s="143" t="str">
        <f t="shared" si="12"/>
        <v>TR017</v>
      </c>
      <c r="AA2539" s="217">
        <v>10.9</v>
      </c>
    </row>
    <row r="2540" ht="13.5" spans="1:27">
      <c r="A2540" s="143">
        <v>2499</v>
      </c>
      <c r="B2540" s="144">
        <v>45971</v>
      </c>
      <c r="C2540" s="169" t="s">
        <v>3277</v>
      </c>
      <c r="D2540" s="143" t="s">
        <v>41</v>
      </c>
      <c r="E2540" s="196" t="s">
        <v>7047</v>
      </c>
      <c r="F2540" s="143" t="s">
        <v>7118</v>
      </c>
      <c r="H2540" s="220" t="s">
        <v>7119</v>
      </c>
      <c r="I2540" s="143" t="s">
        <v>3218</v>
      </c>
      <c r="J2540" s="143" t="s">
        <v>1577</v>
      </c>
      <c r="K2540" s="143">
        <v>145</v>
      </c>
      <c r="L2540" s="143">
        <v>110</v>
      </c>
      <c r="S2540" s="215"/>
      <c r="T2540" s="215"/>
      <c r="U2540" s="215"/>
      <c r="V2540" s="216"/>
      <c r="W2540" s="143" t="s">
        <v>3147</v>
      </c>
      <c r="X2540" s="143" t="str">
        <f t="shared" si="11"/>
        <v>A110</v>
      </c>
      <c r="Y2540" s="169" t="s">
        <v>3147</v>
      </c>
      <c r="Z2540" s="143" t="str">
        <f t="shared" si="12"/>
        <v>A110</v>
      </c>
      <c r="AA2540" s="217">
        <v>8</v>
      </c>
    </row>
    <row r="2541" ht="13.5" spans="1:27">
      <c r="A2541" s="143">
        <v>2500</v>
      </c>
      <c r="B2541" s="144">
        <v>45971</v>
      </c>
      <c r="C2541" s="169" t="s">
        <v>3277</v>
      </c>
      <c r="D2541" s="143" t="s">
        <v>41</v>
      </c>
      <c r="E2541" s="196" t="s">
        <v>7047</v>
      </c>
      <c r="F2541" s="143" t="s">
        <v>7120</v>
      </c>
      <c r="H2541" s="143" t="s">
        <v>7121</v>
      </c>
      <c r="I2541" s="143" t="s">
        <v>3218</v>
      </c>
      <c r="J2541" s="143" t="s">
        <v>1577</v>
      </c>
      <c r="K2541" s="143">
        <v>145</v>
      </c>
      <c r="S2541" s="215"/>
      <c r="T2541" s="215"/>
      <c r="U2541" s="215"/>
      <c r="V2541" s="216"/>
      <c r="W2541" s="143" t="s">
        <v>3147</v>
      </c>
      <c r="X2541" s="143" t="str">
        <f t="shared" si="11"/>
        <v>A1022</v>
      </c>
      <c r="Y2541" s="169" t="s">
        <v>3147</v>
      </c>
      <c r="Z2541" s="143" t="str">
        <f t="shared" si="12"/>
        <v>A1022</v>
      </c>
      <c r="AA2541" s="217">
        <v>8.5</v>
      </c>
    </row>
    <row r="2542" ht="13.5" spans="1:27">
      <c r="A2542" s="143">
        <v>2501</v>
      </c>
      <c r="B2542" s="144">
        <v>45971</v>
      </c>
      <c r="C2542" s="169" t="s">
        <v>3277</v>
      </c>
      <c r="D2542" s="143" t="s">
        <v>41</v>
      </c>
      <c r="E2542" s="196" t="s">
        <v>7047</v>
      </c>
      <c r="F2542" s="143" t="s">
        <v>7122</v>
      </c>
      <c r="H2542" s="143" t="s">
        <v>7123</v>
      </c>
      <c r="I2542" s="143" t="s">
        <v>3218</v>
      </c>
      <c r="J2542" s="143" t="s">
        <v>1577</v>
      </c>
      <c r="K2542" s="143">
        <v>145</v>
      </c>
      <c r="S2542" s="215"/>
      <c r="T2542" s="215"/>
      <c r="U2542" s="215"/>
      <c r="V2542" s="216"/>
      <c r="W2542" s="143" t="s">
        <v>3147</v>
      </c>
      <c r="X2542" s="143" t="str">
        <f t="shared" si="11"/>
        <v>A1021</v>
      </c>
      <c r="Y2542" s="169" t="s">
        <v>3147</v>
      </c>
      <c r="Z2542" s="143" t="str">
        <f t="shared" si="12"/>
        <v>A1021</v>
      </c>
      <c r="AA2542" s="217">
        <v>8.5</v>
      </c>
    </row>
    <row r="2543" ht="13.5" spans="1:27">
      <c r="A2543" s="143">
        <v>2502</v>
      </c>
      <c r="B2543" s="144">
        <v>45971</v>
      </c>
      <c r="C2543" s="169" t="s">
        <v>3277</v>
      </c>
      <c r="D2543" s="143" t="s">
        <v>41</v>
      </c>
      <c r="E2543" s="196" t="s">
        <v>7047</v>
      </c>
      <c r="F2543" s="143" t="s">
        <v>7124</v>
      </c>
      <c r="H2543" s="143" t="s">
        <v>7125</v>
      </c>
      <c r="I2543" s="143" t="s">
        <v>3218</v>
      </c>
      <c r="J2543" s="143" t="s">
        <v>1577</v>
      </c>
      <c r="K2543" s="143">
        <v>145</v>
      </c>
      <c r="S2543" s="215"/>
      <c r="T2543" s="215"/>
      <c r="U2543" s="215"/>
      <c r="V2543" s="216"/>
      <c r="W2543" s="143" t="s">
        <v>3147</v>
      </c>
      <c r="X2543" s="143" t="str">
        <f t="shared" si="11"/>
        <v>A1023</v>
      </c>
      <c r="Y2543" s="169" t="s">
        <v>3147</v>
      </c>
      <c r="Z2543" s="143" t="str">
        <f t="shared" si="12"/>
        <v>A1023</v>
      </c>
      <c r="AA2543" s="217">
        <v>8.5</v>
      </c>
    </row>
    <row r="2544" ht="13.5" spans="1:27">
      <c r="A2544" s="143">
        <v>2503</v>
      </c>
      <c r="B2544" s="144">
        <v>45971</v>
      </c>
      <c r="C2544" s="169" t="s">
        <v>3277</v>
      </c>
      <c r="D2544" s="143" t="s">
        <v>41</v>
      </c>
      <c r="E2544" s="196" t="s">
        <v>7047</v>
      </c>
      <c r="F2544" s="143" t="s">
        <v>7126</v>
      </c>
      <c r="H2544" s="143" t="s">
        <v>7127</v>
      </c>
      <c r="I2544" s="143" t="s">
        <v>3360</v>
      </c>
      <c r="J2544" s="143" t="s">
        <v>3361</v>
      </c>
      <c r="K2544" s="143">
        <v>145</v>
      </c>
      <c r="S2544" s="215"/>
      <c r="T2544" s="215"/>
      <c r="U2544" s="215"/>
      <c r="V2544" s="216"/>
      <c r="W2544" s="143" t="s">
        <v>3147</v>
      </c>
      <c r="X2544" s="143" t="str">
        <f t="shared" si="11"/>
        <v>TR657</v>
      </c>
      <c r="Y2544" s="169" t="s">
        <v>3147</v>
      </c>
      <c r="Z2544" s="143" t="str">
        <f t="shared" si="12"/>
        <v>TR657</v>
      </c>
      <c r="AA2544" s="217">
        <v>12</v>
      </c>
    </row>
    <row r="2545" ht="13.5" spans="1:28">
      <c r="A2545" s="143">
        <v>2504</v>
      </c>
      <c r="B2545" s="144">
        <v>45971</v>
      </c>
      <c r="C2545" s="169" t="s">
        <v>3277</v>
      </c>
      <c r="D2545" s="143" t="s">
        <v>41</v>
      </c>
      <c r="E2545" s="196" t="s">
        <v>7047</v>
      </c>
      <c r="F2545" s="143" t="s">
        <v>7128</v>
      </c>
      <c r="H2545" s="221" t="s">
        <v>7129</v>
      </c>
      <c r="I2545" s="143" t="s">
        <v>7130</v>
      </c>
      <c r="J2545" s="143" t="s">
        <v>7131</v>
      </c>
      <c r="K2545" s="143">
        <v>145</v>
      </c>
      <c r="L2545" s="143">
        <v>105</v>
      </c>
      <c r="S2545" s="215"/>
      <c r="T2545" s="215"/>
      <c r="U2545" s="215"/>
      <c r="V2545" s="216"/>
      <c r="W2545" s="143" t="s">
        <v>3147</v>
      </c>
      <c r="X2545" s="143" t="str">
        <f t="shared" si="11"/>
        <v>A408</v>
      </c>
      <c r="Y2545" s="169" t="s">
        <v>3147</v>
      </c>
      <c r="Z2545" s="143" t="str">
        <f t="shared" si="12"/>
        <v>A408</v>
      </c>
      <c r="AA2545" s="217">
        <v>8.5</v>
      </c>
    </row>
    <row r="2546" ht="13.5" spans="1:28">
      <c r="A2546" s="143">
        <v>2505</v>
      </c>
      <c r="B2546" s="144">
        <v>45971</v>
      </c>
      <c r="C2546" s="169" t="s">
        <v>3277</v>
      </c>
      <c r="D2546" s="143" t="s">
        <v>41</v>
      </c>
      <c r="E2546" s="196" t="s">
        <v>7047</v>
      </c>
      <c r="F2546" s="143" t="s">
        <v>7132</v>
      </c>
      <c r="H2546" s="177" t="s">
        <v>7133</v>
      </c>
      <c r="I2546" s="143" t="s">
        <v>7130</v>
      </c>
      <c r="J2546" s="143" t="s">
        <v>7134</v>
      </c>
      <c r="K2546" s="143">
        <v>145</v>
      </c>
      <c r="L2546" s="143">
        <v>105</v>
      </c>
      <c r="S2546" s="215"/>
      <c r="T2546" s="215"/>
      <c r="U2546" s="215"/>
      <c r="V2546" s="216"/>
      <c r="W2546" s="143" t="s">
        <v>3147</v>
      </c>
      <c r="X2546" s="143" t="str">
        <f t="shared" si="11"/>
        <v>A406</v>
      </c>
      <c r="Y2546" s="169" t="s">
        <v>3147</v>
      </c>
      <c r="Z2546" s="143" t="str">
        <f t="shared" si="12"/>
        <v>A406</v>
      </c>
      <c r="AA2546" s="217">
        <v>8.5</v>
      </c>
    </row>
    <row r="2547" ht="13.5" spans="1:28">
      <c r="A2547" s="143">
        <v>2506</v>
      </c>
      <c r="B2547" s="144">
        <v>45971</v>
      </c>
      <c r="C2547" s="169" t="s">
        <v>3277</v>
      </c>
      <c r="D2547" s="143" t="s">
        <v>41</v>
      </c>
      <c r="E2547" s="196" t="s">
        <v>7047</v>
      </c>
      <c r="F2547" s="143" t="s">
        <v>7135</v>
      </c>
      <c r="H2547" s="177" t="s">
        <v>7136</v>
      </c>
      <c r="I2547" s="143" t="s">
        <v>7130</v>
      </c>
      <c r="J2547" s="143" t="s">
        <v>7134</v>
      </c>
      <c r="K2547" s="143">
        <v>145</v>
      </c>
      <c r="L2547" s="143">
        <v>105</v>
      </c>
      <c r="S2547" s="215"/>
      <c r="T2547" s="215"/>
      <c r="U2547" s="215"/>
      <c r="V2547" s="216"/>
      <c r="W2547" s="143" t="s">
        <v>3147</v>
      </c>
      <c r="X2547" s="143" t="str">
        <f t="shared" si="11"/>
        <v>A404</v>
      </c>
      <c r="Y2547" s="169" t="s">
        <v>3147</v>
      </c>
      <c r="Z2547" s="143" t="str">
        <f t="shared" si="12"/>
        <v>A404</v>
      </c>
      <c r="AA2547" s="217">
        <v>8.5</v>
      </c>
    </row>
    <row r="2548" ht="13.5" spans="1:28">
      <c r="A2548" s="143">
        <v>2507</v>
      </c>
      <c r="B2548" s="144">
        <v>45971</v>
      </c>
      <c r="C2548" s="169" t="s">
        <v>3277</v>
      </c>
      <c r="D2548" s="143" t="s">
        <v>41</v>
      </c>
      <c r="E2548" s="196" t="s">
        <v>7047</v>
      </c>
      <c r="F2548" s="169" t="s">
        <v>7137</v>
      </c>
      <c r="H2548" s="220" t="s">
        <v>7138</v>
      </c>
      <c r="I2548" s="143" t="s">
        <v>7073</v>
      </c>
      <c r="J2548" s="143" t="s">
        <v>7139</v>
      </c>
      <c r="K2548" s="143">
        <v>145</v>
      </c>
      <c r="L2548" s="143">
        <v>140</v>
      </c>
      <c r="S2548" s="215"/>
      <c r="T2548" s="215"/>
      <c r="U2548" s="215"/>
      <c r="V2548" s="216"/>
      <c r="W2548" s="143" t="s">
        <v>3147</v>
      </c>
      <c r="X2548" s="143" t="str">
        <f t="shared" si="11"/>
        <v>格A174#</v>
      </c>
      <c r="Y2548" s="169" t="s">
        <v>3147</v>
      </c>
      <c r="Z2548" s="143" t="str">
        <f t="shared" si="12"/>
        <v>格A174#</v>
      </c>
      <c r="AA2548" s="217">
        <v>9.8</v>
      </c>
    </row>
    <row r="2549" ht="13.5" spans="1:28">
      <c r="A2549" s="143">
        <v>2508</v>
      </c>
      <c r="B2549" s="144">
        <v>45971</v>
      </c>
      <c r="C2549" s="169" t="s">
        <v>3277</v>
      </c>
      <c r="D2549" s="143" t="s">
        <v>41</v>
      </c>
      <c r="E2549" s="196" t="s">
        <v>7047</v>
      </c>
      <c r="F2549" s="143" t="s">
        <v>7140</v>
      </c>
      <c r="H2549" s="221" t="s">
        <v>7141</v>
      </c>
      <c r="I2549" s="143" t="s">
        <v>7142</v>
      </c>
      <c r="J2549" s="143" t="s">
        <v>3345</v>
      </c>
      <c r="K2549" s="143">
        <v>145</v>
      </c>
      <c r="L2549" s="143">
        <v>85</v>
      </c>
      <c r="S2549" s="215"/>
      <c r="T2549" s="215"/>
      <c r="U2549" s="215"/>
      <c r="V2549" s="216"/>
      <c r="W2549" s="143" t="s">
        <v>3147</v>
      </c>
      <c r="X2549" s="143" t="str">
        <f t="shared" si="11"/>
        <v>C146#</v>
      </c>
      <c r="Y2549" s="169" t="s">
        <v>3147</v>
      </c>
      <c r="Z2549" s="143" t="str">
        <f t="shared" si="12"/>
        <v>C146#</v>
      </c>
      <c r="AA2549" s="217">
        <v>8</v>
      </c>
    </row>
    <row r="2550" ht="13.5" spans="1:28">
      <c r="A2550" s="143">
        <v>2509</v>
      </c>
      <c r="B2550" s="144">
        <v>45971</v>
      </c>
      <c r="C2550" s="169" t="s">
        <v>3277</v>
      </c>
      <c r="D2550" s="143" t="s">
        <v>41</v>
      </c>
      <c r="E2550" s="196" t="s">
        <v>7047</v>
      </c>
      <c r="F2550" s="169" t="s">
        <v>7143</v>
      </c>
      <c r="H2550" s="220" t="s">
        <v>7144</v>
      </c>
      <c r="I2550" s="143" t="s">
        <v>7142</v>
      </c>
      <c r="J2550" s="143" t="s">
        <v>3345</v>
      </c>
      <c r="K2550" s="143">
        <v>145</v>
      </c>
      <c r="L2550" s="143">
        <v>135</v>
      </c>
      <c r="S2550" s="215"/>
      <c r="T2550" s="215"/>
      <c r="U2550" s="215"/>
      <c r="V2550" s="216"/>
      <c r="W2550" s="143" t="s">
        <v>3147</v>
      </c>
      <c r="X2550" s="143" t="str">
        <f t="shared" si="11"/>
        <v>格C130# 印花</v>
      </c>
      <c r="Y2550" s="169" t="s">
        <v>3147</v>
      </c>
      <c r="Z2550" s="143" t="str">
        <f t="shared" si="12"/>
        <v>格C130# 印花</v>
      </c>
      <c r="AA2550" s="217">
        <v>12</v>
      </c>
    </row>
    <row r="2551" ht="13.5" spans="1:28">
      <c r="A2551" s="143">
        <v>2510</v>
      </c>
      <c r="B2551" s="144">
        <v>45971</v>
      </c>
      <c r="C2551" s="169" t="s">
        <v>3277</v>
      </c>
      <c r="D2551" s="143" t="s">
        <v>41</v>
      </c>
      <c r="E2551" s="196" t="s">
        <v>7047</v>
      </c>
      <c r="F2551" s="169" t="s">
        <v>7145</v>
      </c>
      <c r="H2551" s="220" t="s">
        <v>7146</v>
      </c>
      <c r="I2551" s="143" t="s">
        <v>3157</v>
      </c>
      <c r="J2551" s="143" t="s">
        <v>3684</v>
      </c>
      <c r="K2551" s="143">
        <v>145</v>
      </c>
      <c r="L2551" s="143">
        <v>120</v>
      </c>
      <c r="S2551" s="215"/>
      <c r="T2551" s="215"/>
      <c r="U2551" s="215"/>
      <c r="V2551" s="216"/>
      <c r="W2551" s="143" t="s">
        <v>3147</v>
      </c>
      <c r="X2551" s="143" t="str">
        <f t="shared" si="11"/>
        <v>格C223#</v>
      </c>
      <c r="Y2551" s="169" t="s">
        <v>3147</v>
      </c>
      <c r="Z2551" s="143" t="str">
        <f t="shared" si="12"/>
        <v>格C223#</v>
      </c>
      <c r="AA2551" s="217">
        <v>13.5</v>
      </c>
    </row>
    <row r="2552" ht="13.5" spans="1:28">
      <c r="A2552" s="143">
        <v>2511</v>
      </c>
      <c r="B2552" s="144">
        <v>45971</v>
      </c>
      <c r="C2552" s="169" t="s">
        <v>3277</v>
      </c>
      <c r="D2552" s="143" t="s">
        <v>41</v>
      </c>
      <c r="E2552" s="196" t="s">
        <v>7047</v>
      </c>
      <c r="F2552" s="143" t="s">
        <v>7147</v>
      </c>
      <c r="H2552" s="143" t="s">
        <v>7148</v>
      </c>
      <c r="I2552" s="143" t="s">
        <v>7142</v>
      </c>
      <c r="J2552" s="143" t="s">
        <v>3345</v>
      </c>
      <c r="K2552" s="143">
        <v>145</v>
      </c>
      <c r="S2552" s="215"/>
      <c r="T2552" s="215"/>
      <c r="U2552" s="215"/>
      <c r="V2552" s="216"/>
      <c r="W2552" s="143" t="s">
        <v>3147</v>
      </c>
      <c r="X2552" s="143" t="str">
        <f t="shared" si="11"/>
        <v>TR672</v>
      </c>
      <c r="Y2552" s="169" t="s">
        <v>3147</v>
      </c>
      <c r="Z2552" s="143" t="str">
        <f t="shared" si="12"/>
        <v>TR672</v>
      </c>
      <c r="AA2552" s="217">
        <v>12</v>
      </c>
    </row>
    <row r="2553" ht="13.5" spans="1:28">
      <c r="A2553" s="143">
        <v>2512</v>
      </c>
      <c r="B2553" s="144">
        <v>45971</v>
      </c>
      <c r="C2553" s="169" t="s">
        <v>3277</v>
      </c>
      <c r="D2553" s="143" t="s">
        <v>41</v>
      </c>
      <c r="E2553" s="196" t="s">
        <v>7047</v>
      </c>
      <c r="F2553" s="169" t="s">
        <v>7149</v>
      </c>
      <c r="H2553" s="143" t="s">
        <v>7150</v>
      </c>
      <c r="I2553" s="143" t="s">
        <v>3360</v>
      </c>
      <c r="J2553" s="143" t="s">
        <v>3361</v>
      </c>
      <c r="K2553" s="143">
        <v>145</v>
      </c>
      <c r="S2553" s="215"/>
      <c r="T2553" s="215"/>
      <c r="U2553" s="215"/>
      <c r="V2553" s="216"/>
      <c r="W2553" s="143" t="s">
        <v>3147</v>
      </c>
      <c r="X2553" s="143" t="str">
        <f t="shared" si="11"/>
        <v>格C258#</v>
      </c>
      <c r="Y2553" s="169" t="s">
        <v>3147</v>
      </c>
      <c r="Z2553" s="143" t="str">
        <f t="shared" si="12"/>
        <v>格C258#</v>
      </c>
      <c r="AA2553" s="217">
        <v>14.5</v>
      </c>
    </row>
    <row r="2554" ht="13.5" spans="1:28">
      <c r="A2554" s="143">
        <v>2513</v>
      </c>
      <c r="B2554" s="144">
        <v>45971</v>
      </c>
      <c r="C2554" s="169" t="s">
        <v>3277</v>
      </c>
      <c r="D2554" s="143" t="s">
        <v>41</v>
      </c>
      <c r="E2554" s="196" t="s">
        <v>7047</v>
      </c>
      <c r="F2554" s="143" t="s">
        <v>7151</v>
      </c>
      <c r="H2554" s="177" t="s">
        <v>7152</v>
      </c>
      <c r="I2554" s="143" t="s">
        <v>3390</v>
      </c>
      <c r="J2554" s="143" t="s">
        <v>4144</v>
      </c>
      <c r="K2554" s="143">
        <v>145</v>
      </c>
      <c r="L2554" s="143">
        <v>120</v>
      </c>
      <c r="S2554" s="215"/>
      <c r="T2554" s="215"/>
      <c r="U2554" s="215"/>
      <c r="V2554" s="216"/>
      <c r="W2554" s="143" t="s">
        <v>3147</v>
      </c>
      <c r="X2554" s="143" t="str">
        <f t="shared" si="11"/>
        <v>T9133</v>
      </c>
      <c r="Y2554" s="169" t="s">
        <v>3147</v>
      </c>
      <c r="Z2554" s="143" t="str">
        <f t="shared" si="12"/>
        <v>T9133</v>
      </c>
      <c r="AA2554" s="217">
        <v>8.3</v>
      </c>
      <c r="AB2554" s="191">
        <v>45986</v>
      </c>
    </row>
    <row r="2555" ht="13.5" spans="1:28">
      <c r="A2555" s="143">
        <v>2514</v>
      </c>
      <c r="B2555" s="144">
        <v>45971</v>
      </c>
      <c r="C2555" s="169" t="s">
        <v>3277</v>
      </c>
      <c r="D2555" s="143" t="s">
        <v>41</v>
      </c>
      <c r="E2555" s="196" t="s">
        <v>7047</v>
      </c>
      <c r="F2555" s="143" t="s">
        <v>7153</v>
      </c>
      <c r="H2555" s="177" t="s">
        <v>7154</v>
      </c>
      <c r="I2555" s="143" t="s">
        <v>3390</v>
      </c>
      <c r="J2555" s="143" t="s">
        <v>4144</v>
      </c>
      <c r="K2555" s="143">
        <v>145</v>
      </c>
      <c r="L2555" s="143">
        <v>120</v>
      </c>
      <c r="S2555" s="215"/>
      <c r="T2555" s="215"/>
      <c r="U2555" s="215"/>
      <c r="V2555" s="216"/>
      <c r="W2555" s="143" t="s">
        <v>3147</v>
      </c>
      <c r="X2555" s="143" t="str">
        <f t="shared" si="11"/>
        <v>T9131</v>
      </c>
      <c r="Y2555" s="169" t="s">
        <v>3147</v>
      </c>
      <c r="Z2555" s="143" t="str">
        <f t="shared" si="12"/>
        <v>T9131</v>
      </c>
      <c r="AA2555" s="217">
        <v>8.3</v>
      </c>
    </row>
    <row r="2556" ht="13.5" spans="1:28">
      <c r="A2556" s="143">
        <v>2515</v>
      </c>
      <c r="B2556" s="144">
        <v>45971</v>
      </c>
      <c r="C2556" s="169" t="s">
        <v>3277</v>
      </c>
      <c r="D2556" s="143" t="s">
        <v>41</v>
      </c>
      <c r="E2556" s="196" t="s">
        <v>7047</v>
      </c>
      <c r="F2556" s="169" t="s">
        <v>7155</v>
      </c>
      <c r="H2556" s="143" t="s">
        <v>7156</v>
      </c>
      <c r="I2556" s="143" t="s">
        <v>4512</v>
      </c>
      <c r="J2556" s="143" t="s">
        <v>7157</v>
      </c>
      <c r="K2556" s="143">
        <v>145</v>
      </c>
      <c r="S2556" s="215"/>
      <c r="T2556" s="215"/>
      <c r="U2556" s="215"/>
      <c r="V2556" s="216"/>
      <c r="W2556" s="143" t="s">
        <v>3147</v>
      </c>
      <c r="X2556" s="143" t="str">
        <f t="shared" si="11"/>
        <v>泡泡格01</v>
      </c>
      <c r="Y2556" s="169" t="s">
        <v>3147</v>
      </c>
      <c r="Z2556" s="143" t="str">
        <f t="shared" si="12"/>
        <v>泡泡格01</v>
      </c>
      <c r="AA2556" s="217">
        <v>9.4</v>
      </c>
    </row>
    <row r="2557" ht="13.5" spans="1:28">
      <c r="A2557" s="143">
        <v>2516</v>
      </c>
      <c r="B2557" s="144">
        <v>45971</v>
      </c>
      <c r="C2557" s="169" t="s">
        <v>3277</v>
      </c>
      <c r="D2557" s="143" t="s">
        <v>41</v>
      </c>
      <c r="E2557" s="196" t="s">
        <v>7047</v>
      </c>
      <c r="F2557" s="143" t="s">
        <v>7158</v>
      </c>
      <c r="H2557" s="177" t="s">
        <v>7159</v>
      </c>
      <c r="I2557" s="143" t="s">
        <v>4512</v>
      </c>
      <c r="J2557" s="143" t="s">
        <v>7157</v>
      </c>
      <c r="K2557" s="143">
        <v>145</v>
      </c>
      <c r="L2557" s="143">
        <v>105</v>
      </c>
      <c r="S2557" s="215"/>
      <c r="T2557" s="215"/>
      <c r="U2557" s="215"/>
      <c r="V2557" s="216"/>
      <c r="W2557" s="143" t="s">
        <v>3147</v>
      </c>
      <c r="X2557" s="143" t="str">
        <f t="shared" si="11"/>
        <v>A1034</v>
      </c>
      <c r="Y2557" s="169" t="s">
        <v>3147</v>
      </c>
      <c r="Z2557" s="143" t="str">
        <f t="shared" si="12"/>
        <v>A1034</v>
      </c>
      <c r="AA2557" s="217">
        <v>9.5</v>
      </c>
    </row>
    <row r="2558" ht="13.5" spans="1:28">
      <c r="A2558" s="143">
        <v>2517</v>
      </c>
      <c r="B2558" s="144">
        <v>45971</v>
      </c>
      <c r="C2558" s="169" t="s">
        <v>3277</v>
      </c>
      <c r="D2558" s="143" t="s">
        <v>41</v>
      </c>
      <c r="E2558" s="196" t="s">
        <v>7047</v>
      </c>
      <c r="F2558" s="143" t="s">
        <v>7160</v>
      </c>
      <c r="H2558" s="143" t="s">
        <v>7161</v>
      </c>
      <c r="I2558" s="143" t="s">
        <v>3218</v>
      </c>
      <c r="J2558" s="143" t="s">
        <v>1577</v>
      </c>
      <c r="S2558" s="215"/>
      <c r="T2558" s="215"/>
      <c r="U2558" s="215"/>
      <c r="V2558" s="216"/>
      <c r="W2558" s="143" t="s">
        <v>3147</v>
      </c>
      <c r="X2558" s="143" t="str">
        <f t="shared" si="11"/>
        <v>A1044</v>
      </c>
      <c r="Y2558" s="169" t="s">
        <v>3147</v>
      </c>
      <c r="Z2558" s="143" t="str">
        <f t="shared" si="12"/>
        <v>A1044</v>
      </c>
      <c r="AA2558" s="217">
        <v>9.5</v>
      </c>
    </row>
    <row r="2559" ht="13.5" spans="1:28">
      <c r="A2559" s="143">
        <v>2518</v>
      </c>
      <c r="B2559" s="144">
        <v>45971</v>
      </c>
      <c r="C2559" s="169" t="s">
        <v>3277</v>
      </c>
      <c r="D2559" s="143" t="s">
        <v>41</v>
      </c>
      <c r="E2559" s="196" t="s">
        <v>7047</v>
      </c>
      <c r="F2559" s="169" t="s">
        <v>7162</v>
      </c>
      <c r="H2559" s="143" t="s">
        <v>7163</v>
      </c>
      <c r="I2559" s="143" t="s">
        <v>7164</v>
      </c>
      <c r="J2559" s="143" t="s">
        <v>7165</v>
      </c>
      <c r="K2559" s="143">
        <v>145</v>
      </c>
      <c r="S2559" s="215"/>
      <c r="T2559" s="215"/>
      <c r="U2559" s="215"/>
      <c r="V2559" s="216"/>
      <c r="W2559" s="143" t="s">
        <v>3147</v>
      </c>
      <c r="X2559" s="143" t="str">
        <f t="shared" si="11"/>
        <v>格F127#</v>
      </c>
      <c r="Y2559" s="169" t="s">
        <v>3147</v>
      </c>
      <c r="Z2559" s="143" t="str">
        <f t="shared" si="12"/>
        <v>格F127#</v>
      </c>
      <c r="AA2559" s="217">
        <v>15.5</v>
      </c>
    </row>
    <row r="2560" ht="13.5" spans="1:28">
      <c r="A2560" s="143">
        <v>2519</v>
      </c>
      <c r="B2560" s="144">
        <v>45971</v>
      </c>
      <c r="C2560" s="169" t="s">
        <v>3277</v>
      </c>
      <c r="D2560" s="143" t="s">
        <v>41</v>
      </c>
      <c r="E2560" s="196" t="s">
        <v>7047</v>
      </c>
      <c r="F2560" s="143" t="s">
        <v>7166</v>
      </c>
      <c r="H2560" s="143" t="s">
        <v>7167</v>
      </c>
      <c r="I2560" s="143" t="s">
        <v>7168</v>
      </c>
      <c r="J2560" s="143" t="s">
        <v>7169</v>
      </c>
      <c r="K2560" s="143">
        <v>145</v>
      </c>
      <c r="S2560" s="215"/>
      <c r="T2560" s="215"/>
      <c r="U2560" s="215"/>
      <c r="V2560" s="216"/>
      <c r="W2560" s="143" t="s">
        <v>3147</v>
      </c>
      <c r="X2560" s="143" t="str">
        <f t="shared" si="11"/>
        <v>TR701</v>
      </c>
      <c r="Y2560" s="169" t="s">
        <v>3147</v>
      </c>
      <c r="Z2560" s="143" t="str">
        <f t="shared" si="12"/>
        <v>TR701</v>
      </c>
      <c r="AA2560" s="217">
        <v>8.8</v>
      </c>
    </row>
    <row r="2561" ht="13.5" spans="1:28">
      <c r="A2561" s="143">
        <v>2520</v>
      </c>
      <c r="B2561" s="144">
        <v>45971</v>
      </c>
      <c r="C2561" s="169" t="s">
        <v>3277</v>
      </c>
      <c r="D2561" s="143" t="s">
        <v>41</v>
      </c>
      <c r="E2561" s="196" t="s">
        <v>7047</v>
      </c>
      <c r="F2561" s="169" t="s">
        <v>7170</v>
      </c>
      <c r="H2561" s="143" t="s">
        <v>7171</v>
      </c>
      <c r="I2561" s="143" t="s">
        <v>4322</v>
      </c>
      <c r="J2561" s="143" t="s">
        <v>1588</v>
      </c>
      <c r="K2561" s="143">
        <v>145</v>
      </c>
      <c r="S2561" s="215"/>
      <c r="T2561" s="215"/>
      <c r="U2561" s="215"/>
      <c r="V2561" s="216"/>
      <c r="W2561" s="143" t="s">
        <v>3147</v>
      </c>
      <c r="X2561" s="143" t="str">
        <f t="shared" si="11"/>
        <v>格C212</v>
      </c>
      <c r="Y2561" s="169" t="s">
        <v>3147</v>
      </c>
      <c r="Z2561" s="143" t="str">
        <f t="shared" si="12"/>
        <v>格C212</v>
      </c>
      <c r="AA2561" s="217">
        <v>9.5</v>
      </c>
    </row>
    <row r="2562" ht="13.5" spans="1:28">
      <c r="A2562" s="143">
        <v>2521</v>
      </c>
      <c r="B2562" s="144">
        <v>45971</v>
      </c>
      <c r="C2562" s="169" t="s">
        <v>3277</v>
      </c>
      <c r="D2562" s="143" t="s">
        <v>41</v>
      </c>
      <c r="E2562" s="196" t="s">
        <v>7047</v>
      </c>
      <c r="F2562" s="143" t="s">
        <v>7172</v>
      </c>
      <c r="H2562" s="143" t="s">
        <v>7173</v>
      </c>
      <c r="I2562" s="143" t="s">
        <v>3360</v>
      </c>
      <c r="J2562" s="143" t="s">
        <v>3361</v>
      </c>
      <c r="K2562" s="143">
        <v>145</v>
      </c>
      <c r="S2562" s="215"/>
      <c r="T2562" s="215"/>
      <c r="U2562" s="215"/>
      <c r="V2562" s="216"/>
      <c r="W2562" s="143" t="s">
        <v>3147</v>
      </c>
      <c r="X2562" s="143" t="str">
        <f t="shared" si="11"/>
        <v>TR655</v>
      </c>
      <c r="Y2562" s="169" t="s">
        <v>3147</v>
      </c>
      <c r="Z2562" s="143" t="str">
        <f t="shared" si="12"/>
        <v>TR655</v>
      </c>
      <c r="AA2562" s="217">
        <v>12</v>
      </c>
    </row>
    <row r="2563" ht="13.5" spans="1:28">
      <c r="A2563" s="143">
        <v>2522</v>
      </c>
      <c r="B2563" s="144">
        <v>45971</v>
      </c>
      <c r="C2563" s="169" t="s">
        <v>3277</v>
      </c>
      <c r="D2563" s="143" t="s">
        <v>41</v>
      </c>
      <c r="E2563" s="196" t="s">
        <v>7047</v>
      </c>
      <c r="F2563" s="143" t="s">
        <v>7174</v>
      </c>
      <c r="H2563" s="143" t="s">
        <v>7175</v>
      </c>
      <c r="I2563" s="143" t="s">
        <v>4322</v>
      </c>
      <c r="J2563" s="143" t="s">
        <v>1588</v>
      </c>
      <c r="K2563" s="143">
        <v>150</v>
      </c>
      <c r="S2563" s="215"/>
      <c r="T2563" s="215"/>
      <c r="U2563" s="215"/>
      <c r="V2563" s="216"/>
      <c r="W2563" s="143" t="s">
        <v>3147</v>
      </c>
      <c r="X2563" s="143" t="str">
        <f t="shared" si="11"/>
        <v>TR015</v>
      </c>
      <c r="Y2563" s="169" t="s">
        <v>3147</v>
      </c>
      <c r="Z2563" s="143" t="str">
        <f t="shared" si="12"/>
        <v>TR015</v>
      </c>
      <c r="AA2563" s="217">
        <v>12</v>
      </c>
    </row>
    <row r="2564" ht="13.5" spans="1:28">
      <c r="A2564" s="143">
        <v>2523</v>
      </c>
      <c r="B2564" s="144">
        <v>45971</v>
      </c>
      <c r="C2564" s="169" t="s">
        <v>3277</v>
      </c>
      <c r="D2564" s="143" t="s">
        <v>41</v>
      </c>
      <c r="E2564" s="196" t="s">
        <v>7047</v>
      </c>
      <c r="F2564" s="143" t="s">
        <v>7176</v>
      </c>
      <c r="H2564" s="143" t="s">
        <v>7177</v>
      </c>
      <c r="I2564" s="143" t="s">
        <v>4322</v>
      </c>
      <c r="J2564" s="143" t="s">
        <v>1588</v>
      </c>
      <c r="K2564" s="143">
        <v>150</v>
      </c>
      <c r="S2564" s="215"/>
      <c r="T2564" s="215"/>
      <c r="U2564" s="215"/>
      <c r="V2564" s="216"/>
      <c r="W2564" s="143" t="s">
        <v>3147</v>
      </c>
      <c r="X2564" s="143" t="str">
        <f t="shared" si="11"/>
        <v>TR711</v>
      </c>
      <c r="Y2564" s="169" t="s">
        <v>3147</v>
      </c>
      <c r="Z2564" s="143" t="str">
        <f t="shared" si="12"/>
        <v>TR711</v>
      </c>
      <c r="AA2564" s="217">
        <v>12</v>
      </c>
    </row>
    <row r="2565" ht="13.5" spans="1:28">
      <c r="A2565" s="143">
        <v>2524</v>
      </c>
      <c r="B2565" s="144">
        <v>45971</v>
      </c>
      <c r="C2565" s="169" t="s">
        <v>3277</v>
      </c>
      <c r="D2565" s="143" t="s">
        <v>41</v>
      </c>
      <c r="E2565" s="196" t="s">
        <v>7047</v>
      </c>
      <c r="F2565" s="143" t="s">
        <v>7178</v>
      </c>
      <c r="H2565" s="177" t="s">
        <v>7179</v>
      </c>
      <c r="I2565" s="143" t="s">
        <v>4512</v>
      </c>
      <c r="J2565" s="143" t="s">
        <v>7157</v>
      </c>
      <c r="K2565" s="143">
        <v>145</v>
      </c>
      <c r="L2565" s="143">
        <v>150</v>
      </c>
      <c r="S2565" s="215"/>
      <c r="T2565" s="215"/>
      <c r="U2565" s="215"/>
      <c r="V2565" s="216"/>
      <c r="W2565" s="143" t="s">
        <v>3147</v>
      </c>
      <c r="X2565" s="143" t="str">
        <f t="shared" si="11"/>
        <v>A693</v>
      </c>
      <c r="Y2565" s="169" t="s">
        <v>3147</v>
      </c>
      <c r="Z2565" s="143" t="str">
        <f t="shared" si="12"/>
        <v>A693</v>
      </c>
      <c r="AA2565" s="217">
        <v>8.5</v>
      </c>
      <c r="AB2565" s="191">
        <v>45988</v>
      </c>
    </row>
    <row r="2566" ht="13.5" spans="1:28">
      <c r="A2566" s="143">
        <v>2525</v>
      </c>
      <c r="B2566" s="144">
        <v>45971</v>
      </c>
      <c r="C2566" s="169" t="s">
        <v>3277</v>
      </c>
      <c r="D2566" s="143" t="s">
        <v>41</v>
      </c>
      <c r="E2566" s="196" t="s">
        <v>7047</v>
      </c>
      <c r="F2566" s="169" t="s">
        <v>7180</v>
      </c>
      <c r="H2566" s="143" t="s">
        <v>7181</v>
      </c>
      <c r="I2566" s="143" t="s">
        <v>7112</v>
      </c>
      <c r="J2566" s="143" t="s">
        <v>7113</v>
      </c>
      <c r="K2566" s="143">
        <v>145</v>
      </c>
      <c r="S2566" s="215"/>
      <c r="T2566" s="215"/>
      <c r="U2566" s="215"/>
      <c r="V2566" s="216"/>
      <c r="W2566" s="143" t="s">
        <v>3147</v>
      </c>
      <c r="X2566" s="143" t="str">
        <f t="shared" si="11"/>
        <v>格B93#</v>
      </c>
      <c r="Y2566" s="169" t="s">
        <v>3147</v>
      </c>
      <c r="Z2566" s="143" t="str">
        <f t="shared" si="12"/>
        <v>格B93#</v>
      </c>
      <c r="AA2566" s="217">
        <v>8.5</v>
      </c>
    </row>
    <row r="2567" ht="13.5" spans="1:28">
      <c r="A2567" s="143">
        <v>2526</v>
      </c>
      <c r="B2567" s="144">
        <v>45971</v>
      </c>
      <c r="C2567" s="169" t="s">
        <v>3277</v>
      </c>
      <c r="D2567" s="143" t="s">
        <v>41</v>
      </c>
      <c r="E2567" s="196" t="s">
        <v>7047</v>
      </c>
      <c r="F2567" s="143" t="s">
        <v>7182</v>
      </c>
      <c r="H2567" s="177" t="s">
        <v>7183</v>
      </c>
      <c r="I2567" s="143" t="s">
        <v>4512</v>
      </c>
      <c r="J2567" s="143" t="s">
        <v>7157</v>
      </c>
      <c r="K2567" s="143">
        <v>145</v>
      </c>
      <c r="L2567" s="143">
        <v>130</v>
      </c>
      <c r="S2567" s="215"/>
      <c r="T2567" s="215"/>
      <c r="U2567" s="215"/>
      <c r="V2567" s="216"/>
      <c r="W2567" s="143" t="s">
        <v>3147</v>
      </c>
      <c r="X2567" s="143" t="str">
        <f t="shared" si="11"/>
        <v>A685</v>
      </c>
      <c r="Y2567" s="169" t="s">
        <v>3147</v>
      </c>
      <c r="Z2567" s="143" t="str">
        <f t="shared" si="12"/>
        <v>A685</v>
      </c>
      <c r="AA2567" s="217">
        <v>8.2</v>
      </c>
    </row>
    <row r="2568" ht="13.5" spans="1:28">
      <c r="A2568" s="143">
        <v>2527</v>
      </c>
      <c r="B2568" s="144">
        <v>45971</v>
      </c>
      <c r="C2568" s="169" t="s">
        <v>3277</v>
      </c>
      <c r="D2568" s="143" t="s">
        <v>41</v>
      </c>
      <c r="E2568" s="196" t="s">
        <v>7047</v>
      </c>
      <c r="F2568" s="143" t="s">
        <v>7184</v>
      </c>
      <c r="H2568" s="177" t="s">
        <v>7185</v>
      </c>
      <c r="I2568" s="143" t="s">
        <v>7112</v>
      </c>
      <c r="J2568" s="143" t="s">
        <v>7113</v>
      </c>
      <c r="K2568" s="143">
        <v>145</v>
      </c>
      <c r="L2568" s="143">
        <v>120</v>
      </c>
      <c r="S2568" s="215"/>
      <c r="T2568" s="215"/>
      <c r="U2568" s="215"/>
      <c r="V2568" s="216"/>
      <c r="W2568" s="143" t="s">
        <v>3147</v>
      </c>
      <c r="X2568" s="143" t="str">
        <f t="shared" si="11"/>
        <v>A689</v>
      </c>
      <c r="Y2568" s="169" t="s">
        <v>3147</v>
      </c>
      <c r="Z2568" s="143" t="str">
        <f t="shared" si="12"/>
        <v>A689</v>
      </c>
      <c r="AA2568" s="217">
        <v>8.2</v>
      </c>
    </row>
    <row r="2569" ht="13.5" spans="1:28">
      <c r="A2569" s="143">
        <v>2528</v>
      </c>
      <c r="B2569" s="144">
        <v>45971</v>
      </c>
      <c r="C2569" s="169" t="s">
        <v>3277</v>
      </c>
      <c r="D2569" s="143" t="s">
        <v>41</v>
      </c>
      <c r="E2569" s="196" t="s">
        <v>7047</v>
      </c>
      <c r="F2569" s="143" t="s">
        <v>7186</v>
      </c>
      <c r="H2569" s="143" t="s">
        <v>7187</v>
      </c>
      <c r="I2569" s="143" t="s">
        <v>3360</v>
      </c>
      <c r="J2569" s="143" t="s">
        <v>3361</v>
      </c>
      <c r="K2569" s="143">
        <v>145</v>
      </c>
      <c r="S2569" s="215"/>
      <c r="T2569" s="215"/>
      <c r="U2569" s="215"/>
      <c r="V2569" s="216"/>
      <c r="W2569" s="143" t="s">
        <v>3147</v>
      </c>
      <c r="X2569" s="143" t="str">
        <f t="shared" si="11"/>
        <v>TR651</v>
      </c>
      <c r="Y2569" s="169" t="s">
        <v>3147</v>
      </c>
      <c r="Z2569" s="143" t="str">
        <f t="shared" si="12"/>
        <v>TR651</v>
      </c>
      <c r="AA2569" s="217">
        <v>12</v>
      </c>
    </row>
    <row r="2570" ht="13.5" spans="1:28">
      <c r="A2570" s="143">
        <v>2529</v>
      </c>
      <c r="B2570" s="144">
        <v>45971</v>
      </c>
      <c r="C2570" s="169" t="s">
        <v>3277</v>
      </c>
      <c r="D2570" s="143" t="s">
        <v>41</v>
      </c>
      <c r="E2570" s="196" t="s">
        <v>7047</v>
      </c>
      <c r="F2570" s="169" t="s">
        <v>7188</v>
      </c>
      <c r="H2570" s="177" t="s">
        <v>7189</v>
      </c>
      <c r="I2570" s="143" t="s">
        <v>7112</v>
      </c>
      <c r="J2570" s="143" t="s">
        <v>7113</v>
      </c>
      <c r="K2570" s="143">
        <v>145</v>
      </c>
      <c r="L2570" s="143">
        <v>140</v>
      </c>
      <c r="S2570" s="215"/>
      <c r="T2570" s="215"/>
      <c r="U2570" s="215"/>
      <c r="V2570" s="216"/>
      <c r="W2570" s="143" t="s">
        <v>3147</v>
      </c>
      <c r="X2570" s="143" t="str">
        <f t="shared" si="11"/>
        <v>磨毛0115</v>
      </c>
      <c r="Y2570" s="169" t="s">
        <v>3147</v>
      </c>
      <c r="Z2570" s="143" t="str">
        <f t="shared" si="12"/>
        <v>磨毛0115</v>
      </c>
      <c r="AA2570" s="217">
        <v>9</v>
      </c>
    </row>
    <row r="2571" ht="15" spans="1:28">
      <c r="A2571" s="143">
        <v>2530</v>
      </c>
      <c r="B2571" s="144">
        <v>45971</v>
      </c>
      <c r="C2571" s="169" t="s">
        <v>3277</v>
      </c>
      <c r="D2571" s="143" t="s">
        <v>41</v>
      </c>
      <c r="E2571" s="196" t="s">
        <v>7047</v>
      </c>
      <c r="F2571" s="169" t="s">
        <v>7190</v>
      </c>
      <c r="H2571" s="177" t="s">
        <v>7191</v>
      </c>
      <c r="I2571" s="143" t="s">
        <v>7192</v>
      </c>
      <c r="J2571" s="143" t="s">
        <v>7113</v>
      </c>
      <c r="K2571" s="143">
        <v>145</v>
      </c>
      <c r="L2571" s="143">
        <v>140</v>
      </c>
      <c r="S2571" s="215"/>
      <c r="T2571" s="215"/>
      <c r="U2571" s="215"/>
      <c r="V2571" s="216"/>
      <c r="W2571" s="143" t="s">
        <v>3147</v>
      </c>
      <c r="X2571" s="143" t="str">
        <f t="shared" si="11"/>
        <v>磨毛096</v>
      </c>
      <c r="Y2571" s="169" t="s">
        <v>3147</v>
      </c>
      <c r="Z2571" s="143" t="str">
        <f t="shared" si="12"/>
        <v>磨毛096</v>
      </c>
      <c r="AA2571" s="173"/>
    </row>
    <row r="2572" ht="15" spans="1:28">
      <c r="A2572" s="143">
        <v>2531</v>
      </c>
      <c r="B2572" s="144">
        <v>45971</v>
      </c>
      <c r="C2572" s="169" t="s">
        <v>3277</v>
      </c>
      <c r="D2572" s="143" t="s">
        <v>41</v>
      </c>
      <c r="E2572" s="196" t="s">
        <v>7047</v>
      </c>
      <c r="F2572" s="169" t="s">
        <v>7193</v>
      </c>
      <c r="H2572" s="177" t="s">
        <v>7194</v>
      </c>
      <c r="I2572" s="143" t="s">
        <v>7192</v>
      </c>
      <c r="J2572" s="143" t="s">
        <v>7113</v>
      </c>
      <c r="K2572" s="143">
        <v>145</v>
      </c>
      <c r="L2572" s="143">
        <v>140</v>
      </c>
      <c r="S2572" s="215"/>
      <c r="T2572" s="215"/>
      <c r="U2572" s="215"/>
      <c r="V2572" s="216"/>
      <c r="W2572" s="143" t="s">
        <v>3147</v>
      </c>
      <c r="X2572" s="143" t="str">
        <f t="shared" si="11"/>
        <v>磨毛0123</v>
      </c>
      <c r="Y2572" s="169" t="s">
        <v>3147</v>
      </c>
      <c r="Z2572" s="143" t="str">
        <f t="shared" si="12"/>
        <v>磨毛0123</v>
      </c>
      <c r="AA2572" s="173"/>
    </row>
    <row r="2573" ht="15" spans="1:28">
      <c r="A2573" s="143">
        <v>2532</v>
      </c>
      <c r="B2573" s="144">
        <v>45971</v>
      </c>
      <c r="C2573" s="169" t="s">
        <v>3277</v>
      </c>
      <c r="D2573" s="143" t="s">
        <v>41</v>
      </c>
      <c r="E2573" s="196" t="s">
        <v>7047</v>
      </c>
      <c r="F2573" s="169" t="s">
        <v>7195</v>
      </c>
      <c r="H2573" s="143" t="s">
        <v>7196</v>
      </c>
      <c r="I2573" s="143" t="s">
        <v>7192</v>
      </c>
      <c r="J2573" s="143" t="s">
        <v>7113</v>
      </c>
      <c r="K2573" s="143">
        <v>145</v>
      </c>
      <c r="S2573" s="215"/>
      <c r="T2573" s="215"/>
      <c r="U2573" s="215"/>
      <c r="V2573" s="216"/>
      <c r="W2573" s="143" t="s">
        <v>3147</v>
      </c>
      <c r="X2573" s="143" t="str">
        <f t="shared" si="11"/>
        <v>磨毛086</v>
      </c>
      <c r="Y2573" s="169" t="s">
        <v>3147</v>
      </c>
      <c r="Z2573" s="143" t="str">
        <f t="shared" si="12"/>
        <v>磨毛086</v>
      </c>
      <c r="AA2573" s="173"/>
    </row>
    <row r="2574" ht="15" spans="1:28">
      <c r="A2574" s="143">
        <v>2533</v>
      </c>
      <c r="B2574" s="144">
        <v>45971</v>
      </c>
      <c r="C2574" s="169" t="s">
        <v>3277</v>
      </c>
      <c r="D2574" s="143" t="s">
        <v>41</v>
      </c>
      <c r="E2574" s="196" t="s">
        <v>7047</v>
      </c>
      <c r="F2574" s="143" t="s">
        <v>7197</v>
      </c>
      <c r="H2574" s="143" t="s">
        <v>7198</v>
      </c>
      <c r="I2574" s="143" t="s">
        <v>7199</v>
      </c>
      <c r="J2574" s="143" t="s">
        <v>7139</v>
      </c>
      <c r="K2574" s="143">
        <v>145</v>
      </c>
      <c r="S2574" s="215"/>
      <c r="T2574" s="215"/>
      <c r="U2574" s="215"/>
      <c r="V2574" s="216"/>
      <c r="W2574" s="143" t="s">
        <v>3147</v>
      </c>
      <c r="X2574" s="143" t="str">
        <f t="shared" ref="X2574:X2633" si="13">F2574</f>
        <v>B188</v>
      </c>
      <c r="Y2574" s="169" t="s">
        <v>3147</v>
      </c>
      <c r="Z2574" s="143" t="str">
        <f t="shared" ref="Z2574:Z2633" si="14">X2574</f>
        <v>B188</v>
      </c>
      <c r="AA2574" s="173"/>
    </row>
    <row r="2575" ht="15" spans="1:28">
      <c r="A2575" s="143">
        <v>2534</v>
      </c>
      <c r="B2575" s="144">
        <v>45971</v>
      </c>
      <c r="C2575" s="169" t="s">
        <v>3277</v>
      </c>
      <c r="D2575" s="143" t="s">
        <v>41</v>
      </c>
      <c r="E2575" s="196" t="s">
        <v>7047</v>
      </c>
      <c r="F2575" s="143" t="s">
        <v>7200</v>
      </c>
      <c r="H2575" s="177" t="s">
        <v>7201</v>
      </c>
      <c r="I2575" s="143" t="s">
        <v>7192</v>
      </c>
      <c r="J2575" s="143" t="s">
        <v>7113</v>
      </c>
      <c r="K2575" s="143">
        <v>145</v>
      </c>
      <c r="L2575" s="143">
        <v>140</v>
      </c>
      <c r="S2575" s="215"/>
      <c r="T2575" s="215"/>
      <c r="U2575" s="215"/>
      <c r="V2575" s="216"/>
      <c r="W2575" s="143" t="s">
        <v>3147</v>
      </c>
      <c r="X2575" s="143" t="str">
        <f t="shared" si="13"/>
        <v>A070</v>
      </c>
      <c r="Y2575" s="169" t="s">
        <v>3147</v>
      </c>
      <c r="Z2575" s="143" t="str">
        <f t="shared" si="14"/>
        <v>A070</v>
      </c>
      <c r="AA2575" s="173"/>
    </row>
    <row r="2576" ht="15" spans="1:28">
      <c r="A2576" s="143">
        <v>2535</v>
      </c>
      <c r="B2576" s="144">
        <v>45971</v>
      </c>
      <c r="C2576" s="169" t="s">
        <v>3277</v>
      </c>
      <c r="D2576" s="143" t="s">
        <v>41</v>
      </c>
      <c r="E2576" s="196" t="s">
        <v>7047</v>
      </c>
      <c r="F2576" s="143" t="s">
        <v>7202</v>
      </c>
      <c r="H2576" s="143" t="s">
        <v>7203</v>
      </c>
      <c r="I2576" s="143" t="s">
        <v>4508</v>
      </c>
      <c r="J2576" s="143" t="s">
        <v>7157</v>
      </c>
      <c r="K2576" s="143">
        <v>145</v>
      </c>
      <c r="S2576" s="215"/>
      <c r="T2576" s="215"/>
      <c r="U2576" s="215"/>
      <c r="V2576" s="216"/>
      <c r="W2576" s="143" t="s">
        <v>3147</v>
      </c>
      <c r="X2576" s="143" t="str">
        <f t="shared" si="13"/>
        <v>D0109</v>
      </c>
      <c r="Y2576" s="169" t="s">
        <v>3147</v>
      </c>
      <c r="Z2576" s="143" t="str">
        <f t="shared" si="14"/>
        <v>D0109</v>
      </c>
      <c r="AA2576" s="173"/>
    </row>
    <row r="2577" ht="15" spans="1:28">
      <c r="A2577" s="143">
        <v>2536</v>
      </c>
      <c r="B2577" s="144">
        <v>45971</v>
      </c>
      <c r="C2577" s="169" t="s">
        <v>3277</v>
      </c>
      <c r="D2577" s="143" t="s">
        <v>41</v>
      </c>
      <c r="E2577" s="196" t="s">
        <v>7047</v>
      </c>
      <c r="F2577" s="169" t="s">
        <v>7204</v>
      </c>
      <c r="H2577" s="177" t="s">
        <v>7205</v>
      </c>
      <c r="I2577" s="143" t="s">
        <v>3218</v>
      </c>
      <c r="J2577" s="143" t="s">
        <v>1577</v>
      </c>
      <c r="K2577" s="143">
        <v>145</v>
      </c>
      <c r="L2577" s="143">
        <v>110</v>
      </c>
      <c r="S2577" s="215"/>
      <c r="T2577" s="215"/>
      <c r="U2577" s="215"/>
      <c r="V2577" s="216"/>
      <c r="W2577" s="143" t="s">
        <v>3147</v>
      </c>
      <c r="X2577" s="143" t="str">
        <f t="shared" si="13"/>
        <v>格F128#</v>
      </c>
      <c r="Y2577" s="169" t="s">
        <v>3147</v>
      </c>
      <c r="Z2577" s="143" t="str">
        <f t="shared" si="14"/>
        <v>格F128#</v>
      </c>
      <c r="AA2577" s="173"/>
      <c r="AB2577" s="191">
        <v>45988</v>
      </c>
    </row>
    <row r="2578" ht="15" spans="1:28">
      <c r="A2578" s="143">
        <v>2537</v>
      </c>
      <c r="B2578" s="144">
        <v>45971</v>
      </c>
      <c r="C2578" s="169" t="s">
        <v>3277</v>
      </c>
      <c r="D2578" s="143" t="s">
        <v>41</v>
      </c>
      <c r="E2578" s="196" t="s">
        <v>7047</v>
      </c>
      <c r="F2578" s="143" t="s">
        <v>7206</v>
      </c>
      <c r="H2578" s="143" t="s">
        <v>7207</v>
      </c>
      <c r="I2578" s="143" t="s">
        <v>3218</v>
      </c>
      <c r="J2578" s="143" t="s">
        <v>1577</v>
      </c>
      <c r="K2578" s="143">
        <v>145</v>
      </c>
      <c r="S2578" s="215"/>
      <c r="T2578" s="215"/>
      <c r="U2578" s="215"/>
      <c r="V2578" s="216"/>
      <c r="W2578" s="143" t="s">
        <v>3147</v>
      </c>
      <c r="X2578" s="143" t="str">
        <f t="shared" si="13"/>
        <v>A1081</v>
      </c>
      <c r="Y2578" s="169" t="s">
        <v>3147</v>
      </c>
      <c r="Z2578" s="143" t="str">
        <f t="shared" si="14"/>
        <v>A1081</v>
      </c>
      <c r="AA2578" s="173"/>
    </row>
    <row r="2579" ht="15" spans="1:28">
      <c r="A2579" s="143">
        <v>2538</v>
      </c>
      <c r="B2579" s="144">
        <v>45971</v>
      </c>
      <c r="C2579" s="169" t="s">
        <v>3277</v>
      </c>
      <c r="D2579" s="143" t="s">
        <v>41</v>
      </c>
      <c r="E2579" s="196" t="s">
        <v>7047</v>
      </c>
      <c r="F2579" s="143" t="s">
        <v>7208</v>
      </c>
      <c r="H2579" s="143" t="s">
        <v>7209</v>
      </c>
      <c r="I2579" s="143" t="s">
        <v>3360</v>
      </c>
      <c r="J2579" s="143" t="s">
        <v>3361</v>
      </c>
      <c r="K2579" s="143">
        <v>145</v>
      </c>
      <c r="S2579" s="215"/>
      <c r="T2579" s="215"/>
      <c r="U2579" s="215"/>
      <c r="V2579" s="216"/>
      <c r="W2579" s="143" t="s">
        <v>3147</v>
      </c>
      <c r="X2579" s="143" t="str">
        <f t="shared" si="13"/>
        <v>TR654</v>
      </c>
      <c r="Y2579" s="169" t="s">
        <v>3147</v>
      </c>
      <c r="Z2579" s="143" t="str">
        <f t="shared" si="14"/>
        <v>TR654</v>
      </c>
      <c r="AA2579" s="173"/>
    </row>
    <row r="2580" ht="15" spans="1:28">
      <c r="A2580" s="143">
        <v>2539</v>
      </c>
      <c r="B2580" s="144">
        <v>45971</v>
      </c>
      <c r="C2580" s="169" t="s">
        <v>3277</v>
      </c>
      <c r="D2580" s="143" t="s">
        <v>41</v>
      </c>
      <c r="E2580" s="196" t="s">
        <v>7047</v>
      </c>
      <c r="F2580" s="143" t="s">
        <v>7210</v>
      </c>
      <c r="H2580" s="143" t="s">
        <v>7211</v>
      </c>
      <c r="I2580" s="143" t="s">
        <v>3218</v>
      </c>
      <c r="J2580" s="143" t="s">
        <v>1577</v>
      </c>
      <c r="K2580" s="143">
        <v>145</v>
      </c>
      <c r="S2580" s="215"/>
      <c r="T2580" s="215"/>
      <c r="U2580" s="215"/>
      <c r="V2580" s="216"/>
      <c r="W2580" s="143" t="s">
        <v>3147</v>
      </c>
      <c r="X2580" s="143" t="str">
        <f t="shared" si="13"/>
        <v>A1031</v>
      </c>
      <c r="Y2580" s="169" t="s">
        <v>3147</v>
      </c>
      <c r="Z2580" s="143" t="str">
        <f t="shared" si="14"/>
        <v>A1031</v>
      </c>
      <c r="AA2580" s="173"/>
    </row>
    <row r="2581" ht="15" spans="1:28">
      <c r="A2581" s="143">
        <v>2540</v>
      </c>
      <c r="B2581" s="144">
        <v>45971</v>
      </c>
      <c r="C2581" s="169" t="s">
        <v>3277</v>
      </c>
      <c r="D2581" s="143" t="s">
        <v>41</v>
      </c>
      <c r="E2581" s="196" t="s">
        <v>7047</v>
      </c>
      <c r="F2581" s="143" t="s">
        <v>7212</v>
      </c>
      <c r="H2581" s="177" t="s">
        <v>7213</v>
      </c>
      <c r="I2581" s="143" t="s">
        <v>7192</v>
      </c>
      <c r="J2581" s="143" t="s">
        <v>7113</v>
      </c>
      <c r="K2581" s="143">
        <v>145</v>
      </c>
      <c r="L2581" s="143">
        <v>130</v>
      </c>
      <c r="S2581" s="215"/>
      <c r="T2581" s="215"/>
      <c r="U2581" s="215"/>
      <c r="V2581" s="216"/>
      <c r="W2581" s="143" t="s">
        <v>3147</v>
      </c>
      <c r="X2581" s="143" t="str">
        <f t="shared" si="13"/>
        <v>A687</v>
      </c>
      <c r="Y2581" s="169" t="s">
        <v>3147</v>
      </c>
      <c r="Z2581" s="143" t="str">
        <f t="shared" si="14"/>
        <v>A687</v>
      </c>
      <c r="AA2581" s="173"/>
    </row>
    <row r="2582" ht="15" spans="1:28">
      <c r="A2582" s="143">
        <v>2541</v>
      </c>
      <c r="B2582" s="144">
        <v>45971</v>
      </c>
      <c r="C2582" s="169" t="s">
        <v>3277</v>
      </c>
      <c r="D2582" s="143" t="s">
        <v>41</v>
      </c>
      <c r="E2582" s="196" t="s">
        <v>7047</v>
      </c>
      <c r="F2582" s="169" t="s">
        <v>7214</v>
      </c>
      <c r="H2582" s="177" t="s">
        <v>7215</v>
      </c>
      <c r="I2582" s="143" t="s">
        <v>7192</v>
      </c>
      <c r="J2582" s="143" t="s">
        <v>7113</v>
      </c>
      <c r="K2582" s="143">
        <v>145</v>
      </c>
      <c r="L2582" s="143">
        <v>140</v>
      </c>
      <c r="S2582" s="215"/>
      <c r="T2582" s="215"/>
      <c r="U2582" s="215"/>
      <c r="V2582" s="216"/>
      <c r="W2582" s="143" t="s">
        <v>3147</v>
      </c>
      <c r="X2582" s="143" t="str">
        <f t="shared" si="13"/>
        <v>磨毛09</v>
      </c>
      <c r="Y2582" s="169" t="s">
        <v>3147</v>
      </c>
      <c r="Z2582" s="143" t="str">
        <f t="shared" si="14"/>
        <v>磨毛09</v>
      </c>
      <c r="AA2582" s="173"/>
    </row>
    <row r="2583" ht="15" spans="1:28">
      <c r="A2583" s="143">
        <v>2542</v>
      </c>
      <c r="B2583" s="144">
        <v>45971</v>
      </c>
      <c r="C2583" s="169" t="s">
        <v>3277</v>
      </c>
      <c r="D2583" s="143" t="s">
        <v>41</v>
      </c>
      <c r="E2583" s="196" t="s">
        <v>7047</v>
      </c>
      <c r="F2583" s="169" t="s">
        <v>7216</v>
      </c>
      <c r="H2583" s="177" t="s">
        <v>7217</v>
      </c>
      <c r="I2583" s="143" t="s">
        <v>7192</v>
      </c>
      <c r="J2583" s="143" t="s">
        <v>7113</v>
      </c>
      <c r="K2583" s="143">
        <v>145</v>
      </c>
      <c r="L2583" s="143">
        <v>140</v>
      </c>
      <c r="S2583" s="215"/>
      <c r="T2583" s="215"/>
      <c r="U2583" s="215"/>
      <c r="V2583" s="216"/>
      <c r="W2583" s="143" t="s">
        <v>3147</v>
      </c>
      <c r="X2583" s="143" t="str">
        <f t="shared" si="13"/>
        <v>磨毛014</v>
      </c>
      <c r="Y2583" s="169" t="s">
        <v>3147</v>
      </c>
      <c r="Z2583" s="143" t="str">
        <f t="shared" si="14"/>
        <v>磨毛014</v>
      </c>
      <c r="AA2583" s="173"/>
    </row>
    <row r="2584" ht="15" spans="1:28">
      <c r="A2584" s="143">
        <v>2543</v>
      </c>
      <c r="B2584" s="144">
        <v>45971</v>
      </c>
      <c r="C2584" s="169" t="s">
        <v>3277</v>
      </c>
      <c r="D2584" s="143" t="s">
        <v>41</v>
      </c>
      <c r="E2584" s="196" t="s">
        <v>7047</v>
      </c>
      <c r="F2584" s="169" t="s">
        <v>7218</v>
      </c>
      <c r="H2584" s="177" t="s">
        <v>7219</v>
      </c>
      <c r="I2584" s="143" t="s">
        <v>7192</v>
      </c>
      <c r="J2584" s="143" t="s">
        <v>7113</v>
      </c>
      <c r="K2584" s="143">
        <v>145</v>
      </c>
      <c r="L2584" s="143">
        <v>140</v>
      </c>
      <c r="S2584" s="215"/>
      <c r="T2584" s="215"/>
      <c r="U2584" s="215"/>
      <c r="V2584" s="216"/>
      <c r="W2584" s="143" t="s">
        <v>3147</v>
      </c>
      <c r="X2584" s="143" t="str">
        <f t="shared" si="13"/>
        <v>磨毛012</v>
      </c>
      <c r="Y2584" s="169" t="s">
        <v>3147</v>
      </c>
      <c r="Z2584" s="143" t="str">
        <f t="shared" si="14"/>
        <v>磨毛012</v>
      </c>
      <c r="AA2584" s="173"/>
    </row>
    <row r="2585" ht="15" spans="1:28">
      <c r="A2585" s="143">
        <v>2544</v>
      </c>
      <c r="B2585" s="144">
        <v>45971</v>
      </c>
      <c r="C2585" s="169" t="s">
        <v>3277</v>
      </c>
      <c r="D2585" s="143" t="s">
        <v>41</v>
      </c>
      <c r="E2585" s="196" t="s">
        <v>7047</v>
      </c>
      <c r="F2585" s="169" t="s">
        <v>7220</v>
      </c>
      <c r="H2585" s="177" t="s">
        <v>7221</v>
      </c>
      <c r="I2585" s="143" t="s">
        <v>7192</v>
      </c>
      <c r="J2585" s="143" t="s">
        <v>7113</v>
      </c>
      <c r="K2585" s="143">
        <v>145</v>
      </c>
      <c r="L2585" s="143">
        <v>140</v>
      </c>
      <c r="S2585" s="215"/>
      <c r="T2585" s="215"/>
      <c r="U2585" s="215"/>
      <c r="V2585" s="216"/>
      <c r="W2585" s="143" t="s">
        <v>3147</v>
      </c>
      <c r="X2585" s="143" t="str">
        <f t="shared" si="13"/>
        <v>磨毛740</v>
      </c>
      <c r="Y2585" s="169" t="s">
        <v>3147</v>
      </c>
      <c r="Z2585" s="143" t="str">
        <f t="shared" si="14"/>
        <v>磨毛740</v>
      </c>
      <c r="AA2585" s="173"/>
    </row>
    <row r="2586" ht="15" spans="1:28">
      <c r="A2586" s="143">
        <v>2545</v>
      </c>
      <c r="B2586" s="144">
        <v>45971</v>
      </c>
      <c r="C2586" s="169" t="s">
        <v>3277</v>
      </c>
      <c r="D2586" s="143" t="s">
        <v>41</v>
      </c>
      <c r="E2586" s="196" t="s">
        <v>7047</v>
      </c>
      <c r="F2586" s="169" t="s">
        <v>7222</v>
      </c>
      <c r="H2586" s="143" t="s">
        <v>7223</v>
      </c>
      <c r="I2586" s="143" t="s">
        <v>4508</v>
      </c>
      <c r="J2586" s="143" t="s">
        <v>7157</v>
      </c>
      <c r="K2586" s="143">
        <v>145</v>
      </c>
      <c r="S2586" s="215"/>
      <c r="T2586" s="215"/>
      <c r="U2586" s="215"/>
      <c r="V2586" s="216"/>
      <c r="W2586" s="143" t="s">
        <v>3147</v>
      </c>
      <c r="X2586" s="143" t="str">
        <f t="shared" si="13"/>
        <v>磨毛542</v>
      </c>
      <c r="Y2586" s="169" t="s">
        <v>3147</v>
      </c>
      <c r="Z2586" s="143" t="str">
        <f t="shared" si="14"/>
        <v>磨毛542</v>
      </c>
      <c r="AA2586" s="173"/>
    </row>
    <row r="2587" ht="15" spans="1:28">
      <c r="A2587" s="143">
        <v>2546</v>
      </c>
      <c r="B2587" s="144">
        <v>45971</v>
      </c>
      <c r="C2587" s="169" t="s">
        <v>3277</v>
      </c>
      <c r="D2587" s="143" t="s">
        <v>41</v>
      </c>
      <c r="E2587" s="196" t="s">
        <v>7047</v>
      </c>
      <c r="F2587" s="169" t="s">
        <v>7224</v>
      </c>
      <c r="H2587" s="177" t="s">
        <v>7225</v>
      </c>
      <c r="I2587" s="143" t="s">
        <v>7226</v>
      </c>
      <c r="J2587" s="143" t="s">
        <v>7227</v>
      </c>
      <c r="K2587" s="143">
        <v>145</v>
      </c>
      <c r="L2587" s="143">
        <v>140</v>
      </c>
      <c r="S2587" s="215"/>
      <c r="T2587" s="215"/>
      <c r="U2587" s="215"/>
      <c r="V2587" s="216"/>
      <c r="W2587" s="143" t="s">
        <v>3147</v>
      </c>
      <c r="X2587" s="143" t="str">
        <f t="shared" si="13"/>
        <v>磨毛524</v>
      </c>
      <c r="Y2587" s="169" t="s">
        <v>3147</v>
      </c>
      <c r="Z2587" s="143" t="str">
        <f t="shared" si="14"/>
        <v>磨毛524</v>
      </c>
      <c r="AA2587" s="173"/>
    </row>
    <row r="2588" ht="15" spans="1:28">
      <c r="A2588" s="143">
        <v>2547</v>
      </c>
      <c r="B2588" s="144">
        <v>45971</v>
      </c>
      <c r="C2588" s="169" t="s">
        <v>3277</v>
      </c>
      <c r="D2588" s="143" t="s">
        <v>41</v>
      </c>
      <c r="E2588" s="196" t="s">
        <v>7047</v>
      </c>
      <c r="F2588" s="169" t="s">
        <v>7228</v>
      </c>
      <c r="H2588" s="177" t="s">
        <v>7229</v>
      </c>
      <c r="I2588" s="143" t="s">
        <v>7192</v>
      </c>
      <c r="J2588" s="143" t="s">
        <v>7113</v>
      </c>
      <c r="K2588" s="143">
        <v>145</v>
      </c>
      <c r="L2588" s="143">
        <v>280</v>
      </c>
      <c r="S2588" s="215"/>
      <c r="T2588" s="215"/>
      <c r="U2588" s="215"/>
      <c r="V2588" s="216"/>
      <c r="W2588" s="143" t="s">
        <v>3147</v>
      </c>
      <c r="X2588" s="143" t="str">
        <f t="shared" si="13"/>
        <v>格N12#</v>
      </c>
      <c r="Y2588" s="169" t="s">
        <v>3147</v>
      </c>
      <c r="Z2588" s="143" t="str">
        <f t="shared" si="14"/>
        <v>格N12#</v>
      </c>
      <c r="AA2588" s="173"/>
    </row>
    <row r="2589" ht="15" spans="1:28">
      <c r="A2589" s="143">
        <v>2548</v>
      </c>
      <c r="B2589" s="144">
        <v>45971</v>
      </c>
      <c r="C2589" s="169" t="s">
        <v>3277</v>
      </c>
      <c r="D2589" s="143" t="s">
        <v>41</v>
      </c>
      <c r="E2589" s="196" t="s">
        <v>7047</v>
      </c>
      <c r="F2589" s="169" t="s">
        <v>7230</v>
      </c>
      <c r="H2589" s="177" t="s">
        <v>7231</v>
      </c>
      <c r="I2589" s="143" t="s">
        <v>4508</v>
      </c>
      <c r="J2589" s="143" t="s">
        <v>7157</v>
      </c>
      <c r="K2589" s="143">
        <v>145</v>
      </c>
      <c r="L2589" s="143">
        <v>280</v>
      </c>
      <c r="S2589" s="215"/>
      <c r="T2589" s="215"/>
      <c r="U2589" s="215"/>
      <c r="V2589" s="216"/>
      <c r="W2589" s="143" t="s">
        <v>3147</v>
      </c>
      <c r="X2589" s="143" t="str">
        <f t="shared" si="13"/>
        <v>呢格001</v>
      </c>
      <c r="Y2589" s="169" t="s">
        <v>3147</v>
      </c>
      <c r="Z2589" s="143" t="str">
        <f t="shared" si="14"/>
        <v>呢格001</v>
      </c>
      <c r="AA2589" s="173"/>
    </row>
    <row r="2590" ht="15" spans="1:28">
      <c r="A2590" s="143">
        <v>2549</v>
      </c>
      <c r="B2590" s="144">
        <v>45971</v>
      </c>
      <c r="C2590" s="169" t="s">
        <v>3277</v>
      </c>
      <c r="D2590" s="143" t="s">
        <v>41</v>
      </c>
      <c r="E2590" s="196" t="s">
        <v>7047</v>
      </c>
      <c r="F2590" s="169" t="s">
        <v>7232</v>
      </c>
      <c r="H2590" s="177" t="s">
        <v>7233</v>
      </c>
      <c r="I2590" s="143" t="s">
        <v>7192</v>
      </c>
      <c r="J2590" s="143" t="s">
        <v>7113</v>
      </c>
      <c r="K2590" s="143">
        <v>145</v>
      </c>
      <c r="L2590" s="143">
        <v>140</v>
      </c>
      <c r="S2590" s="215"/>
      <c r="T2590" s="215"/>
      <c r="U2590" s="215"/>
      <c r="V2590" s="216"/>
      <c r="W2590" s="143" t="s">
        <v>3147</v>
      </c>
      <c r="X2590" s="143" t="str">
        <f t="shared" si="13"/>
        <v>磨毛699</v>
      </c>
      <c r="Y2590" s="169" t="s">
        <v>3147</v>
      </c>
      <c r="Z2590" s="143" t="str">
        <f t="shared" si="14"/>
        <v>磨毛699</v>
      </c>
      <c r="AA2590" s="173"/>
    </row>
    <row r="2591" ht="15" spans="1:28">
      <c r="A2591" s="143">
        <v>2550</v>
      </c>
      <c r="B2591" s="144">
        <v>45971</v>
      </c>
      <c r="C2591" s="169" t="s">
        <v>3277</v>
      </c>
      <c r="D2591" s="143" t="s">
        <v>41</v>
      </c>
      <c r="E2591" s="196" t="s">
        <v>7047</v>
      </c>
      <c r="F2591" s="169" t="s">
        <v>7234</v>
      </c>
      <c r="H2591" s="177" t="s">
        <v>7235</v>
      </c>
      <c r="I2591" s="143" t="s">
        <v>7192</v>
      </c>
      <c r="J2591" s="143" t="s">
        <v>7113</v>
      </c>
      <c r="K2591" s="143">
        <v>145</v>
      </c>
      <c r="L2591" s="143">
        <v>140</v>
      </c>
      <c r="S2591" s="215"/>
      <c r="T2591" s="215"/>
      <c r="U2591" s="215"/>
      <c r="V2591" s="216"/>
      <c r="W2591" s="143" t="s">
        <v>3147</v>
      </c>
      <c r="X2591" s="143" t="str">
        <f t="shared" si="13"/>
        <v>磨毛001</v>
      </c>
      <c r="Y2591" s="169" t="s">
        <v>3147</v>
      </c>
      <c r="Z2591" s="143" t="str">
        <f t="shared" si="14"/>
        <v>磨毛001</v>
      </c>
      <c r="AA2591" s="173"/>
    </row>
    <row r="2592" ht="15" spans="1:28">
      <c r="A2592" s="143">
        <v>2551</v>
      </c>
      <c r="B2592" s="144">
        <v>45971</v>
      </c>
      <c r="C2592" s="169" t="s">
        <v>3277</v>
      </c>
      <c r="D2592" s="143" t="s">
        <v>41</v>
      </c>
      <c r="E2592" s="196" t="s">
        <v>7047</v>
      </c>
      <c r="F2592" s="169" t="s">
        <v>7236</v>
      </c>
      <c r="H2592" s="177" t="s">
        <v>7237</v>
      </c>
      <c r="I2592" s="143" t="s">
        <v>7192</v>
      </c>
      <c r="J2592" s="143" t="s">
        <v>7113</v>
      </c>
      <c r="K2592" s="143">
        <v>145</v>
      </c>
      <c r="L2592" s="143">
        <v>280</v>
      </c>
      <c r="S2592" s="215"/>
      <c r="T2592" s="215"/>
      <c r="U2592" s="215"/>
      <c r="V2592" s="216"/>
      <c r="W2592" s="143" t="s">
        <v>3147</v>
      </c>
      <c r="X2592" s="143" t="str">
        <f t="shared" si="13"/>
        <v>格N22#</v>
      </c>
      <c r="Y2592" s="169" t="s">
        <v>3147</v>
      </c>
      <c r="Z2592" s="143" t="str">
        <f t="shared" si="14"/>
        <v>格N22#</v>
      </c>
      <c r="AA2592" s="173"/>
    </row>
    <row r="2593" ht="15" spans="1:27">
      <c r="A2593" s="143">
        <v>2552</v>
      </c>
      <c r="B2593" s="144">
        <v>45971</v>
      </c>
      <c r="C2593" s="169" t="s">
        <v>3277</v>
      </c>
      <c r="D2593" s="143" t="s">
        <v>41</v>
      </c>
      <c r="E2593" s="196" t="s">
        <v>7047</v>
      </c>
      <c r="F2593" s="169" t="s">
        <v>7238</v>
      </c>
      <c r="H2593" s="177" t="s">
        <v>7239</v>
      </c>
      <c r="I2593" s="143" t="s">
        <v>7192</v>
      </c>
      <c r="J2593" s="143" t="s">
        <v>7113</v>
      </c>
      <c r="K2593" s="143">
        <v>145</v>
      </c>
      <c r="L2593" s="143">
        <v>280</v>
      </c>
      <c r="S2593" s="215"/>
      <c r="T2593" s="215"/>
      <c r="U2593" s="215"/>
      <c r="V2593" s="216"/>
      <c r="W2593" s="143" t="s">
        <v>3147</v>
      </c>
      <c r="X2593" s="143" t="str">
        <f t="shared" si="13"/>
        <v>格N7#</v>
      </c>
      <c r="Y2593" s="169" t="s">
        <v>3147</v>
      </c>
      <c r="Z2593" s="143" t="str">
        <f t="shared" si="14"/>
        <v>格N7#</v>
      </c>
      <c r="AA2593" s="173"/>
    </row>
    <row r="2594" ht="15" spans="1:27">
      <c r="A2594" s="143">
        <v>2553</v>
      </c>
      <c r="B2594" s="144">
        <v>45971</v>
      </c>
      <c r="C2594" s="169" t="s">
        <v>3277</v>
      </c>
      <c r="D2594" s="143" t="s">
        <v>41</v>
      </c>
      <c r="E2594" s="196" t="s">
        <v>7047</v>
      </c>
      <c r="F2594" s="169" t="s">
        <v>7240</v>
      </c>
      <c r="H2594" s="143" t="s">
        <v>7241</v>
      </c>
      <c r="I2594" s="143" t="s">
        <v>7192</v>
      </c>
      <c r="J2594" s="143" t="s">
        <v>7113</v>
      </c>
      <c r="K2594" s="143">
        <v>145</v>
      </c>
      <c r="S2594" s="215"/>
      <c r="T2594" s="215"/>
      <c r="U2594" s="215"/>
      <c r="V2594" s="216"/>
      <c r="W2594" s="143" t="s">
        <v>3147</v>
      </c>
      <c r="X2594" s="143" t="str">
        <f t="shared" si="13"/>
        <v>格N4#</v>
      </c>
      <c r="Y2594" s="169" t="s">
        <v>3147</v>
      </c>
      <c r="Z2594" s="143" t="str">
        <f t="shared" si="14"/>
        <v>格N4#</v>
      </c>
      <c r="AA2594" s="173"/>
    </row>
    <row r="2595" ht="15" spans="1:27">
      <c r="A2595" s="143">
        <v>2554</v>
      </c>
      <c r="B2595" s="144">
        <v>45971</v>
      </c>
      <c r="C2595" s="169" t="s">
        <v>3277</v>
      </c>
      <c r="D2595" s="143" t="s">
        <v>41</v>
      </c>
      <c r="E2595" s="196" t="s">
        <v>7047</v>
      </c>
      <c r="F2595" s="169" t="s">
        <v>7242</v>
      </c>
      <c r="H2595" s="177" t="s">
        <v>7243</v>
      </c>
      <c r="I2595" s="143" t="s">
        <v>7192</v>
      </c>
      <c r="J2595" s="143" t="s">
        <v>7113</v>
      </c>
      <c r="K2595" s="143">
        <v>145</v>
      </c>
      <c r="L2595" s="143">
        <v>140</v>
      </c>
      <c r="S2595" s="215"/>
      <c r="T2595" s="215"/>
      <c r="U2595" s="215"/>
      <c r="V2595" s="216"/>
      <c r="W2595" s="143" t="s">
        <v>3147</v>
      </c>
      <c r="X2595" s="143" t="str">
        <f t="shared" si="13"/>
        <v>磨毛022</v>
      </c>
      <c r="Y2595" s="169" t="s">
        <v>3147</v>
      </c>
      <c r="Z2595" s="143" t="str">
        <f t="shared" si="14"/>
        <v>磨毛022</v>
      </c>
      <c r="AA2595" s="173"/>
    </row>
    <row r="2596" ht="15" spans="1:27">
      <c r="A2596" s="143">
        <v>2555</v>
      </c>
      <c r="B2596" s="144">
        <v>45971</v>
      </c>
      <c r="C2596" s="169" t="s">
        <v>3277</v>
      </c>
      <c r="D2596" s="143" t="s">
        <v>41</v>
      </c>
      <c r="E2596" s="196" t="s">
        <v>7047</v>
      </c>
      <c r="F2596" s="169" t="s">
        <v>7244</v>
      </c>
      <c r="H2596" s="177" t="s">
        <v>7245</v>
      </c>
      <c r="I2596" s="143" t="s">
        <v>7192</v>
      </c>
      <c r="J2596" s="143" t="s">
        <v>7113</v>
      </c>
      <c r="K2596" s="143">
        <v>145</v>
      </c>
      <c r="L2596" s="143">
        <v>140</v>
      </c>
      <c r="S2596" s="215"/>
      <c r="T2596" s="215"/>
      <c r="U2596" s="215"/>
      <c r="V2596" s="216"/>
      <c r="W2596" s="143" t="s">
        <v>3147</v>
      </c>
      <c r="X2596" s="143" t="str">
        <f t="shared" si="13"/>
        <v>磨毛027</v>
      </c>
      <c r="Y2596" s="169" t="s">
        <v>3147</v>
      </c>
      <c r="Z2596" s="143" t="str">
        <f t="shared" si="14"/>
        <v>磨毛027</v>
      </c>
      <c r="AA2596" s="173"/>
    </row>
    <row r="2597" ht="15" spans="1:27">
      <c r="A2597" s="143">
        <v>2556</v>
      </c>
      <c r="B2597" s="144">
        <v>45971</v>
      </c>
      <c r="C2597" s="169" t="s">
        <v>3277</v>
      </c>
      <c r="D2597" s="143" t="s">
        <v>41</v>
      </c>
      <c r="E2597" s="196" t="s">
        <v>7047</v>
      </c>
      <c r="F2597" s="169" t="s">
        <v>7246</v>
      </c>
      <c r="H2597" s="177" t="s">
        <v>7247</v>
      </c>
      <c r="I2597" s="143" t="s">
        <v>7192</v>
      </c>
      <c r="J2597" s="143" t="s">
        <v>7113</v>
      </c>
      <c r="K2597" s="143">
        <v>145</v>
      </c>
      <c r="L2597" s="143">
        <v>140</v>
      </c>
      <c r="S2597" s="215"/>
      <c r="T2597" s="215"/>
      <c r="U2597" s="215"/>
      <c r="V2597" s="216"/>
      <c r="W2597" s="143" t="s">
        <v>3147</v>
      </c>
      <c r="X2597" s="143" t="str">
        <f t="shared" si="13"/>
        <v>磨毛017</v>
      </c>
      <c r="Y2597" s="169" t="s">
        <v>3147</v>
      </c>
      <c r="Z2597" s="143" t="str">
        <f t="shared" si="14"/>
        <v>磨毛017</v>
      </c>
      <c r="AA2597" s="173"/>
    </row>
    <row r="2598" ht="15" spans="1:27">
      <c r="A2598" s="143">
        <v>2557</v>
      </c>
      <c r="B2598" s="144">
        <v>45971</v>
      </c>
      <c r="C2598" s="169" t="s">
        <v>3277</v>
      </c>
      <c r="D2598" s="143" t="s">
        <v>41</v>
      </c>
      <c r="E2598" s="196" t="s">
        <v>7047</v>
      </c>
      <c r="F2598" s="169" t="s">
        <v>7248</v>
      </c>
      <c r="H2598" s="177" t="s">
        <v>7249</v>
      </c>
      <c r="I2598" s="143" t="s">
        <v>7192</v>
      </c>
      <c r="J2598" s="143" t="s">
        <v>7113</v>
      </c>
      <c r="K2598" s="143">
        <v>145</v>
      </c>
      <c r="L2598" s="143">
        <v>140</v>
      </c>
      <c r="S2598" s="215"/>
      <c r="T2598" s="215"/>
      <c r="U2598" s="215"/>
      <c r="V2598" s="216"/>
      <c r="W2598" s="143" t="s">
        <v>3147</v>
      </c>
      <c r="X2598" s="143" t="str">
        <f t="shared" si="13"/>
        <v>磨毛015</v>
      </c>
      <c r="Y2598" s="169" t="s">
        <v>3147</v>
      </c>
      <c r="Z2598" s="143" t="str">
        <f t="shared" si="14"/>
        <v>磨毛015</v>
      </c>
      <c r="AA2598" s="173"/>
    </row>
    <row r="2599" ht="15" spans="1:27">
      <c r="A2599" s="143">
        <v>2558</v>
      </c>
      <c r="B2599" s="144">
        <v>45971</v>
      </c>
      <c r="C2599" s="169" t="s">
        <v>3277</v>
      </c>
      <c r="D2599" s="143" t="s">
        <v>41</v>
      </c>
      <c r="E2599" s="196" t="s">
        <v>7047</v>
      </c>
      <c r="F2599" s="169" t="s">
        <v>7250</v>
      </c>
      <c r="H2599" s="143" t="s">
        <v>7251</v>
      </c>
      <c r="I2599" s="143" t="s">
        <v>7192</v>
      </c>
      <c r="J2599" s="143" t="s">
        <v>7113</v>
      </c>
      <c r="K2599" s="143">
        <v>145</v>
      </c>
      <c r="L2599" s="143">
        <v>210</v>
      </c>
      <c r="S2599" s="215"/>
      <c r="T2599" s="215"/>
      <c r="U2599" s="215"/>
      <c r="V2599" s="216"/>
      <c r="W2599" s="143" t="s">
        <v>3147</v>
      </c>
      <c r="X2599" s="143" t="str">
        <f t="shared" si="13"/>
        <v>格F141#</v>
      </c>
      <c r="Y2599" s="169" t="s">
        <v>3147</v>
      </c>
      <c r="Z2599" s="143" t="str">
        <f t="shared" si="14"/>
        <v>格F141#</v>
      </c>
      <c r="AA2599" s="173"/>
    </row>
    <row r="2600" ht="15" spans="1:27">
      <c r="A2600" s="143">
        <v>2559</v>
      </c>
      <c r="B2600" s="144">
        <v>45971</v>
      </c>
      <c r="C2600" s="169" t="s">
        <v>3277</v>
      </c>
      <c r="D2600" s="143" t="s">
        <v>41</v>
      </c>
      <c r="E2600" s="196" t="s">
        <v>7047</v>
      </c>
      <c r="F2600" s="169" t="s">
        <v>7252</v>
      </c>
      <c r="H2600" s="143" t="s">
        <v>7253</v>
      </c>
      <c r="I2600" s="143" t="s">
        <v>7192</v>
      </c>
      <c r="J2600" s="143" t="s">
        <v>7113</v>
      </c>
      <c r="K2600" s="143">
        <v>145</v>
      </c>
      <c r="S2600" s="215"/>
      <c r="T2600" s="215"/>
      <c r="U2600" s="215"/>
      <c r="V2600" s="216"/>
      <c r="W2600" s="143" t="s">
        <v>3147</v>
      </c>
      <c r="X2600" s="143" t="str">
        <f t="shared" si="13"/>
        <v>格N36</v>
      </c>
      <c r="Y2600" s="169" t="s">
        <v>3147</v>
      </c>
      <c r="Z2600" s="143" t="str">
        <f t="shared" si="14"/>
        <v>格N36</v>
      </c>
      <c r="AA2600" s="173"/>
    </row>
    <row r="2601" ht="15" spans="1:27">
      <c r="A2601" s="143">
        <v>2560</v>
      </c>
      <c r="B2601" s="144">
        <v>45971</v>
      </c>
      <c r="C2601" s="169" t="s">
        <v>3277</v>
      </c>
      <c r="D2601" s="143" t="s">
        <v>41</v>
      </c>
      <c r="E2601" s="196" t="s">
        <v>7047</v>
      </c>
      <c r="F2601" s="169" t="s">
        <v>7254</v>
      </c>
      <c r="H2601" s="177" t="s">
        <v>7255</v>
      </c>
      <c r="I2601" s="143" t="s">
        <v>7192</v>
      </c>
      <c r="J2601" s="143" t="s">
        <v>7113</v>
      </c>
      <c r="K2601" s="143">
        <v>145</v>
      </c>
      <c r="L2601" s="143">
        <v>140</v>
      </c>
      <c r="S2601" s="215"/>
      <c r="T2601" s="215"/>
      <c r="U2601" s="215"/>
      <c r="V2601" s="216"/>
      <c r="W2601" s="143" t="s">
        <v>3147</v>
      </c>
      <c r="X2601" s="143" t="str">
        <f t="shared" si="13"/>
        <v>格D305#</v>
      </c>
      <c r="Y2601" s="169" t="s">
        <v>3147</v>
      </c>
      <c r="Z2601" s="143" t="str">
        <f t="shared" si="14"/>
        <v>格D305#</v>
      </c>
      <c r="AA2601" s="173"/>
    </row>
    <row r="2602" ht="15" spans="1:27">
      <c r="A2602" s="143">
        <v>2561</v>
      </c>
      <c r="B2602" s="144">
        <v>45971</v>
      </c>
      <c r="C2602" s="169" t="s">
        <v>3277</v>
      </c>
      <c r="D2602" s="143" t="s">
        <v>41</v>
      </c>
      <c r="E2602" s="196" t="s">
        <v>7047</v>
      </c>
      <c r="F2602" s="169" t="s">
        <v>7256</v>
      </c>
      <c r="H2602" s="177" t="s">
        <v>7257</v>
      </c>
      <c r="I2602" s="143" t="s">
        <v>7192</v>
      </c>
      <c r="J2602" s="143" t="s">
        <v>7113</v>
      </c>
      <c r="K2602" s="143">
        <v>145</v>
      </c>
      <c r="L2602" s="143">
        <v>280</v>
      </c>
      <c r="S2602" s="215"/>
      <c r="T2602" s="215"/>
      <c r="U2602" s="215"/>
      <c r="V2602" s="216"/>
      <c r="W2602" s="143" t="s">
        <v>3147</v>
      </c>
      <c r="X2602" s="143" t="str">
        <f t="shared" si="13"/>
        <v>格N15#</v>
      </c>
      <c r="Y2602" s="169" t="s">
        <v>3147</v>
      </c>
      <c r="Z2602" s="143" t="str">
        <f t="shared" si="14"/>
        <v>格N15#</v>
      </c>
      <c r="AA2602" s="173"/>
    </row>
    <row r="2603" ht="15" spans="1:27">
      <c r="A2603" s="143">
        <v>2562</v>
      </c>
      <c r="B2603" s="144">
        <v>45971</v>
      </c>
      <c r="C2603" s="169" t="s">
        <v>3277</v>
      </c>
      <c r="D2603" s="143" t="s">
        <v>41</v>
      </c>
      <c r="E2603" s="196" t="s">
        <v>7047</v>
      </c>
      <c r="F2603" s="169" t="s">
        <v>7258</v>
      </c>
      <c r="H2603" s="177" t="s">
        <v>7259</v>
      </c>
      <c r="I2603" s="143" t="s">
        <v>7192</v>
      </c>
      <c r="J2603" s="143" t="s">
        <v>7113</v>
      </c>
      <c r="K2603" s="143">
        <v>145</v>
      </c>
      <c r="L2603" s="143">
        <v>280</v>
      </c>
      <c r="S2603" s="215"/>
      <c r="T2603" s="215"/>
      <c r="U2603" s="215"/>
      <c r="V2603" s="216"/>
      <c r="W2603" s="143" t="s">
        <v>3147</v>
      </c>
      <c r="X2603" s="143" t="str">
        <f t="shared" si="13"/>
        <v>格N16#</v>
      </c>
      <c r="Y2603" s="169" t="s">
        <v>3147</v>
      </c>
      <c r="Z2603" s="143" t="str">
        <f t="shared" si="14"/>
        <v>格N16#</v>
      </c>
      <c r="AA2603" s="173"/>
    </row>
    <row r="2604" ht="15" spans="1:27">
      <c r="A2604" s="143">
        <v>2563</v>
      </c>
      <c r="B2604" s="144">
        <v>45971</v>
      </c>
      <c r="C2604" s="169" t="s">
        <v>3277</v>
      </c>
      <c r="D2604" s="143" t="s">
        <v>41</v>
      </c>
      <c r="E2604" s="196" t="s">
        <v>7047</v>
      </c>
      <c r="F2604" s="169" t="s">
        <v>7260</v>
      </c>
      <c r="H2604" s="177" t="s">
        <v>7261</v>
      </c>
      <c r="I2604" s="143" t="s">
        <v>7192</v>
      </c>
      <c r="J2604" s="143" t="s">
        <v>7113</v>
      </c>
      <c r="K2604" s="143">
        <v>145</v>
      </c>
      <c r="L2604" s="143">
        <v>140</v>
      </c>
      <c r="S2604" s="215"/>
      <c r="T2604" s="215"/>
      <c r="U2604" s="215"/>
      <c r="V2604" s="216"/>
      <c r="W2604" s="143" t="s">
        <v>3147</v>
      </c>
      <c r="X2604" s="143" t="str">
        <f t="shared" si="13"/>
        <v>磨毛084</v>
      </c>
      <c r="Y2604" s="169" t="s">
        <v>3147</v>
      </c>
      <c r="Z2604" s="143" t="str">
        <f t="shared" si="14"/>
        <v>磨毛084</v>
      </c>
      <c r="AA2604" s="173"/>
    </row>
    <row r="2605" ht="15" spans="1:27">
      <c r="A2605" s="143">
        <v>2564</v>
      </c>
      <c r="B2605" s="144">
        <v>45971</v>
      </c>
      <c r="C2605" s="169" t="s">
        <v>3277</v>
      </c>
      <c r="D2605" s="143" t="s">
        <v>41</v>
      </c>
      <c r="E2605" s="196" t="s">
        <v>7047</v>
      </c>
      <c r="F2605" s="169" t="s">
        <v>7262</v>
      </c>
      <c r="H2605" s="143" t="s">
        <v>7263</v>
      </c>
      <c r="I2605" s="143" t="s">
        <v>4508</v>
      </c>
      <c r="J2605" s="143" t="s">
        <v>7157</v>
      </c>
      <c r="K2605" s="143">
        <v>145</v>
      </c>
      <c r="S2605" s="215"/>
      <c r="T2605" s="215"/>
      <c r="U2605" s="215"/>
      <c r="V2605" s="216"/>
      <c r="W2605" s="143" t="s">
        <v>3147</v>
      </c>
      <c r="X2605" s="143" t="str">
        <f t="shared" si="13"/>
        <v>磨毛570</v>
      </c>
      <c r="Y2605" s="169" t="s">
        <v>3147</v>
      </c>
      <c r="Z2605" s="143" t="str">
        <f t="shared" si="14"/>
        <v>磨毛570</v>
      </c>
      <c r="AA2605" s="173"/>
    </row>
    <row r="2606" ht="15" spans="1:27">
      <c r="A2606" s="143">
        <v>2565</v>
      </c>
      <c r="B2606" s="144">
        <v>45971</v>
      </c>
      <c r="C2606" s="169" t="s">
        <v>3277</v>
      </c>
      <c r="D2606" s="143" t="s">
        <v>41</v>
      </c>
      <c r="E2606" s="196" t="s">
        <v>7047</v>
      </c>
      <c r="F2606" s="169" t="s">
        <v>7264</v>
      </c>
      <c r="H2606" s="177" t="s">
        <v>7265</v>
      </c>
      <c r="I2606" s="143" t="s">
        <v>7192</v>
      </c>
      <c r="J2606" s="143" t="s">
        <v>7113</v>
      </c>
      <c r="K2606" s="143">
        <v>145</v>
      </c>
      <c r="L2606" s="143">
        <v>140</v>
      </c>
      <c r="S2606" s="215"/>
      <c r="T2606" s="215"/>
      <c r="U2606" s="215"/>
      <c r="V2606" s="216"/>
      <c r="W2606" s="143" t="s">
        <v>3147</v>
      </c>
      <c r="X2606" s="143" t="str">
        <f t="shared" si="13"/>
        <v>磨毛0134</v>
      </c>
      <c r="Y2606" s="169" t="s">
        <v>3147</v>
      </c>
      <c r="Z2606" s="143" t="str">
        <f t="shared" si="14"/>
        <v>磨毛0134</v>
      </c>
      <c r="AA2606" s="173"/>
    </row>
    <row r="2607" ht="15" spans="1:27">
      <c r="A2607" s="143">
        <v>2566</v>
      </c>
      <c r="B2607" s="144">
        <v>45971</v>
      </c>
      <c r="C2607" s="169" t="s">
        <v>3277</v>
      </c>
      <c r="D2607" s="143" t="s">
        <v>41</v>
      </c>
      <c r="E2607" s="196" t="s">
        <v>7047</v>
      </c>
      <c r="F2607" s="169" t="s">
        <v>7266</v>
      </c>
      <c r="H2607" s="177" t="s">
        <v>7267</v>
      </c>
      <c r="I2607" s="143" t="s">
        <v>7192</v>
      </c>
      <c r="J2607" s="143" t="s">
        <v>7113</v>
      </c>
      <c r="K2607" s="143">
        <v>145</v>
      </c>
      <c r="L2607" s="143">
        <v>140</v>
      </c>
      <c r="S2607" s="215"/>
      <c r="T2607" s="215"/>
      <c r="U2607" s="215"/>
      <c r="V2607" s="216"/>
      <c r="W2607" s="143" t="s">
        <v>3147</v>
      </c>
      <c r="X2607" s="143" t="str">
        <f t="shared" si="13"/>
        <v>磨毛0136</v>
      </c>
      <c r="Y2607" s="169" t="s">
        <v>3147</v>
      </c>
      <c r="Z2607" s="143" t="str">
        <f t="shared" si="14"/>
        <v>磨毛0136</v>
      </c>
      <c r="AA2607" s="173"/>
    </row>
    <row r="2608" ht="15" spans="1:27">
      <c r="A2608" s="143">
        <v>2567</v>
      </c>
      <c r="B2608" s="144">
        <v>45971</v>
      </c>
      <c r="C2608" s="169" t="s">
        <v>3277</v>
      </c>
      <c r="D2608" s="143" t="s">
        <v>41</v>
      </c>
      <c r="E2608" s="196" t="s">
        <v>7047</v>
      </c>
      <c r="F2608" s="169" t="s">
        <v>7268</v>
      </c>
      <c r="H2608" s="177" t="s">
        <v>7269</v>
      </c>
      <c r="I2608" s="143" t="s">
        <v>7192</v>
      </c>
      <c r="J2608" s="143" t="s">
        <v>7113</v>
      </c>
      <c r="K2608" s="143">
        <v>145</v>
      </c>
      <c r="L2608" s="143">
        <v>140</v>
      </c>
      <c r="S2608" s="215"/>
      <c r="T2608" s="215"/>
      <c r="U2608" s="215"/>
      <c r="V2608" s="216"/>
      <c r="W2608" s="143" t="s">
        <v>3147</v>
      </c>
      <c r="X2608" s="143" t="str">
        <f t="shared" si="13"/>
        <v>磨毛0157</v>
      </c>
      <c r="Y2608" s="169" t="s">
        <v>3147</v>
      </c>
      <c r="Z2608" s="143" t="str">
        <f t="shared" si="14"/>
        <v>磨毛0157</v>
      </c>
      <c r="AA2608" s="173"/>
    </row>
    <row r="2609" ht="15" spans="1:27">
      <c r="A2609" s="143">
        <v>2568</v>
      </c>
      <c r="B2609" s="144">
        <v>45971</v>
      </c>
      <c r="C2609" s="169" t="s">
        <v>3277</v>
      </c>
      <c r="D2609" s="143" t="s">
        <v>41</v>
      </c>
      <c r="E2609" s="196" t="s">
        <v>7047</v>
      </c>
      <c r="F2609" s="169" t="s">
        <v>7270</v>
      </c>
      <c r="H2609" s="177" t="s">
        <v>7271</v>
      </c>
      <c r="I2609" s="143" t="s">
        <v>7192</v>
      </c>
      <c r="J2609" s="143" t="s">
        <v>7113</v>
      </c>
      <c r="K2609" s="143">
        <v>145</v>
      </c>
      <c r="L2609" s="143">
        <v>140</v>
      </c>
      <c r="S2609" s="215"/>
      <c r="T2609" s="215"/>
      <c r="U2609" s="215"/>
      <c r="V2609" s="216"/>
      <c r="W2609" s="143" t="s">
        <v>3147</v>
      </c>
      <c r="X2609" s="143" t="str">
        <f t="shared" si="13"/>
        <v>磨毛0166</v>
      </c>
      <c r="Y2609" s="169" t="s">
        <v>3147</v>
      </c>
      <c r="Z2609" s="143" t="str">
        <f t="shared" si="14"/>
        <v>磨毛0166</v>
      </c>
      <c r="AA2609" s="173"/>
    </row>
    <row r="2610" ht="15" spans="1:27">
      <c r="A2610" s="143">
        <v>2569</v>
      </c>
      <c r="B2610" s="144">
        <v>45971</v>
      </c>
      <c r="C2610" s="169" t="s">
        <v>3277</v>
      </c>
      <c r="D2610" s="143" t="s">
        <v>41</v>
      </c>
      <c r="E2610" s="196" t="s">
        <v>7047</v>
      </c>
      <c r="F2610" s="169" t="s">
        <v>7272</v>
      </c>
      <c r="H2610" s="143" t="s">
        <v>7273</v>
      </c>
      <c r="I2610" s="143" t="s">
        <v>7192</v>
      </c>
      <c r="J2610" s="143" t="s">
        <v>7113</v>
      </c>
      <c r="K2610" s="143">
        <v>145</v>
      </c>
      <c r="S2610" s="215"/>
      <c r="T2610" s="215"/>
      <c r="U2610" s="215"/>
      <c r="V2610" s="216"/>
      <c r="W2610" s="143" t="s">
        <v>3147</v>
      </c>
      <c r="X2610" s="143" t="str">
        <f t="shared" si="13"/>
        <v>格D360#</v>
      </c>
      <c r="Y2610" s="169" t="s">
        <v>3147</v>
      </c>
      <c r="Z2610" s="143" t="str">
        <f t="shared" si="14"/>
        <v>格D360#</v>
      </c>
      <c r="AA2610" s="173"/>
    </row>
    <row r="2611" ht="15" spans="1:27">
      <c r="A2611" s="143">
        <v>2570</v>
      </c>
      <c r="B2611" s="144">
        <v>45971</v>
      </c>
      <c r="C2611" s="169" t="s">
        <v>3277</v>
      </c>
      <c r="D2611" s="143" t="s">
        <v>41</v>
      </c>
      <c r="E2611" s="196" t="s">
        <v>7047</v>
      </c>
      <c r="F2611" s="169" t="s">
        <v>7274</v>
      </c>
      <c r="H2611" s="177" t="s">
        <v>7275</v>
      </c>
      <c r="I2611" s="143" t="s">
        <v>7192</v>
      </c>
      <c r="J2611" s="143" t="s">
        <v>7113</v>
      </c>
      <c r="K2611" s="143">
        <v>145</v>
      </c>
      <c r="L2611" s="143">
        <v>140</v>
      </c>
      <c r="S2611" s="215"/>
      <c r="T2611" s="215"/>
      <c r="U2611" s="215"/>
      <c r="V2611" s="216"/>
      <c r="W2611" s="143" t="s">
        <v>3147</v>
      </c>
      <c r="X2611" s="143" t="str">
        <f t="shared" si="13"/>
        <v>格D355#</v>
      </c>
      <c r="Y2611" s="169" t="s">
        <v>3147</v>
      </c>
      <c r="Z2611" s="143" t="str">
        <f t="shared" si="14"/>
        <v>格D355#</v>
      </c>
      <c r="AA2611" s="173"/>
    </row>
    <row r="2612" ht="15" spans="1:27">
      <c r="A2612" s="143">
        <v>2571</v>
      </c>
      <c r="B2612" s="144">
        <v>45971</v>
      </c>
      <c r="C2612" s="169" t="s">
        <v>3277</v>
      </c>
      <c r="D2612" s="143" t="s">
        <v>41</v>
      </c>
      <c r="E2612" s="196" t="s">
        <v>7047</v>
      </c>
      <c r="F2612" s="169" t="s">
        <v>7276</v>
      </c>
      <c r="H2612" s="177" t="s">
        <v>7277</v>
      </c>
      <c r="I2612" s="143" t="s">
        <v>7192</v>
      </c>
      <c r="J2612" s="143" t="s">
        <v>7113</v>
      </c>
      <c r="K2612" s="143">
        <v>145</v>
      </c>
      <c r="L2612" s="143">
        <v>140</v>
      </c>
      <c r="S2612" s="215"/>
      <c r="T2612" s="215"/>
      <c r="U2612" s="215"/>
      <c r="V2612" s="216"/>
      <c r="W2612" s="143" t="s">
        <v>3147</v>
      </c>
      <c r="X2612" s="143" t="str">
        <f t="shared" si="13"/>
        <v>格D352#</v>
      </c>
      <c r="Y2612" s="169" t="s">
        <v>3147</v>
      </c>
      <c r="Z2612" s="143" t="str">
        <f t="shared" si="14"/>
        <v>格D352#</v>
      </c>
      <c r="AA2612" s="173"/>
    </row>
    <row r="2613" ht="15" spans="1:27">
      <c r="A2613" s="143">
        <v>2572</v>
      </c>
      <c r="B2613" s="144">
        <v>45971</v>
      </c>
      <c r="C2613" s="169" t="s">
        <v>3277</v>
      </c>
      <c r="D2613" s="143" t="s">
        <v>41</v>
      </c>
      <c r="E2613" s="196" t="s">
        <v>7047</v>
      </c>
      <c r="F2613" s="169" t="s">
        <v>7278</v>
      </c>
      <c r="H2613" s="177" t="s">
        <v>7279</v>
      </c>
      <c r="I2613" s="143" t="s">
        <v>7192</v>
      </c>
      <c r="J2613" s="143" t="s">
        <v>7113</v>
      </c>
      <c r="K2613" s="143">
        <v>145</v>
      </c>
      <c r="L2613" s="143">
        <v>140</v>
      </c>
      <c r="S2613" s="215"/>
      <c r="T2613" s="215"/>
      <c r="U2613" s="215"/>
      <c r="V2613" s="216"/>
      <c r="W2613" s="143" t="s">
        <v>3147</v>
      </c>
      <c r="X2613" s="143" t="str">
        <f t="shared" si="13"/>
        <v>格D351#</v>
      </c>
      <c r="Y2613" s="169" t="s">
        <v>3147</v>
      </c>
      <c r="Z2613" s="143" t="str">
        <f t="shared" si="14"/>
        <v>格D351#</v>
      </c>
      <c r="AA2613" s="173"/>
    </row>
    <row r="2614" ht="15" spans="1:27">
      <c r="A2614" s="143">
        <v>2573</v>
      </c>
      <c r="B2614" s="144">
        <v>45971</v>
      </c>
      <c r="C2614" s="169" t="s">
        <v>3277</v>
      </c>
      <c r="D2614" s="143" t="s">
        <v>41</v>
      </c>
      <c r="E2614" s="196" t="s">
        <v>7047</v>
      </c>
      <c r="F2614" s="169" t="s">
        <v>7280</v>
      </c>
      <c r="H2614" s="177" t="s">
        <v>7281</v>
      </c>
      <c r="I2614" s="143" t="s">
        <v>7192</v>
      </c>
      <c r="J2614" s="143" t="s">
        <v>7113</v>
      </c>
      <c r="K2614" s="143">
        <v>145</v>
      </c>
      <c r="L2614" s="143">
        <v>140</v>
      </c>
      <c r="S2614" s="215"/>
      <c r="T2614" s="215"/>
      <c r="U2614" s="215"/>
      <c r="V2614" s="216"/>
      <c r="W2614" s="143" t="s">
        <v>3147</v>
      </c>
      <c r="X2614" s="143" t="str">
        <f t="shared" si="13"/>
        <v>格D307#</v>
      </c>
      <c r="Y2614" s="169" t="s">
        <v>3147</v>
      </c>
      <c r="Z2614" s="143" t="str">
        <f t="shared" si="14"/>
        <v>格D307#</v>
      </c>
      <c r="AA2614" s="173"/>
    </row>
    <row r="2615" ht="15" spans="1:27">
      <c r="A2615" s="143">
        <v>2574</v>
      </c>
      <c r="B2615" s="144">
        <v>45971</v>
      </c>
      <c r="C2615" s="169" t="s">
        <v>3277</v>
      </c>
      <c r="D2615" s="143" t="s">
        <v>41</v>
      </c>
      <c r="E2615" s="196" t="s">
        <v>7047</v>
      </c>
      <c r="F2615" s="169" t="s">
        <v>7282</v>
      </c>
      <c r="H2615" s="177" t="s">
        <v>7283</v>
      </c>
      <c r="I2615" s="143" t="s">
        <v>7192</v>
      </c>
      <c r="J2615" s="143" t="s">
        <v>7113</v>
      </c>
      <c r="K2615" s="143">
        <v>145</v>
      </c>
      <c r="L2615" s="143">
        <v>140</v>
      </c>
      <c r="S2615" s="215"/>
      <c r="T2615" s="215"/>
      <c r="U2615" s="215"/>
      <c r="V2615" s="216"/>
      <c r="W2615" s="143" t="s">
        <v>3147</v>
      </c>
      <c r="X2615" s="143" t="str">
        <f t="shared" si="13"/>
        <v>格D322#</v>
      </c>
      <c r="Y2615" s="169" t="s">
        <v>3147</v>
      </c>
      <c r="Z2615" s="143" t="str">
        <f t="shared" si="14"/>
        <v>格D322#</v>
      </c>
      <c r="AA2615" s="173"/>
    </row>
    <row r="2616" ht="15" spans="1:27">
      <c r="A2616" s="143">
        <v>2575</v>
      </c>
      <c r="B2616" s="144">
        <v>45971</v>
      </c>
      <c r="C2616" s="169" t="s">
        <v>3277</v>
      </c>
      <c r="D2616" s="143" t="s">
        <v>41</v>
      </c>
      <c r="E2616" s="196" t="s">
        <v>7047</v>
      </c>
      <c r="F2616" s="169" t="s">
        <v>7284</v>
      </c>
      <c r="H2616" s="143" t="s">
        <v>7285</v>
      </c>
      <c r="I2616" s="143" t="s">
        <v>7192</v>
      </c>
      <c r="J2616" s="143" t="s">
        <v>7113</v>
      </c>
      <c r="K2616" s="143">
        <v>145</v>
      </c>
      <c r="S2616" s="215"/>
      <c r="T2616" s="215"/>
      <c r="U2616" s="215"/>
      <c r="V2616" s="216"/>
      <c r="W2616" s="143" t="s">
        <v>3147</v>
      </c>
      <c r="X2616" s="143" t="str">
        <f t="shared" si="13"/>
        <v>磨毛033</v>
      </c>
      <c r="Y2616" s="169" t="s">
        <v>3147</v>
      </c>
      <c r="Z2616" s="143" t="str">
        <f t="shared" si="14"/>
        <v>磨毛033</v>
      </c>
      <c r="AA2616" s="173"/>
    </row>
    <row r="2617" ht="15" spans="1:27">
      <c r="A2617" s="143">
        <v>2576</v>
      </c>
      <c r="B2617" s="144">
        <v>45971</v>
      </c>
      <c r="C2617" s="169" t="s">
        <v>3277</v>
      </c>
      <c r="D2617" s="143" t="s">
        <v>41</v>
      </c>
      <c r="E2617" s="196" t="s">
        <v>7047</v>
      </c>
      <c r="F2617" s="169" t="s">
        <v>7286</v>
      </c>
      <c r="H2617" s="143" t="s">
        <v>7287</v>
      </c>
      <c r="I2617" s="143" t="s">
        <v>7192</v>
      </c>
      <c r="J2617" s="143" t="s">
        <v>7113</v>
      </c>
      <c r="K2617" s="143">
        <v>145</v>
      </c>
      <c r="S2617" s="215"/>
      <c r="T2617" s="215"/>
      <c r="U2617" s="215"/>
      <c r="V2617" s="216"/>
      <c r="W2617" s="143" t="s">
        <v>3147</v>
      </c>
      <c r="X2617" s="143" t="str">
        <f t="shared" si="13"/>
        <v>磨毛051</v>
      </c>
      <c r="Y2617" s="169" t="s">
        <v>3147</v>
      </c>
      <c r="Z2617" s="143" t="str">
        <f t="shared" si="14"/>
        <v>磨毛051</v>
      </c>
      <c r="AA2617" s="173"/>
    </row>
    <row r="2618" ht="15" spans="1:27">
      <c r="A2618" s="143">
        <v>2577</v>
      </c>
      <c r="B2618" s="144">
        <v>45971</v>
      </c>
      <c r="C2618" s="169" t="s">
        <v>3277</v>
      </c>
      <c r="D2618" s="143" t="s">
        <v>41</v>
      </c>
      <c r="E2618" s="196" t="s">
        <v>7047</v>
      </c>
      <c r="F2618" s="169" t="s">
        <v>7288</v>
      </c>
      <c r="H2618" s="177" t="s">
        <v>7289</v>
      </c>
      <c r="I2618" s="143" t="s">
        <v>7192</v>
      </c>
      <c r="J2618" s="143" t="s">
        <v>7113</v>
      </c>
      <c r="K2618" s="143">
        <v>145</v>
      </c>
      <c r="L2618" s="143">
        <v>140</v>
      </c>
      <c r="S2618" s="215"/>
      <c r="T2618" s="215"/>
      <c r="U2618" s="215"/>
      <c r="V2618" s="216"/>
      <c r="W2618" s="143" t="s">
        <v>3147</v>
      </c>
      <c r="X2618" s="143" t="str">
        <f t="shared" si="13"/>
        <v>磨毛061</v>
      </c>
      <c r="Y2618" s="169" t="s">
        <v>3147</v>
      </c>
      <c r="Z2618" s="143" t="str">
        <f t="shared" si="14"/>
        <v>磨毛061</v>
      </c>
      <c r="AA2618" s="173"/>
    </row>
    <row r="2619" ht="15" spans="1:27">
      <c r="A2619" s="143">
        <v>2578</v>
      </c>
      <c r="B2619" s="144">
        <v>45971</v>
      </c>
      <c r="C2619" s="169" t="s">
        <v>3277</v>
      </c>
      <c r="D2619" s="143" t="s">
        <v>41</v>
      </c>
      <c r="E2619" s="196" t="s">
        <v>7047</v>
      </c>
      <c r="F2619" s="169" t="s">
        <v>7290</v>
      </c>
      <c r="H2619" s="177" t="s">
        <v>7291</v>
      </c>
      <c r="I2619" s="143" t="s">
        <v>7192</v>
      </c>
      <c r="J2619" s="143" t="s">
        <v>7113</v>
      </c>
      <c r="K2619" s="143">
        <v>145</v>
      </c>
      <c r="L2619" s="143">
        <v>140</v>
      </c>
      <c r="S2619" s="215"/>
      <c r="T2619" s="215"/>
      <c r="U2619" s="215"/>
      <c r="V2619" s="216"/>
      <c r="W2619" s="143" t="s">
        <v>3147</v>
      </c>
      <c r="X2619" s="143" t="str">
        <f t="shared" si="13"/>
        <v>磨毛0103</v>
      </c>
      <c r="Y2619" s="169" t="s">
        <v>3147</v>
      </c>
      <c r="Z2619" s="143" t="str">
        <f t="shared" si="14"/>
        <v>磨毛0103</v>
      </c>
      <c r="AA2619" s="173"/>
    </row>
    <row r="2620" ht="15" spans="1:27">
      <c r="A2620" s="143">
        <v>2579</v>
      </c>
      <c r="B2620" s="144">
        <v>45971</v>
      </c>
      <c r="C2620" s="169" t="s">
        <v>3277</v>
      </c>
      <c r="D2620" s="143" t="s">
        <v>41</v>
      </c>
      <c r="E2620" s="196" t="s">
        <v>7047</v>
      </c>
      <c r="F2620" s="169" t="s">
        <v>7292</v>
      </c>
      <c r="H2620" s="177" t="s">
        <v>7293</v>
      </c>
      <c r="I2620" s="143" t="s">
        <v>7192</v>
      </c>
      <c r="J2620" s="143" t="s">
        <v>7113</v>
      </c>
      <c r="K2620" s="143">
        <v>145</v>
      </c>
      <c r="L2620" s="143">
        <v>140</v>
      </c>
      <c r="S2620" s="215"/>
      <c r="T2620" s="215"/>
      <c r="U2620" s="215"/>
      <c r="V2620" s="216"/>
      <c r="W2620" s="143" t="s">
        <v>3147</v>
      </c>
      <c r="X2620" s="143" t="str">
        <f t="shared" si="13"/>
        <v>磨毛0112</v>
      </c>
      <c r="Y2620" s="169" t="s">
        <v>3147</v>
      </c>
      <c r="Z2620" s="143" t="str">
        <f t="shared" si="14"/>
        <v>磨毛0112</v>
      </c>
      <c r="AA2620" s="173"/>
    </row>
    <row r="2621" ht="15" spans="1:27">
      <c r="A2621" s="143">
        <v>2580</v>
      </c>
      <c r="B2621" s="144">
        <v>45971</v>
      </c>
      <c r="C2621" s="169" t="s">
        <v>3277</v>
      </c>
      <c r="D2621" s="143" t="s">
        <v>41</v>
      </c>
      <c r="E2621" s="196" t="s">
        <v>7047</v>
      </c>
      <c r="F2621" s="169" t="s">
        <v>7294</v>
      </c>
      <c r="H2621" s="143" t="s">
        <v>7295</v>
      </c>
      <c r="I2621" s="143" t="s">
        <v>7192</v>
      </c>
      <c r="J2621" s="143" t="s">
        <v>7113</v>
      </c>
      <c r="K2621" s="143">
        <v>145</v>
      </c>
      <c r="S2621" s="215"/>
      <c r="T2621" s="215"/>
      <c r="U2621" s="215"/>
      <c r="V2621" s="216"/>
      <c r="W2621" s="143" t="s">
        <v>3147</v>
      </c>
      <c r="X2621" s="143" t="str">
        <f t="shared" si="13"/>
        <v>磨毛0116</v>
      </c>
      <c r="Y2621" s="169" t="s">
        <v>3147</v>
      </c>
      <c r="Z2621" s="143" t="str">
        <f t="shared" si="14"/>
        <v>磨毛0116</v>
      </c>
      <c r="AA2621" s="173"/>
    </row>
    <row r="2622" ht="15" spans="1:27">
      <c r="A2622" s="143">
        <v>2581</v>
      </c>
      <c r="B2622" s="144">
        <v>45971</v>
      </c>
      <c r="C2622" s="169" t="s">
        <v>3277</v>
      </c>
      <c r="D2622" s="143" t="s">
        <v>41</v>
      </c>
      <c r="E2622" s="196" t="s">
        <v>7047</v>
      </c>
      <c r="F2622" s="169" t="s">
        <v>7296</v>
      </c>
      <c r="H2622" s="143" t="s">
        <v>7297</v>
      </c>
      <c r="I2622" s="143" t="s">
        <v>7192</v>
      </c>
      <c r="J2622" s="143" t="s">
        <v>7113</v>
      </c>
      <c r="K2622" s="143">
        <v>145</v>
      </c>
      <c r="S2622" s="215"/>
      <c r="T2622" s="215"/>
      <c r="U2622" s="215"/>
      <c r="V2622" s="216"/>
      <c r="W2622" s="143" t="s">
        <v>3147</v>
      </c>
      <c r="X2622" s="143" t="str">
        <f t="shared" si="13"/>
        <v>格F163#</v>
      </c>
      <c r="Y2622" s="169" t="s">
        <v>3147</v>
      </c>
      <c r="Z2622" s="143" t="str">
        <f t="shared" si="14"/>
        <v>格F163#</v>
      </c>
      <c r="AA2622" s="173"/>
    </row>
    <row r="2623" ht="15" spans="1:27">
      <c r="A2623" s="143">
        <v>2582</v>
      </c>
      <c r="B2623" s="144">
        <v>45971</v>
      </c>
      <c r="C2623" s="169" t="s">
        <v>3277</v>
      </c>
      <c r="D2623" s="143" t="s">
        <v>41</v>
      </c>
      <c r="E2623" s="196" t="s">
        <v>7047</v>
      </c>
      <c r="F2623" s="143" t="s">
        <v>7298</v>
      </c>
      <c r="H2623" s="143" t="s">
        <v>7299</v>
      </c>
      <c r="I2623" s="143" t="s">
        <v>7192</v>
      </c>
      <c r="J2623" s="143" t="s">
        <v>7113</v>
      </c>
      <c r="K2623" s="143">
        <v>145</v>
      </c>
      <c r="S2623" s="215"/>
      <c r="T2623" s="215"/>
      <c r="U2623" s="215"/>
      <c r="V2623" s="216"/>
      <c r="W2623" s="143" t="s">
        <v>3147</v>
      </c>
      <c r="X2623" s="143" t="str">
        <f t="shared" si="13"/>
        <v>D417</v>
      </c>
      <c r="Y2623" s="169" t="s">
        <v>3147</v>
      </c>
      <c r="Z2623" s="143" t="str">
        <f t="shared" si="14"/>
        <v>D417</v>
      </c>
      <c r="AA2623" s="173"/>
    </row>
    <row r="2624" ht="15" spans="1:27">
      <c r="A2624" s="143">
        <v>2583</v>
      </c>
      <c r="B2624" s="144">
        <v>45971</v>
      </c>
      <c r="C2624" s="169" t="s">
        <v>3277</v>
      </c>
      <c r="D2624" s="143" t="s">
        <v>41</v>
      </c>
      <c r="E2624" s="196" t="s">
        <v>7047</v>
      </c>
      <c r="F2624" s="143" t="s">
        <v>7300</v>
      </c>
      <c r="H2624" s="143" t="s">
        <v>7301</v>
      </c>
      <c r="I2624" s="143" t="s">
        <v>7192</v>
      </c>
      <c r="J2624" s="143" t="s">
        <v>7113</v>
      </c>
      <c r="K2624" s="143">
        <v>145</v>
      </c>
      <c r="S2624" s="215"/>
      <c r="T2624" s="215"/>
      <c r="U2624" s="215"/>
      <c r="V2624" s="216"/>
      <c r="W2624" s="143" t="s">
        <v>3147</v>
      </c>
      <c r="X2624" s="143" t="str">
        <f t="shared" si="13"/>
        <v>D414#</v>
      </c>
      <c r="Y2624" s="169" t="s">
        <v>3147</v>
      </c>
      <c r="Z2624" s="143" t="str">
        <f t="shared" si="14"/>
        <v>D414#</v>
      </c>
      <c r="AA2624" s="173"/>
    </row>
    <row r="2625" ht="15" spans="1:39">
      <c r="A2625" s="143">
        <v>2584</v>
      </c>
      <c r="B2625" s="144">
        <v>45971</v>
      </c>
      <c r="C2625" s="169" t="s">
        <v>3277</v>
      </c>
      <c r="D2625" s="143" t="s">
        <v>41</v>
      </c>
      <c r="E2625" s="196" t="s">
        <v>7047</v>
      </c>
      <c r="F2625" s="143" t="s">
        <v>7302</v>
      </c>
      <c r="H2625" s="143" t="s">
        <v>7303</v>
      </c>
      <c r="I2625" s="143" t="s">
        <v>7192</v>
      </c>
      <c r="J2625" s="143" t="s">
        <v>7113</v>
      </c>
      <c r="K2625" s="143">
        <v>145</v>
      </c>
      <c r="S2625" s="215"/>
      <c r="T2625" s="215"/>
      <c r="U2625" s="215"/>
      <c r="V2625" s="216"/>
      <c r="W2625" s="143" t="s">
        <v>3147</v>
      </c>
      <c r="X2625" s="143" t="str">
        <f t="shared" si="13"/>
        <v>D420#</v>
      </c>
      <c r="Y2625" s="169" t="s">
        <v>3147</v>
      </c>
      <c r="Z2625" s="143" t="str">
        <f t="shared" si="14"/>
        <v>D420#</v>
      </c>
      <c r="AA2625" s="173"/>
    </row>
    <row r="2626" ht="15" spans="1:39">
      <c r="A2626" s="143">
        <v>2585</v>
      </c>
      <c r="B2626" s="144">
        <v>45971</v>
      </c>
      <c r="C2626" s="169" t="s">
        <v>3277</v>
      </c>
      <c r="D2626" s="143" t="s">
        <v>41</v>
      </c>
      <c r="E2626" s="196" t="s">
        <v>7047</v>
      </c>
      <c r="F2626" s="169" t="s">
        <v>7304</v>
      </c>
      <c r="H2626" s="143" t="s">
        <v>7305</v>
      </c>
      <c r="I2626" s="143" t="s">
        <v>7192</v>
      </c>
      <c r="J2626" s="143" t="s">
        <v>7113</v>
      </c>
      <c r="K2626" s="143">
        <v>145</v>
      </c>
      <c r="S2626" s="215"/>
      <c r="T2626" s="215"/>
      <c r="U2626" s="215"/>
      <c r="V2626" s="216"/>
      <c r="W2626" s="143" t="s">
        <v>3147</v>
      </c>
      <c r="X2626" s="143" t="str">
        <f t="shared" si="13"/>
        <v>格D401#</v>
      </c>
      <c r="Y2626" s="169" t="s">
        <v>3147</v>
      </c>
      <c r="Z2626" s="143" t="str">
        <f t="shared" si="14"/>
        <v>格D401#</v>
      </c>
      <c r="AA2626" s="173"/>
    </row>
    <row r="2627" ht="15" spans="1:39">
      <c r="A2627" s="143">
        <v>2586</v>
      </c>
      <c r="B2627" s="144">
        <v>45971</v>
      </c>
      <c r="C2627" s="169" t="s">
        <v>3277</v>
      </c>
      <c r="D2627" s="143" t="s">
        <v>41</v>
      </c>
      <c r="E2627" s="196" t="s">
        <v>7047</v>
      </c>
      <c r="F2627" s="143" t="s">
        <v>7306</v>
      </c>
      <c r="H2627" s="143" t="s">
        <v>7307</v>
      </c>
      <c r="I2627" s="143" t="s">
        <v>7199</v>
      </c>
      <c r="J2627" s="143" t="s">
        <v>7139</v>
      </c>
      <c r="K2627" s="143">
        <v>145</v>
      </c>
      <c r="S2627" s="215"/>
      <c r="T2627" s="215"/>
      <c r="U2627" s="215"/>
      <c r="V2627" s="216"/>
      <c r="W2627" s="143" t="s">
        <v>3147</v>
      </c>
      <c r="X2627" s="143" t="str">
        <f t="shared" si="13"/>
        <v>D418</v>
      </c>
      <c r="Y2627" s="169" t="s">
        <v>3147</v>
      </c>
      <c r="Z2627" s="143" t="str">
        <f t="shared" si="14"/>
        <v>D418</v>
      </c>
      <c r="AA2627" s="173"/>
    </row>
    <row r="2628" ht="15" spans="1:39">
      <c r="A2628" s="143">
        <v>2587</v>
      </c>
      <c r="B2628" s="144">
        <v>45971</v>
      </c>
      <c r="C2628" s="169" t="s">
        <v>3277</v>
      </c>
      <c r="D2628" s="143" t="s">
        <v>41</v>
      </c>
      <c r="E2628" s="196" t="s">
        <v>7047</v>
      </c>
      <c r="F2628" s="169" t="s">
        <v>7308</v>
      </c>
      <c r="H2628" s="177" t="s">
        <v>7309</v>
      </c>
      <c r="I2628" s="143" t="s">
        <v>7192</v>
      </c>
      <c r="J2628" s="143" t="s">
        <v>7113</v>
      </c>
      <c r="K2628" s="143">
        <v>145</v>
      </c>
      <c r="L2628" s="143">
        <v>140</v>
      </c>
      <c r="S2628" s="215"/>
      <c r="T2628" s="215"/>
      <c r="U2628" s="215"/>
      <c r="V2628" s="216"/>
      <c r="W2628" s="143" t="s">
        <v>3147</v>
      </c>
      <c r="X2628" s="143" t="str">
        <f t="shared" si="13"/>
        <v>磨毛041</v>
      </c>
      <c r="Y2628" s="169" t="s">
        <v>3147</v>
      </c>
      <c r="Z2628" s="143" t="str">
        <f t="shared" si="14"/>
        <v>磨毛041</v>
      </c>
      <c r="AA2628" s="173"/>
    </row>
    <row r="2629" ht="15" spans="1:39">
      <c r="A2629" s="143">
        <v>2588</v>
      </c>
      <c r="B2629" s="144">
        <v>45971</v>
      </c>
      <c r="C2629" s="169" t="s">
        <v>3277</v>
      </c>
      <c r="D2629" s="143" t="s">
        <v>41</v>
      </c>
      <c r="E2629" s="196" t="s">
        <v>7047</v>
      </c>
      <c r="F2629" s="169" t="s">
        <v>7310</v>
      </c>
      <c r="H2629" s="177" t="s">
        <v>7311</v>
      </c>
      <c r="I2629" s="143" t="s">
        <v>7192</v>
      </c>
      <c r="J2629" s="143" t="s">
        <v>7113</v>
      </c>
      <c r="K2629" s="143">
        <v>145</v>
      </c>
      <c r="L2629" s="143">
        <v>140</v>
      </c>
      <c r="S2629" s="215"/>
      <c r="T2629" s="215"/>
      <c r="U2629" s="215"/>
      <c r="V2629" s="216"/>
      <c r="W2629" s="143" t="s">
        <v>3147</v>
      </c>
      <c r="X2629" s="143" t="str">
        <f t="shared" si="13"/>
        <v>磨毛047</v>
      </c>
      <c r="Y2629" s="169" t="s">
        <v>3147</v>
      </c>
      <c r="Z2629" s="143" t="str">
        <f t="shared" si="14"/>
        <v>磨毛047</v>
      </c>
      <c r="AA2629" s="173"/>
    </row>
    <row r="2630" ht="15" spans="1:39">
      <c r="A2630" s="143">
        <v>2589</v>
      </c>
      <c r="B2630" s="144">
        <v>45971</v>
      </c>
      <c r="C2630" s="169" t="s">
        <v>3277</v>
      </c>
      <c r="D2630" s="143" t="s">
        <v>41</v>
      </c>
      <c r="E2630" s="196" t="s">
        <v>7047</v>
      </c>
      <c r="F2630" s="169" t="s">
        <v>7312</v>
      </c>
      <c r="H2630" s="177" t="s">
        <v>7313</v>
      </c>
      <c r="I2630" s="143" t="s">
        <v>7192</v>
      </c>
      <c r="J2630" s="143" t="s">
        <v>7113</v>
      </c>
      <c r="K2630" s="143">
        <v>145</v>
      </c>
      <c r="L2630" s="143">
        <v>140</v>
      </c>
      <c r="S2630" s="215"/>
      <c r="T2630" s="215"/>
      <c r="U2630" s="215"/>
      <c r="V2630" s="216"/>
      <c r="W2630" s="143" t="s">
        <v>3147</v>
      </c>
      <c r="X2630" s="143" t="str">
        <f t="shared" si="13"/>
        <v>磨毛059</v>
      </c>
      <c r="Y2630" s="169" t="s">
        <v>3147</v>
      </c>
      <c r="Z2630" s="143" t="str">
        <f t="shared" si="14"/>
        <v>磨毛059</v>
      </c>
      <c r="AA2630" s="173"/>
    </row>
    <row r="2631" ht="15" spans="1:39">
      <c r="A2631" s="143">
        <v>2590</v>
      </c>
      <c r="B2631" s="144">
        <v>45971</v>
      </c>
      <c r="C2631" s="169" t="s">
        <v>3277</v>
      </c>
      <c r="D2631" s="143" t="s">
        <v>41</v>
      </c>
      <c r="E2631" s="196" t="s">
        <v>7047</v>
      </c>
      <c r="F2631" s="169" t="s">
        <v>7314</v>
      </c>
      <c r="H2631" s="177" t="s">
        <v>7315</v>
      </c>
      <c r="I2631" s="143" t="s">
        <v>7192</v>
      </c>
      <c r="J2631" s="143" t="s">
        <v>7113</v>
      </c>
      <c r="K2631" s="143">
        <v>145</v>
      </c>
      <c r="L2631" s="143">
        <v>140</v>
      </c>
      <c r="S2631" s="215"/>
      <c r="T2631" s="215"/>
      <c r="U2631" s="215"/>
      <c r="V2631" s="216"/>
      <c r="W2631" s="143" t="s">
        <v>3147</v>
      </c>
      <c r="X2631" s="143" t="str">
        <f t="shared" si="13"/>
        <v>磨毛027</v>
      </c>
      <c r="Y2631" s="169" t="s">
        <v>3147</v>
      </c>
      <c r="Z2631" s="143" t="str">
        <f t="shared" si="14"/>
        <v>磨毛027</v>
      </c>
      <c r="AA2631" s="173"/>
    </row>
    <row r="2632" ht="15" spans="1:39">
      <c r="A2632" s="143">
        <v>2591</v>
      </c>
      <c r="B2632" s="144">
        <v>45971</v>
      </c>
      <c r="C2632" s="169" t="s">
        <v>3277</v>
      </c>
      <c r="D2632" s="143" t="s">
        <v>41</v>
      </c>
      <c r="E2632" s="196" t="s">
        <v>7047</v>
      </c>
      <c r="F2632" s="169" t="s">
        <v>7316</v>
      </c>
      <c r="H2632" s="177" t="s">
        <v>7317</v>
      </c>
      <c r="I2632" s="143" t="s">
        <v>7192</v>
      </c>
      <c r="J2632" s="143" t="s">
        <v>7113</v>
      </c>
      <c r="K2632" s="143">
        <v>145</v>
      </c>
      <c r="L2632" s="143">
        <v>140</v>
      </c>
      <c r="S2632" s="215"/>
      <c r="T2632" s="215"/>
      <c r="U2632" s="215"/>
      <c r="V2632" s="216"/>
      <c r="W2632" s="143" t="s">
        <v>3147</v>
      </c>
      <c r="X2632" s="143" t="str">
        <f t="shared" si="13"/>
        <v>磨毛030</v>
      </c>
      <c r="Y2632" s="169" t="s">
        <v>3147</v>
      </c>
      <c r="Z2632" s="143" t="str">
        <f t="shared" si="14"/>
        <v>磨毛030</v>
      </c>
      <c r="AA2632" s="173"/>
    </row>
    <row r="2633" ht="15" spans="1:39">
      <c r="A2633" s="143">
        <v>2592</v>
      </c>
      <c r="B2633" s="144">
        <v>45971</v>
      </c>
      <c r="C2633" s="169" t="s">
        <v>3277</v>
      </c>
      <c r="D2633" s="143" t="s">
        <v>41</v>
      </c>
      <c r="E2633" s="196" t="s">
        <v>7047</v>
      </c>
      <c r="F2633" s="169" t="s">
        <v>7318</v>
      </c>
      <c r="H2633" s="177" t="s">
        <v>7319</v>
      </c>
      <c r="I2633" s="143" t="s">
        <v>7192</v>
      </c>
      <c r="J2633" s="143" t="s">
        <v>7113</v>
      </c>
      <c r="K2633" s="143">
        <v>145</v>
      </c>
      <c r="L2633" s="143">
        <v>140</v>
      </c>
      <c r="S2633" s="215"/>
      <c r="T2633" s="215"/>
      <c r="U2633" s="215"/>
      <c r="V2633" s="216"/>
      <c r="W2633" s="143" t="s">
        <v>3147</v>
      </c>
      <c r="X2633" s="143" t="str">
        <f t="shared" si="13"/>
        <v>磨毛036</v>
      </c>
      <c r="Y2633" s="169" t="s">
        <v>3147</v>
      </c>
      <c r="Z2633" s="143" t="str">
        <f t="shared" si="14"/>
        <v>磨毛036</v>
      </c>
      <c r="AA2633" s="173"/>
    </row>
    <row r="2634" ht="15" spans="1:39">
      <c r="A2634" s="143">
        <v>2593</v>
      </c>
      <c r="C2634" s="169" t="s">
        <v>3148</v>
      </c>
      <c r="D2634" s="143" t="s">
        <v>41</v>
      </c>
      <c r="E2634" s="196" t="s">
        <v>7047</v>
      </c>
      <c r="F2634" s="143">
        <v>202</v>
      </c>
      <c r="H2634" s="143" t="s">
        <v>7320</v>
      </c>
      <c r="I2634" s="143" t="s">
        <v>7321</v>
      </c>
      <c r="J2634" s="143" t="s">
        <v>7322</v>
      </c>
      <c r="K2634" s="143">
        <v>150</v>
      </c>
      <c r="L2634" s="143">
        <v>265</v>
      </c>
      <c r="W2634" s="143" t="s">
        <v>3147</v>
      </c>
      <c r="X2634" s="143">
        <v>202</v>
      </c>
      <c r="Y2634" s="169" t="s">
        <v>3147</v>
      </c>
      <c r="Z2634" s="143">
        <v>202</v>
      </c>
      <c r="AA2634" s="173">
        <v>15.5</v>
      </c>
    </row>
    <row r="2635" ht="15" spans="1:39">
      <c r="A2635" s="143">
        <v>2594</v>
      </c>
      <c r="C2635" s="169" t="s">
        <v>3148</v>
      </c>
      <c r="D2635" s="143" t="s">
        <v>41</v>
      </c>
      <c r="E2635" s="196" t="s">
        <v>7047</v>
      </c>
      <c r="F2635" s="143">
        <v>816</v>
      </c>
      <c r="H2635" s="220" t="s">
        <v>7323</v>
      </c>
      <c r="I2635" s="143" t="s">
        <v>5991</v>
      </c>
      <c r="J2635" s="143" t="s">
        <v>7324</v>
      </c>
      <c r="K2635" s="143">
        <v>150</v>
      </c>
      <c r="L2635" s="143">
        <v>160</v>
      </c>
      <c r="W2635" s="143" t="s">
        <v>3147</v>
      </c>
      <c r="X2635" s="143">
        <v>816</v>
      </c>
      <c r="Y2635" s="169" t="s">
        <v>3147</v>
      </c>
      <c r="Z2635" s="143">
        <v>816</v>
      </c>
      <c r="AA2635" s="173">
        <v>12</v>
      </c>
    </row>
    <row r="2636" ht="15" spans="1:39">
      <c r="A2636" s="143">
        <v>2595</v>
      </c>
      <c r="C2636" s="169" t="s">
        <v>3148</v>
      </c>
      <c r="D2636" s="143" t="s">
        <v>41</v>
      </c>
      <c r="E2636" s="196" t="s">
        <v>7047</v>
      </c>
      <c r="F2636" s="143">
        <v>518</v>
      </c>
      <c r="H2636" s="220" t="s">
        <v>7325</v>
      </c>
      <c r="I2636" s="143" t="s">
        <v>5991</v>
      </c>
      <c r="J2636" s="143" t="s">
        <v>7324</v>
      </c>
      <c r="K2636" s="143">
        <v>150</v>
      </c>
      <c r="L2636" s="143">
        <v>220</v>
      </c>
      <c r="W2636" s="143" t="s">
        <v>3147</v>
      </c>
      <c r="X2636" s="143">
        <v>518</v>
      </c>
      <c r="Y2636" s="169" t="s">
        <v>3147</v>
      </c>
      <c r="Z2636" s="143">
        <v>518</v>
      </c>
      <c r="AA2636" s="173">
        <v>13.8</v>
      </c>
    </row>
    <row r="2637" ht="15" spans="1:39">
      <c r="A2637" s="143">
        <v>2596</v>
      </c>
      <c r="C2637" s="169" t="s">
        <v>3148</v>
      </c>
      <c r="D2637" s="143" t="s">
        <v>41</v>
      </c>
      <c r="E2637" s="196" t="s">
        <v>7047</v>
      </c>
      <c r="F2637" s="143">
        <v>328</v>
      </c>
      <c r="H2637" s="220" t="s">
        <v>7326</v>
      </c>
      <c r="I2637" s="143" t="s">
        <v>7327</v>
      </c>
      <c r="J2637" s="143" t="s">
        <v>7328</v>
      </c>
      <c r="K2637" s="143">
        <v>150</v>
      </c>
      <c r="L2637" s="143">
        <v>136</v>
      </c>
      <c r="W2637" s="143" t="s">
        <v>3147</v>
      </c>
      <c r="X2637" s="143">
        <v>328</v>
      </c>
      <c r="Y2637" s="169" t="s">
        <v>3147</v>
      </c>
      <c r="Z2637" s="143">
        <v>328</v>
      </c>
      <c r="AA2637" s="173">
        <v>10.3</v>
      </c>
    </row>
    <row r="2638" ht="15" spans="1:39">
      <c r="A2638" s="143">
        <v>2597</v>
      </c>
      <c r="C2638" s="169" t="s">
        <v>3148</v>
      </c>
      <c r="D2638" s="143" t="s">
        <v>41</v>
      </c>
      <c r="E2638" s="196" t="s">
        <v>7047</v>
      </c>
      <c r="F2638" s="143">
        <v>770</v>
      </c>
      <c r="H2638" s="143" t="s">
        <v>7329</v>
      </c>
      <c r="I2638" s="143" t="s">
        <v>3418</v>
      </c>
      <c r="J2638" s="143" t="s">
        <v>2917</v>
      </c>
      <c r="K2638" s="143">
        <v>150</v>
      </c>
      <c r="L2638" s="143">
        <v>220</v>
      </c>
      <c r="W2638" s="143" t="s">
        <v>3147</v>
      </c>
      <c r="X2638" s="143">
        <v>770</v>
      </c>
      <c r="Y2638" s="169" t="s">
        <v>3147</v>
      </c>
      <c r="Z2638" s="143">
        <v>770</v>
      </c>
      <c r="AA2638" s="173">
        <v>9.8</v>
      </c>
    </row>
    <row r="2639" ht="15" spans="1:39">
      <c r="A2639" s="143">
        <v>2598</v>
      </c>
      <c r="C2639" s="169" t="s">
        <v>3148</v>
      </c>
      <c r="D2639" s="143" t="s">
        <v>41</v>
      </c>
      <c r="E2639" s="196" t="s">
        <v>7047</v>
      </c>
      <c r="F2639" s="143">
        <v>786</v>
      </c>
      <c r="H2639" s="143" t="s">
        <v>7330</v>
      </c>
      <c r="I2639" s="143" t="s">
        <v>3224</v>
      </c>
      <c r="J2639" s="143" t="s">
        <v>1577</v>
      </c>
      <c r="K2639" s="143">
        <v>150</v>
      </c>
      <c r="L2639" s="143">
        <v>250</v>
      </c>
      <c r="W2639" s="143" t="s">
        <v>3147</v>
      </c>
      <c r="X2639" s="143">
        <v>786</v>
      </c>
      <c r="Y2639" s="169" t="s">
        <v>3147</v>
      </c>
      <c r="Z2639" s="143">
        <v>786</v>
      </c>
      <c r="AA2639" s="173">
        <v>10.8</v>
      </c>
    </row>
    <row r="2640" s="142" customFormat="1" ht="13.5" spans="1:39">
      <c r="A2640" s="143">
        <v>2599</v>
      </c>
      <c r="B2640" s="222"/>
      <c r="C2640" s="223" t="s">
        <v>3148</v>
      </c>
      <c r="D2640" s="223" t="s">
        <v>41</v>
      </c>
      <c r="E2640" s="224" t="s">
        <v>7047</v>
      </c>
      <c r="F2640" s="223">
        <v>820</v>
      </c>
      <c r="G2640" s="223"/>
      <c r="H2640" s="223" t="s">
        <v>7331</v>
      </c>
      <c r="I2640" s="223" t="s">
        <v>7332</v>
      </c>
      <c r="J2640" s="223" t="s">
        <v>7332</v>
      </c>
      <c r="K2640" s="225"/>
      <c r="L2640" s="225"/>
      <c r="M2640" s="223"/>
      <c r="N2640" s="223"/>
      <c r="O2640" s="223"/>
      <c r="P2640" s="223"/>
      <c r="Q2640" s="223"/>
      <c r="R2640" s="223"/>
      <c r="S2640" s="226"/>
      <c r="T2640" s="226"/>
      <c r="U2640" s="226"/>
      <c r="V2640" s="227"/>
      <c r="W2640" s="223" t="s">
        <v>3147</v>
      </c>
      <c r="X2640" s="223">
        <v>820</v>
      </c>
      <c r="Y2640" s="223" t="s">
        <v>3147</v>
      </c>
      <c r="Z2640" s="223">
        <v>820</v>
      </c>
      <c r="AA2640" s="228" t="s">
        <v>7333</v>
      </c>
      <c r="AB2640" s="223"/>
      <c r="AC2640" s="223"/>
      <c r="AD2640" s="223"/>
      <c r="AE2640" s="223"/>
      <c r="AF2640" s="223"/>
      <c r="AG2640" s="223"/>
      <c r="AH2640" s="223"/>
      <c r="AI2640" s="223"/>
      <c r="AJ2640" s="223"/>
      <c r="AK2640" s="223"/>
      <c r="AL2640" s="223"/>
      <c r="AM2640" s="223"/>
    </row>
    <row r="2641" ht="15" spans="1:27">
      <c r="A2641" s="143">
        <v>2600</v>
      </c>
      <c r="C2641" s="169" t="s">
        <v>3148</v>
      </c>
      <c r="D2641" s="143" t="s">
        <v>41</v>
      </c>
      <c r="E2641" s="196" t="s">
        <v>7047</v>
      </c>
      <c r="F2641" s="143">
        <v>812</v>
      </c>
      <c r="H2641" s="143" t="s">
        <v>7334</v>
      </c>
      <c r="I2641" s="143" t="s">
        <v>3218</v>
      </c>
      <c r="J2641" s="143" t="s">
        <v>1577</v>
      </c>
      <c r="K2641" s="143">
        <v>150</v>
      </c>
      <c r="W2641" s="143" t="s">
        <v>3147</v>
      </c>
      <c r="X2641" s="143">
        <v>812</v>
      </c>
      <c r="Y2641" s="169" t="s">
        <v>3147</v>
      </c>
      <c r="Z2641" s="143">
        <v>812</v>
      </c>
      <c r="AA2641" s="173">
        <v>10.8</v>
      </c>
    </row>
    <row r="2642" ht="15" spans="1:27">
      <c r="A2642" s="143">
        <v>2601</v>
      </c>
      <c r="C2642" s="169" t="s">
        <v>3148</v>
      </c>
      <c r="D2642" s="143" t="s">
        <v>41</v>
      </c>
      <c r="E2642" s="196" t="s">
        <v>7047</v>
      </c>
      <c r="F2642" s="169" t="s">
        <v>7335</v>
      </c>
      <c r="H2642" s="177" t="s">
        <v>7336</v>
      </c>
      <c r="I2642" s="143" t="s">
        <v>7112</v>
      </c>
      <c r="J2642" s="143" t="s">
        <v>5867</v>
      </c>
      <c r="K2642" s="143">
        <v>145</v>
      </c>
      <c r="L2642" s="143">
        <v>280</v>
      </c>
      <c r="W2642" s="143" t="s">
        <v>3147</v>
      </c>
      <c r="X2642" s="169" t="s">
        <v>7335</v>
      </c>
      <c r="Y2642" s="169" t="s">
        <v>3147</v>
      </c>
      <c r="Z2642" s="169" t="s">
        <v>7335</v>
      </c>
      <c r="AA2642" s="173"/>
    </row>
    <row r="2643" ht="15" spans="1:27">
      <c r="A2643" s="143">
        <v>2602</v>
      </c>
      <c r="C2643" s="169" t="s">
        <v>3148</v>
      </c>
      <c r="D2643" s="143" t="s">
        <v>41</v>
      </c>
      <c r="E2643" s="196" t="s">
        <v>7047</v>
      </c>
      <c r="F2643" s="143">
        <v>568</v>
      </c>
      <c r="H2643" s="143" t="s">
        <v>7337</v>
      </c>
      <c r="I2643" s="143" t="s">
        <v>3418</v>
      </c>
      <c r="J2643" s="143" t="s">
        <v>2917</v>
      </c>
      <c r="K2643" s="143">
        <v>150</v>
      </c>
      <c r="W2643" s="143" t="s">
        <v>3147</v>
      </c>
      <c r="X2643" s="143">
        <v>568</v>
      </c>
      <c r="Y2643" s="169" t="s">
        <v>3147</v>
      </c>
      <c r="Z2643" s="143">
        <v>568</v>
      </c>
      <c r="AA2643" s="173">
        <v>10.7</v>
      </c>
    </row>
    <row r="2644" ht="15" spans="1:27">
      <c r="A2644" s="143">
        <v>2603</v>
      </c>
      <c r="C2644" s="169" t="s">
        <v>3148</v>
      </c>
      <c r="D2644" s="143" t="s">
        <v>41</v>
      </c>
      <c r="E2644" s="196" t="s">
        <v>7047</v>
      </c>
      <c r="F2644" s="143">
        <v>585</v>
      </c>
      <c r="H2644" s="143" t="s">
        <v>7338</v>
      </c>
      <c r="I2644" s="143" t="s">
        <v>3218</v>
      </c>
      <c r="J2644" s="143" t="s">
        <v>1577</v>
      </c>
      <c r="K2644" s="143">
        <v>150</v>
      </c>
      <c r="L2644" s="143">
        <v>145</v>
      </c>
      <c r="W2644" s="143" t="s">
        <v>3147</v>
      </c>
      <c r="X2644" s="143">
        <v>585</v>
      </c>
      <c r="Y2644" s="169" t="s">
        <v>3147</v>
      </c>
      <c r="Z2644" s="143">
        <v>585</v>
      </c>
      <c r="AA2644" s="173">
        <v>10.2</v>
      </c>
    </row>
    <row r="2645" ht="15" spans="1:27">
      <c r="A2645" s="143">
        <v>2604</v>
      </c>
      <c r="C2645" s="169" t="s">
        <v>3148</v>
      </c>
      <c r="D2645" s="143" t="s">
        <v>41</v>
      </c>
      <c r="E2645" s="196" t="s">
        <v>7047</v>
      </c>
      <c r="F2645" s="143">
        <v>307</v>
      </c>
      <c r="H2645" s="143" t="s">
        <v>7339</v>
      </c>
      <c r="I2645" s="143" t="s">
        <v>7340</v>
      </c>
      <c r="J2645" s="143" t="s">
        <v>7341</v>
      </c>
      <c r="K2645" s="143">
        <v>150</v>
      </c>
      <c r="L2645" s="143">
        <v>105</v>
      </c>
      <c r="W2645" s="143" t="s">
        <v>3147</v>
      </c>
      <c r="X2645" s="143">
        <v>307</v>
      </c>
      <c r="Y2645" s="169" t="s">
        <v>3147</v>
      </c>
      <c r="Z2645" s="143">
        <v>307</v>
      </c>
      <c r="AA2645" s="173">
        <v>9.5</v>
      </c>
    </row>
    <row r="2646" ht="15" spans="1:27">
      <c r="A2646" s="143">
        <v>2605</v>
      </c>
      <c r="C2646" s="169" t="s">
        <v>3148</v>
      </c>
      <c r="D2646" s="143" t="s">
        <v>41</v>
      </c>
      <c r="E2646" s="196" t="s">
        <v>7047</v>
      </c>
      <c r="F2646" s="143">
        <v>327</v>
      </c>
      <c r="H2646" s="220" t="s">
        <v>7342</v>
      </c>
      <c r="I2646" s="143" t="s">
        <v>7343</v>
      </c>
      <c r="J2646" s="143" t="s">
        <v>7344</v>
      </c>
      <c r="K2646" s="143">
        <v>150</v>
      </c>
      <c r="L2646" s="143">
        <v>120</v>
      </c>
      <c r="W2646" s="143" t="s">
        <v>3147</v>
      </c>
      <c r="X2646" s="143">
        <v>327</v>
      </c>
      <c r="Y2646" s="169" t="s">
        <v>3147</v>
      </c>
      <c r="Z2646" s="143">
        <v>327</v>
      </c>
      <c r="AA2646" s="173">
        <v>11.2</v>
      </c>
    </row>
    <row r="2647" ht="15" spans="1:27">
      <c r="A2647" s="143">
        <v>2606</v>
      </c>
      <c r="C2647" s="169" t="s">
        <v>3148</v>
      </c>
      <c r="D2647" s="143" t="s">
        <v>41</v>
      </c>
      <c r="E2647" s="196" t="s">
        <v>7047</v>
      </c>
      <c r="F2647" s="143">
        <v>586</v>
      </c>
      <c r="H2647" s="143" t="s">
        <v>7345</v>
      </c>
      <c r="I2647" s="143" t="s">
        <v>7112</v>
      </c>
      <c r="J2647" s="143" t="s">
        <v>5867</v>
      </c>
      <c r="K2647" s="143">
        <v>150</v>
      </c>
      <c r="W2647" s="143" t="s">
        <v>3147</v>
      </c>
      <c r="X2647" s="143">
        <v>586</v>
      </c>
      <c r="Y2647" s="169" t="s">
        <v>3147</v>
      </c>
      <c r="Z2647" s="143">
        <v>586</v>
      </c>
      <c r="AA2647" s="173">
        <v>11.2</v>
      </c>
    </row>
    <row r="2648" ht="15" spans="1:27">
      <c r="A2648" s="143">
        <v>2607</v>
      </c>
      <c r="C2648" s="169" t="s">
        <v>3148</v>
      </c>
      <c r="D2648" s="143" t="s">
        <v>41</v>
      </c>
      <c r="E2648" s="196" t="s">
        <v>7047</v>
      </c>
      <c r="F2648" s="143">
        <v>583</v>
      </c>
      <c r="H2648" s="143" t="s">
        <v>7346</v>
      </c>
      <c r="I2648" s="143" t="s">
        <v>7112</v>
      </c>
      <c r="J2648" s="143" t="s">
        <v>5867</v>
      </c>
      <c r="K2648" s="143">
        <v>150</v>
      </c>
      <c r="W2648" s="143" t="s">
        <v>3147</v>
      </c>
      <c r="X2648" s="143">
        <v>583</v>
      </c>
      <c r="Y2648" s="169" t="s">
        <v>3147</v>
      </c>
      <c r="Z2648" s="143">
        <v>583</v>
      </c>
      <c r="AA2648" s="173">
        <v>10.5</v>
      </c>
    </row>
    <row r="2649" ht="15" spans="1:27">
      <c r="A2649" s="143">
        <v>2608</v>
      </c>
      <c r="C2649" s="169" t="s">
        <v>3148</v>
      </c>
      <c r="D2649" s="143" t="s">
        <v>41</v>
      </c>
      <c r="E2649" s="196" t="s">
        <v>7047</v>
      </c>
      <c r="F2649" s="143">
        <v>908</v>
      </c>
      <c r="H2649" s="143" t="s">
        <v>7347</v>
      </c>
      <c r="I2649" s="143" t="s">
        <v>7112</v>
      </c>
      <c r="J2649" s="143" t="s">
        <v>5867</v>
      </c>
      <c r="K2649" s="143">
        <v>150</v>
      </c>
      <c r="W2649" s="143" t="s">
        <v>3147</v>
      </c>
      <c r="X2649" s="143">
        <v>908</v>
      </c>
      <c r="Y2649" s="169" t="s">
        <v>3147</v>
      </c>
      <c r="Z2649" s="143">
        <v>908</v>
      </c>
      <c r="AA2649" s="173">
        <v>13.8</v>
      </c>
    </row>
    <row r="2650" ht="15" spans="1:27">
      <c r="A2650" s="143">
        <v>2609</v>
      </c>
      <c r="C2650" s="169" t="s">
        <v>3148</v>
      </c>
      <c r="D2650" s="143" t="s">
        <v>41</v>
      </c>
      <c r="E2650" s="196" t="s">
        <v>7047</v>
      </c>
      <c r="F2650" s="143">
        <v>721</v>
      </c>
      <c r="H2650" s="143" t="s">
        <v>7348</v>
      </c>
      <c r="I2650" s="143" t="s">
        <v>7349</v>
      </c>
      <c r="J2650" s="143" t="s">
        <v>7350</v>
      </c>
      <c r="K2650" s="143">
        <v>150</v>
      </c>
      <c r="L2650" s="143">
        <v>160</v>
      </c>
      <c r="W2650" s="143" t="s">
        <v>3147</v>
      </c>
      <c r="X2650" s="143">
        <v>721</v>
      </c>
      <c r="Y2650" s="169" t="s">
        <v>3147</v>
      </c>
      <c r="Z2650" s="143">
        <v>721</v>
      </c>
      <c r="AA2650" s="173">
        <v>11</v>
      </c>
    </row>
    <row r="2651" ht="15" spans="1:27">
      <c r="A2651" s="143">
        <v>2610</v>
      </c>
      <c r="C2651" s="169" t="s">
        <v>3148</v>
      </c>
      <c r="D2651" s="143" t="s">
        <v>41</v>
      </c>
      <c r="E2651" s="196" t="s">
        <v>7047</v>
      </c>
      <c r="F2651" s="143">
        <v>700</v>
      </c>
      <c r="H2651" s="143" t="s">
        <v>7351</v>
      </c>
      <c r="I2651" s="143" t="s">
        <v>528</v>
      </c>
      <c r="J2651" s="143" t="s">
        <v>7352</v>
      </c>
      <c r="K2651" s="143">
        <v>150</v>
      </c>
      <c r="L2651" s="143">
        <v>170</v>
      </c>
      <c r="W2651" s="143" t="s">
        <v>3147</v>
      </c>
      <c r="X2651" s="143">
        <v>700</v>
      </c>
      <c r="Y2651" s="169" t="s">
        <v>3147</v>
      </c>
      <c r="Z2651" s="143">
        <v>700</v>
      </c>
      <c r="AA2651" s="173">
        <v>11.5</v>
      </c>
    </row>
    <row r="2652" ht="15" spans="1:27">
      <c r="A2652" s="143">
        <v>2611</v>
      </c>
      <c r="C2652" s="169" t="s">
        <v>3148</v>
      </c>
      <c r="D2652" s="143" t="s">
        <v>41</v>
      </c>
      <c r="E2652" s="196" t="s">
        <v>7047</v>
      </c>
      <c r="F2652" s="143">
        <v>719</v>
      </c>
      <c r="H2652" s="143" t="s">
        <v>7353</v>
      </c>
      <c r="I2652" s="143" t="s">
        <v>5991</v>
      </c>
      <c r="J2652" s="143" t="s">
        <v>7324</v>
      </c>
      <c r="K2652" s="143">
        <v>150</v>
      </c>
      <c r="W2652" s="143" t="s">
        <v>3147</v>
      </c>
      <c r="X2652" s="143">
        <v>719</v>
      </c>
      <c r="Y2652" s="169" t="s">
        <v>3147</v>
      </c>
      <c r="Z2652" s="143">
        <v>719</v>
      </c>
      <c r="AA2652" s="173">
        <v>12.6</v>
      </c>
    </row>
    <row r="2653" ht="15" spans="1:27">
      <c r="A2653" s="143">
        <v>2612</v>
      </c>
      <c r="C2653" s="169" t="s">
        <v>3148</v>
      </c>
      <c r="D2653" s="143" t="s">
        <v>41</v>
      </c>
      <c r="E2653" s="196" t="s">
        <v>7047</v>
      </c>
      <c r="F2653" s="143">
        <v>718</v>
      </c>
      <c r="H2653" s="143" t="s">
        <v>7354</v>
      </c>
      <c r="I2653" s="143" t="s">
        <v>5991</v>
      </c>
      <c r="J2653" s="143" t="s">
        <v>7324</v>
      </c>
      <c r="K2653" s="143">
        <v>150</v>
      </c>
      <c r="W2653" s="143" t="s">
        <v>3147</v>
      </c>
      <c r="X2653" s="143">
        <v>718</v>
      </c>
      <c r="Y2653" s="169" t="s">
        <v>3147</v>
      </c>
      <c r="Z2653" s="143">
        <v>718</v>
      </c>
      <c r="AA2653" s="173">
        <v>12.6</v>
      </c>
    </row>
    <row r="2654" ht="15" spans="1:27">
      <c r="A2654" s="143">
        <v>2613</v>
      </c>
      <c r="C2654" s="169" t="s">
        <v>3148</v>
      </c>
      <c r="D2654" s="143" t="s">
        <v>41</v>
      </c>
      <c r="E2654" s="196" t="s">
        <v>7047</v>
      </c>
      <c r="F2654" s="143">
        <v>638</v>
      </c>
      <c r="H2654" s="220" t="s">
        <v>7355</v>
      </c>
      <c r="I2654" s="143" t="s">
        <v>3224</v>
      </c>
      <c r="J2654" s="143" t="s">
        <v>1577</v>
      </c>
      <c r="K2654" s="143">
        <v>150</v>
      </c>
      <c r="L2654" s="143">
        <v>150</v>
      </c>
      <c r="W2654" s="143" t="s">
        <v>3147</v>
      </c>
      <c r="X2654" s="143">
        <v>638</v>
      </c>
      <c r="Y2654" s="169" t="s">
        <v>3147</v>
      </c>
      <c r="Z2654" s="143">
        <v>638</v>
      </c>
      <c r="AA2654" s="173">
        <v>8.6</v>
      </c>
    </row>
    <row r="2655" ht="15" spans="1:27">
      <c r="A2655" s="143">
        <v>2614</v>
      </c>
      <c r="C2655" s="169" t="s">
        <v>3148</v>
      </c>
      <c r="D2655" s="143" t="s">
        <v>41</v>
      </c>
      <c r="E2655" s="196" t="s">
        <v>7047</v>
      </c>
      <c r="F2655" s="143">
        <v>736</v>
      </c>
      <c r="H2655" s="143" t="s">
        <v>7356</v>
      </c>
      <c r="I2655" s="143" t="s">
        <v>7357</v>
      </c>
      <c r="J2655" s="143" t="s">
        <v>7358</v>
      </c>
      <c r="K2655" s="143">
        <v>150</v>
      </c>
      <c r="W2655" s="143" t="s">
        <v>3147</v>
      </c>
      <c r="X2655" s="143">
        <v>736</v>
      </c>
      <c r="Y2655" s="169" t="s">
        <v>3147</v>
      </c>
      <c r="Z2655" s="143">
        <v>736</v>
      </c>
      <c r="AA2655" s="173">
        <v>13</v>
      </c>
    </row>
    <row r="2656" ht="15" spans="1:27">
      <c r="A2656" s="143">
        <v>2615</v>
      </c>
      <c r="C2656" s="169" t="s">
        <v>3148</v>
      </c>
      <c r="D2656" s="143" t="s">
        <v>41</v>
      </c>
      <c r="E2656" s="196" t="s">
        <v>7047</v>
      </c>
      <c r="F2656" s="143">
        <v>676</v>
      </c>
      <c r="H2656" s="220" t="s">
        <v>7359</v>
      </c>
      <c r="I2656" s="143" t="s">
        <v>3218</v>
      </c>
      <c r="J2656" s="143" t="s">
        <v>1577</v>
      </c>
      <c r="K2656" s="143">
        <v>150</v>
      </c>
      <c r="L2656" s="143">
        <v>180</v>
      </c>
      <c r="W2656" s="143" t="s">
        <v>3147</v>
      </c>
      <c r="X2656" s="143">
        <v>676</v>
      </c>
      <c r="Y2656" s="169" t="s">
        <v>3147</v>
      </c>
      <c r="Z2656" s="143">
        <v>676</v>
      </c>
      <c r="AA2656" s="173">
        <v>10.3</v>
      </c>
    </row>
    <row r="2657" ht="15" spans="1:27">
      <c r="A2657" s="143">
        <v>2616</v>
      </c>
      <c r="C2657" s="169" t="s">
        <v>3148</v>
      </c>
      <c r="D2657" s="143" t="s">
        <v>41</v>
      </c>
      <c r="E2657" s="196" t="s">
        <v>7047</v>
      </c>
      <c r="F2657" s="143">
        <v>634</v>
      </c>
      <c r="H2657" s="143" t="s">
        <v>7360</v>
      </c>
      <c r="I2657" s="143" t="s">
        <v>3218</v>
      </c>
      <c r="J2657" s="143" t="s">
        <v>1577</v>
      </c>
      <c r="K2657" s="143">
        <v>150</v>
      </c>
      <c r="W2657" s="143" t="s">
        <v>3147</v>
      </c>
      <c r="X2657" s="143">
        <v>634</v>
      </c>
      <c r="Y2657" s="169" t="s">
        <v>3147</v>
      </c>
      <c r="Z2657" s="143">
        <v>634</v>
      </c>
      <c r="AA2657" s="173">
        <v>9</v>
      </c>
    </row>
    <row r="2658" ht="15" spans="1:27">
      <c r="A2658" s="143">
        <v>2617</v>
      </c>
      <c r="C2658" s="169" t="s">
        <v>3148</v>
      </c>
      <c r="D2658" s="143" t="s">
        <v>41</v>
      </c>
      <c r="E2658" s="196" t="s">
        <v>7047</v>
      </c>
      <c r="F2658" s="143">
        <v>693</v>
      </c>
      <c r="H2658" s="143" t="s">
        <v>7361</v>
      </c>
      <c r="I2658" s="143" t="s">
        <v>3418</v>
      </c>
      <c r="J2658" s="143" t="s">
        <v>2917</v>
      </c>
      <c r="K2658" s="143">
        <v>150</v>
      </c>
      <c r="L2658" s="143">
        <v>150</v>
      </c>
      <c r="W2658" s="143" t="s">
        <v>3147</v>
      </c>
      <c r="X2658" s="143">
        <v>693</v>
      </c>
      <c r="Y2658" s="169" t="s">
        <v>3147</v>
      </c>
      <c r="Z2658" s="143">
        <v>693</v>
      </c>
      <c r="AA2658" s="173">
        <v>9</v>
      </c>
    </row>
    <row r="2659" ht="15" spans="1:27">
      <c r="A2659" s="143">
        <v>2618</v>
      </c>
      <c r="C2659" s="169" t="s">
        <v>3148</v>
      </c>
      <c r="D2659" s="143" t="s">
        <v>41</v>
      </c>
      <c r="E2659" s="196" t="s">
        <v>7047</v>
      </c>
      <c r="F2659" s="143">
        <v>692</v>
      </c>
      <c r="H2659" s="143" t="s">
        <v>7362</v>
      </c>
      <c r="I2659" s="143" t="s">
        <v>5959</v>
      </c>
      <c r="J2659" s="143" t="s">
        <v>7363</v>
      </c>
      <c r="K2659" s="143">
        <v>150</v>
      </c>
      <c r="L2659" s="143">
        <v>170</v>
      </c>
      <c r="W2659" s="143" t="s">
        <v>3147</v>
      </c>
      <c r="X2659" s="143">
        <v>692</v>
      </c>
      <c r="Y2659" s="169" t="s">
        <v>3147</v>
      </c>
      <c r="Z2659" s="143">
        <v>692</v>
      </c>
      <c r="AA2659" s="173">
        <v>10</v>
      </c>
    </row>
    <row r="2660" ht="15" spans="1:27">
      <c r="A2660" s="143">
        <v>2619</v>
      </c>
      <c r="C2660" s="169" t="s">
        <v>3148</v>
      </c>
      <c r="D2660" s="143" t="s">
        <v>41</v>
      </c>
      <c r="E2660" s="196" t="s">
        <v>7047</v>
      </c>
      <c r="F2660" s="143">
        <v>3607</v>
      </c>
      <c r="H2660" s="143" t="s">
        <v>7364</v>
      </c>
      <c r="I2660" s="143" t="s">
        <v>7349</v>
      </c>
      <c r="J2660" s="143" t="s">
        <v>7350</v>
      </c>
      <c r="K2660" s="143">
        <v>150</v>
      </c>
      <c r="W2660" s="143" t="s">
        <v>3147</v>
      </c>
      <c r="X2660" s="143">
        <v>3607</v>
      </c>
      <c r="Y2660" s="169" t="s">
        <v>3147</v>
      </c>
      <c r="Z2660" s="143">
        <v>3607</v>
      </c>
      <c r="AA2660" s="173">
        <v>11.4</v>
      </c>
    </row>
    <row r="2661" ht="15" spans="1:27">
      <c r="A2661" s="143">
        <v>2620</v>
      </c>
      <c r="C2661" s="169" t="s">
        <v>3148</v>
      </c>
      <c r="D2661" s="143" t="s">
        <v>41</v>
      </c>
      <c r="E2661" s="196" t="s">
        <v>7047</v>
      </c>
      <c r="F2661" s="143">
        <v>3608</v>
      </c>
      <c r="H2661" s="143" t="s">
        <v>7365</v>
      </c>
      <c r="I2661" s="143" t="s">
        <v>7349</v>
      </c>
      <c r="J2661" s="143" t="s">
        <v>7350</v>
      </c>
      <c r="K2661" s="143">
        <v>150</v>
      </c>
      <c r="W2661" s="143" t="s">
        <v>3147</v>
      </c>
      <c r="X2661" s="143">
        <v>3608</v>
      </c>
      <c r="Y2661" s="169" t="s">
        <v>3147</v>
      </c>
      <c r="Z2661" s="143">
        <v>3608</v>
      </c>
      <c r="AA2661" s="173">
        <v>11.4</v>
      </c>
    </row>
    <row r="2662" ht="15" spans="1:27">
      <c r="A2662" s="143">
        <v>2621</v>
      </c>
      <c r="C2662" s="169" t="s">
        <v>3148</v>
      </c>
      <c r="D2662" s="143" t="s">
        <v>41</v>
      </c>
      <c r="E2662" s="196" t="s">
        <v>7047</v>
      </c>
      <c r="F2662" s="143">
        <v>3610</v>
      </c>
      <c r="H2662" s="143" t="s">
        <v>7366</v>
      </c>
      <c r="I2662" s="143" t="s">
        <v>7349</v>
      </c>
      <c r="J2662" s="143" t="s">
        <v>7350</v>
      </c>
      <c r="K2662" s="143">
        <v>150</v>
      </c>
      <c r="W2662" s="143" t="s">
        <v>3147</v>
      </c>
      <c r="X2662" s="143">
        <v>3610</v>
      </c>
      <c r="Y2662" s="169" t="s">
        <v>3147</v>
      </c>
      <c r="Z2662" s="143">
        <v>3610</v>
      </c>
      <c r="AA2662" s="173">
        <v>11.4</v>
      </c>
    </row>
    <row r="2663" ht="15" spans="1:27">
      <c r="A2663" s="143">
        <v>2622</v>
      </c>
      <c r="C2663" s="169" t="s">
        <v>3148</v>
      </c>
      <c r="D2663" s="143" t="s">
        <v>41</v>
      </c>
      <c r="E2663" s="196" t="s">
        <v>7047</v>
      </c>
      <c r="F2663" s="143">
        <v>3639</v>
      </c>
      <c r="H2663" s="143" t="s">
        <v>7367</v>
      </c>
      <c r="I2663" s="143" t="s">
        <v>7349</v>
      </c>
      <c r="J2663" s="143" t="s">
        <v>7350</v>
      </c>
      <c r="K2663" s="143">
        <v>150</v>
      </c>
      <c r="W2663" s="143" t="s">
        <v>3147</v>
      </c>
      <c r="X2663" s="143">
        <v>3639</v>
      </c>
      <c r="Y2663" s="169" t="s">
        <v>3147</v>
      </c>
      <c r="Z2663" s="143">
        <v>3639</v>
      </c>
      <c r="AA2663" s="173">
        <v>11.4</v>
      </c>
    </row>
    <row r="2664" ht="15" spans="1:27">
      <c r="A2664" s="143">
        <v>2623</v>
      </c>
      <c r="C2664" s="169" t="s">
        <v>3148</v>
      </c>
      <c r="D2664" s="143" t="s">
        <v>41</v>
      </c>
      <c r="E2664" s="196" t="s">
        <v>7047</v>
      </c>
      <c r="F2664" s="143">
        <v>3628</v>
      </c>
      <c r="H2664" s="143" t="s">
        <v>7368</v>
      </c>
      <c r="I2664" s="143" t="s">
        <v>5991</v>
      </c>
      <c r="J2664" s="143" t="s">
        <v>7369</v>
      </c>
      <c r="K2664" s="143">
        <v>150</v>
      </c>
      <c r="W2664" s="143" t="s">
        <v>3147</v>
      </c>
      <c r="X2664" s="143">
        <v>3628</v>
      </c>
      <c r="Y2664" s="169" t="s">
        <v>3147</v>
      </c>
      <c r="Z2664" s="143">
        <v>3628</v>
      </c>
      <c r="AA2664" s="173">
        <v>11.8</v>
      </c>
    </row>
    <row r="2665" ht="15" spans="1:27">
      <c r="A2665" s="143">
        <v>2624</v>
      </c>
      <c r="C2665" s="169" t="s">
        <v>3148</v>
      </c>
      <c r="D2665" s="143" t="s">
        <v>41</v>
      </c>
      <c r="E2665" s="196" t="s">
        <v>7047</v>
      </c>
      <c r="F2665" s="143">
        <v>3605</v>
      </c>
      <c r="H2665" s="143" t="s">
        <v>7370</v>
      </c>
      <c r="I2665" s="143" t="s">
        <v>3418</v>
      </c>
      <c r="J2665" s="143" t="s">
        <v>2634</v>
      </c>
      <c r="K2665" s="143">
        <v>150</v>
      </c>
      <c r="W2665" s="143" t="s">
        <v>3147</v>
      </c>
      <c r="X2665" s="143">
        <v>3605</v>
      </c>
      <c r="Y2665" s="169" t="s">
        <v>3147</v>
      </c>
      <c r="Z2665" s="143">
        <v>3605</v>
      </c>
      <c r="AA2665" s="173">
        <v>11</v>
      </c>
    </row>
    <row r="2666" ht="15" spans="1:27">
      <c r="A2666" s="143">
        <v>2625</v>
      </c>
      <c r="C2666" s="169" t="s">
        <v>3148</v>
      </c>
      <c r="D2666" s="143" t="s">
        <v>41</v>
      </c>
      <c r="E2666" s="196" t="s">
        <v>7047</v>
      </c>
      <c r="F2666" s="143">
        <v>843</v>
      </c>
      <c r="H2666" s="143" t="s">
        <v>7371</v>
      </c>
      <c r="I2666" s="143" t="s">
        <v>5991</v>
      </c>
      <c r="J2666" s="143" t="s">
        <v>7324</v>
      </c>
      <c r="K2666" s="143">
        <v>150</v>
      </c>
      <c r="W2666" s="143" t="s">
        <v>3147</v>
      </c>
      <c r="X2666" s="143">
        <v>843</v>
      </c>
      <c r="Y2666" s="169" t="s">
        <v>3147</v>
      </c>
      <c r="Z2666" s="143">
        <v>843</v>
      </c>
      <c r="AA2666" s="173">
        <v>12.5</v>
      </c>
    </row>
    <row r="2667" ht="15" spans="1:27">
      <c r="A2667" s="143">
        <v>2626</v>
      </c>
      <c r="C2667" s="169" t="s">
        <v>3148</v>
      </c>
      <c r="D2667" s="143" t="s">
        <v>41</v>
      </c>
      <c r="E2667" s="196" t="s">
        <v>7047</v>
      </c>
      <c r="F2667" s="143">
        <v>3653</v>
      </c>
      <c r="H2667" s="143" t="s">
        <v>7372</v>
      </c>
      <c r="I2667" s="143" t="s">
        <v>3418</v>
      </c>
      <c r="J2667" s="143" t="s">
        <v>2917</v>
      </c>
      <c r="K2667" s="143">
        <v>150</v>
      </c>
      <c r="W2667" s="143" t="s">
        <v>3147</v>
      </c>
      <c r="X2667" s="143">
        <v>3653</v>
      </c>
      <c r="Y2667" s="169" t="s">
        <v>3147</v>
      </c>
      <c r="Z2667" s="143">
        <v>3653</v>
      </c>
      <c r="AA2667" s="173">
        <v>11</v>
      </c>
    </row>
    <row r="2668" ht="15" spans="1:27">
      <c r="A2668" s="143">
        <v>2627</v>
      </c>
      <c r="C2668" s="169" t="s">
        <v>3148</v>
      </c>
      <c r="D2668" s="143" t="s">
        <v>41</v>
      </c>
      <c r="E2668" s="196" t="s">
        <v>7047</v>
      </c>
      <c r="F2668" s="143">
        <v>839</v>
      </c>
      <c r="H2668" s="143" t="s">
        <v>7373</v>
      </c>
      <c r="I2668" s="143" t="s">
        <v>3418</v>
      </c>
      <c r="J2668" s="143" t="s">
        <v>2917</v>
      </c>
      <c r="K2668" s="143">
        <v>150</v>
      </c>
      <c r="W2668" s="143" t="s">
        <v>3147</v>
      </c>
      <c r="X2668" s="143">
        <v>839</v>
      </c>
      <c r="Y2668" s="169" t="s">
        <v>3147</v>
      </c>
      <c r="Z2668" s="143">
        <v>839</v>
      </c>
      <c r="AA2668" s="173">
        <v>11</v>
      </c>
    </row>
    <row r="2669" ht="15" spans="1:27">
      <c r="A2669" s="143">
        <v>2628</v>
      </c>
      <c r="C2669" s="169" t="s">
        <v>3148</v>
      </c>
      <c r="D2669" s="143" t="s">
        <v>41</v>
      </c>
      <c r="E2669" s="196" t="s">
        <v>7047</v>
      </c>
      <c r="F2669" s="143">
        <v>848</v>
      </c>
      <c r="H2669" s="143" t="s">
        <v>7374</v>
      </c>
      <c r="I2669" s="143" t="s">
        <v>7375</v>
      </c>
      <c r="J2669" s="143" t="s">
        <v>7376</v>
      </c>
      <c r="K2669" s="143">
        <v>150</v>
      </c>
      <c r="L2669" s="143">
        <v>180</v>
      </c>
      <c r="W2669" s="143" t="s">
        <v>3147</v>
      </c>
      <c r="X2669" s="143">
        <v>848</v>
      </c>
      <c r="Y2669" s="169" t="s">
        <v>3147</v>
      </c>
      <c r="Z2669" s="143">
        <v>848</v>
      </c>
      <c r="AA2669" s="173">
        <v>13.8</v>
      </c>
    </row>
    <row r="2670" ht="15" spans="1:27">
      <c r="A2670" s="143">
        <v>2629</v>
      </c>
      <c r="C2670" s="169" t="s">
        <v>3148</v>
      </c>
      <c r="D2670" s="143" t="s">
        <v>41</v>
      </c>
      <c r="E2670" s="196" t="s">
        <v>7047</v>
      </c>
      <c r="F2670" s="143">
        <v>573</v>
      </c>
      <c r="H2670" s="143" t="s">
        <v>7377</v>
      </c>
      <c r="I2670" s="143" t="s">
        <v>3418</v>
      </c>
      <c r="J2670" s="143" t="s">
        <v>2917</v>
      </c>
      <c r="K2670" s="143">
        <v>150</v>
      </c>
      <c r="L2670" s="143">
        <v>160</v>
      </c>
      <c r="W2670" s="143" t="s">
        <v>3147</v>
      </c>
      <c r="X2670" s="143">
        <v>573</v>
      </c>
      <c r="Y2670" s="169" t="s">
        <v>3147</v>
      </c>
      <c r="Z2670" s="143">
        <v>573</v>
      </c>
      <c r="AA2670" s="173">
        <v>8.5</v>
      </c>
    </row>
    <row r="2671" ht="15" spans="1:27">
      <c r="A2671" s="143">
        <v>2630</v>
      </c>
      <c r="C2671" s="169" t="s">
        <v>3148</v>
      </c>
      <c r="D2671" s="143" t="s">
        <v>41</v>
      </c>
      <c r="E2671" s="196" t="s">
        <v>7047</v>
      </c>
      <c r="F2671" s="143">
        <v>796</v>
      </c>
      <c r="H2671" s="143" t="s">
        <v>7378</v>
      </c>
      <c r="I2671" s="143" t="s">
        <v>7379</v>
      </c>
      <c r="J2671" s="143" t="s">
        <v>7380</v>
      </c>
      <c r="K2671" s="143">
        <v>150</v>
      </c>
      <c r="L2671" s="143">
        <v>225</v>
      </c>
      <c r="W2671" s="143" t="s">
        <v>3147</v>
      </c>
      <c r="X2671" s="143">
        <v>796</v>
      </c>
      <c r="Y2671" s="169" t="s">
        <v>3147</v>
      </c>
      <c r="Z2671" s="143">
        <v>796</v>
      </c>
      <c r="AA2671" s="173">
        <v>11.5</v>
      </c>
    </row>
    <row r="2672" ht="15" spans="1:27">
      <c r="A2672" s="143">
        <v>2631</v>
      </c>
      <c r="C2672" s="169" t="s">
        <v>3148</v>
      </c>
      <c r="D2672" s="143" t="s">
        <v>41</v>
      </c>
      <c r="E2672" s="196" t="s">
        <v>7047</v>
      </c>
      <c r="F2672" s="143">
        <v>752</v>
      </c>
      <c r="H2672" s="220" t="s">
        <v>7381</v>
      </c>
      <c r="I2672" s="143" t="s">
        <v>4322</v>
      </c>
      <c r="J2672" s="143" t="s">
        <v>2917</v>
      </c>
      <c r="K2672" s="143">
        <v>150</v>
      </c>
      <c r="L2672" s="143">
        <v>140</v>
      </c>
      <c r="W2672" s="143" t="s">
        <v>3147</v>
      </c>
      <c r="X2672" s="143">
        <v>752</v>
      </c>
      <c r="Y2672" s="169" t="s">
        <v>3147</v>
      </c>
      <c r="Z2672" s="143">
        <v>752</v>
      </c>
      <c r="AA2672" s="173">
        <v>13</v>
      </c>
    </row>
    <row r="2673" ht="15" spans="1:27">
      <c r="A2673" s="143">
        <v>2632</v>
      </c>
      <c r="C2673" s="169" t="s">
        <v>3148</v>
      </c>
      <c r="D2673" s="143" t="s">
        <v>41</v>
      </c>
      <c r="E2673" s="196" t="s">
        <v>7047</v>
      </c>
      <c r="F2673" s="143">
        <v>753</v>
      </c>
      <c r="H2673" s="143" t="s">
        <v>7382</v>
      </c>
      <c r="I2673" s="143" t="s">
        <v>4322</v>
      </c>
      <c r="J2673" s="143" t="s">
        <v>2917</v>
      </c>
      <c r="K2673" s="143">
        <v>150</v>
      </c>
      <c r="L2673" s="143">
        <v>200</v>
      </c>
      <c r="W2673" s="143" t="s">
        <v>3147</v>
      </c>
      <c r="X2673" s="143">
        <v>753</v>
      </c>
      <c r="Y2673" s="169" t="s">
        <v>3147</v>
      </c>
      <c r="Z2673" s="143">
        <v>753</v>
      </c>
      <c r="AA2673" s="173">
        <v>11.6</v>
      </c>
    </row>
    <row r="2674" ht="15" spans="1:27">
      <c r="A2674" s="143">
        <v>2633</v>
      </c>
      <c r="C2674" s="169" t="s">
        <v>3148</v>
      </c>
      <c r="D2674" s="143" t="s">
        <v>41</v>
      </c>
      <c r="E2674" s="196" t="s">
        <v>7047</v>
      </c>
      <c r="F2674" s="143">
        <v>755</v>
      </c>
      <c r="H2674" s="143" t="s">
        <v>7383</v>
      </c>
      <c r="I2674" s="143" t="s">
        <v>4322</v>
      </c>
      <c r="J2674" s="143" t="s">
        <v>2917</v>
      </c>
      <c r="K2674" s="143">
        <v>150</v>
      </c>
      <c r="L2674" s="143">
        <v>160</v>
      </c>
      <c r="W2674" s="143" t="s">
        <v>3147</v>
      </c>
      <c r="X2674" s="143">
        <v>755</v>
      </c>
      <c r="Y2674" s="169" t="s">
        <v>3147</v>
      </c>
      <c r="Z2674" s="143">
        <v>755</v>
      </c>
      <c r="AA2674" s="173">
        <v>11.8</v>
      </c>
    </row>
    <row r="2675" ht="15" spans="1:27">
      <c r="A2675" s="143">
        <v>2634</v>
      </c>
      <c r="C2675" s="169" t="s">
        <v>3148</v>
      </c>
      <c r="D2675" s="143" t="s">
        <v>41</v>
      </c>
      <c r="E2675" s="196" t="s">
        <v>7047</v>
      </c>
      <c r="F2675" s="143">
        <v>757</v>
      </c>
      <c r="H2675" s="143" t="s">
        <v>7384</v>
      </c>
      <c r="I2675" s="143" t="s">
        <v>4312</v>
      </c>
      <c r="J2675" s="143" t="s">
        <v>7385</v>
      </c>
      <c r="K2675" s="143">
        <v>150</v>
      </c>
      <c r="L2675" s="143">
        <v>180</v>
      </c>
      <c r="W2675" s="143" t="s">
        <v>3147</v>
      </c>
      <c r="X2675" s="143">
        <v>757</v>
      </c>
      <c r="Y2675" s="169" t="s">
        <v>3147</v>
      </c>
      <c r="Z2675" s="143">
        <v>757</v>
      </c>
      <c r="AA2675" s="173">
        <v>11.5</v>
      </c>
    </row>
    <row r="2676" ht="15" spans="1:27">
      <c r="A2676" s="143">
        <v>2635</v>
      </c>
      <c r="C2676" s="169" t="s">
        <v>3148</v>
      </c>
      <c r="D2676" s="143" t="s">
        <v>41</v>
      </c>
      <c r="E2676" s="196" t="s">
        <v>7047</v>
      </c>
      <c r="F2676" s="143">
        <v>771</v>
      </c>
      <c r="H2676" s="143" t="s">
        <v>7386</v>
      </c>
      <c r="I2676" s="143" t="s">
        <v>4322</v>
      </c>
      <c r="J2676" s="143" t="s">
        <v>2917</v>
      </c>
      <c r="K2676" s="143">
        <v>150</v>
      </c>
      <c r="W2676" s="143" t="s">
        <v>3147</v>
      </c>
      <c r="X2676" s="143">
        <v>771</v>
      </c>
      <c r="Y2676" s="169" t="s">
        <v>3147</v>
      </c>
      <c r="Z2676" s="143">
        <v>771</v>
      </c>
      <c r="AA2676" s="173">
        <v>11.5</v>
      </c>
    </row>
    <row r="2677" ht="15" spans="1:27">
      <c r="A2677" s="143">
        <v>2636</v>
      </c>
      <c r="C2677" s="169" t="s">
        <v>3148</v>
      </c>
      <c r="D2677" s="143" t="s">
        <v>41</v>
      </c>
      <c r="E2677" s="196" t="s">
        <v>7047</v>
      </c>
      <c r="F2677" s="143">
        <v>683</v>
      </c>
      <c r="H2677" s="143" t="s">
        <v>7387</v>
      </c>
      <c r="I2677" s="143" t="s">
        <v>3390</v>
      </c>
      <c r="J2677" s="143" t="s">
        <v>3657</v>
      </c>
      <c r="K2677" s="143">
        <v>150</v>
      </c>
      <c r="L2677" s="143">
        <v>190</v>
      </c>
      <c r="W2677" s="143" t="s">
        <v>3147</v>
      </c>
      <c r="X2677" s="143">
        <v>683</v>
      </c>
      <c r="Y2677" s="169" t="s">
        <v>3147</v>
      </c>
      <c r="Z2677" s="143">
        <v>683</v>
      </c>
      <c r="AA2677" s="173">
        <v>10.8</v>
      </c>
    </row>
    <row r="2678" ht="15" spans="1:27">
      <c r="A2678" s="143">
        <v>2637</v>
      </c>
      <c r="C2678" s="169" t="s">
        <v>3148</v>
      </c>
      <c r="D2678" s="143" t="s">
        <v>41</v>
      </c>
      <c r="E2678" s="196" t="s">
        <v>7047</v>
      </c>
      <c r="F2678" s="143">
        <v>780</v>
      </c>
      <c r="H2678" s="143" t="s">
        <v>7388</v>
      </c>
      <c r="I2678" s="143" t="s">
        <v>7389</v>
      </c>
      <c r="J2678" s="143" t="s">
        <v>7390</v>
      </c>
      <c r="K2678" s="143">
        <v>150</v>
      </c>
      <c r="L2678" s="143">
        <v>127</v>
      </c>
      <c r="W2678" s="143" t="s">
        <v>3147</v>
      </c>
      <c r="X2678" s="143">
        <v>780</v>
      </c>
      <c r="Y2678" s="169" t="s">
        <v>3147</v>
      </c>
      <c r="Z2678" s="143">
        <v>780</v>
      </c>
      <c r="AA2678" s="173">
        <v>11.3</v>
      </c>
    </row>
    <row r="2679" ht="15" spans="1:27">
      <c r="A2679" s="143">
        <v>2638</v>
      </c>
      <c r="C2679" s="169" t="s">
        <v>3148</v>
      </c>
      <c r="D2679" s="143" t="s">
        <v>41</v>
      </c>
      <c r="E2679" s="196" t="s">
        <v>7047</v>
      </c>
      <c r="F2679" s="143">
        <v>651</v>
      </c>
      <c r="H2679" s="143" t="s">
        <v>7391</v>
      </c>
      <c r="I2679" s="143" t="s">
        <v>3418</v>
      </c>
      <c r="J2679" s="143" t="s">
        <v>2917</v>
      </c>
      <c r="K2679" s="143">
        <v>150</v>
      </c>
      <c r="L2679" s="143">
        <v>170</v>
      </c>
      <c r="W2679" s="143" t="s">
        <v>3147</v>
      </c>
      <c r="X2679" s="143">
        <v>651</v>
      </c>
      <c r="Y2679" s="169" t="s">
        <v>3147</v>
      </c>
      <c r="Z2679" s="143">
        <v>651</v>
      </c>
      <c r="AA2679" s="173">
        <v>9.5</v>
      </c>
    </row>
    <row r="2680" ht="15" spans="1:27">
      <c r="A2680" s="143">
        <v>2639</v>
      </c>
      <c r="C2680" s="169" t="s">
        <v>3148</v>
      </c>
      <c r="D2680" s="143" t="s">
        <v>41</v>
      </c>
      <c r="E2680" s="196" t="s">
        <v>7047</v>
      </c>
      <c r="F2680" s="143">
        <v>711</v>
      </c>
      <c r="H2680" s="143" t="s">
        <v>7392</v>
      </c>
      <c r="I2680" s="143" t="s">
        <v>7393</v>
      </c>
      <c r="J2680" s="143" t="s">
        <v>7358</v>
      </c>
      <c r="K2680" s="143">
        <v>150</v>
      </c>
      <c r="L2680" s="143">
        <v>150</v>
      </c>
      <c r="W2680" s="143" t="s">
        <v>3147</v>
      </c>
      <c r="X2680" s="143">
        <v>711</v>
      </c>
      <c r="Y2680" s="169" t="s">
        <v>3147</v>
      </c>
      <c r="Z2680" s="143">
        <v>711</v>
      </c>
      <c r="AA2680" s="173">
        <v>10.6</v>
      </c>
    </row>
    <row r="2681" ht="15" spans="1:27">
      <c r="A2681" s="143">
        <v>2640</v>
      </c>
      <c r="C2681" s="169" t="s">
        <v>3148</v>
      </c>
      <c r="D2681" s="143" t="s">
        <v>41</v>
      </c>
      <c r="E2681" s="196" t="s">
        <v>7047</v>
      </c>
      <c r="F2681" s="143">
        <v>691</v>
      </c>
      <c r="H2681" s="143" t="s">
        <v>7394</v>
      </c>
      <c r="I2681" s="143" t="s">
        <v>3418</v>
      </c>
      <c r="J2681" s="143" t="s">
        <v>2917</v>
      </c>
      <c r="K2681" s="143">
        <v>150</v>
      </c>
      <c r="L2681" s="143">
        <v>160</v>
      </c>
      <c r="W2681" s="143" t="s">
        <v>3147</v>
      </c>
      <c r="X2681" s="143">
        <v>691</v>
      </c>
      <c r="Y2681" s="169" t="s">
        <v>3147</v>
      </c>
      <c r="Z2681" s="143">
        <v>691</v>
      </c>
      <c r="AA2681" s="173">
        <v>11</v>
      </c>
    </row>
    <row r="2682" ht="15" spans="1:27">
      <c r="A2682" s="143">
        <v>2641</v>
      </c>
      <c r="C2682" s="169" t="s">
        <v>3148</v>
      </c>
      <c r="D2682" s="143" t="s">
        <v>41</v>
      </c>
      <c r="E2682" s="196" t="s">
        <v>7047</v>
      </c>
      <c r="F2682" s="143">
        <v>690</v>
      </c>
      <c r="H2682" s="143" t="s">
        <v>7395</v>
      </c>
      <c r="I2682" s="143" t="s">
        <v>3390</v>
      </c>
      <c r="J2682" s="143" t="s">
        <v>3657</v>
      </c>
      <c r="K2682" s="143">
        <v>150</v>
      </c>
      <c r="L2682" s="143">
        <v>230</v>
      </c>
      <c r="W2682" s="143" t="s">
        <v>3147</v>
      </c>
      <c r="X2682" s="143">
        <v>690</v>
      </c>
      <c r="Y2682" s="169" t="s">
        <v>3147</v>
      </c>
      <c r="Z2682" s="143">
        <v>690</v>
      </c>
      <c r="AA2682" s="173">
        <v>13.5</v>
      </c>
    </row>
    <row r="2683" ht="15" spans="1:27">
      <c r="A2683" s="143">
        <v>2642</v>
      </c>
      <c r="C2683" s="169" t="s">
        <v>3148</v>
      </c>
      <c r="D2683" s="143" t="s">
        <v>41</v>
      </c>
      <c r="E2683" s="196" t="s">
        <v>7047</v>
      </c>
      <c r="F2683" s="143">
        <v>710</v>
      </c>
      <c r="H2683" s="143" t="s">
        <v>7396</v>
      </c>
      <c r="I2683" s="143" t="s">
        <v>3418</v>
      </c>
      <c r="J2683" s="143" t="s">
        <v>2917</v>
      </c>
      <c r="K2683" s="143">
        <v>150</v>
      </c>
      <c r="W2683" s="143" t="s">
        <v>3147</v>
      </c>
      <c r="X2683" s="143">
        <v>710</v>
      </c>
      <c r="Y2683" s="169" t="s">
        <v>3147</v>
      </c>
      <c r="Z2683" s="143">
        <v>710</v>
      </c>
      <c r="AA2683" s="173">
        <v>10.7</v>
      </c>
    </row>
    <row r="2684" ht="15" spans="1:27">
      <c r="A2684" s="143">
        <v>2643</v>
      </c>
      <c r="C2684" s="169" t="s">
        <v>3148</v>
      </c>
      <c r="D2684" s="143" t="s">
        <v>41</v>
      </c>
      <c r="E2684" s="196" t="s">
        <v>7047</v>
      </c>
      <c r="F2684" s="143" t="s">
        <v>7397</v>
      </c>
      <c r="H2684" s="221" t="s">
        <v>7398</v>
      </c>
      <c r="I2684" s="143" t="s">
        <v>7399</v>
      </c>
      <c r="J2684" s="143" t="s">
        <v>2917</v>
      </c>
      <c r="K2684" s="143">
        <v>150</v>
      </c>
      <c r="L2684" s="143">
        <v>160</v>
      </c>
      <c r="W2684" s="143" t="s">
        <v>3147</v>
      </c>
      <c r="X2684" s="143" t="s">
        <v>7397</v>
      </c>
      <c r="Y2684" s="169" t="s">
        <v>3147</v>
      </c>
      <c r="Z2684" s="143" t="s">
        <v>7397</v>
      </c>
      <c r="AA2684" s="173">
        <v>12.1</v>
      </c>
    </row>
    <row r="2685" ht="15" spans="1:27">
      <c r="A2685" s="143">
        <v>2644</v>
      </c>
      <c r="C2685" s="169" t="s">
        <v>3148</v>
      </c>
      <c r="D2685" s="143" t="s">
        <v>41</v>
      </c>
      <c r="E2685" s="196" t="s">
        <v>7047</v>
      </c>
      <c r="F2685" s="143">
        <v>628</v>
      </c>
      <c r="H2685" s="143" t="s">
        <v>7400</v>
      </c>
      <c r="I2685" s="143" t="s">
        <v>7399</v>
      </c>
      <c r="J2685" s="143" t="s">
        <v>2815</v>
      </c>
      <c r="K2685" s="143">
        <v>150</v>
      </c>
      <c r="W2685" s="143" t="s">
        <v>3147</v>
      </c>
      <c r="X2685" s="143">
        <v>628</v>
      </c>
      <c r="Y2685" s="169" t="s">
        <v>3147</v>
      </c>
      <c r="Z2685" s="143">
        <v>628</v>
      </c>
      <c r="AA2685" s="173">
        <v>11.3</v>
      </c>
    </row>
    <row r="2686" ht="15" spans="1:27">
      <c r="A2686" s="143">
        <v>2645</v>
      </c>
      <c r="C2686" s="169" t="s">
        <v>3148</v>
      </c>
      <c r="D2686" s="143" t="s">
        <v>41</v>
      </c>
      <c r="E2686" s="196" t="s">
        <v>7047</v>
      </c>
      <c r="F2686" s="143">
        <v>647</v>
      </c>
      <c r="H2686" s="143" t="s">
        <v>7401</v>
      </c>
      <c r="I2686" s="143" t="s">
        <v>7399</v>
      </c>
      <c r="J2686" s="143" t="s">
        <v>2815</v>
      </c>
      <c r="K2686" s="143">
        <v>150</v>
      </c>
      <c r="W2686" s="143" t="s">
        <v>3147</v>
      </c>
      <c r="X2686" s="143">
        <v>647</v>
      </c>
      <c r="Y2686" s="169" t="s">
        <v>3147</v>
      </c>
      <c r="Z2686" s="143">
        <v>647</v>
      </c>
      <c r="AA2686" s="173">
        <v>10.8</v>
      </c>
    </row>
    <row r="2687" ht="15" spans="1:27">
      <c r="A2687" s="143">
        <v>2646</v>
      </c>
      <c r="C2687" s="169" t="s">
        <v>3148</v>
      </c>
      <c r="D2687" s="143" t="s">
        <v>41</v>
      </c>
      <c r="E2687" s="196" t="s">
        <v>7047</v>
      </c>
      <c r="F2687" s="143">
        <v>727</v>
      </c>
      <c r="H2687" s="143" t="s">
        <v>7402</v>
      </c>
      <c r="I2687" s="143" t="s">
        <v>5954</v>
      </c>
      <c r="J2687" s="143" t="s">
        <v>7403</v>
      </c>
      <c r="K2687" s="143">
        <v>150</v>
      </c>
      <c r="W2687" s="143" t="s">
        <v>3147</v>
      </c>
      <c r="X2687" s="143">
        <v>727</v>
      </c>
      <c r="Y2687" s="169" t="s">
        <v>3147</v>
      </c>
      <c r="Z2687" s="143">
        <v>727</v>
      </c>
      <c r="AA2687" s="173">
        <v>9.7</v>
      </c>
    </row>
    <row r="2688" ht="15" spans="1:27">
      <c r="A2688" s="143">
        <v>2647</v>
      </c>
      <c r="C2688" s="169" t="s">
        <v>3148</v>
      </c>
      <c r="D2688" s="143" t="s">
        <v>41</v>
      </c>
      <c r="E2688" s="196" t="s">
        <v>7047</v>
      </c>
      <c r="F2688" s="143">
        <v>646</v>
      </c>
      <c r="H2688" s="143" t="s">
        <v>7404</v>
      </c>
      <c r="I2688" s="143" t="s">
        <v>7399</v>
      </c>
      <c r="J2688" s="143" t="s">
        <v>2815</v>
      </c>
      <c r="K2688" s="143">
        <v>150</v>
      </c>
      <c r="W2688" s="143" t="s">
        <v>3147</v>
      </c>
      <c r="X2688" s="143">
        <v>646</v>
      </c>
      <c r="Y2688" s="169" t="s">
        <v>3147</v>
      </c>
      <c r="Z2688" s="143">
        <v>646</v>
      </c>
      <c r="AA2688" s="173">
        <v>11.8</v>
      </c>
    </row>
    <row r="2689" ht="15" spans="1:27">
      <c r="A2689" s="143">
        <v>2648</v>
      </c>
      <c r="C2689" s="169" t="s">
        <v>3148</v>
      </c>
      <c r="D2689" s="143" t="s">
        <v>41</v>
      </c>
      <c r="E2689" s="196" t="s">
        <v>7047</v>
      </c>
      <c r="F2689" s="143">
        <v>626</v>
      </c>
      <c r="H2689" s="143" t="s">
        <v>7405</v>
      </c>
      <c r="I2689" s="143" t="s">
        <v>7375</v>
      </c>
      <c r="J2689" s="143" t="s">
        <v>7376</v>
      </c>
      <c r="K2689" s="143">
        <v>150</v>
      </c>
      <c r="W2689" s="143" t="s">
        <v>3147</v>
      </c>
      <c r="X2689" s="143">
        <v>626</v>
      </c>
      <c r="Y2689" s="169" t="s">
        <v>3147</v>
      </c>
      <c r="Z2689" s="143">
        <v>626</v>
      </c>
      <c r="AA2689" s="173">
        <v>13.8</v>
      </c>
    </row>
    <row r="2690" ht="15" spans="1:27">
      <c r="A2690" s="143">
        <v>2649</v>
      </c>
      <c r="C2690" s="169" t="s">
        <v>3148</v>
      </c>
      <c r="D2690" s="143" t="s">
        <v>41</v>
      </c>
      <c r="E2690" s="196" t="s">
        <v>7047</v>
      </c>
      <c r="F2690" s="143">
        <v>703</v>
      </c>
      <c r="H2690" s="143" t="s">
        <v>7406</v>
      </c>
      <c r="I2690" s="143" t="s">
        <v>5979</v>
      </c>
      <c r="J2690" s="143" t="s">
        <v>7363</v>
      </c>
      <c r="K2690" s="143">
        <v>150</v>
      </c>
      <c r="L2690" s="143">
        <v>180</v>
      </c>
      <c r="W2690" s="143" t="s">
        <v>3147</v>
      </c>
      <c r="X2690" s="143">
        <v>703</v>
      </c>
      <c r="Y2690" s="169" t="s">
        <v>3147</v>
      </c>
      <c r="Z2690" s="143">
        <v>703</v>
      </c>
      <c r="AA2690" s="173">
        <v>11</v>
      </c>
    </row>
    <row r="2691" ht="15" spans="1:27">
      <c r="A2691" s="143">
        <v>2650</v>
      </c>
      <c r="C2691" s="169" t="s">
        <v>3148</v>
      </c>
      <c r="D2691" s="143" t="s">
        <v>41</v>
      </c>
      <c r="E2691" s="196" t="s">
        <v>7047</v>
      </c>
      <c r="F2691" s="143" t="s">
        <v>7407</v>
      </c>
      <c r="H2691" s="143" t="s">
        <v>7408</v>
      </c>
      <c r="I2691" s="143" t="s">
        <v>7399</v>
      </c>
      <c r="J2691" s="143" t="s">
        <v>2815</v>
      </c>
      <c r="K2691" s="143">
        <v>150</v>
      </c>
      <c r="W2691" s="143" t="s">
        <v>3147</v>
      </c>
      <c r="X2691" s="143" t="s">
        <v>7407</v>
      </c>
      <c r="Y2691" s="169" t="s">
        <v>3147</v>
      </c>
      <c r="Z2691" s="143" t="s">
        <v>7407</v>
      </c>
      <c r="AA2691" s="173">
        <v>9.2</v>
      </c>
    </row>
    <row r="2692" ht="15" spans="1:27">
      <c r="A2692" s="143">
        <v>2651</v>
      </c>
      <c r="C2692" s="169" t="s">
        <v>3148</v>
      </c>
      <c r="D2692" s="143" t="s">
        <v>41</v>
      </c>
      <c r="E2692" s="196" t="s">
        <v>7047</v>
      </c>
      <c r="F2692" s="143">
        <v>726</v>
      </c>
      <c r="H2692" s="143" t="s">
        <v>7409</v>
      </c>
      <c r="I2692" s="143" t="s">
        <v>5979</v>
      </c>
      <c r="J2692" s="143" t="s">
        <v>7363</v>
      </c>
      <c r="K2692" s="143">
        <v>150</v>
      </c>
      <c r="L2692" s="143">
        <v>160</v>
      </c>
      <c r="W2692" s="143" t="s">
        <v>3147</v>
      </c>
      <c r="X2692" s="143">
        <v>726</v>
      </c>
      <c r="Y2692" s="169" t="s">
        <v>3147</v>
      </c>
      <c r="Z2692" s="143">
        <v>726</v>
      </c>
      <c r="AA2692" s="173">
        <v>12</v>
      </c>
    </row>
    <row r="2693" ht="15" spans="1:27">
      <c r="A2693" s="143">
        <v>2652</v>
      </c>
      <c r="C2693" s="169" t="s">
        <v>3148</v>
      </c>
      <c r="D2693" s="143" t="s">
        <v>41</v>
      </c>
      <c r="E2693" s="196" t="s">
        <v>7047</v>
      </c>
      <c r="F2693" s="143">
        <v>849</v>
      </c>
      <c r="H2693" s="143" t="s">
        <v>7410</v>
      </c>
      <c r="I2693" s="143" t="s">
        <v>7411</v>
      </c>
      <c r="J2693" s="143" t="s">
        <v>7376</v>
      </c>
      <c r="K2693" s="143">
        <v>150</v>
      </c>
      <c r="W2693" s="143" t="s">
        <v>3147</v>
      </c>
      <c r="X2693" s="143">
        <v>849</v>
      </c>
      <c r="Y2693" s="169" t="s">
        <v>3147</v>
      </c>
      <c r="Z2693" s="143">
        <v>849</v>
      </c>
      <c r="AA2693" s="173">
        <v>12.8</v>
      </c>
    </row>
    <row r="2694" ht="15" spans="1:27">
      <c r="A2694" s="143">
        <v>2653</v>
      </c>
      <c r="C2694" s="169" t="s">
        <v>3148</v>
      </c>
      <c r="D2694" s="143" t="s">
        <v>41</v>
      </c>
      <c r="E2694" s="196" t="s">
        <v>7047</v>
      </c>
      <c r="F2694" s="143">
        <v>867</v>
      </c>
      <c r="H2694" s="143" t="s">
        <v>7412</v>
      </c>
      <c r="I2694" s="143" t="s">
        <v>4322</v>
      </c>
      <c r="J2694" s="143" t="s">
        <v>479</v>
      </c>
      <c r="K2694" s="143">
        <v>150</v>
      </c>
      <c r="W2694" s="143" t="s">
        <v>3147</v>
      </c>
      <c r="X2694" s="143">
        <v>867</v>
      </c>
      <c r="Y2694" s="169" t="s">
        <v>3147</v>
      </c>
      <c r="Z2694" s="143">
        <v>867</v>
      </c>
      <c r="AA2694" s="173">
        <v>13.3</v>
      </c>
    </row>
    <row r="2695" ht="15" spans="1:27">
      <c r="A2695" s="143">
        <v>2654</v>
      </c>
      <c r="C2695" s="169" t="s">
        <v>3148</v>
      </c>
      <c r="D2695" s="143" t="s">
        <v>41</v>
      </c>
      <c r="E2695" s="196" t="s">
        <v>7047</v>
      </c>
      <c r="F2695" s="143">
        <v>843</v>
      </c>
      <c r="H2695" s="143" t="s">
        <v>7413</v>
      </c>
      <c r="I2695" s="143" t="s">
        <v>4322</v>
      </c>
      <c r="J2695" s="143" t="s">
        <v>479</v>
      </c>
      <c r="K2695" s="143">
        <v>150</v>
      </c>
      <c r="W2695" s="143" t="s">
        <v>3147</v>
      </c>
      <c r="X2695" s="143">
        <v>843</v>
      </c>
      <c r="Y2695" s="169" t="s">
        <v>3147</v>
      </c>
      <c r="Z2695" s="143">
        <v>843</v>
      </c>
      <c r="AA2695" s="173">
        <v>12.3</v>
      </c>
    </row>
    <row r="2696" ht="15" spans="1:27">
      <c r="A2696" s="143">
        <v>2655</v>
      </c>
      <c r="C2696" s="169" t="s">
        <v>3148</v>
      </c>
      <c r="D2696" s="143" t="s">
        <v>41</v>
      </c>
      <c r="E2696" s="196" t="s">
        <v>7047</v>
      </c>
      <c r="F2696" s="143">
        <v>839</v>
      </c>
      <c r="H2696" s="143" t="s">
        <v>7414</v>
      </c>
      <c r="I2696" s="143" t="s">
        <v>4322</v>
      </c>
      <c r="J2696" s="143" t="s">
        <v>479</v>
      </c>
      <c r="K2696" s="143">
        <v>150</v>
      </c>
      <c r="W2696" s="143" t="s">
        <v>3147</v>
      </c>
      <c r="X2696" s="143">
        <v>839</v>
      </c>
      <c r="Y2696" s="169" t="s">
        <v>3147</v>
      </c>
      <c r="Z2696" s="143">
        <v>839</v>
      </c>
      <c r="AA2696" s="173">
        <v>11.8</v>
      </c>
    </row>
    <row r="2697" ht="15" spans="1:27">
      <c r="A2697" s="143">
        <v>2656</v>
      </c>
      <c r="C2697" s="169" t="s">
        <v>3148</v>
      </c>
      <c r="D2697" s="143" t="s">
        <v>41</v>
      </c>
      <c r="E2697" s="196" t="s">
        <v>7047</v>
      </c>
      <c r="F2697" s="143">
        <v>552</v>
      </c>
      <c r="H2697" s="143" t="s">
        <v>7415</v>
      </c>
      <c r="I2697" s="143" t="s">
        <v>4322</v>
      </c>
      <c r="J2697" s="143" t="s">
        <v>479</v>
      </c>
      <c r="K2697" s="143">
        <v>150</v>
      </c>
      <c r="W2697" s="143" t="s">
        <v>3147</v>
      </c>
      <c r="X2697" s="143">
        <v>552</v>
      </c>
      <c r="Y2697" s="169" t="s">
        <v>3147</v>
      </c>
      <c r="Z2697" s="143">
        <v>552</v>
      </c>
      <c r="AA2697" s="173">
        <v>11.5</v>
      </c>
    </row>
    <row r="2698" ht="15" spans="1:27">
      <c r="A2698" s="143">
        <v>2657</v>
      </c>
      <c r="C2698" s="169" t="s">
        <v>3148</v>
      </c>
      <c r="D2698" s="143" t="s">
        <v>41</v>
      </c>
      <c r="E2698" s="196" t="s">
        <v>7047</v>
      </c>
      <c r="F2698" s="143">
        <v>537</v>
      </c>
      <c r="H2698" s="143" t="s">
        <v>7416</v>
      </c>
      <c r="I2698" s="143" t="s">
        <v>4322</v>
      </c>
      <c r="J2698" s="143" t="s">
        <v>479</v>
      </c>
      <c r="K2698" s="143">
        <v>150</v>
      </c>
      <c r="W2698" s="143" t="s">
        <v>3147</v>
      </c>
      <c r="X2698" s="143">
        <v>537</v>
      </c>
      <c r="Y2698" s="169" t="s">
        <v>3147</v>
      </c>
      <c r="Z2698" s="143">
        <v>537</v>
      </c>
      <c r="AA2698" s="173">
        <v>12.3</v>
      </c>
    </row>
    <row r="2699" ht="15" spans="1:27">
      <c r="A2699" s="143">
        <v>2658</v>
      </c>
      <c r="C2699" s="169" t="s">
        <v>3148</v>
      </c>
      <c r="D2699" s="143" t="s">
        <v>41</v>
      </c>
      <c r="E2699" s="196" t="s">
        <v>7047</v>
      </c>
      <c r="F2699" s="143">
        <v>547</v>
      </c>
      <c r="H2699" s="143" t="s">
        <v>7417</v>
      </c>
      <c r="I2699" s="143" t="s">
        <v>4322</v>
      </c>
      <c r="J2699" s="143" t="s">
        <v>479</v>
      </c>
      <c r="K2699" s="143">
        <v>150</v>
      </c>
      <c r="W2699" s="143" t="s">
        <v>3147</v>
      </c>
      <c r="X2699" s="143">
        <v>547</v>
      </c>
      <c r="Y2699" s="169" t="s">
        <v>3147</v>
      </c>
      <c r="Z2699" s="143">
        <v>547</v>
      </c>
      <c r="AA2699" s="173">
        <v>12.3</v>
      </c>
    </row>
    <row r="2700" ht="15" spans="1:27">
      <c r="A2700" s="143">
        <v>2659</v>
      </c>
      <c r="C2700" s="169" t="s">
        <v>3148</v>
      </c>
      <c r="D2700" s="143" t="s">
        <v>41</v>
      </c>
      <c r="E2700" s="196" t="s">
        <v>7047</v>
      </c>
      <c r="F2700" s="143">
        <v>203</v>
      </c>
      <c r="H2700" s="143" t="s">
        <v>7418</v>
      </c>
      <c r="I2700" s="143" t="s">
        <v>7419</v>
      </c>
      <c r="J2700" s="143" t="s">
        <v>7420</v>
      </c>
      <c r="K2700" s="143">
        <v>150</v>
      </c>
      <c r="L2700" s="143">
        <v>270</v>
      </c>
      <c r="W2700" s="143" t="s">
        <v>3147</v>
      </c>
      <c r="X2700" s="143">
        <v>203</v>
      </c>
      <c r="Y2700" s="169" t="s">
        <v>3147</v>
      </c>
      <c r="Z2700" s="143">
        <v>203</v>
      </c>
      <c r="AA2700" s="173">
        <v>16.5</v>
      </c>
    </row>
    <row r="2701" ht="15" spans="1:27">
      <c r="A2701" s="143">
        <v>2660</v>
      </c>
      <c r="C2701" s="169" t="s">
        <v>3148</v>
      </c>
      <c r="D2701" s="143" t="s">
        <v>41</v>
      </c>
      <c r="E2701" s="196" t="s">
        <v>7047</v>
      </c>
      <c r="F2701" s="143">
        <v>201</v>
      </c>
      <c r="H2701" s="143" t="s">
        <v>7421</v>
      </c>
      <c r="I2701" s="143" t="s">
        <v>7419</v>
      </c>
      <c r="J2701" s="143" t="s">
        <v>7420</v>
      </c>
      <c r="K2701" s="143">
        <v>150</v>
      </c>
      <c r="W2701" s="143" t="s">
        <v>3147</v>
      </c>
      <c r="X2701" s="143">
        <v>201</v>
      </c>
      <c r="Y2701" s="169" t="s">
        <v>3147</v>
      </c>
      <c r="Z2701" s="143">
        <v>201</v>
      </c>
      <c r="AA2701" s="173">
        <v>16.5</v>
      </c>
    </row>
    <row r="2702" spans="1:27">
      <c r="A2702" s="143">
        <v>2661</v>
      </c>
      <c r="C2702" s="169" t="s">
        <v>3148</v>
      </c>
      <c r="D2702" s="143" t="s">
        <v>41</v>
      </c>
      <c r="E2702" s="196" t="s">
        <v>7422</v>
      </c>
      <c r="F2702" s="169" t="s">
        <v>7423</v>
      </c>
      <c r="H2702" s="143" t="s">
        <v>7424</v>
      </c>
      <c r="I2702" s="143" t="s">
        <v>7425</v>
      </c>
      <c r="J2702" s="143" t="s">
        <v>7426</v>
      </c>
      <c r="K2702" s="143">
        <v>175</v>
      </c>
      <c r="L2702" s="143">
        <v>260</v>
      </c>
      <c r="Q2702" s="229" t="s">
        <v>4844</v>
      </c>
      <c r="W2702" s="143" t="s">
        <v>3147</v>
      </c>
      <c r="X2702" s="169" t="s">
        <v>7423</v>
      </c>
      <c r="Y2702" s="169" t="s">
        <v>7427</v>
      </c>
      <c r="Z2702" s="169" t="s">
        <v>7423</v>
      </c>
      <c r="AA2702" s="143">
        <v>36</v>
      </c>
    </row>
    <row r="2703" spans="1:27">
      <c r="A2703" s="143">
        <v>2662</v>
      </c>
      <c r="C2703" s="169" t="s">
        <v>3148</v>
      </c>
      <c r="D2703" s="143" t="s">
        <v>41</v>
      </c>
      <c r="E2703" s="196" t="s">
        <v>7422</v>
      </c>
      <c r="F2703" s="143" t="s">
        <v>7428</v>
      </c>
      <c r="H2703" s="143" t="s">
        <v>7429</v>
      </c>
      <c r="I2703" s="143" t="s">
        <v>7430</v>
      </c>
      <c r="J2703" s="143" t="s">
        <v>7431</v>
      </c>
      <c r="K2703" s="143">
        <v>175</v>
      </c>
      <c r="L2703" s="143">
        <v>330</v>
      </c>
      <c r="Q2703" s="229" t="s">
        <v>4809</v>
      </c>
      <c r="W2703" s="143" t="s">
        <v>3147</v>
      </c>
      <c r="X2703" s="143" t="s">
        <v>7428</v>
      </c>
      <c r="Y2703" s="169" t="s">
        <v>7427</v>
      </c>
      <c r="Z2703" s="143" t="s">
        <v>7428</v>
      </c>
      <c r="AA2703" s="143">
        <v>34.3</v>
      </c>
    </row>
    <row r="2704" spans="1:27">
      <c r="A2704" s="143">
        <v>2663</v>
      </c>
      <c r="C2704" s="169" t="s">
        <v>3148</v>
      </c>
      <c r="D2704" s="143" t="s">
        <v>41</v>
      </c>
      <c r="E2704" s="196" t="s">
        <v>7422</v>
      </c>
      <c r="F2704" s="169" t="s">
        <v>7432</v>
      </c>
      <c r="H2704" s="143" t="s">
        <v>7433</v>
      </c>
      <c r="I2704" s="143" t="s">
        <v>7434</v>
      </c>
      <c r="J2704" s="143" t="s">
        <v>7435</v>
      </c>
      <c r="K2704" s="143">
        <v>185</v>
      </c>
      <c r="L2704" s="143">
        <v>250</v>
      </c>
      <c r="Q2704" s="229" t="s">
        <v>4844</v>
      </c>
      <c r="W2704" s="143" t="s">
        <v>3147</v>
      </c>
      <c r="X2704" s="169" t="s">
        <v>7432</v>
      </c>
      <c r="Y2704" s="169" t="s">
        <v>7427</v>
      </c>
      <c r="Z2704" s="169" t="s">
        <v>7432</v>
      </c>
      <c r="AA2704" s="143">
        <v>36.5</v>
      </c>
    </row>
    <row r="2705" spans="1:27">
      <c r="A2705" s="143">
        <v>2664</v>
      </c>
      <c r="C2705" s="169" t="s">
        <v>3148</v>
      </c>
      <c r="D2705" s="143" t="s">
        <v>41</v>
      </c>
      <c r="E2705" s="196" t="s">
        <v>7422</v>
      </c>
      <c r="F2705" s="143" t="s">
        <v>7436</v>
      </c>
      <c r="H2705" s="143" t="s">
        <v>7437</v>
      </c>
      <c r="I2705" s="143" t="s">
        <v>7438</v>
      </c>
      <c r="J2705" s="143" t="s">
        <v>7439</v>
      </c>
      <c r="K2705" s="143">
        <v>185</v>
      </c>
      <c r="L2705" s="143">
        <v>300</v>
      </c>
      <c r="Q2705" s="229" t="s">
        <v>4809</v>
      </c>
      <c r="W2705" s="143" t="s">
        <v>3147</v>
      </c>
      <c r="X2705" s="143" t="s">
        <v>7436</v>
      </c>
      <c r="Y2705" s="169" t="s">
        <v>7427</v>
      </c>
      <c r="Z2705" s="143" t="s">
        <v>7436</v>
      </c>
      <c r="AA2705" s="143">
        <v>33.8</v>
      </c>
    </row>
    <row r="2706" ht="15" spans="1:27">
      <c r="A2706" s="143">
        <v>2665</v>
      </c>
      <c r="C2706" s="169" t="s">
        <v>3148</v>
      </c>
      <c r="D2706" s="143" t="s">
        <v>41</v>
      </c>
      <c r="E2706" s="196" t="s">
        <v>7422</v>
      </c>
      <c r="F2706" s="169" t="s">
        <v>7440</v>
      </c>
      <c r="H2706" s="143" t="s">
        <v>7441</v>
      </c>
      <c r="I2706" s="204"/>
      <c r="J2706" s="204"/>
      <c r="K2706" s="143">
        <v>165</v>
      </c>
      <c r="L2706" s="143">
        <v>350</v>
      </c>
      <c r="Q2706" s="229" t="s">
        <v>7442</v>
      </c>
      <c r="W2706" s="143" t="s">
        <v>3147</v>
      </c>
      <c r="X2706" s="169" t="s">
        <v>7440</v>
      </c>
      <c r="Y2706" s="169" t="s">
        <v>7427</v>
      </c>
      <c r="Z2706" s="169" t="s">
        <v>7440</v>
      </c>
      <c r="AA2706" s="143">
        <v>32.6</v>
      </c>
    </row>
    <row r="2707" spans="1:27">
      <c r="A2707" s="143">
        <v>2666</v>
      </c>
      <c r="C2707" s="169" t="s">
        <v>3148</v>
      </c>
      <c r="D2707" s="143" t="s">
        <v>41</v>
      </c>
      <c r="E2707" s="196" t="s">
        <v>7422</v>
      </c>
      <c r="F2707" s="143" t="s">
        <v>7443</v>
      </c>
      <c r="H2707" s="143" t="s">
        <v>7444</v>
      </c>
      <c r="I2707" s="143" t="s">
        <v>3326</v>
      </c>
      <c r="J2707" s="143" t="s">
        <v>7445</v>
      </c>
      <c r="K2707" s="143">
        <v>185</v>
      </c>
      <c r="L2707" s="143">
        <v>280</v>
      </c>
      <c r="Q2707" s="229" t="s">
        <v>4826</v>
      </c>
      <c r="W2707" s="143" t="s">
        <v>3147</v>
      </c>
      <c r="X2707" s="143" t="s">
        <v>7443</v>
      </c>
      <c r="Y2707" s="169" t="s">
        <v>7427</v>
      </c>
      <c r="Z2707" s="143" t="s">
        <v>7443</v>
      </c>
      <c r="AA2707" s="143">
        <v>43</v>
      </c>
    </row>
    <row r="2708" spans="1:27">
      <c r="A2708" s="143">
        <v>2667</v>
      </c>
      <c r="C2708" s="169" t="s">
        <v>3148</v>
      </c>
      <c r="D2708" s="143" t="s">
        <v>41</v>
      </c>
      <c r="E2708" s="196" t="s">
        <v>7422</v>
      </c>
      <c r="F2708" s="143" t="s">
        <v>7446</v>
      </c>
      <c r="H2708" s="143" t="s">
        <v>7447</v>
      </c>
      <c r="I2708" s="143" t="s">
        <v>3326</v>
      </c>
      <c r="J2708" s="143" t="s">
        <v>7445</v>
      </c>
      <c r="K2708" s="143">
        <v>180</v>
      </c>
      <c r="L2708" s="143">
        <v>320</v>
      </c>
      <c r="Q2708" s="229" t="s">
        <v>7442</v>
      </c>
      <c r="W2708" s="143" t="s">
        <v>3147</v>
      </c>
      <c r="X2708" s="143" t="s">
        <v>7446</v>
      </c>
      <c r="Y2708" s="169" t="s">
        <v>7427</v>
      </c>
      <c r="Z2708" s="143" t="s">
        <v>7446</v>
      </c>
      <c r="AA2708" s="143">
        <v>43</v>
      </c>
    </row>
    <row r="2709" spans="1:27">
      <c r="A2709" s="143">
        <v>2668</v>
      </c>
      <c r="C2709" s="169" t="s">
        <v>3148</v>
      </c>
      <c r="D2709" s="143" t="s">
        <v>41</v>
      </c>
      <c r="E2709" s="196" t="s">
        <v>7422</v>
      </c>
      <c r="F2709" s="169" t="s">
        <v>7448</v>
      </c>
      <c r="H2709" s="143" t="s">
        <v>7449</v>
      </c>
      <c r="I2709" s="143" t="s">
        <v>6206</v>
      </c>
      <c r="J2709" s="143" t="s">
        <v>7450</v>
      </c>
      <c r="K2709" s="143">
        <v>185</v>
      </c>
      <c r="L2709" s="143">
        <v>300</v>
      </c>
      <c r="Q2709" s="229" t="s">
        <v>4809</v>
      </c>
      <c r="W2709" s="143" t="s">
        <v>3147</v>
      </c>
      <c r="X2709" s="169" t="s">
        <v>7448</v>
      </c>
      <c r="Y2709" s="169" t="s">
        <v>7427</v>
      </c>
      <c r="Z2709" s="169" t="s">
        <v>7448</v>
      </c>
      <c r="AA2709" s="143">
        <v>32.5</v>
      </c>
    </row>
    <row r="2710" spans="1:27">
      <c r="A2710" s="143">
        <v>2669</v>
      </c>
      <c r="C2710" s="169" t="s">
        <v>3148</v>
      </c>
      <c r="D2710" s="143" t="s">
        <v>41</v>
      </c>
      <c r="E2710" s="196" t="s">
        <v>7422</v>
      </c>
      <c r="F2710" s="169" t="s">
        <v>7451</v>
      </c>
      <c r="H2710" s="143" t="s">
        <v>7452</v>
      </c>
      <c r="I2710" s="143" t="s">
        <v>4605</v>
      </c>
      <c r="J2710" s="143" t="s">
        <v>4606</v>
      </c>
      <c r="K2710" s="143">
        <v>175</v>
      </c>
      <c r="L2710" s="143">
        <v>260</v>
      </c>
      <c r="Q2710" s="229" t="s">
        <v>4844</v>
      </c>
      <c r="W2710" s="143" t="s">
        <v>3147</v>
      </c>
      <c r="X2710" s="169" t="s">
        <v>7451</v>
      </c>
      <c r="Y2710" s="169" t="s">
        <v>7427</v>
      </c>
      <c r="Z2710" s="169" t="s">
        <v>7451</v>
      </c>
      <c r="AA2710" s="143">
        <v>34.8</v>
      </c>
    </row>
    <row r="2711" spans="1:27">
      <c r="A2711" s="143">
        <v>2670</v>
      </c>
      <c r="C2711" s="169" t="s">
        <v>3148</v>
      </c>
      <c r="D2711" s="143" t="s">
        <v>41</v>
      </c>
      <c r="E2711" s="196" t="s">
        <v>7422</v>
      </c>
      <c r="F2711" s="169" t="s">
        <v>7453</v>
      </c>
      <c r="H2711" s="143" t="s">
        <v>7454</v>
      </c>
      <c r="I2711" s="143" t="s">
        <v>4576</v>
      </c>
      <c r="J2711" s="143" t="s">
        <v>7455</v>
      </c>
      <c r="K2711" s="143">
        <v>175</v>
      </c>
      <c r="L2711" s="143">
        <v>220</v>
      </c>
      <c r="Q2711" s="229" t="s">
        <v>3701</v>
      </c>
      <c r="W2711" s="143" t="s">
        <v>3147</v>
      </c>
      <c r="X2711" s="169" t="s">
        <v>7453</v>
      </c>
      <c r="Y2711" s="169" t="s">
        <v>7427</v>
      </c>
      <c r="Z2711" s="169" t="s">
        <v>7453</v>
      </c>
      <c r="AA2711" s="143">
        <v>43</v>
      </c>
    </row>
    <row r="2712" spans="1:27">
      <c r="A2712" s="143">
        <v>2671</v>
      </c>
      <c r="C2712" s="169" t="s">
        <v>3148</v>
      </c>
      <c r="D2712" s="143" t="s">
        <v>41</v>
      </c>
      <c r="E2712" s="196" t="s">
        <v>7422</v>
      </c>
      <c r="F2712" s="169" t="s">
        <v>7456</v>
      </c>
      <c r="H2712" s="143" t="s">
        <v>7457</v>
      </c>
      <c r="I2712" s="143" t="s">
        <v>7458</v>
      </c>
      <c r="J2712" s="143" t="s">
        <v>7439</v>
      </c>
      <c r="K2712" s="143">
        <v>190</v>
      </c>
      <c r="L2712" s="143">
        <v>180</v>
      </c>
      <c r="Q2712" s="229" t="s">
        <v>3738</v>
      </c>
      <c r="W2712" s="143" t="s">
        <v>3147</v>
      </c>
      <c r="X2712" s="169" t="s">
        <v>7456</v>
      </c>
      <c r="Y2712" s="169" t="s">
        <v>7427</v>
      </c>
      <c r="Z2712" s="169" t="s">
        <v>7456</v>
      </c>
      <c r="AA2712" s="143">
        <v>33.2</v>
      </c>
    </row>
    <row r="2713" spans="1:27">
      <c r="A2713" s="143">
        <v>2672</v>
      </c>
      <c r="C2713" s="169" t="s">
        <v>3148</v>
      </c>
      <c r="D2713" s="143" t="s">
        <v>41</v>
      </c>
      <c r="E2713" s="196" t="s">
        <v>7422</v>
      </c>
      <c r="F2713" s="169" t="s">
        <v>7459</v>
      </c>
      <c r="H2713" s="143" t="s">
        <v>7460</v>
      </c>
      <c r="I2713" s="143" t="s">
        <v>7461</v>
      </c>
      <c r="J2713" s="143" t="s">
        <v>7462</v>
      </c>
      <c r="K2713" s="143">
        <v>135</v>
      </c>
      <c r="L2713" s="143">
        <v>260</v>
      </c>
      <c r="Q2713" s="229" t="s">
        <v>3813</v>
      </c>
      <c r="W2713" s="143" t="s">
        <v>3147</v>
      </c>
      <c r="X2713" s="169" t="s">
        <v>7459</v>
      </c>
      <c r="Y2713" s="169" t="s">
        <v>7427</v>
      </c>
      <c r="Z2713" s="169" t="s">
        <v>7459</v>
      </c>
      <c r="AA2713" s="143">
        <v>36.4</v>
      </c>
    </row>
    <row r="2714" spans="1:27">
      <c r="A2714" s="143">
        <v>2673</v>
      </c>
      <c r="C2714" s="169" t="s">
        <v>3148</v>
      </c>
      <c r="D2714" s="143" t="s">
        <v>41</v>
      </c>
      <c r="E2714" s="196" t="s">
        <v>7422</v>
      </c>
      <c r="F2714" s="169" t="s">
        <v>7463</v>
      </c>
      <c r="H2714" s="143" t="s">
        <v>7464</v>
      </c>
      <c r="I2714" s="143" t="s">
        <v>3157</v>
      </c>
      <c r="J2714" s="143" t="s">
        <v>46</v>
      </c>
      <c r="K2714" s="143">
        <v>185</v>
      </c>
      <c r="L2714" s="143">
        <v>180</v>
      </c>
      <c r="Q2714" s="229" t="s">
        <v>3829</v>
      </c>
      <c r="W2714" s="143" t="s">
        <v>3147</v>
      </c>
      <c r="X2714" s="169" t="s">
        <v>7463</v>
      </c>
      <c r="Y2714" s="169" t="s">
        <v>7427</v>
      </c>
      <c r="Z2714" s="169" t="s">
        <v>7463</v>
      </c>
      <c r="AA2714" s="143">
        <v>36.4</v>
      </c>
    </row>
    <row r="2715" spans="1:27">
      <c r="A2715" s="143">
        <v>2674</v>
      </c>
      <c r="C2715" s="169" t="s">
        <v>3148</v>
      </c>
      <c r="D2715" s="143" t="s">
        <v>41</v>
      </c>
      <c r="E2715" s="196" t="s">
        <v>7422</v>
      </c>
      <c r="F2715" s="169" t="s">
        <v>7465</v>
      </c>
      <c r="H2715" s="143" t="s">
        <v>7466</v>
      </c>
      <c r="I2715" s="143" t="s">
        <v>3157</v>
      </c>
      <c r="J2715" s="143" t="s">
        <v>46</v>
      </c>
      <c r="K2715" s="143">
        <v>185</v>
      </c>
      <c r="L2715" s="143">
        <v>230</v>
      </c>
      <c r="Q2715" s="229" t="s">
        <v>3771</v>
      </c>
      <c r="W2715" s="143" t="s">
        <v>3147</v>
      </c>
      <c r="X2715" s="169" t="s">
        <v>7465</v>
      </c>
      <c r="Y2715" s="169" t="s">
        <v>7427</v>
      </c>
      <c r="Z2715" s="169" t="s">
        <v>7465</v>
      </c>
      <c r="AA2715" s="143">
        <v>35.8</v>
      </c>
    </row>
    <row r="2716" spans="1:27">
      <c r="A2716" s="143">
        <v>2675</v>
      </c>
      <c r="C2716" s="169" t="s">
        <v>3148</v>
      </c>
      <c r="D2716" s="143" t="s">
        <v>41</v>
      </c>
      <c r="E2716" s="196" t="s">
        <v>7422</v>
      </c>
      <c r="F2716" s="143" t="s">
        <v>7467</v>
      </c>
      <c r="H2716" s="143" t="s">
        <v>7468</v>
      </c>
      <c r="I2716" s="143" t="s">
        <v>3157</v>
      </c>
      <c r="J2716" s="143" t="s">
        <v>46</v>
      </c>
      <c r="K2716" s="143">
        <v>185</v>
      </c>
      <c r="L2716" s="143">
        <v>180</v>
      </c>
      <c r="Q2716" s="229" t="s">
        <v>3829</v>
      </c>
      <c r="W2716" s="143" t="s">
        <v>3147</v>
      </c>
      <c r="X2716" s="143" t="s">
        <v>7467</v>
      </c>
      <c r="Y2716" s="169" t="s">
        <v>7427</v>
      </c>
      <c r="Z2716" s="143" t="s">
        <v>7467</v>
      </c>
      <c r="AA2716" s="143">
        <v>38.6</v>
      </c>
    </row>
    <row r="2717" spans="1:27">
      <c r="A2717" s="143">
        <v>2676</v>
      </c>
      <c r="C2717" s="169" t="s">
        <v>3148</v>
      </c>
      <c r="D2717" s="143" t="s">
        <v>41</v>
      </c>
      <c r="E2717" s="196" t="s">
        <v>7422</v>
      </c>
      <c r="F2717" s="169" t="s">
        <v>7469</v>
      </c>
      <c r="H2717" s="143" t="s">
        <v>7470</v>
      </c>
      <c r="I2717" s="143" t="s">
        <v>4539</v>
      </c>
      <c r="J2717" s="143" t="s">
        <v>7471</v>
      </c>
      <c r="K2717" s="143">
        <v>185</v>
      </c>
      <c r="L2717" s="143">
        <v>190</v>
      </c>
      <c r="Q2717" s="229" t="s">
        <v>3813</v>
      </c>
      <c r="W2717" s="143" t="s">
        <v>3147</v>
      </c>
      <c r="X2717" s="169" t="s">
        <v>7469</v>
      </c>
      <c r="Y2717" s="169" t="s">
        <v>7427</v>
      </c>
      <c r="Z2717" s="169" t="s">
        <v>7469</v>
      </c>
      <c r="AA2717" s="143">
        <v>36.4</v>
      </c>
    </row>
    <row r="2718" spans="1:27">
      <c r="A2718" s="143">
        <v>2677</v>
      </c>
      <c r="C2718" s="169" t="s">
        <v>3148</v>
      </c>
      <c r="D2718" s="143" t="s">
        <v>41</v>
      </c>
      <c r="E2718" s="196" t="s">
        <v>7422</v>
      </c>
      <c r="F2718" s="143" t="s">
        <v>7472</v>
      </c>
      <c r="H2718" s="143" t="s">
        <v>7473</v>
      </c>
      <c r="I2718" s="143" t="s">
        <v>3157</v>
      </c>
      <c r="J2718" s="143" t="s">
        <v>46</v>
      </c>
      <c r="K2718" s="143">
        <v>185</v>
      </c>
      <c r="L2718" s="143">
        <v>230</v>
      </c>
      <c r="Q2718" s="229" t="s">
        <v>3771</v>
      </c>
      <c r="W2718" s="143" t="s">
        <v>3147</v>
      </c>
      <c r="X2718" s="143" t="s">
        <v>7472</v>
      </c>
      <c r="Y2718" s="169" t="s">
        <v>7427</v>
      </c>
      <c r="Z2718" s="143" t="s">
        <v>7472</v>
      </c>
      <c r="AA2718" s="143">
        <v>37</v>
      </c>
    </row>
    <row r="2719" spans="1:27">
      <c r="A2719" s="143">
        <v>2678</v>
      </c>
      <c r="C2719" s="169" t="s">
        <v>3148</v>
      </c>
      <c r="D2719" s="143" t="s">
        <v>41</v>
      </c>
      <c r="E2719" s="196" t="s">
        <v>7422</v>
      </c>
      <c r="F2719" s="143" t="s">
        <v>7474</v>
      </c>
      <c r="H2719" s="143" t="s">
        <v>7475</v>
      </c>
      <c r="I2719" s="143" t="s">
        <v>7476</v>
      </c>
      <c r="J2719" s="143" t="s">
        <v>7477</v>
      </c>
      <c r="K2719" s="143">
        <v>190</v>
      </c>
      <c r="L2719" s="143">
        <v>140</v>
      </c>
      <c r="Q2719" s="229" t="s">
        <v>7478</v>
      </c>
      <c r="W2719" s="143" t="s">
        <v>3147</v>
      </c>
      <c r="X2719" s="143" t="s">
        <v>7474</v>
      </c>
      <c r="Y2719" s="169" t="s">
        <v>7427</v>
      </c>
      <c r="Z2719" s="143" t="s">
        <v>7474</v>
      </c>
      <c r="AA2719" s="143">
        <v>30.5</v>
      </c>
    </row>
    <row r="2720" spans="1:27">
      <c r="A2720" s="143">
        <v>2679</v>
      </c>
      <c r="C2720" s="169" t="s">
        <v>3148</v>
      </c>
      <c r="D2720" s="143" t="s">
        <v>41</v>
      </c>
      <c r="E2720" s="196" t="s">
        <v>7422</v>
      </c>
      <c r="F2720" s="169" t="s">
        <v>7479</v>
      </c>
      <c r="H2720" s="143" t="s">
        <v>7480</v>
      </c>
      <c r="I2720" s="143" t="s">
        <v>7481</v>
      </c>
      <c r="J2720" s="143" t="s">
        <v>7482</v>
      </c>
      <c r="K2720" s="143">
        <v>175</v>
      </c>
      <c r="L2720" s="143">
        <v>180</v>
      </c>
      <c r="Q2720" s="229" t="s">
        <v>4671</v>
      </c>
      <c r="W2720" s="143" t="s">
        <v>3147</v>
      </c>
      <c r="X2720" s="169" t="s">
        <v>7479</v>
      </c>
      <c r="Y2720" s="169" t="s">
        <v>7427</v>
      </c>
      <c r="Z2720" s="169" t="s">
        <v>7479</v>
      </c>
      <c r="AA2720" s="143">
        <v>49.5</v>
      </c>
    </row>
    <row r="2721" spans="1:27">
      <c r="A2721" s="143">
        <v>2680</v>
      </c>
      <c r="C2721" s="169" t="s">
        <v>3148</v>
      </c>
      <c r="D2721" s="143" t="s">
        <v>41</v>
      </c>
      <c r="E2721" s="196" t="s">
        <v>7422</v>
      </c>
      <c r="F2721" s="143" t="s">
        <v>7483</v>
      </c>
      <c r="H2721" s="143" t="s">
        <v>7484</v>
      </c>
      <c r="I2721" s="143" t="s">
        <v>4512</v>
      </c>
      <c r="J2721" s="143" t="s">
        <v>7485</v>
      </c>
      <c r="K2721" s="143">
        <v>165</v>
      </c>
      <c r="L2721" s="143">
        <v>160</v>
      </c>
      <c r="Q2721" s="229" t="s">
        <v>7478</v>
      </c>
      <c r="W2721" s="143" t="s">
        <v>3147</v>
      </c>
      <c r="X2721" s="143" t="s">
        <v>7483</v>
      </c>
      <c r="Y2721" s="169" t="s">
        <v>7427</v>
      </c>
      <c r="Z2721" s="143" t="s">
        <v>7483</v>
      </c>
      <c r="AA2721" s="143">
        <v>35.3</v>
      </c>
    </row>
    <row r="2722" spans="1:27">
      <c r="A2722" s="143">
        <v>2681</v>
      </c>
      <c r="C2722" s="169" t="s">
        <v>3148</v>
      </c>
      <c r="D2722" s="143" t="s">
        <v>41</v>
      </c>
      <c r="E2722" s="196" t="s">
        <v>7422</v>
      </c>
      <c r="F2722" s="169" t="s">
        <v>7486</v>
      </c>
      <c r="H2722" s="143" t="s">
        <v>7487</v>
      </c>
      <c r="I2722" s="143" t="s">
        <v>5662</v>
      </c>
      <c r="J2722" s="143" t="s">
        <v>7488</v>
      </c>
      <c r="K2722" s="143">
        <v>185</v>
      </c>
      <c r="L2722" s="143">
        <v>180</v>
      </c>
      <c r="Q2722" s="229" t="s">
        <v>3829</v>
      </c>
      <c r="W2722" s="143" t="s">
        <v>3147</v>
      </c>
      <c r="X2722" s="169" t="s">
        <v>7486</v>
      </c>
      <c r="Y2722" s="169" t="s">
        <v>7427</v>
      </c>
      <c r="Z2722" s="169" t="s">
        <v>7486</v>
      </c>
      <c r="AA2722" s="143">
        <v>39.2</v>
      </c>
    </row>
    <row r="2723" spans="1:27">
      <c r="A2723" s="143">
        <v>2682</v>
      </c>
      <c r="C2723" s="169" t="s">
        <v>3148</v>
      </c>
      <c r="D2723" s="143" t="s">
        <v>41</v>
      </c>
      <c r="E2723" s="196" t="s">
        <v>7422</v>
      </c>
      <c r="F2723" s="143" t="s">
        <v>7489</v>
      </c>
      <c r="H2723" s="143" t="s">
        <v>7490</v>
      </c>
      <c r="I2723" s="143" t="s">
        <v>3157</v>
      </c>
      <c r="J2723" s="143" t="s">
        <v>46</v>
      </c>
      <c r="K2723" s="143">
        <v>185</v>
      </c>
      <c r="L2723" s="143">
        <v>280</v>
      </c>
      <c r="Q2723" s="229" t="s">
        <v>4826</v>
      </c>
      <c r="W2723" s="143" t="s">
        <v>3147</v>
      </c>
      <c r="X2723" s="143" t="s">
        <v>7489</v>
      </c>
      <c r="Y2723" s="169" t="s">
        <v>7427</v>
      </c>
      <c r="Z2723" s="143" t="s">
        <v>7489</v>
      </c>
      <c r="AA2723" s="143">
        <v>38.6</v>
      </c>
    </row>
    <row r="2724" spans="1:27">
      <c r="A2724" s="143">
        <v>2683</v>
      </c>
      <c r="C2724" s="169" t="s">
        <v>3148</v>
      </c>
      <c r="D2724" s="143" t="s">
        <v>41</v>
      </c>
      <c r="E2724" s="196" t="s">
        <v>7422</v>
      </c>
      <c r="F2724" s="143" t="s">
        <v>7491</v>
      </c>
      <c r="H2724" s="143" t="s">
        <v>7492</v>
      </c>
      <c r="I2724" s="143" t="s">
        <v>3157</v>
      </c>
      <c r="J2724" s="143" t="s">
        <v>46</v>
      </c>
      <c r="K2724" s="143">
        <v>185</v>
      </c>
      <c r="L2724" s="143">
        <v>180</v>
      </c>
      <c r="Q2724" s="229" t="s">
        <v>3829</v>
      </c>
      <c r="W2724" s="143" t="s">
        <v>3147</v>
      </c>
      <c r="X2724" s="143" t="s">
        <v>7491</v>
      </c>
      <c r="Y2724" s="169" t="s">
        <v>7427</v>
      </c>
      <c r="Z2724" s="143" t="s">
        <v>7491</v>
      </c>
      <c r="AA2724" s="143">
        <v>37.5</v>
      </c>
    </row>
    <row r="2725" spans="1:27">
      <c r="A2725" s="143">
        <v>2684</v>
      </c>
      <c r="C2725" s="169" t="s">
        <v>3148</v>
      </c>
      <c r="D2725" s="143" t="s">
        <v>41</v>
      </c>
      <c r="E2725" s="196" t="s">
        <v>7422</v>
      </c>
      <c r="F2725" s="169" t="s">
        <v>7493</v>
      </c>
      <c r="H2725" s="143" t="s">
        <v>7494</v>
      </c>
      <c r="I2725" s="143" t="s">
        <v>5662</v>
      </c>
      <c r="J2725" s="143" t="s">
        <v>7488</v>
      </c>
      <c r="K2725" s="143">
        <v>185</v>
      </c>
      <c r="L2725" s="143">
        <v>210</v>
      </c>
      <c r="Q2725" s="229" t="s">
        <v>3701</v>
      </c>
      <c r="W2725" s="143" t="s">
        <v>3147</v>
      </c>
      <c r="X2725" s="169" t="s">
        <v>7493</v>
      </c>
      <c r="Y2725" s="169" t="s">
        <v>7427</v>
      </c>
      <c r="Z2725" s="169" t="s">
        <v>7493</v>
      </c>
      <c r="AA2725" s="143">
        <v>39.7</v>
      </c>
    </row>
    <row r="2726" spans="1:27">
      <c r="A2726" s="143">
        <v>2685</v>
      </c>
      <c r="C2726" s="169" t="s">
        <v>3148</v>
      </c>
      <c r="D2726" s="143" t="s">
        <v>41</v>
      </c>
      <c r="E2726" s="196" t="s">
        <v>7422</v>
      </c>
      <c r="F2726" s="169" t="s">
        <v>7495</v>
      </c>
      <c r="H2726" s="143" t="s">
        <v>7496</v>
      </c>
      <c r="I2726" s="143" t="s">
        <v>6251</v>
      </c>
      <c r="J2726" s="143" t="s">
        <v>7497</v>
      </c>
      <c r="K2726" s="143">
        <v>190</v>
      </c>
      <c r="L2726" s="143">
        <v>180</v>
      </c>
      <c r="Q2726" s="229" t="s">
        <v>3738</v>
      </c>
      <c r="W2726" s="143" t="s">
        <v>3147</v>
      </c>
      <c r="X2726" s="169" t="s">
        <v>7495</v>
      </c>
      <c r="Y2726" s="169" t="s">
        <v>7427</v>
      </c>
      <c r="Z2726" s="169" t="s">
        <v>7495</v>
      </c>
      <c r="AA2726" s="143">
        <v>33.4</v>
      </c>
    </row>
    <row r="2727" spans="1:27">
      <c r="A2727" s="143">
        <v>2686</v>
      </c>
      <c r="C2727" s="169" t="s">
        <v>3148</v>
      </c>
      <c r="D2727" s="143" t="s">
        <v>41</v>
      </c>
      <c r="E2727" s="196" t="s">
        <v>7422</v>
      </c>
      <c r="F2727" s="169" t="s">
        <v>7498</v>
      </c>
      <c r="H2727" s="143" t="s">
        <v>7499</v>
      </c>
      <c r="I2727" s="143" t="s">
        <v>6251</v>
      </c>
      <c r="J2727" s="143" t="s">
        <v>7497</v>
      </c>
      <c r="K2727" s="143">
        <v>190</v>
      </c>
      <c r="L2727" s="143">
        <v>180</v>
      </c>
      <c r="Q2727" s="229" t="s">
        <v>3738</v>
      </c>
      <c r="W2727" s="143" t="s">
        <v>3147</v>
      </c>
      <c r="X2727" s="169" t="s">
        <v>7498</v>
      </c>
      <c r="Y2727" s="169" t="s">
        <v>7427</v>
      </c>
      <c r="Z2727" s="169" t="s">
        <v>7498</v>
      </c>
      <c r="AA2727" s="143">
        <v>34</v>
      </c>
    </row>
    <row r="2728" spans="1:27">
      <c r="A2728" s="143">
        <v>2687</v>
      </c>
      <c r="C2728" s="169" t="s">
        <v>3148</v>
      </c>
      <c r="D2728" s="143" t="s">
        <v>41</v>
      </c>
      <c r="E2728" s="196" t="s">
        <v>7422</v>
      </c>
      <c r="F2728" s="169" t="s">
        <v>7500</v>
      </c>
      <c r="H2728" s="143" t="s">
        <v>7501</v>
      </c>
      <c r="I2728" s="143" t="s">
        <v>7502</v>
      </c>
      <c r="J2728" s="143" t="s">
        <v>7503</v>
      </c>
      <c r="K2728" s="143">
        <v>175</v>
      </c>
      <c r="L2728" s="143">
        <v>250</v>
      </c>
      <c r="Q2728" s="229" t="s">
        <v>3800</v>
      </c>
      <c r="W2728" s="143" t="s">
        <v>3147</v>
      </c>
      <c r="X2728" s="169" t="s">
        <v>7500</v>
      </c>
      <c r="Y2728" s="169" t="s">
        <v>7427</v>
      </c>
      <c r="Z2728" s="169" t="s">
        <v>7500</v>
      </c>
      <c r="AA2728" s="143">
        <v>45.2</v>
      </c>
    </row>
    <row r="2729" spans="1:27">
      <c r="A2729" s="143">
        <v>2688</v>
      </c>
      <c r="C2729" s="169" t="s">
        <v>3148</v>
      </c>
      <c r="D2729" s="143" t="s">
        <v>41</v>
      </c>
      <c r="E2729" s="196" t="s">
        <v>7422</v>
      </c>
      <c r="F2729" s="169" t="s">
        <v>7504</v>
      </c>
      <c r="H2729" s="143" t="s">
        <v>7505</v>
      </c>
      <c r="I2729" s="143" t="s">
        <v>3157</v>
      </c>
      <c r="J2729" s="143" t="s">
        <v>46</v>
      </c>
      <c r="K2729" s="143">
        <v>175</v>
      </c>
      <c r="L2729" s="143">
        <v>260</v>
      </c>
      <c r="Q2729" s="229" t="s">
        <v>4844</v>
      </c>
      <c r="W2729" s="143" t="s">
        <v>3147</v>
      </c>
      <c r="X2729" s="169" t="s">
        <v>7504</v>
      </c>
      <c r="Y2729" s="169" t="s">
        <v>7427</v>
      </c>
      <c r="Z2729" s="169" t="s">
        <v>7504</v>
      </c>
      <c r="AA2729" s="143">
        <v>38.6</v>
      </c>
    </row>
    <row r="2730" spans="1:27">
      <c r="A2730" s="143">
        <v>2689</v>
      </c>
      <c r="C2730" s="169" t="s">
        <v>3148</v>
      </c>
      <c r="D2730" s="143" t="s">
        <v>41</v>
      </c>
      <c r="E2730" s="196" t="s">
        <v>7422</v>
      </c>
      <c r="F2730" s="169" t="s">
        <v>7506</v>
      </c>
      <c r="H2730" s="143" t="s">
        <v>7507</v>
      </c>
      <c r="I2730" s="143" t="s">
        <v>3326</v>
      </c>
      <c r="J2730" s="143" t="s">
        <v>7445</v>
      </c>
      <c r="K2730" s="143">
        <v>185</v>
      </c>
      <c r="L2730" s="143">
        <v>250</v>
      </c>
      <c r="Q2730" s="229" t="s">
        <v>4844</v>
      </c>
      <c r="W2730" s="143" t="s">
        <v>3147</v>
      </c>
      <c r="X2730" s="169" t="s">
        <v>7506</v>
      </c>
      <c r="Y2730" s="169" t="s">
        <v>7427</v>
      </c>
      <c r="Z2730" s="169" t="s">
        <v>7506</v>
      </c>
      <c r="AA2730" s="143">
        <v>36.5</v>
      </c>
    </row>
    <row r="2731" spans="1:27">
      <c r="A2731" s="143">
        <v>2690</v>
      </c>
      <c r="C2731" s="169" t="s">
        <v>3148</v>
      </c>
      <c r="D2731" s="143" t="s">
        <v>41</v>
      </c>
      <c r="E2731" s="196" t="s">
        <v>7422</v>
      </c>
      <c r="F2731" s="169" t="s">
        <v>7508</v>
      </c>
      <c r="H2731" s="143" t="s">
        <v>7509</v>
      </c>
      <c r="I2731" s="143" t="s">
        <v>6206</v>
      </c>
      <c r="J2731" s="143" t="s">
        <v>7450</v>
      </c>
      <c r="K2731" s="143">
        <v>190</v>
      </c>
      <c r="L2731" s="143">
        <v>180</v>
      </c>
      <c r="Q2731" s="229" t="s">
        <v>3738</v>
      </c>
      <c r="W2731" s="143" t="s">
        <v>3147</v>
      </c>
      <c r="X2731" s="169" t="s">
        <v>7508</v>
      </c>
      <c r="Y2731" s="169" t="s">
        <v>7427</v>
      </c>
      <c r="Z2731" s="169" t="s">
        <v>7508</v>
      </c>
      <c r="AA2731" s="143">
        <v>33.2</v>
      </c>
    </row>
    <row r="2732" spans="1:27">
      <c r="A2732" s="143">
        <v>2691</v>
      </c>
      <c r="C2732" s="169" t="s">
        <v>3148</v>
      </c>
      <c r="D2732" s="143" t="s">
        <v>41</v>
      </c>
      <c r="E2732" s="196" t="s">
        <v>7422</v>
      </c>
      <c r="F2732" s="169" t="s">
        <v>7510</v>
      </c>
      <c r="H2732" s="143" t="s">
        <v>7511</v>
      </c>
      <c r="I2732" s="143" t="s">
        <v>7512</v>
      </c>
      <c r="J2732" s="143" t="s">
        <v>7513</v>
      </c>
      <c r="K2732" s="143">
        <v>190</v>
      </c>
      <c r="L2732" s="143">
        <v>170</v>
      </c>
      <c r="Q2732" s="229" t="s">
        <v>3767</v>
      </c>
      <c r="W2732" s="143" t="s">
        <v>3147</v>
      </c>
      <c r="X2732" s="169" t="s">
        <v>7510</v>
      </c>
      <c r="Y2732" s="169" t="s">
        <v>7427</v>
      </c>
      <c r="Z2732" s="169" t="s">
        <v>7510</v>
      </c>
      <c r="AA2732" s="143">
        <v>34.3</v>
      </c>
    </row>
    <row r="2733" spans="1:27">
      <c r="A2733" s="143">
        <v>2692</v>
      </c>
      <c r="C2733" s="169" t="s">
        <v>3148</v>
      </c>
      <c r="D2733" s="143" t="s">
        <v>41</v>
      </c>
      <c r="E2733" s="196" t="s">
        <v>7422</v>
      </c>
      <c r="F2733" s="169" t="s">
        <v>7514</v>
      </c>
      <c r="H2733" s="143" t="s">
        <v>7515</v>
      </c>
      <c r="I2733" s="143" t="s">
        <v>3157</v>
      </c>
      <c r="J2733" s="143" t="s">
        <v>46</v>
      </c>
      <c r="K2733" s="143">
        <v>185</v>
      </c>
      <c r="L2733" s="143">
        <v>210</v>
      </c>
      <c r="Q2733" s="229" t="s">
        <v>3701</v>
      </c>
      <c r="W2733" s="143" t="s">
        <v>3147</v>
      </c>
      <c r="X2733" s="169" t="s">
        <v>7514</v>
      </c>
      <c r="Y2733" s="169" t="s">
        <v>7427</v>
      </c>
      <c r="Z2733" s="169" t="s">
        <v>7514</v>
      </c>
      <c r="AA2733" s="143">
        <v>35.8</v>
      </c>
    </row>
    <row r="2734" spans="1:27">
      <c r="A2734" s="143">
        <v>2693</v>
      </c>
      <c r="C2734" s="169" t="s">
        <v>3148</v>
      </c>
      <c r="D2734" s="143" t="s">
        <v>41</v>
      </c>
      <c r="E2734" s="196" t="s">
        <v>7422</v>
      </c>
      <c r="F2734" s="169" t="s">
        <v>7516</v>
      </c>
      <c r="H2734" s="143" t="s">
        <v>7517</v>
      </c>
      <c r="I2734" s="143" t="s">
        <v>7518</v>
      </c>
      <c r="J2734" s="143" t="s">
        <v>7519</v>
      </c>
      <c r="K2734" s="143">
        <v>185</v>
      </c>
      <c r="L2734" s="143">
        <v>260</v>
      </c>
      <c r="Q2734" s="229" t="s">
        <v>3717</v>
      </c>
      <c r="W2734" s="143" t="s">
        <v>3147</v>
      </c>
      <c r="X2734" s="169" t="s">
        <v>7516</v>
      </c>
      <c r="Y2734" s="169" t="s">
        <v>7427</v>
      </c>
      <c r="Z2734" s="169" t="s">
        <v>7516</v>
      </c>
      <c r="AA2734" s="143">
        <v>37</v>
      </c>
    </row>
    <row r="2735" spans="1:27">
      <c r="A2735" s="143">
        <v>2694</v>
      </c>
      <c r="C2735" s="169" t="s">
        <v>3148</v>
      </c>
      <c r="D2735" s="143" t="s">
        <v>41</v>
      </c>
      <c r="E2735" s="196" t="s">
        <v>7422</v>
      </c>
      <c r="F2735" s="169" t="s">
        <v>7520</v>
      </c>
      <c r="H2735" s="143" t="s">
        <v>7521</v>
      </c>
      <c r="I2735" s="143" t="s">
        <v>6251</v>
      </c>
      <c r="J2735" s="143" t="s">
        <v>7497</v>
      </c>
      <c r="K2735" s="143">
        <v>172</v>
      </c>
      <c r="L2735" s="143">
        <v>300</v>
      </c>
      <c r="Q2735" s="229" t="s">
        <v>4826</v>
      </c>
      <c r="W2735" s="143" t="s">
        <v>3147</v>
      </c>
      <c r="X2735" s="169" t="s">
        <v>7520</v>
      </c>
      <c r="Y2735" s="169" t="s">
        <v>7427</v>
      </c>
      <c r="Z2735" s="169" t="s">
        <v>7520</v>
      </c>
      <c r="AA2735" s="143">
        <v>37</v>
      </c>
    </row>
    <row r="2736" spans="1:27">
      <c r="A2736" s="143">
        <v>2695</v>
      </c>
      <c r="C2736" s="169" t="s">
        <v>3148</v>
      </c>
      <c r="D2736" s="143" t="s">
        <v>41</v>
      </c>
      <c r="E2736" s="196" t="s">
        <v>7422</v>
      </c>
      <c r="F2736" s="143" t="s">
        <v>7522</v>
      </c>
      <c r="H2736" s="143" t="s">
        <v>7523</v>
      </c>
      <c r="I2736" s="143" t="s">
        <v>3157</v>
      </c>
      <c r="J2736" s="143" t="s">
        <v>46</v>
      </c>
      <c r="K2736" s="143">
        <v>185</v>
      </c>
      <c r="L2736" s="143">
        <v>180</v>
      </c>
      <c r="Q2736" s="229" t="s">
        <v>3829</v>
      </c>
      <c r="W2736" s="143" t="s">
        <v>3147</v>
      </c>
      <c r="X2736" s="143" t="s">
        <v>7522</v>
      </c>
      <c r="Y2736" s="169" t="s">
        <v>7427</v>
      </c>
      <c r="Z2736" s="143" t="s">
        <v>7522</v>
      </c>
      <c r="AA2736" s="143">
        <v>36.2</v>
      </c>
    </row>
    <row r="2737" spans="1:27">
      <c r="A2737" s="143">
        <v>2696</v>
      </c>
      <c r="C2737" s="169" t="s">
        <v>3148</v>
      </c>
      <c r="D2737" s="143" t="s">
        <v>41</v>
      </c>
      <c r="E2737" s="196" t="s">
        <v>7422</v>
      </c>
      <c r="F2737" s="169" t="s">
        <v>7524</v>
      </c>
      <c r="H2737" s="143" t="s">
        <v>7525</v>
      </c>
      <c r="I2737" s="143" t="s">
        <v>7526</v>
      </c>
      <c r="J2737" s="143" t="s">
        <v>7527</v>
      </c>
      <c r="K2737" s="143">
        <v>185</v>
      </c>
      <c r="L2737" s="143">
        <v>160</v>
      </c>
      <c r="Q2737" s="229" t="s">
        <v>3832</v>
      </c>
      <c r="W2737" s="143" t="s">
        <v>3147</v>
      </c>
      <c r="X2737" s="169" t="s">
        <v>7524</v>
      </c>
      <c r="Y2737" s="169" t="s">
        <v>7427</v>
      </c>
      <c r="Z2737" s="169" t="s">
        <v>7524</v>
      </c>
      <c r="AA2737" s="143">
        <v>36.4</v>
      </c>
    </row>
    <row r="2738" spans="1:27">
      <c r="A2738" s="143">
        <v>2697</v>
      </c>
      <c r="C2738" s="169" t="s">
        <v>3148</v>
      </c>
      <c r="D2738" s="143" t="s">
        <v>41</v>
      </c>
      <c r="E2738" s="196" t="s">
        <v>7422</v>
      </c>
      <c r="F2738" s="169" t="s">
        <v>7528</v>
      </c>
      <c r="H2738" s="143" t="s">
        <v>7529</v>
      </c>
      <c r="I2738" s="143" t="s">
        <v>5662</v>
      </c>
      <c r="J2738" s="143" t="s">
        <v>7488</v>
      </c>
      <c r="K2738" s="143">
        <v>185</v>
      </c>
      <c r="L2738" s="143">
        <v>135</v>
      </c>
      <c r="Q2738" s="229" t="s">
        <v>7530</v>
      </c>
      <c r="W2738" s="143" t="s">
        <v>3147</v>
      </c>
      <c r="X2738" s="169" t="s">
        <v>7528</v>
      </c>
      <c r="Y2738" s="169" t="s">
        <v>7427</v>
      </c>
      <c r="Z2738" s="169" t="s">
        <v>7528</v>
      </c>
      <c r="AA2738" s="143">
        <v>38.6</v>
      </c>
    </row>
    <row r="2739" spans="1:27">
      <c r="A2739" s="143">
        <v>2698</v>
      </c>
      <c r="C2739" s="169" t="s">
        <v>3148</v>
      </c>
      <c r="D2739" s="143" t="s">
        <v>41</v>
      </c>
      <c r="E2739" s="196" t="s">
        <v>7422</v>
      </c>
      <c r="F2739" s="143" t="s">
        <v>7531</v>
      </c>
      <c r="H2739" s="143" t="s">
        <v>7532</v>
      </c>
      <c r="I2739" s="143" t="s">
        <v>3157</v>
      </c>
      <c r="J2739" s="143" t="s">
        <v>46</v>
      </c>
      <c r="K2739" s="143">
        <v>185</v>
      </c>
      <c r="L2739" s="143">
        <v>220</v>
      </c>
      <c r="Q2739" s="229" t="s">
        <v>3792</v>
      </c>
      <c r="W2739" s="143" t="s">
        <v>3147</v>
      </c>
      <c r="X2739" s="143" t="s">
        <v>7531</v>
      </c>
      <c r="Y2739" s="169" t="s">
        <v>7427</v>
      </c>
      <c r="Z2739" s="143" t="s">
        <v>7531</v>
      </c>
      <c r="AA2739" s="143">
        <v>36.6</v>
      </c>
    </row>
    <row r="2740" spans="1:27">
      <c r="A2740" s="143">
        <v>2699</v>
      </c>
      <c r="C2740" s="169" t="s">
        <v>3148</v>
      </c>
      <c r="D2740" s="143" t="s">
        <v>41</v>
      </c>
      <c r="E2740" s="196" t="s">
        <v>7422</v>
      </c>
      <c r="F2740" s="169" t="s">
        <v>7533</v>
      </c>
      <c r="H2740" s="143" t="s">
        <v>7534</v>
      </c>
      <c r="I2740" s="143" t="s">
        <v>4503</v>
      </c>
      <c r="J2740" s="143" t="s">
        <v>7535</v>
      </c>
      <c r="K2740" s="143">
        <v>175</v>
      </c>
      <c r="L2740" s="143">
        <v>200</v>
      </c>
      <c r="Q2740" s="229" t="s">
        <v>3738</v>
      </c>
      <c r="W2740" s="143" t="s">
        <v>3147</v>
      </c>
      <c r="X2740" s="169" t="s">
        <v>7533</v>
      </c>
      <c r="Y2740" s="169" t="s">
        <v>7427</v>
      </c>
      <c r="Z2740" s="169" t="s">
        <v>7533</v>
      </c>
      <c r="AA2740" s="143">
        <v>32.6</v>
      </c>
    </row>
    <row r="2741" spans="1:27">
      <c r="A2741" s="143">
        <v>2700</v>
      </c>
      <c r="C2741" s="169" t="s">
        <v>3148</v>
      </c>
      <c r="D2741" s="143" t="s">
        <v>41</v>
      </c>
      <c r="E2741" s="196" t="s">
        <v>7422</v>
      </c>
      <c r="F2741" s="143" t="s">
        <v>7536</v>
      </c>
      <c r="H2741" s="143" t="s">
        <v>7537</v>
      </c>
      <c r="I2741" s="143" t="s">
        <v>3737</v>
      </c>
      <c r="J2741" s="143" t="s">
        <v>2691</v>
      </c>
      <c r="K2741" s="143">
        <v>175</v>
      </c>
      <c r="L2741" s="143">
        <v>180</v>
      </c>
      <c r="Q2741" s="229" t="s">
        <v>4671</v>
      </c>
      <c r="W2741" s="143" t="s">
        <v>3147</v>
      </c>
      <c r="X2741" s="143" t="s">
        <v>7536</v>
      </c>
      <c r="Y2741" s="169" t="s">
        <v>7427</v>
      </c>
      <c r="Z2741" s="143" t="s">
        <v>7536</v>
      </c>
      <c r="AA2741" s="143">
        <v>38.6</v>
      </c>
    </row>
    <row r="2742" spans="1:27">
      <c r="A2742" s="143">
        <v>2701</v>
      </c>
      <c r="C2742" s="169" t="s">
        <v>3148</v>
      </c>
      <c r="D2742" s="143" t="s">
        <v>41</v>
      </c>
      <c r="E2742" s="196" t="s">
        <v>7422</v>
      </c>
      <c r="F2742" s="143" t="s">
        <v>7538</v>
      </c>
      <c r="H2742" s="143" t="s">
        <v>7539</v>
      </c>
      <c r="I2742" s="143" t="s">
        <v>3157</v>
      </c>
      <c r="J2742" s="143" t="s">
        <v>46</v>
      </c>
      <c r="K2742" s="143">
        <v>185</v>
      </c>
      <c r="L2742" s="143">
        <v>160</v>
      </c>
      <c r="Q2742" s="229" t="s">
        <v>3832</v>
      </c>
      <c r="W2742" s="143" t="s">
        <v>3147</v>
      </c>
      <c r="X2742" s="143" t="s">
        <v>7538</v>
      </c>
      <c r="Y2742" s="169" t="s">
        <v>7427</v>
      </c>
      <c r="Z2742" s="143" t="s">
        <v>7538</v>
      </c>
      <c r="AA2742" s="143">
        <v>38.4</v>
      </c>
    </row>
    <row r="2743" spans="1:27">
      <c r="A2743" s="143">
        <v>2702</v>
      </c>
      <c r="C2743" s="169" t="s">
        <v>3148</v>
      </c>
      <c r="D2743" s="143" t="s">
        <v>41</v>
      </c>
      <c r="E2743" s="196" t="s">
        <v>7422</v>
      </c>
      <c r="F2743" s="143" t="s">
        <v>7540</v>
      </c>
      <c r="H2743" s="143" t="s">
        <v>7541</v>
      </c>
      <c r="I2743" s="143" t="s">
        <v>4535</v>
      </c>
      <c r="J2743" s="143" t="s">
        <v>7542</v>
      </c>
      <c r="K2743" s="143">
        <v>190</v>
      </c>
      <c r="L2743" s="143">
        <v>140</v>
      </c>
      <c r="Q2743" s="229" t="s">
        <v>7478</v>
      </c>
      <c r="W2743" s="143" t="s">
        <v>3147</v>
      </c>
      <c r="X2743" s="143" t="s">
        <v>7540</v>
      </c>
      <c r="Y2743" s="169" t="s">
        <v>7427</v>
      </c>
      <c r="Z2743" s="143" t="s">
        <v>7540</v>
      </c>
      <c r="AA2743" s="143">
        <v>30.5</v>
      </c>
    </row>
    <row r="2744" spans="1:27">
      <c r="A2744" s="143">
        <v>2703</v>
      </c>
      <c r="C2744" s="169" t="s">
        <v>3148</v>
      </c>
      <c r="D2744" s="143" t="s">
        <v>41</v>
      </c>
      <c r="E2744" s="196" t="s">
        <v>7422</v>
      </c>
      <c r="F2744" s="143" t="s">
        <v>7543</v>
      </c>
      <c r="H2744" s="143" t="s">
        <v>7544</v>
      </c>
      <c r="I2744" s="143" t="s">
        <v>801</v>
      </c>
      <c r="J2744" s="143" t="s">
        <v>802</v>
      </c>
      <c r="K2744" s="143">
        <v>135</v>
      </c>
      <c r="L2744" s="143">
        <v>260</v>
      </c>
      <c r="Q2744" s="229" t="s">
        <v>3813</v>
      </c>
      <c r="W2744" s="143" t="s">
        <v>3147</v>
      </c>
      <c r="X2744" s="143" t="s">
        <v>7543</v>
      </c>
      <c r="Y2744" s="169" t="s">
        <v>7427</v>
      </c>
      <c r="Z2744" s="143" t="s">
        <v>7543</v>
      </c>
      <c r="AA2744" s="143">
        <v>33.2</v>
      </c>
    </row>
    <row r="2745" spans="1:27">
      <c r="A2745" s="143">
        <v>2704</v>
      </c>
      <c r="C2745" s="169" t="s">
        <v>3148</v>
      </c>
      <c r="D2745" s="143" t="s">
        <v>41</v>
      </c>
      <c r="E2745" s="196" t="s">
        <v>7422</v>
      </c>
      <c r="F2745" s="143" t="s">
        <v>7545</v>
      </c>
      <c r="H2745" s="143" t="s">
        <v>7546</v>
      </c>
      <c r="I2745" s="143" t="s">
        <v>7547</v>
      </c>
      <c r="J2745" s="143" t="s">
        <v>7548</v>
      </c>
      <c r="K2745" s="143">
        <v>135</v>
      </c>
      <c r="L2745" s="143">
        <v>260</v>
      </c>
      <c r="Q2745" s="229" t="s">
        <v>3813</v>
      </c>
      <c r="W2745" s="143" t="s">
        <v>3147</v>
      </c>
      <c r="X2745" s="143" t="s">
        <v>7545</v>
      </c>
      <c r="Y2745" s="169" t="s">
        <v>7427</v>
      </c>
      <c r="Z2745" s="143" t="s">
        <v>7545</v>
      </c>
      <c r="AA2745" s="143">
        <v>33.2</v>
      </c>
    </row>
    <row r="2746" spans="1:27">
      <c r="A2746" s="143">
        <v>2705</v>
      </c>
      <c r="C2746" s="169" t="s">
        <v>3148</v>
      </c>
      <c r="D2746" s="143" t="s">
        <v>41</v>
      </c>
      <c r="E2746" s="196" t="s">
        <v>7422</v>
      </c>
      <c r="F2746" s="169" t="s">
        <v>7549</v>
      </c>
      <c r="H2746" s="143" t="s">
        <v>7550</v>
      </c>
      <c r="I2746" s="143" t="s">
        <v>4605</v>
      </c>
      <c r="J2746" s="143" t="s">
        <v>4606</v>
      </c>
      <c r="K2746" s="143">
        <v>175</v>
      </c>
      <c r="L2746" s="143">
        <v>260</v>
      </c>
      <c r="Q2746" s="229" t="s">
        <v>4844</v>
      </c>
      <c r="W2746" s="143" t="s">
        <v>3147</v>
      </c>
      <c r="X2746" s="169" t="s">
        <v>7549</v>
      </c>
      <c r="Y2746" s="169" t="s">
        <v>7427</v>
      </c>
      <c r="Z2746" s="169" t="s">
        <v>7549</v>
      </c>
      <c r="AA2746" s="143">
        <v>31.5</v>
      </c>
    </row>
    <row r="2747" spans="1:27">
      <c r="A2747" s="143">
        <v>2706</v>
      </c>
      <c r="C2747" s="169" t="s">
        <v>3148</v>
      </c>
      <c r="D2747" s="143" t="s">
        <v>41</v>
      </c>
      <c r="E2747" s="196" t="s">
        <v>7422</v>
      </c>
      <c r="F2747" s="169" t="s">
        <v>7551</v>
      </c>
      <c r="H2747" s="143" t="s">
        <v>7552</v>
      </c>
      <c r="I2747" s="143" t="s">
        <v>4801</v>
      </c>
      <c r="J2747" s="143" t="s">
        <v>127</v>
      </c>
      <c r="K2747" s="143">
        <v>185</v>
      </c>
      <c r="L2747" s="143">
        <v>180</v>
      </c>
      <c r="Q2747" s="229" t="s">
        <v>3829</v>
      </c>
      <c r="W2747" s="143" t="s">
        <v>3147</v>
      </c>
      <c r="X2747" s="169" t="s">
        <v>7551</v>
      </c>
      <c r="Y2747" s="169" t="s">
        <v>7427</v>
      </c>
      <c r="Z2747" s="169" t="s">
        <v>7551</v>
      </c>
      <c r="AA2747" s="143">
        <v>50.5</v>
      </c>
    </row>
    <row r="2748" spans="1:27">
      <c r="A2748" s="143">
        <v>2707</v>
      </c>
      <c r="C2748" s="169" t="s">
        <v>3148</v>
      </c>
      <c r="D2748" s="143" t="s">
        <v>41</v>
      </c>
      <c r="E2748" s="196" t="s">
        <v>7422</v>
      </c>
      <c r="F2748" s="169" t="s">
        <v>7553</v>
      </c>
      <c r="H2748" s="143" t="s">
        <v>7554</v>
      </c>
      <c r="I2748" s="143" t="s">
        <v>4539</v>
      </c>
      <c r="J2748" s="143" t="s">
        <v>7471</v>
      </c>
      <c r="K2748" s="143">
        <v>185</v>
      </c>
      <c r="L2748" s="143">
        <v>220</v>
      </c>
      <c r="Q2748" s="229" t="s">
        <v>3792</v>
      </c>
      <c r="W2748" s="143" t="s">
        <v>3147</v>
      </c>
      <c r="X2748" s="169" t="s">
        <v>7553</v>
      </c>
      <c r="Y2748" s="169" t="s">
        <v>7427</v>
      </c>
      <c r="Z2748" s="169" t="s">
        <v>7553</v>
      </c>
      <c r="AA2748" s="143">
        <v>45.6</v>
      </c>
    </row>
    <row r="2749" spans="1:27">
      <c r="A2749" s="143">
        <v>2708</v>
      </c>
      <c r="C2749" s="169" t="s">
        <v>3148</v>
      </c>
      <c r="D2749" s="143" t="s">
        <v>41</v>
      </c>
      <c r="E2749" s="196" t="s">
        <v>7422</v>
      </c>
      <c r="F2749" s="169" t="s">
        <v>7555</v>
      </c>
      <c r="H2749" s="143" t="s">
        <v>7556</v>
      </c>
      <c r="I2749" s="143" t="s">
        <v>7557</v>
      </c>
      <c r="J2749" s="143" t="s">
        <v>7558</v>
      </c>
      <c r="K2749" s="143">
        <v>185</v>
      </c>
      <c r="L2749" s="143">
        <v>180</v>
      </c>
      <c r="Q2749" s="229" t="s">
        <v>3829</v>
      </c>
      <c r="W2749" s="143" t="s">
        <v>3147</v>
      </c>
      <c r="X2749" s="169" t="s">
        <v>7555</v>
      </c>
      <c r="Y2749" s="169" t="s">
        <v>7427</v>
      </c>
      <c r="Z2749" s="169" t="s">
        <v>7555</v>
      </c>
      <c r="AA2749" s="143">
        <v>42.3</v>
      </c>
    </row>
    <row r="2750" spans="1:27">
      <c r="A2750" s="143">
        <v>2709</v>
      </c>
      <c r="C2750" s="169" t="s">
        <v>3148</v>
      </c>
      <c r="D2750" s="143" t="s">
        <v>41</v>
      </c>
      <c r="E2750" s="196" t="s">
        <v>7422</v>
      </c>
      <c r="F2750" s="143" t="s">
        <v>7559</v>
      </c>
      <c r="H2750" s="143" t="s">
        <v>7560</v>
      </c>
      <c r="I2750" s="143" t="s">
        <v>7164</v>
      </c>
      <c r="J2750" s="143" t="s">
        <v>7561</v>
      </c>
      <c r="K2750" s="143">
        <v>190</v>
      </c>
      <c r="L2750" s="143">
        <v>140</v>
      </c>
      <c r="Q2750" s="229" t="s">
        <v>7478</v>
      </c>
      <c r="W2750" s="143" t="s">
        <v>3147</v>
      </c>
      <c r="X2750" s="143" t="s">
        <v>7559</v>
      </c>
      <c r="Y2750" s="169" t="s">
        <v>7427</v>
      </c>
      <c r="Z2750" s="143" t="s">
        <v>7559</v>
      </c>
      <c r="AA2750" s="143">
        <v>30</v>
      </c>
    </row>
    <row r="2751" spans="1:27">
      <c r="A2751" s="143">
        <v>2710</v>
      </c>
      <c r="C2751" s="169" t="s">
        <v>3148</v>
      </c>
      <c r="D2751" s="143" t="s">
        <v>41</v>
      </c>
      <c r="E2751" s="196" t="s">
        <v>7422</v>
      </c>
      <c r="F2751" s="143" t="s">
        <v>7562</v>
      </c>
      <c r="H2751" s="143" t="s">
        <v>7563</v>
      </c>
      <c r="I2751" s="143" t="s">
        <v>7164</v>
      </c>
      <c r="J2751" s="143" t="s">
        <v>7561</v>
      </c>
      <c r="K2751" s="143">
        <v>190</v>
      </c>
      <c r="L2751" s="143">
        <v>170</v>
      </c>
      <c r="Q2751" s="229" t="s">
        <v>3767</v>
      </c>
      <c r="W2751" s="143" t="s">
        <v>3147</v>
      </c>
      <c r="X2751" s="143" t="s">
        <v>7562</v>
      </c>
      <c r="Y2751" s="169" t="s">
        <v>7427</v>
      </c>
      <c r="Z2751" s="143" t="s">
        <v>7562</v>
      </c>
      <c r="AA2751" s="143">
        <v>30</v>
      </c>
    </row>
    <row r="2752" spans="1:27">
      <c r="A2752" s="143">
        <v>2711</v>
      </c>
      <c r="C2752" s="169" t="s">
        <v>3148</v>
      </c>
      <c r="D2752" s="143" t="s">
        <v>41</v>
      </c>
      <c r="E2752" s="196" t="s">
        <v>7422</v>
      </c>
      <c r="F2752" s="169" t="s">
        <v>7564</v>
      </c>
      <c r="H2752" s="143" t="s">
        <v>7565</v>
      </c>
      <c r="I2752" s="143" t="s">
        <v>4512</v>
      </c>
      <c r="J2752" s="143" t="s">
        <v>7485</v>
      </c>
      <c r="K2752" s="143">
        <v>185</v>
      </c>
      <c r="L2752" s="143">
        <v>250</v>
      </c>
      <c r="Q2752" s="229" t="s">
        <v>4844</v>
      </c>
      <c r="W2752" s="143" t="s">
        <v>3147</v>
      </c>
      <c r="X2752" s="169" t="s">
        <v>7564</v>
      </c>
      <c r="Y2752" s="169" t="s">
        <v>7427</v>
      </c>
      <c r="Z2752" s="169" t="s">
        <v>7564</v>
      </c>
      <c r="AA2752" s="143">
        <v>37</v>
      </c>
    </row>
    <row r="2753" spans="1:27">
      <c r="A2753" s="143">
        <v>2712</v>
      </c>
      <c r="C2753" s="169" t="s">
        <v>3148</v>
      </c>
      <c r="D2753" s="143" t="s">
        <v>41</v>
      </c>
      <c r="E2753" s="196" t="s">
        <v>7422</v>
      </c>
      <c r="F2753" s="169" t="s">
        <v>7566</v>
      </c>
      <c r="H2753" s="143" t="s">
        <v>7567</v>
      </c>
      <c r="I2753" s="143" t="s">
        <v>7568</v>
      </c>
      <c r="J2753" s="143" t="s">
        <v>7569</v>
      </c>
      <c r="K2753" s="143">
        <v>175</v>
      </c>
      <c r="L2753" s="143">
        <v>260</v>
      </c>
      <c r="Q2753" s="229" t="s">
        <v>4844</v>
      </c>
      <c r="W2753" s="143" t="s">
        <v>3147</v>
      </c>
      <c r="X2753" s="169" t="s">
        <v>7566</v>
      </c>
      <c r="Y2753" s="169" t="s">
        <v>7427</v>
      </c>
      <c r="Z2753" s="169" t="s">
        <v>7566</v>
      </c>
      <c r="AA2753" s="143">
        <v>43</v>
      </c>
    </row>
    <row r="2754" spans="1:27">
      <c r="A2754" s="143">
        <v>2713</v>
      </c>
      <c r="C2754" s="169" t="s">
        <v>3148</v>
      </c>
      <c r="D2754" s="143" t="s">
        <v>41</v>
      </c>
      <c r="E2754" s="196" t="s">
        <v>7422</v>
      </c>
      <c r="F2754" s="169" t="s">
        <v>7570</v>
      </c>
      <c r="H2754" s="143" t="s">
        <v>7571</v>
      </c>
      <c r="I2754" s="143" t="s">
        <v>7572</v>
      </c>
      <c r="J2754" s="143" t="s">
        <v>7513</v>
      </c>
      <c r="K2754" s="143">
        <v>185</v>
      </c>
      <c r="L2754" s="143">
        <v>170</v>
      </c>
      <c r="Q2754" s="229" t="s">
        <v>4844</v>
      </c>
      <c r="W2754" s="143" t="s">
        <v>3147</v>
      </c>
      <c r="X2754" s="169" t="s">
        <v>7570</v>
      </c>
      <c r="Y2754" s="169" t="s">
        <v>7427</v>
      </c>
      <c r="Z2754" s="169" t="s">
        <v>7570</v>
      </c>
      <c r="AA2754" s="143">
        <v>33.7</v>
      </c>
    </row>
    <row r="2755" spans="1:27">
      <c r="A2755" s="143">
        <v>2714</v>
      </c>
      <c r="C2755" s="169" t="s">
        <v>3148</v>
      </c>
      <c r="D2755" s="143" t="s">
        <v>41</v>
      </c>
      <c r="E2755" s="196" t="s">
        <v>7422</v>
      </c>
      <c r="F2755" s="169" t="s">
        <v>7573</v>
      </c>
      <c r="H2755" s="143" t="s">
        <v>7574</v>
      </c>
      <c r="I2755" s="143" t="s">
        <v>7575</v>
      </c>
      <c r="J2755" s="143" t="s">
        <v>7561</v>
      </c>
      <c r="K2755" s="143">
        <v>185</v>
      </c>
      <c r="L2755" s="143">
        <v>360</v>
      </c>
      <c r="Q2755" s="229" t="s">
        <v>7576</v>
      </c>
      <c r="W2755" s="143" t="s">
        <v>3147</v>
      </c>
      <c r="X2755" s="169" t="s">
        <v>7573</v>
      </c>
      <c r="Y2755" s="169" t="s">
        <v>7427</v>
      </c>
      <c r="Z2755" s="169" t="s">
        <v>7573</v>
      </c>
      <c r="AA2755" s="143">
        <v>36.8</v>
      </c>
    </row>
    <row r="2756" spans="1:27">
      <c r="A2756" s="143">
        <v>2715</v>
      </c>
      <c r="C2756" s="169" t="s">
        <v>3148</v>
      </c>
      <c r="D2756" s="143" t="s">
        <v>41</v>
      </c>
      <c r="E2756" s="196" t="s">
        <v>7422</v>
      </c>
      <c r="F2756" s="169" t="s">
        <v>7577</v>
      </c>
      <c r="H2756" s="143" t="s">
        <v>7578</v>
      </c>
      <c r="I2756" s="143" t="s">
        <v>7579</v>
      </c>
      <c r="J2756" s="143" t="s">
        <v>7580</v>
      </c>
      <c r="K2756" s="143">
        <v>190</v>
      </c>
      <c r="L2756" s="143">
        <v>180</v>
      </c>
      <c r="Q2756" s="229" t="s">
        <v>3738</v>
      </c>
      <c r="W2756" s="143" t="s">
        <v>3147</v>
      </c>
      <c r="X2756" s="169" t="s">
        <v>7577</v>
      </c>
      <c r="Y2756" s="169" t="s">
        <v>7427</v>
      </c>
      <c r="Z2756" s="169" t="s">
        <v>7577</v>
      </c>
      <c r="AA2756" s="143">
        <v>26.8</v>
      </c>
    </row>
    <row r="2757" spans="1:27">
      <c r="A2757" s="143">
        <v>2716</v>
      </c>
      <c r="C2757" s="169" t="s">
        <v>3148</v>
      </c>
      <c r="D2757" s="143" t="s">
        <v>41</v>
      </c>
      <c r="E2757" s="196" t="s">
        <v>7422</v>
      </c>
      <c r="F2757" s="169" t="s">
        <v>7581</v>
      </c>
      <c r="H2757" s="143" t="s">
        <v>7582</v>
      </c>
      <c r="I2757" s="143" t="s">
        <v>7583</v>
      </c>
      <c r="J2757" s="143" t="s">
        <v>7584</v>
      </c>
      <c r="K2757" s="143">
        <v>190</v>
      </c>
      <c r="L2757" s="143">
        <v>180</v>
      </c>
      <c r="Q2757" s="229" t="s">
        <v>3738</v>
      </c>
      <c r="W2757" s="143" t="s">
        <v>3147</v>
      </c>
      <c r="X2757" s="169" t="s">
        <v>7581</v>
      </c>
      <c r="Y2757" s="169" t="s">
        <v>7585</v>
      </c>
      <c r="Z2757" s="169" t="s">
        <v>7581</v>
      </c>
      <c r="AA2757" s="143">
        <v>34.8</v>
      </c>
    </row>
    <row r="2758" spans="1:27">
      <c r="A2758" s="143">
        <v>2717</v>
      </c>
      <c r="C2758" s="169" t="s">
        <v>3148</v>
      </c>
      <c r="D2758" s="143" t="s">
        <v>41</v>
      </c>
      <c r="E2758" s="196" t="s">
        <v>7422</v>
      </c>
      <c r="F2758" s="169" t="s">
        <v>7586</v>
      </c>
      <c r="H2758" s="143" t="s">
        <v>7587</v>
      </c>
      <c r="I2758" s="143" t="s">
        <v>3323</v>
      </c>
      <c r="J2758" s="143" t="s">
        <v>7588</v>
      </c>
      <c r="K2758" s="143">
        <v>165</v>
      </c>
      <c r="L2758" s="143">
        <v>250</v>
      </c>
      <c r="Q2758" s="229" t="s">
        <v>3771</v>
      </c>
      <c r="W2758" s="143" t="s">
        <v>3147</v>
      </c>
      <c r="X2758" s="169" t="s">
        <v>7586</v>
      </c>
      <c r="Y2758" s="169" t="s">
        <v>7589</v>
      </c>
      <c r="Z2758" s="169" t="s">
        <v>7586</v>
      </c>
      <c r="AA2758" s="143">
        <v>33.8</v>
      </c>
    </row>
    <row r="2759" spans="1:27">
      <c r="A2759" s="143">
        <v>2720</v>
      </c>
      <c r="B2759" s="230">
        <v>45972</v>
      </c>
      <c r="C2759" s="178" t="s">
        <v>3646</v>
      </c>
      <c r="D2759" s="177" t="s">
        <v>41</v>
      </c>
      <c r="E2759" s="231"/>
      <c r="F2759" s="143" t="s">
        <v>7590</v>
      </c>
      <c r="G2759" s="178" t="s">
        <v>7591</v>
      </c>
      <c r="H2759" s="177" t="s">
        <v>7592</v>
      </c>
      <c r="I2759" s="143" t="s">
        <v>7593</v>
      </c>
      <c r="J2759" s="143" t="s">
        <v>7594</v>
      </c>
      <c r="K2759" s="143">
        <v>165</v>
      </c>
      <c r="L2759" s="143">
        <v>145</v>
      </c>
      <c r="S2759" s="215"/>
      <c r="T2759" s="215"/>
      <c r="U2759" s="215"/>
      <c r="V2759" s="216"/>
      <c r="W2759" s="169" t="s">
        <v>3147</v>
      </c>
      <c r="X2759" s="143" t="s">
        <v>7590</v>
      </c>
      <c r="Y2759" s="169" t="s">
        <v>7595</v>
      </c>
      <c r="Z2759" s="143" t="s">
        <v>7590</v>
      </c>
    </row>
    <row r="2760" ht="25.5" spans="1:27">
      <c r="A2760" s="143">
        <v>2721</v>
      </c>
      <c r="B2760" s="144">
        <v>45972</v>
      </c>
      <c r="C2760" s="169" t="s">
        <v>3646</v>
      </c>
      <c r="D2760" s="143" t="s">
        <v>41</v>
      </c>
      <c r="F2760" s="143" t="s">
        <v>7596</v>
      </c>
      <c r="G2760" s="169" t="s">
        <v>7591</v>
      </c>
      <c r="H2760" s="143" t="s">
        <v>7597</v>
      </c>
      <c r="I2760" s="152" t="s">
        <v>7598</v>
      </c>
      <c r="J2760" s="152" t="s">
        <v>7599</v>
      </c>
      <c r="K2760" s="143">
        <v>180</v>
      </c>
      <c r="L2760" s="143">
        <v>160</v>
      </c>
      <c r="S2760" s="215"/>
      <c r="T2760" s="215"/>
      <c r="U2760" s="215"/>
      <c r="V2760" s="216"/>
      <c r="W2760" s="169" t="s">
        <v>3147</v>
      </c>
      <c r="X2760" s="143" t="s">
        <v>7596</v>
      </c>
      <c r="Y2760" s="169" t="s">
        <v>7595</v>
      </c>
      <c r="Z2760" s="143" t="s">
        <v>7596</v>
      </c>
    </row>
    <row r="2761" ht="15" spans="1:27">
      <c r="A2761" s="143">
        <v>2722</v>
      </c>
      <c r="B2761" s="144">
        <v>45972</v>
      </c>
      <c r="C2761" s="169" t="s">
        <v>3646</v>
      </c>
      <c r="D2761" s="143" t="s">
        <v>41</v>
      </c>
      <c r="F2761" s="143" t="s">
        <v>7600</v>
      </c>
      <c r="G2761" s="169" t="s">
        <v>7591</v>
      </c>
      <c r="H2761" s="143" t="s">
        <v>7601</v>
      </c>
      <c r="I2761" s="143" t="s">
        <v>7602</v>
      </c>
      <c r="J2761" s="143" t="s">
        <v>7603</v>
      </c>
      <c r="K2761" s="143">
        <v>175</v>
      </c>
      <c r="L2761" s="143">
        <v>175</v>
      </c>
      <c r="Q2761" s="204" t="s">
        <v>3658</v>
      </c>
      <c r="S2761" s="215"/>
      <c r="T2761" s="215"/>
      <c r="U2761" s="215"/>
      <c r="V2761" s="216"/>
      <c r="W2761" s="169" t="s">
        <v>3147</v>
      </c>
      <c r="X2761" s="143" t="s">
        <v>7600</v>
      </c>
      <c r="Y2761" s="169" t="s">
        <v>7604</v>
      </c>
      <c r="Z2761" s="143" t="s">
        <v>7600</v>
      </c>
      <c r="AA2761" s="173">
        <v>174</v>
      </c>
    </row>
    <row r="2762" ht="15" spans="1:27">
      <c r="A2762" s="143">
        <v>2723</v>
      </c>
      <c r="B2762" s="144">
        <v>45972</v>
      </c>
      <c r="C2762" s="169" t="s">
        <v>3646</v>
      </c>
      <c r="D2762" s="143" t="s">
        <v>41</v>
      </c>
      <c r="F2762" s="143" t="s">
        <v>7605</v>
      </c>
      <c r="G2762" s="169" t="s">
        <v>7591</v>
      </c>
      <c r="H2762" s="143" t="s">
        <v>7606</v>
      </c>
      <c r="I2762" s="143" t="s">
        <v>45</v>
      </c>
      <c r="J2762" s="143" t="s">
        <v>46</v>
      </c>
      <c r="K2762" s="143">
        <v>139</v>
      </c>
      <c r="L2762" s="143">
        <v>195</v>
      </c>
      <c r="Q2762" s="204" t="s">
        <v>3763</v>
      </c>
      <c r="S2762" s="215"/>
      <c r="T2762" s="215"/>
      <c r="U2762" s="215"/>
      <c r="V2762" s="216"/>
      <c r="W2762" s="169" t="s">
        <v>3147</v>
      </c>
      <c r="X2762" s="143" t="s">
        <v>7605</v>
      </c>
      <c r="Y2762" s="169" t="s">
        <v>7604</v>
      </c>
      <c r="Z2762" s="143" t="s">
        <v>7605</v>
      </c>
      <c r="AA2762" s="173">
        <v>336</v>
      </c>
    </row>
    <row r="2763" ht="15" spans="1:27">
      <c r="A2763" s="143">
        <v>2724</v>
      </c>
      <c r="B2763" s="144">
        <v>45972</v>
      </c>
      <c r="C2763" s="169" t="s">
        <v>3646</v>
      </c>
      <c r="D2763" s="143" t="s">
        <v>41</v>
      </c>
      <c r="F2763" s="143" t="s">
        <v>7607</v>
      </c>
      <c r="G2763" s="169" t="s">
        <v>7591</v>
      </c>
      <c r="H2763" s="143" t="s">
        <v>7608</v>
      </c>
      <c r="I2763" s="143" t="s">
        <v>45</v>
      </c>
      <c r="J2763" s="143" t="s">
        <v>46</v>
      </c>
      <c r="K2763" s="143">
        <v>134</v>
      </c>
      <c r="L2763" s="143">
        <v>150</v>
      </c>
      <c r="Q2763" s="204" t="s">
        <v>7609</v>
      </c>
      <c r="S2763" s="215"/>
      <c r="T2763" s="215"/>
      <c r="U2763" s="215"/>
      <c r="V2763" s="216"/>
      <c r="W2763" s="169" t="s">
        <v>3147</v>
      </c>
      <c r="X2763" s="143" t="s">
        <v>7607</v>
      </c>
      <c r="Y2763" s="169" t="s">
        <v>7604</v>
      </c>
      <c r="Z2763" s="143" t="s">
        <v>7607</v>
      </c>
      <c r="AA2763" s="173">
        <v>264</v>
      </c>
    </row>
    <row r="2764" ht="15" spans="1:27">
      <c r="A2764" s="143">
        <v>2725</v>
      </c>
      <c r="B2764" s="144">
        <v>45972</v>
      </c>
      <c r="C2764" s="169" t="s">
        <v>3646</v>
      </c>
      <c r="D2764" s="143" t="s">
        <v>41</v>
      </c>
      <c r="F2764" s="143" t="s">
        <v>7610</v>
      </c>
      <c r="G2764" s="169" t="s">
        <v>7591</v>
      </c>
      <c r="H2764" s="143" t="s">
        <v>7611</v>
      </c>
      <c r="I2764" s="143" t="s">
        <v>7612</v>
      </c>
      <c r="J2764" s="182" t="s">
        <v>7613</v>
      </c>
      <c r="K2764" s="143">
        <v>167</v>
      </c>
      <c r="L2764" s="143">
        <v>215</v>
      </c>
      <c r="Q2764" s="204" t="s">
        <v>3813</v>
      </c>
      <c r="S2764" s="215"/>
      <c r="T2764" s="215"/>
      <c r="U2764" s="215"/>
      <c r="V2764" s="216"/>
      <c r="W2764" s="169" t="s">
        <v>3147</v>
      </c>
      <c r="X2764" s="143" t="s">
        <v>7610</v>
      </c>
      <c r="Y2764" s="169" t="s">
        <v>7604</v>
      </c>
      <c r="Z2764" s="143" t="s">
        <v>7610</v>
      </c>
      <c r="AA2764" s="173">
        <v>362</v>
      </c>
    </row>
    <row r="2765" ht="15" spans="1:27">
      <c r="A2765" s="143">
        <v>2726</v>
      </c>
      <c r="B2765" s="144">
        <v>45972</v>
      </c>
      <c r="C2765" s="169" t="s">
        <v>3646</v>
      </c>
      <c r="D2765" s="143" t="s">
        <v>41</v>
      </c>
      <c r="F2765" s="143" t="s">
        <v>7614</v>
      </c>
      <c r="G2765" s="169" t="s">
        <v>7591</v>
      </c>
      <c r="H2765" s="143" t="s">
        <v>7615</v>
      </c>
      <c r="I2765" s="143" t="s">
        <v>45</v>
      </c>
      <c r="J2765" s="143" t="s">
        <v>46</v>
      </c>
      <c r="K2765" s="143">
        <v>155</v>
      </c>
      <c r="L2765" s="143">
        <v>225</v>
      </c>
      <c r="Q2765" s="204" t="s">
        <v>3738</v>
      </c>
      <c r="S2765" s="215"/>
      <c r="T2765" s="215"/>
      <c r="U2765" s="215"/>
      <c r="V2765" s="216"/>
      <c r="W2765" s="169" t="s">
        <v>3147</v>
      </c>
      <c r="X2765" s="143" t="s">
        <v>7614</v>
      </c>
      <c r="Y2765" s="169" t="s">
        <v>7604</v>
      </c>
      <c r="Z2765" s="143" t="s">
        <v>7614</v>
      </c>
      <c r="AA2765" s="173">
        <v>108</v>
      </c>
    </row>
    <row r="2766" ht="15" spans="1:27">
      <c r="A2766" s="143">
        <v>2727</v>
      </c>
      <c r="B2766" s="144">
        <v>45972</v>
      </c>
      <c r="C2766" s="169" t="s">
        <v>3646</v>
      </c>
      <c r="D2766" s="143" t="s">
        <v>41</v>
      </c>
      <c r="F2766" s="143" t="s">
        <v>7616</v>
      </c>
      <c r="G2766" s="169" t="s">
        <v>7591</v>
      </c>
      <c r="H2766" s="143" t="s">
        <v>7617</v>
      </c>
      <c r="I2766" s="143" t="s">
        <v>45</v>
      </c>
      <c r="J2766" s="143" t="s">
        <v>46</v>
      </c>
      <c r="K2766" s="143">
        <v>160</v>
      </c>
      <c r="L2766" s="143">
        <v>205</v>
      </c>
      <c r="Q2766" s="204" t="s">
        <v>3767</v>
      </c>
      <c r="S2766" s="215"/>
      <c r="T2766" s="215"/>
      <c r="U2766" s="215"/>
      <c r="V2766" s="216"/>
      <c r="W2766" s="169" t="s">
        <v>3147</v>
      </c>
      <c r="X2766" s="143" t="s">
        <v>7616</v>
      </c>
      <c r="Y2766" s="169" t="s">
        <v>7604</v>
      </c>
      <c r="Z2766" s="143" t="s">
        <v>7616</v>
      </c>
      <c r="AA2766" s="173">
        <v>130</v>
      </c>
    </row>
    <row r="2767" ht="15" spans="1:27">
      <c r="A2767" s="143">
        <v>2728</v>
      </c>
      <c r="B2767" s="144">
        <v>45972</v>
      </c>
      <c r="C2767" s="169" t="s">
        <v>3646</v>
      </c>
      <c r="D2767" s="143" t="s">
        <v>41</v>
      </c>
      <c r="F2767" s="143" t="s">
        <v>7618</v>
      </c>
      <c r="G2767" s="169" t="s">
        <v>7591</v>
      </c>
      <c r="H2767" s="143" t="s">
        <v>7619</v>
      </c>
      <c r="I2767" s="143" t="s">
        <v>7620</v>
      </c>
      <c r="J2767" s="182" t="s">
        <v>7621</v>
      </c>
      <c r="K2767" s="143">
        <v>165</v>
      </c>
      <c r="L2767" s="143">
        <v>250</v>
      </c>
      <c r="Q2767" s="204" t="s">
        <v>3771</v>
      </c>
      <c r="S2767" s="215"/>
      <c r="T2767" s="215"/>
      <c r="U2767" s="215"/>
      <c r="V2767" s="216"/>
      <c r="W2767" s="169" t="s">
        <v>3147</v>
      </c>
      <c r="X2767" s="143" t="s">
        <v>7618</v>
      </c>
      <c r="Y2767" s="169" t="s">
        <v>7604</v>
      </c>
      <c r="Z2767" s="143" t="s">
        <v>7618</v>
      </c>
      <c r="AA2767" s="173">
        <v>125</v>
      </c>
    </row>
    <row r="2768" ht="15" spans="1:27">
      <c r="A2768" s="143">
        <v>2729</v>
      </c>
      <c r="B2768" s="144">
        <v>45972</v>
      </c>
      <c r="C2768" s="169" t="s">
        <v>3646</v>
      </c>
      <c r="D2768" s="143" t="s">
        <v>41</v>
      </c>
      <c r="F2768" s="143" t="s">
        <v>7622</v>
      </c>
      <c r="G2768" s="169" t="s">
        <v>7591</v>
      </c>
      <c r="H2768" s="143" t="s">
        <v>7623</v>
      </c>
      <c r="I2768" s="143" t="s">
        <v>45</v>
      </c>
      <c r="J2768" s="143" t="s">
        <v>46</v>
      </c>
      <c r="K2768" s="143">
        <v>142</v>
      </c>
      <c r="L2768" s="143">
        <v>195</v>
      </c>
      <c r="Q2768" s="204" t="s">
        <v>3763</v>
      </c>
      <c r="S2768" s="215"/>
      <c r="T2768" s="215"/>
      <c r="U2768" s="215"/>
      <c r="V2768" s="216"/>
      <c r="W2768" s="169" t="s">
        <v>3147</v>
      </c>
      <c r="X2768" s="143" t="s">
        <v>7622</v>
      </c>
      <c r="Y2768" s="169" t="s">
        <v>7604</v>
      </c>
      <c r="Z2768" s="143" t="s">
        <v>7622</v>
      </c>
      <c r="AA2768" s="173">
        <v>145</v>
      </c>
    </row>
    <row r="2769" ht="15" spans="1:28">
      <c r="A2769" s="143">
        <v>2730</v>
      </c>
      <c r="B2769" s="144">
        <v>45972</v>
      </c>
      <c r="C2769" s="169" t="s">
        <v>3646</v>
      </c>
      <c r="D2769" s="143" t="s">
        <v>41</v>
      </c>
      <c r="F2769" s="143" t="s">
        <v>7624</v>
      </c>
      <c r="G2769" s="169" t="s">
        <v>7591</v>
      </c>
      <c r="H2769" s="143" t="s">
        <v>7625</v>
      </c>
      <c r="I2769" s="143" t="s">
        <v>45</v>
      </c>
      <c r="J2769" s="143" t="s">
        <v>46</v>
      </c>
      <c r="K2769" s="143">
        <v>142</v>
      </c>
      <c r="L2769" s="143">
        <v>160</v>
      </c>
      <c r="Q2769" s="204" t="s">
        <v>3386</v>
      </c>
      <c r="S2769" s="215"/>
      <c r="T2769" s="215"/>
      <c r="U2769" s="215"/>
      <c r="V2769" s="216"/>
      <c r="W2769" s="169" t="s">
        <v>3147</v>
      </c>
      <c r="X2769" s="143" t="s">
        <v>7624</v>
      </c>
      <c r="Y2769" s="169" t="s">
        <v>7604</v>
      </c>
      <c r="Z2769" s="143" t="s">
        <v>7624</v>
      </c>
      <c r="AA2769" s="173">
        <v>90</v>
      </c>
    </row>
    <row r="2770" ht="15" spans="1:28">
      <c r="A2770" s="143">
        <v>2731</v>
      </c>
      <c r="B2770" s="144">
        <v>45972</v>
      </c>
      <c r="C2770" s="169" t="s">
        <v>3646</v>
      </c>
      <c r="D2770" s="143" t="s">
        <v>41</v>
      </c>
      <c r="F2770" s="143" t="s">
        <v>7626</v>
      </c>
      <c r="G2770" s="169" t="s">
        <v>7591</v>
      </c>
      <c r="H2770" s="143" t="s">
        <v>7627</v>
      </c>
      <c r="I2770" s="143" t="s">
        <v>7628</v>
      </c>
      <c r="J2770" s="143" t="s">
        <v>7629</v>
      </c>
      <c r="K2770" s="143">
        <v>147</v>
      </c>
      <c r="L2770" s="143">
        <v>290</v>
      </c>
      <c r="Q2770" s="204" t="s">
        <v>3771</v>
      </c>
      <c r="S2770" s="215"/>
      <c r="T2770" s="215"/>
      <c r="U2770" s="215"/>
      <c r="V2770" s="216"/>
      <c r="W2770" s="169" t="s">
        <v>3147</v>
      </c>
      <c r="X2770" s="143" t="s">
        <v>7626</v>
      </c>
      <c r="Y2770" s="169" t="s">
        <v>7604</v>
      </c>
      <c r="Z2770" s="143" t="s">
        <v>7626</v>
      </c>
      <c r="AA2770" s="173">
        <v>155</v>
      </c>
    </row>
    <row r="2771" ht="15" spans="1:28">
      <c r="A2771" s="143">
        <v>2732</v>
      </c>
      <c r="B2771" s="144">
        <v>45972</v>
      </c>
      <c r="C2771" s="169" t="s">
        <v>3646</v>
      </c>
      <c r="D2771" s="143" t="s">
        <v>41</v>
      </c>
      <c r="F2771" s="143" t="s">
        <v>7630</v>
      </c>
      <c r="G2771" s="169" t="s">
        <v>7591</v>
      </c>
      <c r="H2771" s="143" t="s">
        <v>7631</v>
      </c>
      <c r="I2771" s="143" t="s">
        <v>7632</v>
      </c>
      <c r="J2771" s="143" t="s">
        <v>7633</v>
      </c>
      <c r="K2771" s="143">
        <v>147</v>
      </c>
      <c r="L2771" s="143">
        <v>240</v>
      </c>
      <c r="Q2771" s="204" t="s">
        <v>3813</v>
      </c>
      <c r="S2771" s="215"/>
      <c r="T2771" s="215"/>
      <c r="U2771" s="215"/>
      <c r="V2771" s="216"/>
      <c r="W2771" s="169" t="s">
        <v>3147</v>
      </c>
      <c r="X2771" s="143" t="s">
        <v>7630</v>
      </c>
      <c r="Y2771" s="169" t="s">
        <v>7604</v>
      </c>
      <c r="Z2771" s="143" t="s">
        <v>7630</v>
      </c>
      <c r="AA2771" s="173">
        <v>143</v>
      </c>
    </row>
    <row r="2772" spans="1:28">
      <c r="A2772" s="143">
        <v>2733</v>
      </c>
      <c r="B2772" s="144">
        <v>45972</v>
      </c>
      <c r="C2772" s="169" t="s">
        <v>3646</v>
      </c>
      <c r="D2772" s="143" t="s">
        <v>41</v>
      </c>
      <c r="F2772" s="143" t="s">
        <v>7634</v>
      </c>
      <c r="G2772" s="169" t="s">
        <v>7591</v>
      </c>
      <c r="H2772" s="143" t="s">
        <v>7635</v>
      </c>
      <c r="I2772" s="143" t="s">
        <v>7636</v>
      </c>
      <c r="J2772" s="143" t="s">
        <v>7637</v>
      </c>
      <c r="K2772" s="143">
        <v>185</v>
      </c>
      <c r="L2772" s="143">
        <v>180</v>
      </c>
      <c r="S2772" s="215"/>
      <c r="T2772" s="215"/>
      <c r="U2772" s="215"/>
      <c r="V2772" s="216"/>
      <c r="W2772" s="169" t="s">
        <v>3147</v>
      </c>
      <c r="X2772" s="143" t="s">
        <v>7634</v>
      </c>
      <c r="Y2772" s="169" t="s">
        <v>7638</v>
      </c>
      <c r="Z2772" s="143" t="s">
        <v>7634</v>
      </c>
    </row>
    <row r="2773" spans="1:28">
      <c r="A2773" s="143">
        <v>2734</v>
      </c>
      <c r="B2773" s="144">
        <v>45972</v>
      </c>
      <c r="C2773" s="169" t="s">
        <v>3646</v>
      </c>
      <c r="D2773" s="143" t="s">
        <v>41</v>
      </c>
      <c r="F2773" s="143" t="s">
        <v>7639</v>
      </c>
      <c r="G2773" s="169" t="s">
        <v>7591</v>
      </c>
      <c r="H2773" s="143" t="s">
        <v>7640</v>
      </c>
      <c r="I2773" s="143" t="s">
        <v>45</v>
      </c>
      <c r="J2773" s="143" t="s">
        <v>46</v>
      </c>
      <c r="K2773" s="143">
        <v>185</v>
      </c>
      <c r="L2773" s="143">
        <v>225</v>
      </c>
      <c r="S2773" s="215"/>
      <c r="T2773" s="215"/>
      <c r="U2773" s="215"/>
      <c r="V2773" s="216"/>
      <c r="W2773" s="169" t="s">
        <v>3147</v>
      </c>
      <c r="X2773" s="143" t="s">
        <v>7639</v>
      </c>
      <c r="Y2773" s="169" t="s">
        <v>7638</v>
      </c>
      <c r="Z2773" s="143" t="s">
        <v>7639</v>
      </c>
    </row>
    <row r="2774" spans="1:28">
      <c r="A2774" s="143">
        <v>2735</v>
      </c>
      <c r="B2774" s="144">
        <v>45972</v>
      </c>
      <c r="C2774" s="169" t="s">
        <v>3646</v>
      </c>
      <c r="D2774" s="143" t="s">
        <v>41</v>
      </c>
      <c r="F2774" s="143" t="s">
        <v>7641</v>
      </c>
      <c r="G2774" s="169" t="s">
        <v>7591</v>
      </c>
      <c r="H2774" s="143" t="s">
        <v>7642</v>
      </c>
      <c r="I2774" s="143" t="s">
        <v>45</v>
      </c>
      <c r="J2774" s="143" t="s">
        <v>46</v>
      </c>
      <c r="K2774" s="143">
        <v>180</v>
      </c>
      <c r="L2774" s="143">
        <v>150</v>
      </c>
      <c r="S2774" s="215"/>
      <c r="T2774" s="215"/>
      <c r="U2774" s="215"/>
      <c r="V2774" s="216"/>
      <c r="W2774" s="169" t="s">
        <v>3147</v>
      </c>
      <c r="X2774" s="143" t="s">
        <v>7641</v>
      </c>
      <c r="Y2774" s="169" t="s">
        <v>7638</v>
      </c>
      <c r="Z2774" s="143" t="s">
        <v>7641</v>
      </c>
    </row>
    <row r="2775" spans="1:28">
      <c r="A2775" s="143">
        <v>2736</v>
      </c>
      <c r="B2775" s="144">
        <v>45972</v>
      </c>
      <c r="C2775" s="169" t="s">
        <v>3646</v>
      </c>
      <c r="D2775" s="143" t="s">
        <v>41</v>
      </c>
      <c r="F2775" s="143" t="s">
        <v>7643</v>
      </c>
      <c r="G2775" s="169" t="s">
        <v>7591</v>
      </c>
      <c r="H2775" s="143" t="s">
        <v>7644</v>
      </c>
      <c r="I2775" s="143" t="s">
        <v>7645</v>
      </c>
      <c r="J2775" s="143" t="s">
        <v>7646</v>
      </c>
      <c r="K2775" s="143">
        <v>180</v>
      </c>
      <c r="L2775" s="143" t="s">
        <v>7647</v>
      </c>
      <c r="S2775" s="215"/>
      <c r="T2775" s="215"/>
      <c r="U2775" s="215"/>
      <c r="V2775" s="216"/>
      <c r="W2775" s="169" t="s">
        <v>3147</v>
      </c>
      <c r="X2775" s="143" t="s">
        <v>7643</v>
      </c>
      <c r="Y2775" s="169" t="s">
        <v>7638</v>
      </c>
      <c r="Z2775" s="143" t="s">
        <v>7643</v>
      </c>
    </row>
    <row r="2776" spans="1:28">
      <c r="A2776" s="143">
        <v>2737</v>
      </c>
      <c r="B2776" s="144">
        <v>45972</v>
      </c>
      <c r="C2776" s="169" t="s">
        <v>3646</v>
      </c>
      <c r="D2776" s="143" t="s">
        <v>41</v>
      </c>
      <c r="F2776" s="143" t="s">
        <v>7648</v>
      </c>
      <c r="G2776" s="169" t="s">
        <v>7591</v>
      </c>
      <c r="H2776" s="143" t="s">
        <v>7649</v>
      </c>
      <c r="I2776" s="143" t="s">
        <v>45</v>
      </c>
      <c r="J2776" s="143" t="s">
        <v>46</v>
      </c>
      <c r="K2776" s="143">
        <v>175</v>
      </c>
      <c r="L2776" s="143" t="s">
        <v>7650</v>
      </c>
      <c r="S2776" s="215"/>
      <c r="T2776" s="215"/>
      <c r="U2776" s="215"/>
      <c r="V2776" s="216"/>
      <c r="W2776" s="169" t="s">
        <v>3147</v>
      </c>
      <c r="X2776" s="143" t="s">
        <v>7648</v>
      </c>
      <c r="Y2776" s="169" t="s">
        <v>7638</v>
      </c>
      <c r="Z2776" s="143" t="s">
        <v>7648</v>
      </c>
    </row>
    <row r="2777" ht="13.5" spans="1:28">
      <c r="A2777" s="143">
        <v>2738</v>
      </c>
      <c r="B2777" s="144">
        <v>45972</v>
      </c>
      <c r="C2777" s="169" t="s">
        <v>3646</v>
      </c>
      <c r="D2777" s="143" t="s">
        <v>41</v>
      </c>
      <c r="F2777" s="143" t="s">
        <v>7651</v>
      </c>
      <c r="G2777" s="169" t="s">
        <v>7591</v>
      </c>
      <c r="H2777" s="143" t="s">
        <v>7652</v>
      </c>
      <c r="I2777" s="143" t="s">
        <v>324</v>
      </c>
      <c r="J2777" s="143" t="s">
        <v>1577</v>
      </c>
      <c r="K2777" s="143">
        <v>182</v>
      </c>
      <c r="L2777" s="143">
        <v>160</v>
      </c>
      <c r="Q2777" s="143">
        <v>3.3</v>
      </c>
      <c r="S2777" s="215"/>
      <c r="T2777" s="215"/>
      <c r="U2777" s="215"/>
      <c r="V2777" s="216"/>
      <c r="W2777" s="169" t="s">
        <v>3147</v>
      </c>
      <c r="X2777" s="143" t="s">
        <v>7651</v>
      </c>
      <c r="Y2777" s="169" t="s">
        <v>7653</v>
      </c>
      <c r="Z2777" s="143" t="s">
        <v>7651</v>
      </c>
      <c r="AA2777" s="217">
        <v>32.8</v>
      </c>
    </row>
    <row r="2778" spans="1:28">
      <c r="A2778" s="143">
        <v>2739</v>
      </c>
      <c r="B2778" s="144">
        <v>45972</v>
      </c>
      <c r="C2778" s="169" t="s">
        <v>3646</v>
      </c>
      <c r="D2778" s="143" t="s">
        <v>41</v>
      </c>
      <c r="F2778" s="143" t="s">
        <v>7654</v>
      </c>
      <c r="G2778" s="169" t="s">
        <v>7591</v>
      </c>
      <c r="H2778" s="143" t="s">
        <v>7655</v>
      </c>
      <c r="I2778" s="143" t="s">
        <v>45</v>
      </c>
      <c r="J2778" s="143" t="s">
        <v>46</v>
      </c>
      <c r="K2778" s="143">
        <v>185</v>
      </c>
      <c r="L2778" s="143">
        <v>360</v>
      </c>
      <c r="Q2778" s="143" t="s">
        <v>7656</v>
      </c>
      <c r="S2778" s="215"/>
      <c r="T2778" s="215"/>
      <c r="U2778" s="215"/>
      <c r="V2778" s="216"/>
      <c r="W2778" s="169" t="s">
        <v>3147</v>
      </c>
      <c r="X2778" s="143" t="s">
        <v>7654</v>
      </c>
      <c r="Y2778" s="169" t="s">
        <v>3147</v>
      </c>
      <c r="Z2778" s="143" t="s">
        <v>7654</v>
      </c>
      <c r="AA2778" s="143">
        <v>44.4</v>
      </c>
    </row>
    <row r="2779" spans="1:28">
      <c r="A2779" s="143">
        <v>2740</v>
      </c>
      <c r="B2779" s="144">
        <v>45972</v>
      </c>
      <c r="C2779" s="169" t="s">
        <v>3646</v>
      </c>
      <c r="D2779" s="143" t="s">
        <v>41</v>
      </c>
      <c r="F2779" s="169" t="s">
        <v>7657</v>
      </c>
      <c r="G2779" s="169" t="s">
        <v>7591</v>
      </c>
      <c r="H2779" s="143" t="s">
        <v>7658</v>
      </c>
      <c r="I2779" s="143" t="s">
        <v>45</v>
      </c>
      <c r="J2779" s="143" t="s">
        <v>46</v>
      </c>
      <c r="K2779" s="143">
        <v>185</v>
      </c>
      <c r="L2779" s="143">
        <v>320</v>
      </c>
      <c r="Q2779" s="169" t="s">
        <v>7659</v>
      </c>
      <c r="S2779" s="215"/>
      <c r="T2779" s="215"/>
      <c r="U2779" s="215"/>
      <c r="V2779" s="216"/>
      <c r="W2779" s="169" t="s">
        <v>3147</v>
      </c>
      <c r="X2779" s="143" t="s">
        <v>7660</v>
      </c>
      <c r="Y2779" s="169" t="s">
        <v>7661</v>
      </c>
      <c r="Z2779" s="143" t="s">
        <v>7660</v>
      </c>
      <c r="AA2779" s="143">
        <v>56.8</v>
      </c>
      <c r="AB2779" s="191">
        <v>45988</v>
      </c>
    </row>
    <row r="2780" spans="1:28">
      <c r="A2780" s="143">
        <v>2741</v>
      </c>
      <c r="B2780" s="144">
        <v>45972</v>
      </c>
      <c r="C2780" s="169" t="s">
        <v>3646</v>
      </c>
      <c r="D2780" s="143" t="s">
        <v>41</v>
      </c>
      <c r="F2780" s="169" t="s">
        <v>7662</v>
      </c>
      <c r="G2780" s="169" t="s">
        <v>7591</v>
      </c>
      <c r="H2780" s="143" t="s">
        <v>7663</v>
      </c>
      <c r="I2780" s="143" t="s">
        <v>7664</v>
      </c>
      <c r="J2780" s="143" t="s">
        <v>320</v>
      </c>
      <c r="K2780" s="143">
        <v>165</v>
      </c>
      <c r="L2780" s="143">
        <v>240</v>
      </c>
      <c r="Q2780" s="143" t="s">
        <v>3701</v>
      </c>
      <c r="S2780" s="215"/>
      <c r="T2780" s="215"/>
      <c r="U2780" s="215"/>
      <c r="V2780" s="216"/>
      <c r="W2780" s="169" t="s">
        <v>3147</v>
      </c>
      <c r="X2780" s="169" t="s">
        <v>7662</v>
      </c>
      <c r="Y2780" s="169" t="s">
        <v>7661</v>
      </c>
      <c r="Z2780" s="169" t="s">
        <v>7662</v>
      </c>
      <c r="AA2780" s="143">
        <v>26.6</v>
      </c>
    </row>
    <row r="2781" spans="1:28">
      <c r="A2781" s="143">
        <v>2742</v>
      </c>
      <c r="B2781" s="144">
        <v>45972</v>
      </c>
      <c r="C2781" s="169" t="s">
        <v>3646</v>
      </c>
      <c r="D2781" s="143" t="s">
        <v>41</v>
      </c>
      <c r="F2781" s="143" t="s">
        <v>7665</v>
      </c>
      <c r="G2781" s="169" t="s">
        <v>7591</v>
      </c>
      <c r="H2781" s="143" t="s">
        <v>7666</v>
      </c>
      <c r="I2781" s="143" t="s">
        <v>7664</v>
      </c>
      <c r="J2781" s="143" t="s">
        <v>320</v>
      </c>
      <c r="K2781" s="143">
        <v>165</v>
      </c>
      <c r="L2781" s="143">
        <v>250</v>
      </c>
      <c r="Q2781" s="143" t="s">
        <v>3792</v>
      </c>
      <c r="S2781" s="215"/>
      <c r="T2781" s="215"/>
      <c r="U2781" s="215"/>
      <c r="V2781" s="216"/>
      <c r="W2781" s="169" t="s">
        <v>3147</v>
      </c>
      <c r="X2781" s="143" t="s">
        <v>7665</v>
      </c>
      <c r="Y2781" s="169" t="s">
        <v>7661</v>
      </c>
      <c r="Z2781" s="143" t="s">
        <v>7665</v>
      </c>
      <c r="AA2781" s="143">
        <v>26.6</v>
      </c>
    </row>
    <row r="2782" spans="1:28">
      <c r="A2782" s="143">
        <v>2743</v>
      </c>
      <c r="B2782" s="144">
        <v>45972</v>
      </c>
      <c r="C2782" s="169" t="s">
        <v>3646</v>
      </c>
      <c r="D2782" s="143" t="s">
        <v>41</v>
      </c>
      <c r="F2782" s="169" t="s">
        <v>7667</v>
      </c>
      <c r="G2782" s="169" t="s">
        <v>7591</v>
      </c>
      <c r="H2782" s="143" t="s">
        <v>7668</v>
      </c>
      <c r="I2782" s="143" t="s">
        <v>324</v>
      </c>
      <c r="J2782" s="143" t="s">
        <v>6968</v>
      </c>
      <c r="K2782" s="143">
        <v>150</v>
      </c>
      <c r="L2782" s="143">
        <v>190</v>
      </c>
      <c r="S2782" s="215"/>
      <c r="T2782" s="215"/>
      <c r="U2782" s="215"/>
      <c r="V2782" s="216"/>
      <c r="W2782" s="169" t="s">
        <v>3147</v>
      </c>
      <c r="X2782" s="169" t="s">
        <v>7667</v>
      </c>
      <c r="Y2782" s="169" t="s">
        <v>7661</v>
      </c>
      <c r="Z2782" s="169" t="s">
        <v>7667</v>
      </c>
      <c r="AA2782" s="143">
        <v>9.9</v>
      </c>
    </row>
    <row r="2783" spans="1:28">
      <c r="A2783" s="143">
        <v>2744</v>
      </c>
      <c r="B2783" s="144">
        <v>45972</v>
      </c>
      <c r="C2783" s="169" t="s">
        <v>3646</v>
      </c>
      <c r="D2783" s="143" t="s">
        <v>41</v>
      </c>
      <c r="F2783" s="169" t="s">
        <v>7669</v>
      </c>
      <c r="G2783" s="169" t="s">
        <v>7591</v>
      </c>
      <c r="H2783" s="143" t="s">
        <v>7670</v>
      </c>
      <c r="I2783" s="143" t="s">
        <v>324</v>
      </c>
      <c r="J2783" s="143" t="s">
        <v>6968</v>
      </c>
      <c r="K2783" s="143">
        <v>190</v>
      </c>
      <c r="L2783" s="143">
        <v>200</v>
      </c>
      <c r="S2783" s="215"/>
      <c r="T2783" s="215"/>
      <c r="U2783" s="215"/>
      <c r="V2783" s="216"/>
      <c r="W2783" s="169" t="s">
        <v>3147</v>
      </c>
      <c r="X2783" s="169" t="s">
        <v>7669</v>
      </c>
      <c r="Y2783" s="169" t="s">
        <v>7661</v>
      </c>
      <c r="Z2783" s="169" t="s">
        <v>7669</v>
      </c>
      <c r="AA2783" s="143">
        <v>13</v>
      </c>
    </row>
    <row r="2784" spans="1:28">
      <c r="A2784" s="143">
        <v>2745</v>
      </c>
      <c r="B2784" s="144">
        <v>45972</v>
      </c>
      <c r="C2784" s="169" t="s">
        <v>3646</v>
      </c>
      <c r="D2784" s="143" t="s">
        <v>41</v>
      </c>
      <c r="F2784" s="169" t="s">
        <v>7671</v>
      </c>
      <c r="G2784" s="169" t="s">
        <v>7591</v>
      </c>
      <c r="H2784" s="143" t="s">
        <v>7672</v>
      </c>
      <c r="I2784" s="143" t="s">
        <v>324</v>
      </c>
      <c r="J2784" s="143" t="s">
        <v>6968</v>
      </c>
      <c r="K2784" s="143">
        <v>190</v>
      </c>
      <c r="L2784" s="143">
        <v>200</v>
      </c>
      <c r="S2784" s="215"/>
      <c r="T2784" s="215"/>
      <c r="U2784" s="215"/>
      <c r="V2784" s="216"/>
      <c r="W2784" s="169" t="s">
        <v>3147</v>
      </c>
      <c r="X2784" s="169" t="s">
        <v>7671</v>
      </c>
      <c r="Y2784" s="169" t="s">
        <v>7661</v>
      </c>
      <c r="Z2784" s="169" t="s">
        <v>7671</v>
      </c>
      <c r="AA2784" s="143">
        <v>13</v>
      </c>
    </row>
    <row r="2785" spans="1:27">
      <c r="A2785" s="143">
        <v>2746</v>
      </c>
      <c r="B2785" s="144">
        <v>45972</v>
      </c>
      <c r="C2785" s="169" t="s">
        <v>3646</v>
      </c>
      <c r="D2785" s="143" t="s">
        <v>41</v>
      </c>
      <c r="F2785" s="169" t="s">
        <v>7673</v>
      </c>
      <c r="G2785" s="169" t="s">
        <v>7591</v>
      </c>
      <c r="H2785" s="143" t="s">
        <v>7674</v>
      </c>
      <c r="I2785" s="143" t="s">
        <v>7675</v>
      </c>
      <c r="J2785" s="143" t="s">
        <v>5615</v>
      </c>
      <c r="K2785" s="143">
        <v>165</v>
      </c>
      <c r="L2785" s="143">
        <v>220</v>
      </c>
      <c r="Q2785" s="143" t="s">
        <v>3738</v>
      </c>
      <c r="S2785" s="215"/>
      <c r="T2785" s="215"/>
      <c r="U2785" s="215"/>
      <c r="V2785" s="216"/>
      <c r="W2785" s="169" t="s">
        <v>3147</v>
      </c>
      <c r="X2785" s="169" t="s">
        <v>7673</v>
      </c>
      <c r="Y2785" s="169" t="s">
        <v>7661</v>
      </c>
      <c r="Z2785" s="169" t="s">
        <v>7673</v>
      </c>
      <c r="AA2785" s="143">
        <v>30</v>
      </c>
    </row>
    <row r="2786" spans="1:27">
      <c r="A2786" s="143">
        <v>2747</v>
      </c>
      <c r="B2786" s="144">
        <v>45972</v>
      </c>
      <c r="C2786" s="169" t="s">
        <v>3646</v>
      </c>
      <c r="D2786" s="143" t="s">
        <v>41</v>
      </c>
      <c r="F2786" s="169" t="s">
        <v>7676</v>
      </c>
      <c r="G2786" s="169" t="s">
        <v>7591</v>
      </c>
      <c r="H2786" s="143" t="s">
        <v>7677</v>
      </c>
      <c r="I2786" s="143" t="s">
        <v>7664</v>
      </c>
      <c r="J2786" s="143" t="s">
        <v>320</v>
      </c>
      <c r="K2786" s="143">
        <v>165</v>
      </c>
      <c r="L2786" s="143">
        <v>220</v>
      </c>
      <c r="Q2786" s="143" t="s">
        <v>3813</v>
      </c>
      <c r="S2786" s="215"/>
      <c r="T2786" s="215"/>
      <c r="U2786" s="215"/>
      <c r="V2786" s="216"/>
      <c r="W2786" s="169" t="s">
        <v>3147</v>
      </c>
      <c r="X2786" s="169" t="s">
        <v>7676</v>
      </c>
      <c r="Y2786" s="169" t="s">
        <v>7661</v>
      </c>
      <c r="Z2786" s="169" t="s">
        <v>7676</v>
      </c>
      <c r="AA2786" s="143">
        <v>24.5</v>
      </c>
    </row>
    <row r="2787" spans="1:27">
      <c r="A2787" s="143">
        <v>2748</v>
      </c>
      <c r="B2787" s="144">
        <v>45972</v>
      </c>
      <c r="C2787" s="169" t="s">
        <v>3646</v>
      </c>
      <c r="D2787" s="143" t="s">
        <v>41</v>
      </c>
      <c r="F2787" s="169" t="s">
        <v>7678</v>
      </c>
      <c r="G2787" s="169" t="s">
        <v>7591</v>
      </c>
      <c r="H2787" s="143" t="s">
        <v>7679</v>
      </c>
      <c r="I2787" s="143" t="s">
        <v>324</v>
      </c>
      <c r="J2787" s="143" t="s">
        <v>6968</v>
      </c>
      <c r="K2787" s="143">
        <v>160</v>
      </c>
      <c r="L2787" s="143">
        <v>210</v>
      </c>
      <c r="S2787" s="215"/>
      <c r="T2787" s="215"/>
      <c r="U2787" s="215"/>
      <c r="V2787" s="216"/>
      <c r="W2787" s="169" t="s">
        <v>3147</v>
      </c>
      <c r="X2787" s="169" t="s">
        <v>7678</v>
      </c>
      <c r="Y2787" s="169" t="s">
        <v>7661</v>
      </c>
      <c r="Z2787" s="169" t="s">
        <v>7678</v>
      </c>
      <c r="AA2787" s="143">
        <v>11.8</v>
      </c>
    </row>
    <row r="2788" spans="1:27">
      <c r="A2788" s="143">
        <v>2749</v>
      </c>
      <c r="B2788" s="144">
        <v>45972</v>
      </c>
      <c r="C2788" s="169" t="s">
        <v>3646</v>
      </c>
      <c r="D2788" s="143" t="s">
        <v>41</v>
      </c>
      <c r="F2788" s="169" t="s">
        <v>7680</v>
      </c>
      <c r="G2788" s="169" t="s">
        <v>7591</v>
      </c>
      <c r="H2788" s="143" t="s">
        <v>7681</v>
      </c>
      <c r="I2788" s="143" t="s">
        <v>7664</v>
      </c>
      <c r="J2788" s="143" t="s">
        <v>320</v>
      </c>
      <c r="K2788" s="143">
        <v>165</v>
      </c>
      <c r="L2788" s="143">
        <v>250</v>
      </c>
      <c r="Q2788" s="143" t="s">
        <v>3792</v>
      </c>
      <c r="S2788" s="215"/>
      <c r="T2788" s="215"/>
      <c r="U2788" s="215"/>
      <c r="V2788" s="216"/>
      <c r="W2788" s="169" t="s">
        <v>3147</v>
      </c>
      <c r="X2788" s="169" t="s">
        <v>7680</v>
      </c>
      <c r="Y2788" s="169" t="s">
        <v>7661</v>
      </c>
      <c r="Z2788" s="169" t="s">
        <v>7680</v>
      </c>
      <c r="AA2788" s="143">
        <v>24.5</v>
      </c>
    </row>
    <row r="2789" spans="1:27">
      <c r="A2789" s="143">
        <v>2750</v>
      </c>
      <c r="B2789" s="144">
        <v>45972</v>
      </c>
      <c r="C2789" s="169" t="s">
        <v>3646</v>
      </c>
      <c r="D2789" s="143" t="s">
        <v>41</v>
      </c>
      <c r="F2789" s="169" t="s">
        <v>7682</v>
      </c>
      <c r="G2789" s="169" t="s">
        <v>7591</v>
      </c>
      <c r="H2789" s="143" t="s">
        <v>7683</v>
      </c>
      <c r="I2789" s="143" t="s">
        <v>324</v>
      </c>
      <c r="J2789" s="143" t="s">
        <v>6968</v>
      </c>
      <c r="K2789" s="143">
        <v>160</v>
      </c>
      <c r="L2789" s="143">
        <v>210</v>
      </c>
      <c r="S2789" s="215"/>
      <c r="T2789" s="215"/>
      <c r="U2789" s="215"/>
      <c r="V2789" s="216"/>
      <c r="W2789" s="169" t="s">
        <v>3147</v>
      </c>
      <c r="X2789" s="169" t="s">
        <v>7682</v>
      </c>
      <c r="Y2789" s="169" t="s">
        <v>7661</v>
      </c>
      <c r="Z2789" s="169" t="s">
        <v>7682</v>
      </c>
      <c r="AA2789" s="143">
        <v>12</v>
      </c>
    </row>
    <row r="2790" spans="1:27">
      <c r="A2790" s="143">
        <v>2751</v>
      </c>
      <c r="B2790" s="144">
        <v>45972</v>
      </c>
      <c r="C2790" s="169" t="s">
        <v>3646</v>
      </c>
      <c r="D2790" s="143" t="s">
        <v>41</v>
      </c>
      <c r="F2790" s="169" t="s">
        <v>7684</v>
      </c>
      <c r="G2790" s="169" t="s">
        <v>7591</v>
      </c>
      <c r="H2790" s="143" t="s">
        <v>7685</v>
      </c>
      <c r="I2790" s="143" t="s">
        <v>324</v>
      </c>
      <c r="J2790" s="143" t="s">
        <v>6968</v>
      </c>
      <c r="K2790" s="143">
        <v>160</v>
      </c>
      <c r="L2790" s="143">
        <v>210</v>
      </c>
      <c r="S2790" s="215"/>
      <c r="T2790" s="215"/>
      <c r="U2790" s="215"/>
      <c r="V2790" s="216"/>
      <c r="W2790" s="169" t="s">
        <v>3147</v>
      </c>
      <c r="X2790" s="169" t="s">
        <v>7684</v>
      </c>
      <c r="Y2790" s="169" t="s">
        <v>7661</v>
      </c>
      <c r="Z2790" s="169" t="s">
        <v>7684</v>
      </c>
      <c r="AA2790" s="143">
        <v>12</v>
      </c>
    </row>
    <row r="2791" spans="1:27">
      <c r="A2791" s="143">
        <v>2752</v>
      </c>
      <c r="B2791" s="144">
        <v>45972</v>
      </c>
      <c r="C2791" s="169" t="s">
        <v>3646</v>
      </c>
      <c r="D2791" s="143" t="s">
        <v>41</v>
      </c>
      <c r="F2791" s="169" t="s">
        <v>7686</v>
      </c>
      <c r="G2791" s="169" t="s">
        <v>7591</v>
      </c>
      <c r="H2791" s="143" t="s">
        <v>7687</v>
      </c>
      <c r="I2791" s="143" t="s">
        <v>324</v>
      </c>
      <c r="J2791" s="143" t="s">
        <v>6968</v>
      </c>
      <c r="K2791" s="143">
        <v>160</v>
      </c>
      <c r="L2791" s="143">
        <v>210</v>
      </c>
      <c r="S2791" s="215"/>
      <c r="T2791" s="215"/>
      <c r="U2791" s="215"/>
      <c r="V2791" s="216"/>
      <c r="W2791" s="169" t="s">
        <v>3147</v>
      </c>
      <c r="X2791" s="169" t="s">
        <v>7686</v>
      </c>
      <c r="Y2791" s="169" t="s">
        <v>7661</v>
      </c>
      <c r="Z2791" s="169" t="s">
        <v>7686</v>
      </c>
      <c r="AA2791" s="143">
        <v>12</v>
      </c>
    </row>
    <row r="2792" spans="1:27">
      <c r="A2792" s="143">
        <v>2753</v>
      </c>
      <c r="B2792" s="144">
        <v>45972</v>
      </c>
      <c r="C2792" s="169" t="s">
        <v>3646</v>
      </c>
      <c r="D2792" s="143" t="s">
        <v>41</v>
      </c>
      <c r="F2792" s="169" t="s">
        <v>7688</v>
      </c>
      <c r="G2792" s="169" t="s">
        <v>7591</v>
      </c>
      <c r="H2792" s="143" t="s">
        <v>7689</v>
      </c>
      <c r="I2792" s="143" t="s">
        <v>7664</v>
      </c>
      <c r="J2792" s="143" t="s">
        <v>320</v>
      </c>
      <c r="K2792" s="143">
        <v>165</v>
      </c>
      <c r="L2792" s="143">
        <v>240</v>
      </c>
      <c r="Q2792" s="143" t="s">
        <v>3800</v>
      </c>
      <c r="S2792" s="215"/>
      <c r="T2792" s="215"/>
      <c r="U2792" s="215"/>
      <c r="V2792" s="216"/>
      <c r="W2792" s="169" t="s">
        <v>3147</v>
      </c>
      <c r="X2792" s="169" t="s">
        <v>7688</v>
      </c>
      <c r="Y2792" s="169" t="s">
        <v>7661</v>
      </c>
      <c r="Z2792" s="169" t="s">
        <v>7688</v>
      </c>
      <c r="AA2792" s="143">
        <v>26.6</v>
      </c>
    </row>
    <row r="2793" spans="1:27">
      <c r="A2793" s="143">
        <v>2754</v>
      </c>
      <c r="B2793" s="144">
        <v>45972</v>
      </c>
      <c r="C2793" s="169" t="s">
        <v>3646</v>
      </c>
      <c r="D2793" s="143" t="s">
        <v>41</v>
      </c>
      <c r="F2793" s="169" t="s">
        <v>7690</v>
      </c>
      <c r="G2793" s="169" t="s">
        <v>7591</v>
      </c>
      <c r="H2793" s="143" t="s">
        <v>7691</v>
      </c>
      <c r="I2793" s="143" t="s">
        <v>7664</v>
      </c>
      <c r="J2793" s="143" t="s">
        <v>320</v>
      </c>
      <c r="K2793" s="143">
        <v>165</v>
      </c>
      <c r="L2793" s="143">
        <v>200</v>
      </c>
      <c r="Q2793" s="143" t="s">
        <v>3717</v>
      </c>
      <c r="S2793" s="215"/>
      <c r="T2793" s="215"/>
      <c r="U2793" s="215"/>
      <c r="V2793" s="216"/>
      <c r="W2793" s="169" t="s">
        <v>3147</v>
      </c>
      <c r="X2793" s="169" t="s">
        <v>7690</v>
      </c>
      <c r="Y2793" s="169" t="s">
        <v>7661</v>
      </c>
      <c r="Z2793" s="169" t="s">
        <v>7690</v>
      </c>
      <c r="AA2793" s="143">
        <v>28.8</v>
      </c>
    </row>
    <row r="2794" spans="1:27">
      <c r="A2794" s="143">
        <v>2755</v>
      </c>
      <c r="B2794" s="144">
        <v>45972</v>
      </c>
      <c r="C2794" s="169" t="s">
        <v>3646</v>
      </c>
      <c r="D2794" s="143" t="s">
        <v>41</v>
      </c>
      <c r="F2794" s="169" t="s">
        <v>7692</v>
      </c>
      <c r="G2794" s="169" t="s">
        <v>7591</v>
      </c>
      <c r="H2794" s="143" t="s">
        <v>7693</v>
      </c>
      <c r="I2794" s="143" t="s">
        <v>324</v>
      </c>
      <c r="J2794" s="143" t="s">
        <v>6968</v>
      </c>
      <c r="K2794" s="143">
        <v>160</v>
      </c>
      <c r="L2794" s="143">
        <v>210</v>
      </c>
      <c r="S2794" s="215"/>
      <c r="T2794" s="215"/>
      <c r="U2794" s="215"/>
      <c r="V2794" s="216"/>
      <c r="W2794" s="169" t="s">
        <v>3147</v>
      </c>
      <c r="X2794" s="169" t="s">
        <v>7692</v>
      </c>
      <c r="Y2794" s="169" t="s">
        <v>7661</v>
      </c>
      <c r="Z2794" s="169" t="s">
        <v>7692</v>
      </c>
      <c r="AA2794" s="143">
        <v>12</v>
      </c>
    </row>
    <row r="2795" spans="1:27">
      <c r="A2795" s="143">
        <v>2756</v>
      </c>
      <c r="B2795" s="144">
        <v>45972</v>
      </c>
      <c r="C2795" s="169" t="s">
        <v>3646</v>
      </c>
      <c r="D2795" s="143" t="s">
        <v>41</v>
      </c>
      <c r="F2795" s="169" t="s">
        <v>7694</v>
      </c>
      <c r="G2795" s="169" t="s">
        <v>7591</v>
      </c>
      <c r="H2795" s="143" t="s">
        <v>7695</v>
      </c>
      <c r="I2795" s="143" t="s">
        <v>324</v>
      </c>
      <c r="J2795" s="143" t="s">
        <v>6968</v>
      </c>
      <c r="K2795" s="143">
        <v>150</v>
      </c>
      <c r="L2795" s="143">
        <v>190</v>
      </c>
      <c r="S2795" s="215"/>
      <c r="T2795" s="215"/>
      <c r="U2795" s="215"/>
      <c r="V2795" s="216"/>
      <c r="W2795" s="169" t="s">
        <v>3147</v>
      </c>
      <c r="X2795" s="169" t="s">
        <v>7694</v>
      </c>
      <c r="Y2795" s="169" t="s">
        <v>7661</v>
      </c>
      <c r="Z2795" s="169" t="s">
        <v>7694</v>
      </c>
      <c r="AA2795" s="143">
        <v>12</v>
      </c>
    </row>
    <row r="2796" spans="1:27">
      <c r="A2796" s="143">
        <v>2757</v>
      </c>
      <c r="B2796" s="144">
        <v>45972</v>
      </c>
      <c r="C2796" s="169" t="s">
        <v>3646</v>
      </c>
      <c r="D2796" s="143" t="s">
        <v>41</v>
      </c>
      <c r="F2796" s="169" t="s">
        <v>7696</v>
      </c>
      <c r="G2796" s="169" t="s">
        <v>7591</v>
      </c>
      <c r="H2796" s="143" t="s">
        <v>7697</v>
      </c>
      <c r="I2796" s="143" t="s">
        <v>324</v>
      </c>
      <c r="J2796" s="143" t="s">
        <v>6968</v>
      </c>
      <c r="K2796" s="143">
        <v>160</v>
      </c>
      <c r="L2796" s="143">
        <v>210</v>
      </c>
      <c r="S2796" s="215"/>
      <c r="T2796" s="215"/>
      <c r="U2796" s="215"/>
      <c r="V2796" s="216"/>
      <c r="W2796" s="169" t="s">
        <v>3147</v>
      </c>
      <c r="X2796" s="169" t="s">
        <v>7696</v>
      </c>
      <c r="Y2796" s="169" t="s">
        <v>7661</v>
      </c>
      <c r="Z2796" s="169" t="s">
        <v>7696</v>
      </c>
      <c r="AA2796" s="143">
        <v>12</v>
      </c>
    </row>
    <row r="2797" spans="1:27">
      <c r="A2797" s="143">
        <v>2758</v>
      </c>
      <c r="B2797" s="144">
        <v>45972</v>
      </c>
      <c r="C2797" s="169" t="s">
        <v>3646</v>
      </c>
      <c r="D2797" s="143" t="s">
        <v>41</v>
      </c>
      <c r="F2797" s="169" t="s">
        <v>7698</v>
      </c>
      <c r="G2797" s="169" t="s">
        <v>7591</v>
      </c>
      <c r="H2797" s="143" t="s">
        <v>7699</v>
      </c>
      <c r="I2797" s="143" t="s">
        <v>7700</v>
      </c>
      <c r="J2797" s="143" t="s">
        <v>7701</v>
      </c>
      <c r="K2797" s="143">
        <v>185</v>
      </c>
      <c r="L2797" s="143">
        <v>180</v>
      </c>
      <c r="S2797" s="215"/>
      <c r="T2797" s="215"/>
      <c r="U2797" s="215"/>
      <c r="V2797" s="216"/>
      <c r="W2797" s="169" t="s">
        <v>3147</v>
      </c>
      <c r="X2797" s="169" t="s">
        <v>7698</v>
      </c>
      <c r="Y2797" s="169" t="s">
        <v>7702</v>
      </c>
      <c r="Z2797" s="169" t="s">
        <v>7698</v>
      </c>
    </row>
    <row r="2798" spans="1:27">
      <c r="A2798" s="143">
        <v>2759</v>
      </c>
      <c r="B2798" s="144">
        <v>45972</v>
      </c>
      <c r="C2798" s="169" t="s">
        <v>3646</v>
      </c>
      <c r="D2798" s="143" t="s">
        <v>41</v>
      </c>
      <c r="F2798" s="143" t="s">
        <v>7703</v>
      </c>
      <c r="G2798" s="169" t="s">
        <v>7591</v>
      </c>
      <c r="H2798" s="143" t="s">
        <v>7704</v>
      </c>
      <c r="I2798" s="143" t="s">
        <v>7705</v>
      </c>
      <c r="J2798" s="143" t="s">
        <v>7706</v>
      </c>
      <c r="K2798" s="143">
        <v>185</v>
      </c>
      <c r="L2798" s="143">
        <v>175</v>
      </c>
      <c r="S2798" s="215"/>
      <c r="T2798" s="215"/>
      <c r="U2798" s="215"/>
      <c r="V2798" s="216"/>
      <c r="W2798" s="169" t="s">
        <v>3147</v>
      </c>
      <c r="X2798" s="143" t="s">
        <v>7703</v>
      </c>
      <c r="Y2798" s="169" t="s">
        <v>7702</v>
      </c>
      <c r="Z2798" s="143" t="s">
        <v>7703</v>
      </c>
    </row>
    <row r="2799" spans="1:27">
      <c r="A2799" s="143">
        <v>2760</v>
      </c>
      <c r="B2799" s="144">
        <v>45972</v>
      </c>
      <c r="C2799" s="169" t="s">
        <v>3646</v>
      </c>
      <c r="D2799" s="143" t="s">
        <v>41</v>
      </c>
      <c r="F2799" s="143" t="s">
        <v>7707</v>
      </c>
      <c r="G2799" s="169" t="s">
        <v>7591</v>
      </c>
      <c r="H2799" s="143" t="s">
        <v>7708</v>
      </c>
      <c r="I2799" s="143" t="s">
        <v>7709</v>
      </c>
      <c r="J2799" s="143" t="s">
        <v>7710</v>
      </c>
      <c r="K2799" s="143">
        <v>175</v>
      </c>
      <c r="L2799" s="143">
        <v>190</v>
      </c>
      <c r="S2799" s="215"/>
      <c r="T2799" s="215"/>
      <c r="U2799" s="215"/>
      <c r="V2799" s="216"/>
      <c r="W2799" s="169" t="s">
        <v>3147</v>
      </c>
      <c r="X2799" s="143" t="s">
        <v>7707</v>
      </c>
      <c r="Y2799" s="169" t="s">
        <v>7702</v>
      </c>
      <c r="Z2799" s="143" t="s">
        <v>7707</v>
      </c>
    </row>
    <row r="2800" ht="25.5" spans="1:27">
      <c r="A2800" s="143">
        <v>2761</v>
      </c>
      <c r="B2800" s="144">
        <v>45972</v>
      </c>
      <c r="C2800" s="169" t="s">
        <v>3646</v>
      </c>
      <c r="D2800" s="143" t="s">
        <v>41</v>
      </c>
      <c r="F2800" s="143" t="s">
        <v>7711</v>
      </c>
      <c r="G2800" s="169" t="s">
        <v>7591</v>
      </c>
      <c r="H2800" s="143" t="s">
        <v>7712</v>
      </c>
      <c r="I2800" s="152" t="s">
        <v>7713</v>
      </c>
      <c r="J2800" s="152" t="s">
        <v>7714</v>
      </c>
      <c r="K2800" s="143">
        <v>180</v>
      </c>
      <c r="L2800" s="143">
        <v>180</v>
      </c>
      <c r="S2800" s="215"/>
      <c r="T2800" s="215"/>
      <c r="U2800" s="215"/>
      <c r="V2800" s="216"/>
      <c r="W2800" s="169" t="s">
        <v>3147</v>
      </c>
      <c r="X2800" s="143" t="s">
        <v>7711</v>
      </c>
      <c r="Y2800" s="169" t="s">
        <v>7702</v>
      </c>
      <c r="Z2800" s="143" t="s">
        <v>7711</v>
      </c>
    </row>
    <row r="2801" spans="1:28">
      <c r="A2801" s="143">
        <v>2762</v>
      </c>
      <c r="B2801" s="144">
        <v>45972</v>
      </c>
      <c r="C2801" s="169" t="s">
        <v>3646</v>
      </c>
      <c r="D2801" s="143" t="s">
        <v>41</v>
      </c>
      <c r="F2801" s="143" t="s">
        <v>7715</v>
      </c>
      <c r="G2801" s="169" t="s">
        <v>7591</v>
      </c>
      <c r="H2801" s="143" t="s">
        <v>7716</v>
      </c>
      <c r="I2801" s="143" t="s">
        <v>7717</v>
      </c>
      <c r="J2801" s="143" t="s">
        <v>7718</v>
      </c>
      <c r="K2801" s="143">
        <v>177</v>
      </c>
      <c r="L2801" s="143">
        <v>190</v>
      </c>
      <c r="S2801" s="215"/>
      <c r="T2801" s="215"/>
      <c r="U2801" s="215"/>
      <c r="V2801" s="216"/>
      <c r="W2801" s="169" t="s">
        <v>3147</v>
      </c>
      <c r="X2801" s="143" t="s">
        <v>7715</v>
      </c>
      <c r="Y2801" s="169" t="s">
        <v>7702</v>
      </c>
      <c r="Z2801" s="143" t="s">
        <v>7715</v>
      </c>
    </row>
    <row r="2802" spans="1:28">
      <c r="A2802" s="143">
        <v>2763</v>
      </c>
      <c r="B2802" s="144">
        <v>45972</v>
      </c>
      <c r="C2802" s="169" t="s">
        <v>3646</v>
      </c>
      <c r="D2802" s="143" t="s">
        <v>41</v>
      </c>
      <c r="F2802" s="143" t="s">
        <v>7719</v>
      </c>
      <c r="G2802" s="169" t="s">
        <v>7591</v>
      </c>
      <c r="H2802" s="143" t="s">
        <v>7720</v>
      </c>
      <c r="I2802" s="143" t="s">
        <v>45</v>
      </c>
      <c r="J2802" s="143" t="s">
        <v>46</v>
      </c>
      <c r="K2802" s="143">
        <v>175</v>
      </c>
      <c r="L2802" s="143">
        <v>190</v>
      </c>
      <c r="Q2802" s="143" t="s">
        <v>3767</v>
      </c>
      <c r="S2802" s="215"/>
      <c r="T2802" s="215"/>
      <c r="U2802" s="215"/>
      <c r="V2802" s="216"/>
      <c r="W2802" s="169" t="s">
        <v>3147</v>
      </c>
      <c r="X2802" s="143" t="s">
        <v>7719</v>
      </c>
      <c r="Y2802" s="169" t="s">
        <v>7702</v>
      </c>
      <c r="Z2802" s="143" t="s">
        <v>7719</v>
      </c>
      <c r="AA2802" s="143">
        <v>58.6</v>
      </c>
      <c r="AB2802" s="191">
        <v>45988</v>
      </c>
    </row>
    <row r="2803" spans="1:28">
      <c r="A2803" s="143">
        <v>2764</v>
      </c>
      <c r="B2803" s="144">
        <v>45972</v>
      </c>
      <c r="C2803" s="169" t="s">
        <v>3646</v>
      </c>
      <c r="D2803" s="143" t="s">
        <v>41</v>
      </c>
      <c r="F2803" s="143" t="s">
        <v>7721</v>
      </c>
      <c r="G2803" s="169" t="s">
        <v>7591</v>
      </c>
      <c r="H2803" s="143" t="s">
        <v>7722</v>
      </c>
      <c r="I2803" s="143" t="s">
        <v>7723</v>
      </c>
      <c r="J2803" s="143" t="s">
        <v>7724</v>
      </c>
      <c r="K2803" s="143">
        <v>175</v>
      </c>
      <c r="L2803" s="143">
        <v>180</v>
      </c>
      <c r="Q2803" s="143" t="s">
        <v>4671</v>
      </c>
      <c r="S2803" s="215"/>
      <c r="T2803" s="215"/>
      <c r="U2803" s="215"/>
      <c r="V2803" s="216"/>
      <c r="W2803" s="169" t="s">
        <v>3147</v>
      </c>
      <c r="X2803" s="143" t="s">
        <v>7721</v>
      </c>
      <c r="Y2803" s="169" t="s">
        <v>7725</v>
      </c>
      <c r="Z2803" s="143" t="s">
        <v>7721</v>
      </c>
      <c r="AA2803" s="143">
        <v>50.7</v>
      </c>
      <c r="AB2803" s="191">
        <v>45996</v>
      </c>
    </row>
    <row r="2804" spans="1:28">
      <c r="A2804" s="143">
        <v>2765</v>
      </c>
      <c r="B2804" s="144">
        <v>45972</v>
      </c>
      <c r="C2804" s="169" t="s">
        <v>3646</v>
      </c>
      <c r="D2804" s="143" t="s">
        <v>41</v>
      </c>
      <c r="F2804" s="143" t="s">
        <v>7726</v>
      </c>
      <c r="G2804" s="169" t="s">
        <v>7591</v>
      </c>
      <c r="H2804" s="143" t="s">
        <v>7727</v>
      </c>
      <c r="I2804" s="143" t="s">
        <v>4368</v>
      </c>
      <c r="J2804" s="143" t="s">
        <v>4369</v>
      </c>
      <c r="K2804" s="143">
        <v>185</v>
      </c>
      <c r="L2804" s="143">
        <v>175</v>
      </c>
      <c r="S2804" s="215"/>
      <c r="T2804" s="215"/>
      <c r="U2804" s="215"/>
      <c r="V2804" s="216"/>
      <c r="W2804" s="169" t="s">
        <v>3147</v>
      </c>
      <c r="X2804" s="143" t="s">
        <v>7726</v>
      </c>
      <c r="Y2804" s="169" t="s">
        <v>7725</v>
      </c>
      <c r="Z2804" s="143" t="s">
        <v>7726</v>
      </c>
    </row>
    <row r="2805" spans="1:28">
      <c r="A2805" s="143">
        <v>2766</v>
      </c>
      <c r="B2805" s="144">
        <v>45972</v>
      </c>
      <c r="C2805" s="169" t="s">
        <v>3646</v>
      </c>
      <c r="D2805" s="143" t="s">
        <v>41</v>
      </c>
      <c r="F2805" s="143" t="s">
        <v>7728</v>
      </c>
      <c r="G2805" s="169" t="s">
        <v>7591</v>
      </c>
      <c r="H2805" s="143" t="s">
        <v>7729</v>
      </c>
      <c r="I2805" s="143" t="s">
        <v>7664</v>
      </c>
      <c r="J2805" s="143" t="s">
        <v>320</v>
      </c>
      <c r="K2805" s="143">
        <v>160</v>
      </c>
      <c r="L2805" s="143">
        <v>220</v>
      </c>
      <c r="S2805" s="215"/>
      <c r="T2805" s="215"/>
      <c r="U2805" s="215"/>
      <c r="V2805" s="216"/>
      <c r="W2805" s="169" t="s">
        <v>3147</v>
      </c>
      <c r="X2805" s="143" t="s">
        <v>7728</v>
      </c>
      <c r="Y2805" s="169" t="s">
        <v>7730</v>
      </c>
      <c r="Z2805" s="143" t="s">
        <v>7728</v>
      </c>
    </row>
    <row r="2806" spans="1:28">
      <c r="A2806" s="143">
        <v>2767</v>
      </c>
      <c r="B2806" s="144">
        <v>45972</v>
      </c>
      <c r="C2806" s="169" t="s">
        <v>3646</v>
      </c>
      <c r="D2806" s="143" t="s">
        <v>41</v>
      </c>
      <c r="F2806" s="143" t="s">
        <v>7731</v>
      </c>
      <c r="G2806" s="169" t="s">
        <v>7591</v>
      </c>
      <c r="H2806" s="143" t="s">
        <v>7732</v>
      </c>
      <c r="K2806" s="143">
        <v>190</v>
      </c>
      <c r="L2806" s="143">
        <v>140</v>
      </c>
      <c r="S2806" s="215"/>
      <c r="T2806" s="215"/>
      <c r="U2806" s="215"/>
      <c r="V2806" s="216"/>
      <c r="W2806" s="169" t="s">
        <v>3147</v>
      </c>
      <c r="X2806" s="143" t="s">
        <v>7731</v>
      </c>
      <c r="Y2806" s="169" t="s">
        <v>7733</v>
      </c>
      <c r="Z2806" s="143" t="s">
        <v>7731</v>
      </c>
    </row>
    <row r="2807" ht="13.5" spans="1:28">
      <c r="A2807" s="143">
        <v>2768</v>
      </c>
      <c r="B2807" s="144">
        <v>45972</v>
      </c>
      <c r="C2807" s="169" t="s">
        <v>3646</v>
      </c>
      <c r="D2807" s="143" t="s">
        <v>41</v>
      </c>
      <c r="F2807" s="143" t="s">
        <v>7734</v>
      </c>
      <c r="G2807" s="169" t="s">
        <v>7591</v>
      </c>
      <c r="H2807" s="143" t="s">
        <v>7735</v>
      </c>
      <c r="I2807" s="143" t="s">
        <v>7736</v>
      </c>
      <c r="J2807" s="143" t="s">
        <v>7737</v>
      </c>
      <c r="K2807" s="143">
        <v>185</v>
      </c>
      <c r="L2807" s="143">
        <v>250</v>
      </c>
      <c r="Q2807" s="143" t="s">
        <v>4844</v>
      </c>
      <c r="S2807" s="215"/>
      <c r="T2807" s="215"/>
      <c r="U2807" s="215"/>
      <c r="V2807" s="216"/>
      <c r="W2807" s="169" t="s">
        <v>3147</v>
      </c>
      <c r="X2807" s="143" t="s">
        <v>7734</v>
      </c>
      <c r="Y2807" s="169" t="s">
        <v>7738</v>
      </c>
      <c r="Z2807" s="143" t="s">
        <v>7734</v>
      </c>
      <c r="AA2807" s="217">
        <v>41.2</v>
      </c>
      <c r="AB2807" s="191">
        <v>45988</v>
      </c>
    </row>
    <row r="2808" ht="13.5" spans="1:28">
      <c r="A2808" s="143">
        <v>2769</v>
      </c>
      <c r="B2808" s="144">
        <v>45972</v>
      </c>
      <c r="C2808" s="169" t="s">
        <v>3646</v>
      </c>
      <c r="D2808" s="143" t="s">
        <v>41</v>
      </c>
      <c r="F2808" s="169" t="s">
        <v>7739</v>
      </c>
      <c r="G2808" s="169" t="s">
        <v>7591</v>
      </c>
      <c r="H2808" s="143" t="s">
        <v>7740</v>
      </c>
      <c r="I2808" s="143" t="s">
        <v>7741</v>
      </c>
      <c r="J2808" s="143" t="s">
        <v>7742</v>
      </c>
      <c r="K2808" s="143">
        <v>175</v>
      </c>
      <c r="L2808" s="143">
        <v>180</v>
      </c>
      <c r="Q2808" s="232">
        <v>3.1</v>
      </c>
      <c r="S2808" s="215"/>
      <c r="T2808" s="215"/>
      <c r="U2808" s="215"/>
      <c r="V2808" s="216"/>
      <c r="W2808" s="169" t="s">
        <v>3147</v>
      </c>
      <c r="X2808" s="169" t="s">
        <v>7739</v>
      </c>
      <c r="Y2808" s="169" t="s">
        <v>7743</v>
      </c>
      <c r="Z2808" s="169" t="s">
        <v>7739</v>
      </c>
      <c r="AA2808" s="217">
        <v>42.6</v>
      </c>
    </row>
    <row r="2809" ht="13.5" spans="1:28">
      <c r="A2809" s="143">
        <v>2770</v>
      </c>
      <c r="B2809" s="144">
        <v>45972</v>
      </c>
      <c r="C2809" s="169" t="s">
        <v>3646</v>
      </c>
      <c r="D2809" s="143" t="s">
        <v>41</v>
      </c>
      <c r="F2809" s="143">
        <v>24624</v>
      </c>
      <c r="G2809" s="169" t="s">
        <v>7591</v>
      </c>
      <c r="H2809" s="143" t="s">
        <v>7744</v>
      </c>
      <c r="I2809" s="143" t="s">
        <v>7745</v>
      </c>
      <c r="J2809" s="143" t="s">
        <v>2630</v>
      </c>
      <c r="K2809" s="143">
        <v>153</v>
      </c>
      <c r="L2809" s="143">
        <v>290</v>
      </c>
      <c r="Q2809" s="232">
        <v>2.3</v>
      </c>
      <c r="S2809" s="215"/>
      <c r="T2809" s="215"/>
      <c r="U2809" s="215"/>
      <c r="V2809" s="216"/>
      <c r="W2809" s="169" t="s">
        <v>3147</v>
      </c>
      <c r="X2809" s="143">
        <v>24624</v>
      </c>
      <c r="Y2809" s="169" t="s">
        <v>7746</v>
      </c>
      <c r="Z2809" s="143">
        <v>24624</v>
      </c>
      <c r="AA2809" s="217">
        <v>46.5</v>
      </c>
    </row>
    <row r="2810" ht="13.5" spans="1:28">
      <c r="A2810" s="143">
        <v>2771</v>
      </c>
      <c r="B2810" s="144">
        <v>45972</v>
      </c>
      <c r="C2810" s="169" t="s">
        <v>3646</v>
      </c>
      <c r="D2810" s="143" t="s">
        <v>41</v>
      </c>
      <c r="F2810" s="143" t="s">
        <v>7747</v>
      </c>
      <c r="G2810" s="169" t="s">
        <v>7591</v>
      </c>
      <c r="H2810" s="143" t="s">
        <v>7748</v>
      </c>
      <c r="I2810" s="143" t="s">
        <v>7749</v>
      </c>
      <c r="J2810" s="143" t="s">
        <v>7750</v>
      </c>
      <c r="K2810" s="143">
        <v>160</v>
      </c>
      <c r="L2810" s="143">
        <v>280</v>
      </c>
      <c r="Q2810" s="232"/>
      <c r="S2810" s="215"/>
      <c r="T2810" s="215"/>
      <c r="U2810" s="215"/>
      <c r="V2810" s="216"/>
      <c r="W2810" s="169" t="s">
        <v>3147</v>
      </c>
      <c r="X2810" s="143" t="s">
        <v>7747</v>
      </c>
      <c r="Y2810" s="169" t="s">
        <v>7751</v>
      </c>
      <c r="Z2810" s="143" t="s">
        <v>7747</v>
      </c>
      <c r="AA2810" s="217"/>
    </row>
    <row r="2811" ht="13.5" spans="1:28">
      <c r="A2811" s="143">
        <v>2772</v>
      </c>
      <c r="B2811" s="144">
        <v>45972</v>
      </c>
      <c r="C2811" s="169" t="s">
        <v>3646</v>
      </c>
      <c r="D2811" s="143" t="s">
        <v>41</v>
      </c>
      <c r="F2811" s="143" t="s">
        <v>7752</v>
      </c>
      <c r="G2811" s="169" t="s">
        <v>7591</v>
      </c>
      <c r="H2811" s="143" t="s">
        <v>7753</v>
      </c>
      <c r="I2811" s="143" t="s">
        <v>7754</v>
      </c>
      <c r="J2811" s="143" t="s">
        <v>7755</v>
      </c>
      <c r="K2811" s="143">
        <v>153</v>
      </c>
      <c r="L2811" s="143">
        <v>290</v>
      </c>
      <c r="Q2811" s="232">
        <v>2.3</v>
      </c>
      <c r="S2811" s="215"/>
      <c r="T2811" s="215"/>
      <c r="U2811" s="215"/>
      <c r="V2811" s="216"/>
      <c r="W2811" s="169" t="s">
        <v>3147</v>
      </c>
      <c r="X2811" s="143" t="s">
        <v>7752</v>
      </c>
      <c r="Y2811" s="169" t="s">
        <v>7756</v>
      </c>
      <c r="Z2811" s="143" t="s">
        <v>7752</v>
      </c>
      <c r="AA2811" s="217">
        <v>48.6</v>
      </c>
    </row>
    <row r="2812" ht="13.5" spans="1:28">
      <c r="A2812" s="143">
        <v>2773</v>
      </c>
      <c r="B2812" s="144">
        <v>45972</v>
      </c>
      <c r="C2812" s="169" t="s">
        <v>3646</v>
      </c>
      <c r="D2812" s="143" t="s">
        <v>41</v>
      </c>
      <c r="F2812" s="143" t="s">
        <v>7757</v>
      </c>
      <c r="G2812" s="169" t="s">
        <v>7591</v>
      </c>
      <c r="H2812" s="143" t="s">
        <v>7758</v>
      </c>
      <c r="I2812" s="143" t="s">
        <v>7664</v>
      </c>
      <c r="J2812" s="143" t="s">
        <v>320</v>
      </c>
      <c r="K2812" s="143">
        <v>190</v>
      </c>
      <c r="L2812" s="143">
        <v>140</v>
      </c>
      <c r="Q2812" s="232">
        <v>3.7</v>
      </c>
      <c r="S2812" s="215"/>
      <c r="T2812" s="215"/>
      <c r="U2812" s="215"/>
      <c r="V2812" s="216"/>
      <c r="W2812" s="169" t="s">
        <v>3147</v>
      </c>
      <c r="X2812" s="143" t="s">
        <v>7757</v>
      </c>
      <c r="Y2812" s="169" t="s">
        <v>7759</v>
      </c>
      <c r="Z2812" s="143" t="s">
        <v>7757</v>
      </c>
      <c r="AA2812" s="217">
        <v>20.5</v>
      </c>
    </row>
    <row r="2813" spans="1:28">
      <c r="A2813" s="143">
        <v>2774</v>
      </c>
      <c r="B2813" s="144">
        <v>45972</v>
      </c>
      <c r="C2813" s="169" t="s">
        <v>3646</v>
      </c>
      <c r="D2813" s="143" t="s">
        <v>41</v>
      </c>
      <c r="F2813" s="143" t="s">
        <v>7760</v>
      </c>
      <c r="G2813" s="169" t="s">
        <v>7591</v>
      </c>
      <c r="H2813" s="143" t="s">
        <v>7761</v>
      </c>
      <c r="I2813" s="143" t="s">
        <v>7762</v>
      </c>
      <c r="J2813" s="143" t="s">
        <v>7763</v>
      </c>
      <c r="K2813" s="143">
        <v>180</v>
      </c>
      <c r="L2813" s="143">
        <v>280</v>
      </c>
      <c r="Q2813" s="143" t="s">
        <v>4819</v>
      </c>
      <c r="S2813" s="215"/>
      <c r="T2813" s="215"/>
      <c r="U2813" s="215"/>
      <c r="V2813" s="216"/>
      <c r="W2813" s="169" t="s">
        <v>3147</v>
      </c>
      <c r="X2813" s="143" t="s">
        <v>7760</v>
      </c>
      <c r="Y2813" s="169" t="s">
        <v>7764</v>
      </c>
      <c r="Z2813" s="143" t="s">
        <v>7760</v>
      </c>
      <c r="AA2813" s="143">
        <v>88.5</v>
      </c>
      <c r="AB2813" s="191">
        <v>45988</v>
      </c>
    </row>
    <row r="2814" spans="1:28">
      <c r="A2814" s="143">
        <v>2775</v>
      </c>
      <c r="B2814" s="144">
        <v>45972</v>
      </c>
      <c r="C2814" s="169" t="s">
        <v>3646</v>
      </c>
      <c r="D2814" s="143" t="s">
        <v>41</v>
      </c>
      <c r="F2814" s="143" t="s">
        <v>7765</v>
      </c>
      <c r="G2814" s="169" t="s">
        <v>7591</v>
      </c>
      <c r="H2814" s="143" t="s">
        <v>7766</v>
      </c>
      <c r="K2814" s="143">
        <v>180</v>
      </c>
      <c r="L2814" s="143">
        <v>285</v>
      </c>
      <c r="S2814" s="215"/>
      <c r="T2814" s="215"/>
      <c r="U2814" s="215"/>
      <c r="V2814" s="216"/>
      <c r="W2814" s="169" t="s">
        <v>3147</v>
      </c>
      <c r="X2814" s="143" t="s">
        <v>7765</v>
      </c>
      <c r="Y2814" s="169" t="s">
        <v>7767</v>
      </c>
      <c r="Z2814" s="143" t="s">
        <v>7765</v>
      </c>
    </row>
    <row r="2815" ht="24.75" spans="1:28">
      <c r="A2815" s="143">
        <v>2776</v>
      </c>
      <c r="B2815" s="144">
        <v>45972</v>
      </c>
      <c r="C2815" s="169" t="s">
        <v>3646</v>
      </c>
      <c r="D2815" s="143" t="s">
        <v>41</v>
      </c>
      <c r="F2815" s="143" t="s">
        <v>7768</v>
      </c>
      <c r="G2815" s="169" t="s">
        <v>7591</v>
      </c>
      <c r="H2815" s="143" t="s">
        <v>7769</v>
      </c>
      <c r="I2815" s="152" t="s">
        <v>7770</v>
      </c>
      <c r="J2815" s="143" t="s">
        <v>7771</v>
      </c>
      <c r="K2815" s="143">
        <v>145</v>
      </c>
      <c r="L2815" s="143">
        <v>240</v>
      </c>
      <c r="S2815" s="215"/>
      <c r="T2815" s="215"/>
      <c r="U2815" s="215"/>
      <c r="V2815" s="216"/>
      <c r="W2815" s="169" t="s">
        <v>3147</v>
      </c>
      <c r="X2815" s="143" t="s">
        <v>7768</v>
      </c>
      <c r="Y2815" s="169" t="s">
        <v>7772</v>
      </c>
      <c r="Z2815" s="143" t="s">
        <v>7768</v>
      </c>
    </row>
    <row r="2816" spans="1:28">
      <c r="A2816" s="143">
        <v>2777</v>
      </c>
      <c r="B2816" s="144">
        <v>45972</v>
      </c>
      <c r="C2816" s="169" t="s">
        <v>3646</v>
      </c>
      <c r="D2816" s="143" t="s">
        <v>41</v>
      </c>
      <c r="F2816" s="143" t="s">
        <v>7773</v>
      </c>
      <c r="G2816" s="169" t="s">
        <v>7591</v>
      </c>
      <c r="H2816" s="143" t="s">
        <v>7774</v>
      </c>
      <c r="I2816" s="143" t="s">
        <v>7775</v>
      </c>
      <c r="J2816" s="143" t="s">
        <v>7776</v>
      </c>
      <c r="K2816" s="143">
        <v>145</v>
      </c>
      <c r="L2816" s="143">
        <v>250</v>
      </c>
      <c r="S2816" s="215"/>
      <c r="T2816" s="215"/>
      <c r="U2816" s="215"/>
      <c r="V2816" s="216"/>
      <c r="W2816" s="169" t="s">
        <v>3147</v>
      </c>
      <c r="X2816" s="143" t="s">
        <v>7773</v>
      </c>
      <c r="Y2816" s="169" t="s">
        <v>7777</v>
      </c>
      <c r="Z2816" s="143" t="s">
        <v>7773</v>
      </c>
    </row>
    <row r="2817" spans="1:28">
      <c r="A2817" s="143">
        <v>2778</v>
      </c>
      <c r="B2817" s="144">
        <v>45972</v>
      </c>
      <c r="C2817" s="169" t="s">
        <v>3646</v>
      </c>
      <c r="D2817" s="143" t="s">
        <v>41</v>
      </c>
      <c r="F2817" s="143" t="s">
        <v>7778</v>
      </c>
      <c r="G2817" s="169" t="s">
        <v>7591</v>
      </c>
      <c r="H2817" s="143" t="s">
        <v>7779</v>
      </c>
      <c r="I2817" s="143" t="s">
        <v>7780</v>
      </c>
      <c r="J2817" s="143" t="s">
        <v>7781</v>
      </c>
      <c r="K2817" s="143">
        <v>165</v>
      </c>
      <c r="L2817" s="143">
        <v>240</v>
      </c>
      <c r="Q2817" s="143" t="s">
        <v>3701</v>
      </c>
      <c r="S2817" s="215"/>
      <c r="T2817" s="215"/>
      <c r="U2817" s="215"/>
      <c r="V2817" s="216"/>
      <c r="W2817" s="169" t="s">
        <v>3147</v>
      </c>
      <c r="X2817" s="143" t="s">
        <v>7778</v>
      </c>
      <c r="Y2817" s="169" t="s">
        <v>7782</v>
      </c>
      <c r="Z2817" s="143" t="s">
        <v>7778</v>
      </c>
      <c r="AA2817" s="143">
        <v>64.8</v>
      </c>
      <c r="AB2817" s="191">
        <v>45993</v>
      </c>
    </row>
    <row r="2818" spans="1:28">
      <c r="A2818" s="143">
        <v>2779</v>
      </c>
      <c r="B2818" s="144">
        <v>45972</v>
      </c>
      <c r="C2818" s="169" t="s">
        <v>3646</v>
      </c>
      <c r="D2818" s="143" t="s">
        <v>41</v>
      </c>
      <c r="F2818" s="143" t="s">
        <v>7783</v>
      </c>
      <c r="G2818" s="169" t="s">
        <v>7591</v>
      </c>
      <c r="H2818" s="143" t="s">
        <v>7784</v>
      </c>
      <c r="I2818" s="143" t="s">
        <v>7785</v>
      </c>
      <c r="J2818" s="143" t="s">
        <v>7786</v>
      </c>
      <c r="K2818" s="143">
        <v>175</v>
      </c>
      <c r="L2818" s="143">
        <v>180</v>
      </c>
      <c r="S2818" s="215"/>
      <c r="T2818" s="215"/>
      <c r="U2818" s="215"/>
      <c r="V2818" s="216"/>
      <c r="W2818" s="169" t="s">
        <v>3147</v>
      </c>
      <c r="X2818" s="143" t="s">
        <v>7783</v>
      </c>
      <c r="Y2818" s="169" t="s">
        <v>7782</v>
      </c>
      <c r="Z2818" s="143" t="s">
        <v>7783</v>
      </c>
    </row>
    <row r="2819" spans="1:28">
      <c r="A2819" s="143">
        <v>2780</v>
      </c>
      <c r="B2819" s="144">
        <v>45972</v>
      </c>
      <c r="C2819" s="169" t="s">
        <v>3646</v>
      </c>
      <c r="D2819" s="143" t="s">
        <v>41</v>
      </c>
      <c r="F2819" s="143" t="s">
        <v>7787</v>
      </c>
      <c r="G2819" s="169" t="s">
        <v>7591</v>
      </c>
      <c r="H2819" s="143" t="s">
        <v>7788</v>
      </c>
      <c r="I2819" s="143" t="s">
        <v>7789</v>
      </c>
      <c r="J2819" s="143" t="s">
        <v>7790</v>
      </c>
      <c r="K2819" s="143">
        <v>175</v>
      </c>
      <c r="L2819" s="143">
        <v>190</v>
      </c>
      <c r="S2819" s="215"/>
      <c r="T2819" s="215"/>
      <c r="U2819" s="215"/>
      <c r="V2819" s="216"/>
      <c r="W2819" s="169" t="s">
        <v>3147</v>
      </c>
      <c r="X2819" s="143" t="s">
        <v>7787</v>
      </c>
      <c r="Y2819" s="169" t="s">
        <v>7782</v>
      </c>
      <c r="Z2819" s="143" t="s">
        <v>7787</v>
      </c>
    </row>
    <row r="2820" spans="1:28">
      <c r="A2820" s="143">
        <v>2781</v>
      </c>
      <c r="B2820" s="144">
        <v>45972</v>
      </c>
      <c r="C2820" s="169" t="s">
        <v>3646</v>
      </c>
      <c r="D2820" s="143" t="s">
        <v>41</v>
      </c>
      <c r="F2820" s="143" t="s">
        <v>7791</v>
      </c>
      <c r="G2820" s="169" t="s">
        <v>7591</v>
      </c>
      <c r="H2820" s="143" t="s">
        <v>7792</v>
      </c>
      <c r="I2820" s="143" t="s">
        <v>7793</v>
      </c>
      <c r="J2820" s="143" t="s">
        <v>7794</v>
      </c>
      <c r="K2820" s="143">
        <v>175</v>
      </c>
      <c r="L2820" s="143">
        <v>190</v>
      </c>
      <c r="Q2820" s="143" t="s">
        <v>3767</v>
      </c>
      <c r="S2820" s="215"/>
      <c r="T2820" s="215"/>
      <c r="U2820" s="215"/>
      <c r="V2820" s="216"/>
      <c r="W2820" s="169" t="s">
        <v>3147</v>
      </c>
      <c r="X2820" s="143" t="s">
        <v>7791</v>
      </c>
      <c r="Y2820" s="169" t="s">
        <v>7782</v>
      </c>
      <c r="Z2820" s="143" t="s">
        <v>7791</v>
      </c>
      <c r="AA2820" s="143">
        <v>78.8</v>
      </c>
      <c r="AB2820" s="191">
        <v>45994</v>
      </c>
    </row>
    <row r="2821" spans="1:28">
      <c r="A2821" s="143">
        <v>2782</v>
      </c>
      <c r="B2821" s="144">
        <v>45972</v>
      </c>
      <c r="C2821" s="169" t="s">
        <v>3646</v>
      </c>
      <c r="D2821" s="143" t="s">
        <v>41</v>
      </c>
      <c r="F2821" s="143" t="s">
        <v>7795</v>
      </c>
      <c r="G2821" s="169" t="s">
        <v>7591</v>
      </c>
      <c r="H2821" s="143" t="s">
        <v>7796</v>
      </c>
      <c r="K2821" s="143">
        <v>185</v>
      </c>
      <c r="L2821" s="143">
        <v>260</v>
      </c>
      <c r="S2821" s="215"/>
      <c r="T2821" s="215"/>
      <c r="U2821" s="215"/>
      <c r="V2821" s="216"/>
      <c r="W2821" s="169" t="s">
        <v>3147</v>
      </c>
      <c r="X2821" s="143" t="s">
        <v>7795</v>
      </c>
      <c r="Y2821" s="143" t="s">
        <v>7797</v>
      </c>
      <c r="Z2821" s="143" t="s">
        <v>7795</v>
      </c>
    </row>
    <row r="2822" spans="1:28">
      <c r="A2822" s="143">
        <v>2783</v>
      </c>
      <c r="B2822" s="144">
        <v>45972</v>
      </c>
      <c r="C2822" s="169" t="s">
        <v>3646</v>
      </c>
      <c r="D2822" s="143" t="s">
        <v>41</v>
      </c>
      <c r="F2822" s="143" t="s">
        <v>7798</v>
      </c>
      <c r="G2822" s="169" t="s">
        <v>7591</v>
      </c>
      <c r="H2822" s="143" t="s">
        <v>7799</v>
      </c>
      <c r="I2822" s="143" t="s">
        <v>7800</v>
      </c>
      <c r="J2822" s="143" t="s">
        <v>7801</v>
      </c>
      <c r="K2822" s="143">
        <v>175</v>
      </c>
      <c r="L2822" s="143">
        <v>190</v>
      </c>
      <c r="S2822" s="215"/>
      <c r="T2822" s="215"/>
      <c r="U2822" s="215"/>
      <c r="V2822" s="216"/>
      <c r="W2822" s="169" t="s">
        <v>3147</v>
      </c>
      <c r="X2822" s="143" t="s">
        <v>7798</v>
      </c>
      <c r="Y2822" s="169" t="s">
        <v>3801</v>
      </c>
      <c r="Z2822" s="143" t="s">
        <v>7798</v>
      </c>
    </row>
    <row r="2823" spans="1:28">
      <c r="A2823" s="143">
        <v>2784</v>
      </c>
      <c r="B2823" s="144">
        <v>45972</v>
      </c>
      <c r="C2823" s="169" t="s">
        <v>3646</v>
      </c>
      <c r="D2823" s="143" t="s">
        <v>41</v>
      </c>
      <c r="F2823" s="143" t="s">
        <v>7802</v>
      </c>
      <c r="G2823" s="169" t="s">
        <v>7591</v>
      </c>
      <c r="H2823" s="143" t="s">
        <v>7803</v>
      </c>
      <c r="K2823" s="143">
        <v>190</v>
      </c>
      <c r="L2823" s="143">
        <v>170</v>
      </c>
      <c r="S2823" s="215"/>
      <c r="T2823" s="215"/>
      <c r="U2823" s="215"/>
      <c r="V2823" s="216"/>
      <c r="W2823" s="169" t="s">
        <v>3147</v>
      </c>
      <c r="X2823" s="143" t="s">
        <v>7802</v>
      </c>
      <c r="Y2823" s="169" t="s">
        <v>7804</v>
      </c>
      <c r="Z2823" s="143" t="s">
        <v>7802</v>
      </c>
    </row>
    <row r="2824" ht="15" spans="1:28">
      <c r="A2824" s="143">
        <v>2785</v>
      </c>
      <c r="B2824" s="144">
        <v>45972</v>
      </c>
      <c r="C2824" s="169" t="s">
        <v>3646</v>
      </c>
      <c r="D2824" s="143" t="s">
        <v>41</v>
      </c>
      <c r="F2824" s="143" t="s">
        <v>7805</v>
      </c>
      <c r="G2824" s="169" t="s">
        <v>7591</v>
      </c>
      <c r="H2824" s="143" t="s">
        <v>7806</v>
      </c>
      <c r="I2824" s="143" t="s">
        <v>4512</v>
      </c>
      <c r="J2824" s="143" t="s">
        <v>5790</v>
      </c>
      <c r="K2824" s="143">
        <v>190</v>
      </c>
      <c r="L2824" s="143" t="s">
        <v>7650</v>
      </c>
      <c r="Q2824" s="143" t="s">
        <v>3829</v>
      </c>
      <c r="S2824" s="215"/>
      <c r="T2824" s="215"/>
      <c r="U2824" s="215"/>
      <c r="V2824" s="216"/>
      <c r="W2824" s="169" t="s">
        <v>3147</v>
      </c>
      <c r="X2824" s="143" t="s">
        <v>7805</v>
      </c>
      <c r="Y2824" s="169" t="s">
        <v>7807</v>
      </c>
      <c r="Z2824" s="143" t="s">
        <v>7805</v>
      </c>
      <c r="AA2824" s="204">
        <v>30.5</v>
      </c>
    </row>
    <row r="2825" spans="1:28">
      <c r="A2825" s="143">
        <v>2786</v>
      </c>
      <c r="B2825" s="144">
        <v>45972</v>
      </c>
      <c r="C2825" s="169" t="s">
        <v>3646</v>
      </c>
      <c r="D2825" s="143" t="s">
        <v>41</v>
      </c>
      <c r="F2825" s="143" t="s">
        <v>7808</v>
      </c>
      <c r="G2825" s="169" t="s">
        <v>7591</v>
      </c>
      <c r="H2825" s="143" t="s">
        <v>7809</v>
      </c>
      <c r="K2825" s="143">
        <v>172</v>
      </c>
      <c r="L2825" s="143">
        <v>220</v>
      </c>
      <c r="S2825" s="215"/>
      <c r="T2825" s="215"/>
      <c r="U2825" s="215"/>
      <c r="V2825" s="216"/>
      <c r="W2825" s="169" t="s">
        <v>3147</v>
      </c>
      <c r="X2825" s="143" t="s">
        <v>7808</v>
      </c>
      <c r="Y2825" s="169" t="s">
        <v>3577</v>
      </c>
      <c r="Z2825" s="143" t="s">
        <v>7808</v>
      </c>
    </row>
    <row r="2826" spans="1:28">
      <c r="A2826" s="143">
        <v>2787</v>
      </c>
      <c r="B2826" s="144">
        <v>45972</v>
      </c>
      <c r="C2826" s="169" t="s">
        <v>3646</v>
      </c>
      <c r="D2826" s="143" t="s">
        <v>41</v>
      </c>
      <c r="F2826" s="143" t="s">
        <v>7810</v>
      </c>
      <c r="G2826" s="169" t="s">
        <v>7591</v>
      </c>
      <c r="H2826" s="143" t="s">
        <v>7811</v>
      </c>
      <c r="I2826" s="143" t="s">
        <v>7812</v>
      </c>
      <c r="J2826" s="143" t="s">
        <v>7813</v>
      </c>
      <c r="K2826" s="143">
        <v>173</v>
      </c>
      <c r="L2826" s="143">
        <v>220</v>
      </c>
      <c r="S2826" s="215"/>
      <c r="T2826" s="215"/>
      <c r="U2826" s="215"/>
      <c r="V2826" s="216"/>
      <c r="W2826" s="169" t="s">
        <v>3147</v>
      </c>
      <c r="X2826" s="143" t="s">
        <v>7810</v>
      </c>
      <c r="Y2826" s="169" t="s">
        <v>7814</v>
      </c>
      <c r="Z2826" s="143" t="s">
        <v>7810</v>
      </c>
    </row>
    <row r="2827" spans="1:28">
      <c r="A2827" s="143">
        <v>2788</v>
      </c>
      <c r="B2827" s="144">
        <v>45972</v>
      </c>
      <c r="C2827" s="169" t="s">
        <v>3646</v>
      </c>
      <c r="D2827" s="143" t="s">
        <v>41</v>
      </c>
      <c r="F2827" s="143" t="s">
        <v>7815</v>
      </c>
      <c r="G2827" s="169" t="s">
        <v>7591</v>
      </c>
      <c r="H2827" s="143" t="s">
        <v>7816</v>
      </c>
      <c r="I2827" s="143" t="s">
        <v>7817</v>
      </c>
      <c r="J2827" s="143" t="s">
        <v>7818</v>
      </c>
      <c r="K2827" s="143">
        <v>180</v>
      </c>
      <c r="L2827" s="143">
        <v>300</v>
      </c>
      <c r="S2827" s="215"/>
      <c r="T2827" s="215"/>
      <c r="U2827" s="215"/>
      <c r="V2827" s="216"/>
      <c r="W2827" s="169" t="s">
        <v>3147</v>
      </c>
      <c r="X2827" s="143" t="s">
        <v>7815</v>
      </c>
      <c r="Y2827" s="169" t="s">
        <v>7819</v>
      </c>
      <c r="Z2827" s="143" t="s">
        <v>7815</v>
      </c>
    </row>
    <row r="2828" spans="1:28">
      <c r="A2828" s="143">
        <v>2789</v>
      </c>
      <c r="B2828" s="144">
        <v>45972</v>
      </c>
      <c r="C2828" s="169" t="s">
        <v>3646</v>
      </c>
      <c r="D2828" s="143" t="s">
        <v>41</v>
      </c>
      <c r="F2828" s="143" t="s">
        <v>7820</v>
      </c>
      <c r="G2828" s="169" t="s">
        <v>7591</v>
      </c>
      <c r="H2828" s="143" t="s">
        <v>7821</v>
      </c>
      <c r="I2828" s="143" t="s">
        <v>7822</v>
      </c>
      <c r="J2828" s="143" t="s">
        <v>7823</v>
      </c>
      <c r="K2828" s="143">
        <v>160</v>
      </c>
      <c r="L2828" s="143" t="s">
        <v>6963</v>
      </c>
      <c r="S2828" s="215"/>
      <c r="T2828" s="215"/>
      <c r="U2828" s="215"/>
      <c r="V2828" s="216"/>
      <c r="W2828" s="169" t="s">
        <v>3147</v>
      </c>
      <c r="X2828" s="143" t="s">
        <v>7820</v>
      </c>
      <c r="Y2828" s="169" t="s">
        <v>7824</v>
      </c>
      <c r="Z2828" s="143" t="s">
        <v>7820</v>
      </c>
    </row>
    <row r="2829" spans="1:28">
      <c r="A2829" s="143">
        <v>2790</v>
      </c>
      <c r="B2829" s="144">
        <v>45972</v>
      </c>
      <c r="C2829" s="169" t="s">
        <v>3646</v>
      </c>
      <c r="D2829" s="143" t="s">
        <v>41</v>
      </c>
      <c r="F2829" s="143" t="s">
        <v>7825</v>
      </c>
      <c r="G2829" s="169" t="s">
        <v>7591</v>
      </c>
      <c r="H2829" s="143" t="s">
        <v>7826</v>
      </c>
      <c r="I2829" s="143" t="s">
        <v>324</v>
      </c>
      <c r="J2829" s="143" t="s">
        <v>6968</v>
      </c>
      <c r="K2829" s="143">
        <v>160</v>
      </c>
      <c r="L2829" s="143">
        <v>100</v>
      </c>
      <c r="S2829" s="215"/>
      <c r="T2829" s="215"/>
      <c r="U2829" s="215"/>
      <c r="V2829" s="216"/>
      <c r="W2829" s="169" t="s">
        <v>3147</v>
      </c>
      <c r="X2829" s="143" t="s">
        <v>7825</v>
      </c>
      <c r="Y2829" s="169" t="s">
        <v>7827</v>
      </c>
      <c r="Z2829" s="143" t="s">
        <v>7825</v>
      </c>
    </row>
    <row r="2830" spans="1:28">
      <c r="A2830" s="143">
        <v>2791</v>
      </c>
      <c r="B2830" s="144">
        <v>45972</v>
      </c>
      <c r="C2830" s="169" t="s">
        <v>3646</v>
      </c>
      <c r="D2830" s="143" t="s">
        <v>41</v>
      </c>
      <c r="F2830" s="143" t="s">
        <v>7828</v>
      </c>
      <c r="G2830" s="169" t="s">
        <v>7591</v>
      </c>
      <c r="H2830" s="143" t="s">
        <v>7829</v>
      </c>
      <c r="K2830" s="143">
        <v>165</v>
      </c>
      <c r="L2830" s="143">
        <v>230</v>
      </c>
      <c r="S2830" s="215"/>
      <c r="T2830" s="215"/>
      <c r="U2830" s="215"/>
      <c r="V2830" s="216"/>
      <c r="W2830" s="169" t="s">
        <v>3147</v>
      </c>
      <c r="X2830" s="143" t="s">
        <v>7828</v>
      </c>
      <c r="Y2830" s="169" t="s">
        <v>7830</v>
      </c>
      <c r="Z2830" s="143" t="s">
        <v>7828</v>
      </c>
    </row>
    <row r="2831" spans="1:28">
      <c r="A2831" s="143">
        <v>2792</v>
      </c>
      <c r="B2831" s="144">
        <v>45972</v>
      </c>
      <c r="C2831" s="169" t="s">
        <v>3646</v>
      </c>
      <c r="D2831" s="143" t="s">
        <v>41</v>
      </c>
      <c r="F2831" s="143" t="s">
        <v>7831</v>
      </c>
      <c r="G2831" s="169" t="s">
        <v>7591</v>
      </c>
      <c r="H2831" s="143" t="s">
        <v>7832</v>
      </c>
      <c r="I2831" s="143" t="s">
        <v>324</v>
      </c>
      <c r="J2831" s="143" t="s">
        <v>6968</v>
      </c>
      <c r="K2831" s="143">
        <v>180</v>
      </c>
      <c r="L2831" s="143">
        <v>240</v>
      </c>
      <c r="S2831" s="215"/>
      <c r="T2831" s="215"/>
      <c r="U2831" s="215"/>
      <c r="V2831" s="216"/>
      <c r="W2831" s="169" t="s">
        <v>3147</v>
      </c>
      <c r="X2831" s="143" t="s">
        <v>7831</v>
      </c>
      <c r="Y2831" s="169" t="s">
        <v>7833</v>
      </c>
      <c r="Z2831" s="143" t="s">
        <v>7831</v>
      </c>
    </row>
    <row r="2832" spans="1:28">
      <c r="A2832" s="143">
        <v>2793</v>
      </c>
      <c r="B2832" s="144">
        <v>45972</v>
      </c>
      <c r="C2832" s="169" t="s">
        <v>3646</v>
      </c>
      <c r="D2832" s="143" t="s">
        <v>41</v>
      </c>
      <c r="F2832" s="143" t="s">
        <v>7834</v>
      </c>
      <c r="G2832" s="169" t="s">
        <v>7591</v>
      </c>
      <c r="H2832" s="143" t="s">
        <v>7835</v>
      </c>
      <c r="I2832" s="143" t="s">
        <v>324</v>
      </c>
      <c r="J2832" s="143" t="s">
        <v>6968</v>
      </c>
      <c r="K2832" s="143">
        <v>160</v>
      </c>
      <c r="L2832" s="143">
        <v>320</v>
      </c>
      <c r="S2832" s="215"/>
      <c r="T2832" s="215"/>
      <c r="U2832" s="215"/>
      <c r="V2832" s="216"/>
      <c r="W2832" s="169" t="s">
        <v>3147</v>
      </c>
      <c r="X2832" s="143" t="s">
        <v>7834</v>
      </c>
      <c r="Y2832" s="169" t="s">
        <v>7836</v>
      </c>
      <c r="Z2832" s="143" t="s">
        <v>7834</v>
      </c>
    </row>
    <row r="2833" spans="1:34">
      <c r="A2833" s="143">
        <v>2794</v>
      </c>
      <c r="B2833" s="144">
        <v>45972</v>
      </c>
      <c r="C2833" s="169" t="s">
        <v>3646</v>
      </c>
      <c r="D2833" s="143" t="s">
        <v>41</v>
      </c>
      <c r="F2833" s="143" t="s">
        <v>7837</v>
      </c>
      <c r="G2833" s="169" t="s">
        <v>7591</v>
      </c>
      <c r="H2833" s="143" t="s">
        <v>7838</v>
      </c>
      <c r="K2833" s="143">
        <v>155</v>
      </c>
      <c r="L2833" s="143">
        <v>380</v>
      </c>
      <c r="S2833" s="215"/>
      <c r="T2833" s="215"/>
      <c r="U2833" s="215"/>
      <c r="V2833" s="216"/>
      <c r="W2833" s="169" t="s">
        <v>3147</v>
      </c>
      <c r="X2833" s="143" t="s">
        <v>7837</v>
      </c>
      <c r="Y2833" s="169" t="s">
        <v>7830</v>
      </c>
      <c r="Z2833" s="143" t="s">
        <v>7837</v>
      </c>
    </row>
    <row r="2834" spans="1:34">
      <c r="A2834" s="143">
        <v>2795</v>
      </c>
      <c r="B2834" s="144">
        <v>45972</v>
      </c>
      <c r="C2834" s="169" t="s">
        <v>3646</v>
      </c>
      <c r="D2834" s="143" t="s">
        <v>41</v>
      </c>
      <c r="F2834" s="143" t="s">
        <v>7839</v>
      </c>
      <c r="G2834" s="169" t="s">
        <v>7591</v>
      </c>
      <c r="H2834" s="143" t="s">
        <v>7840</v>
      </c>
      <c r="K2834" s="143">
        <v>183</v>
      </c>
      <c r="L2834" s="143">
        <v>280</v>
      </c>
      <c r="S2834" s="215"/>
      <c r="T2834" s="215"/>
      <c r="U2834" s="215"/>
      <c r="V2834" s="216"/>
      <c r="W2834" s="169" t="s">
        <v>3147</v>
      </c>
      <c r="X2834" s="143" t="s">
        <v>7839</v>
      </c>
      <c r="Y2834" s="169" t="s">
        <v>7841</v>
      </c>
      <c r="Z2834" s="143" t="s">
        <v>7839</v>
      </c>
    </row>
    <row r="2835" spans="1:34">
      <c r="A2835" s="143">
        <v>2796</v>
      </c>
      <c r="B2835" s="144">
        <v>45972</v>
      </c>
      <c r="C2835" s="169" t="s">
        <v>3646</v>
      </c>
      <c r="D2835" s="143" t="s">
        <v>41</v>
      </c>
      <c r="F2835" s="143" t="s">
        <v>7842</v>
      </c>
      <c r="G2835" s="169" t="s">
        <v>7591</v>
      </c>
      <c r="H2835" s="143" t="s">
        <v>7843</v>
      </c>
      <c r="I2835" s="143" t="s">
        <v>7844</v>
      </c>
      <c r="J2835" s="143" t="s">
        <v>7845</v>
      </c>
      <c r="K2835" s="143">
        <v>160</v>
      </c>
      <c r="L2835" s="143">
        <v>280</v>
      </c>
      <c r="S2835" s="215"/>
      <c r="T2835" s="215"/>
      <c r="U2835" s="215"/>
      <c r="V2835" s="216"/>
      <c r="W2835" s="169" t="s">
        <v>3147</v>
      </c>
      <c r="X2835" s="143" t="s">
        <v>7842</v>
      </c>
      <c r="Y2835" s="169" t="s">
        <v>7846</v>
      </c>
      <c r="Z2835" s="143" t="s">
        <v>7842</v>
      </c>
    </row>
    <row r="2836" spans="1:34">
      <c r="A2836" s="143">
        <v>2797</v>
      </c>
      <c r="B2836" s="144">
        <v>45978</v>
      </c>
      <c r="C2836" s="169" t="s">
        <v>3277</v>
      </c>
      <c r="D2836" s="143" t="s">
        <v>41</v>
      </c>
      <c r="F2836" s="169" t="s">
        <v>7847</v>
      </c>
      <c r="H2836" s="143" t="s">
        <v>7848</v>
      </c>
      <c r="I2836" s="143" t="s">
        <v>3170</v>
      </c>
      <c r="J2836" s="143" t="s">
        <v>6335</v>
      </c>
      <c r="K2836" s="143">
        <v>150</v>
      </c>
      <c r="L2836" s="143">
        <v>280</v>
      </c>
      <c r="W2836" s="169" t="s">
        <v>3147</v>
      </c>
      <c r="X2836" s="169" t="s">
        <v>7849</v>
      </c>
      <c r="Y2836" s="169" t="s">
        <v>7850</v>
      </c>
      <c r="Z2836" s="169" t="s">
        <v>7849</v>
      </c>
      <c r="AA2836" s="143">
        <v>12.6</v>
      </c>
      <c r="AB2836" s="191">
        <v>45996</v>
      </c>
      <c r="AH2836" s="169" t="s">
        <v>7851</v>
      </c>
    </row>
    <row r="2837" spans="1:34">
      <c r="A2837" s="143">
        <v>2798</v>
      </c>
      <c r="B2837" s="144">
        <v>45980</v>
      </c>
      <c r="C2837" s="169" t="s">
        <v>3148</v>
      </c>
      <c r="D2837" s="143" t="s">
        <v>41</v>
      </c>
      <c r="E2837" s="196" t="s">
        <v>7422</v>
      </c>
      <c r="F2837" s="143" t="s">
        <v>7852</v>
      </c>
      <c r="H2837" s="143" t="s">
        <v>7853</v>
      </c>
      <c r="I2837" s="143" t="s">
        <v>4535</v>
      </c>
      <c r="J2837" s="143" t="s">
        <v>3111</v>
      </c>
      <c r="K2837" s="143">
        <v>190</v>
      </c>
      <c r="L2837" s="143">
        <v>170</v>
      </c>
      <c r="W2837" s="143" t="s">
        <v>3147</v>
      </c>
      <c r="X2837" s="143" t="s">
        <v>7852</v>
      </c>
      <c r="Y2837" s="169" t="s">
        <v>7427</v>
      </c>
      <c r="Z2837" s="143" t="s">
        <v>7852</v>
      </c>
    </row>
    <row r="2838" spans="1:34">
      <c r="A2838" s="143">
        <v>2799</v>
      </c>
      <c r="B2838" s="144">
        <v>45980</v>
      </c>
      <c r="C2838" s="169" t="s">
        <v>3148</v>
      </c>
      <c r="D2838" s="143" t="s">
        <v>41</v>
      </c>
      <c r="E2838" s="196" t="s">
        <v>7422</v>
      </c>
      <c r="F2838" s="143" t="s">
        <v>7854</v>
      </c>
      <c r="H2838" s="143" t="s">
        <v>7855</v>
      </c>
      <c r="I2838" s="143" t="s">
        <v>4535</v>
      </c>
      <c r="J2838" s="143" t="s">
        <v>3111</v>
      </c>
      <c r="K2838" s="143">
        <v>120</v>
      </c>
      <c r="L2838" s="143">
        <v>370</v>
      </c>
      <c r="W2838" s="143" t="s">
        <v>3147</v>
      </c>
      <c r="X2838" s="143" t="s">
        <v>7854</v>
      </c>
      <c r="Y2838" s="169" t="s">
        <v>7427</v>
      </c>
      <c r="Z2838" s="143" t="s">
        <v>7854</v>
      </c>
    </row>
    <row r="2839" spans="1:34">
      <c r="A2839" s="143">
        <v>2800</v>
      </c>
      <c r="B2839" s="144">
        <v>45980</v>
      </c>
      <c r="C2839" s="169" t="s">
        <v>3148</v>
      </c>
      <c r="D2839" s="143" t="s">
        <v>41</v>
      </c>
      <c r="E2839" s="196" t="s">
        <v>7422</v>
      </c>
      <c r="F2839" s="143" t="s">
        <v>7856</v>
      </c>
      <c r="H2839" s="143" t="s">
        <v>7857</v>
      </c>
      <c r="I2839" s="143" t="s">
        <v>7547</v>
      </c>
      <c r="J2839" s="143" t="s">
        <v>7548</v>
      </c>
      <c r="K2839" s="143">
        <v>150</v>
      </c>
      <c r="L2839" s="143">
        <v>260</v>
      </c>
      <c r="W2839" s="143" t="s">
        <v>3147</v>
      </c>
      <c r="X2839" s="143" t="s">
        <v>7856</v>
      </c>
      <c r="Y2839" s="169" t="s">
        <v>7427</v>
      </c>
      <c r="Z2839" s="143" t="s">
        <v>7856</v>
      </c>
    </row>
    <row r="2840" spans="1:34">
      <c r="A2840" s="143">
        <v>2801</v>
      </c>
      <c r="B2840" s="144">
        <v>45980</v>
      </c>
      <c r="C2840" s="169" t="s">
        <v>3148</v>
      </c>
      <c r="D2840" s="143" t="s">
        <v>41</v>
      </c>
      <c r="E2840" s="196" t="s">
        <v>7422</v>
      </c>
      <c r="F2840" s="143" t="s">
        <v>7562</v>
      </c>
      <c r="H2840" s="143" t="s">
        <v>7858</v>
      </c>
      <c r="I2840" s="143" t="s">
        <v>7164</v>
      </c>
      <c r="J2840" s="143" t="s">
        <v>7859</v>
      </c>
      <c r="K2840" s="143">
        <v>190</v>
      </c>
      <c r="L2840" s="143">
        <v>170</v>
      </c>
      <c r="W2840" s="143" t="s">
        <v>3147</v>
      </c>
      <c r="X2840" s="143" t="s">
        <v>7562</v>
      </c>
      <c r="Y2840" s="169" t="s">
        <v>7427</v>
      </c>
      <c r="Z2840" s="143" t="s">
        <v>7562</v>
      </c>
    </row>
    <row r="2841" spans="1:34">
      <c r="A2841" s="143">
        <v>2802</v>
      </c>
      <c r="B2841" s="144">
        <v>45980</v>
      </c>
      <c r="C2841" s="169" t="s">
        <v>3148</v>
      </c>
      <c r="D2841" s="143" t="s">
        <v>41</v>
      </c>
      <c r="E2841" s="196" t="s">
        <v>7422</v>
      </c>
      <c r="F2841" s="143" t="s">
        <v>7860</v>
      </c>
      <c r="H2841" s="143" t="s">
        <v>7861</v>
      </c>
      <c r="I2841" s="143" t="s">
        <v>7164</v>
      </c>
      <c r="J2841" s="143" t="s">
        <v>7859</v>
      </c>
      <c r="K2841" s="143">
        <v>190</v>
      </c>
      <c r="L2841" s="143">
        <v>140</v>
      </c>
      <c r="W2841" s="143" t="s">
        <v>3147</v>
      </c>
      <c r="X2841" s="143" t="s">
        <v>7860</v>
      </c>
      <c r="Y2841" s="169" t="s">
        <v>7427</v>
      </c>
      <c r="Z2841" s="143" t="s">
        <v>7860</v>
      </c>
    </row>
    <row r="2842" spans="1:34">
      <c r="A2842" s="143">
        <v>2803</v>
      </c>
      <c r="B2842" s="144">
        <v>45980</v>
      </c>
      <c r="C2842" s="169" t="s">
        <v>3148</v>
      </c>
      <c r="D2842" s="143" t="s">
        <v>41</v>
      </c>
      <c r="E2842" s="196" t="s">
        <v>7422</v>
      </c>
      <c r="F2842" s="169" t="s">
        <v>7862</v>
      </c>
      <c r="H2842" s="143" t="s">
        <v>7863</v>
      </c>
      <c r="I2842" s="143" t="s">
        <v>7572</v>
      </c>
      <c r="J2842" s="143" t="s">
        <v>7859</v>
      </c>
      <c r="K2842" s="143">
        <v>185</v>
      </c>
      <c r="L2842" s="143">
        <v>170</v>
      </c>
      <c r="W2842" s="143" t="s">
        <v>3147</v>
      </c>
      <c r="X2842" s="169" t="s">
        <v>7862</v>
      </c>
      <c r="Y2842" s="169" t="s">
        <v>7427</v>
      </c>
      <c r="Z2842" s="169" t="s">
        <v>7862</v>
      </c>
    </row>
    <row r="2843" ht="15" spans="1:34">
      <c r="A2843" s="143">
        <v>2804</v>
      </c>
      <c r="B2843" s="144">
        <v>45982</v>
      </c>
      <c r="C2843" s="169" t="s">
        <v>3277</v>
      </c>
      <c r="D2843" s="143" t="s">
        <v>41</v>
      </c>
      <c r="E2843" s="145" t="s">
        <v>7864</v>
      </c>
      <c r="F2843" s="169" t="s">
        <v>7865</v>
      </c>
      <c r="H2843" s="143" t="s">
        <v>7866</v>
      </c>
      <c r="I2843" s="143" t="s">
        <v>7867</v>
      </c>
      <c r="J2843" s="143" t="s">
        <v>7868</v>
      </c>
      <c r="K2843" s="143">
        <v>165</v>
      </c>
      <c r="L2843" s="143">
        <v>85</v>
      </c>
      <c r="Q2843" s="204" t="s">
        <v>7869</v>
      </c>
      <c r="W2843" s="143" t="s">
        <v>3147</v>
      </c>
      <c r="X2843" s="169" t="str">
        <f>F2843</f>
        <v>2475 薄荷棉</v>
      </c>
      <c r="Y2843" s="143" t="s">
        <v>7870</v>
      </c>
      <c r="Z2843" s="169" t="str">
        <f>X2843</f>
        <v>2475 薄荷棉</v>
      </c>
      <c r="AA2843" s="173">
        <v>58</v>
      </c>
      <c r="AB2843" s="191">
        <v>45983</v>
      </c>
    </row>
    <row r="2844" ht="15" spans="1:34">
      <c r="A2844" s="143">
        <v>2805</v>
      </c>
      <c r="B2844" s="144">
        <v>45982</v>
      </c>
      <c r="C2844" s="169" t="s">
        <v>3277</v>
      </c>
      <c r="D2844" s="143" t="s">
        <v>41</v>
      </c>
      <c r="E2844" s="145" t="s">
        <v>7864</v>
      </c>
      <c r="F2844" s="169" t="s">
        <v>7871</v>
      </c>
      <c r="H2844" s="143" t="s">
        <v>7872</v>
      </c>
      <c r="I2844" s="143" t="s">
        <v>5982</v>
      </c>
      <c r="J2844" s="143" t="s">
        <v>2987</v>
      </c>
      <c r="K2844" s="143">
        <v>165</v>
      </c>
      <c r="L2844" s="143">
        <v>90</v>
      </c>
      <c r="Q2844" s="204" t="s">
        <v>7873</v>
      </c>
      <c r="W2844" s="143" t="s">
        <v>3147</v>
      </c>
      <c r="X2844" s="169" t="str">
        <f t="shared" ref="X2844:X2858" si="15">F2844</f>
        <v>H670  超薄羊绒</v>
      </c>
      <c r="Y2844" s="143" t="s">
        <v>7746</v>
      </c>
      <c r="Z2844" s="169" t="str">
        <f t="shared" ref="Z2844:Z2858" si="16">X2844</f>
        <v>H670  超薄羊绒</v>
      </c>
      <c r="AA2844" s="173">
        <v>49.6</v>
      </c>
      <c r="AB2844" s="191">
        <v>45983</v>
      </c>
    </row>
    <row r="2845" ht="15" spans="1:34">
      <c r="A2845" s="143">
        <v>2806</v>
      </c>
      <c r="B2845" s="144">
        <v>45982</v>
      </c>
      <c r="C2845" s="169" t="s">
        <v>3277</v>
      </c>
      <c r="D2845" s="143" t="s">
        <v>41</v>
      </c>
      <c r="E2845" s="145" t="s">
        <v>7864</v>
      </c>
      <c r="F2845" s="169" t="s">
        <v>7874</v>
      </c>
      <c r="H2845" s="143" t="s">
        <v>7875</v>
      </c>
      <c r="I2845" s="143" t="s">
        <v>5982</v>
      </c>
      <c r="J2845" s="143" t="s">
        <v>2987</v>
      </c>
      <c r="K2845" s="143">
        <v>180</v>
      </c>
      <c r="L2845" s="143">
        <v>125</v>
      </c>
      <c r="Q2845" s="204" t="s">
        <v>7876</v>
      </c>
      <c r="W2845" s="143" t="s">
        <v>3147</v>
      </c>
      <c r="X2845" s="169" t="str">
        <f t="shared" si="15"/>
        <v>H671  超薄羊绒</v>
      </c>
      <c r="Y2845" s="143" t="s">
        <v>7746</v>
      </c>
      <c r="Z2845" s="169" t="str">
        <f t="shared" si="16"/>
        <v>H671  超薄羊绒</v>
      </c>
      <c r="AA2845" s="173">
        <v>43.5</v>
      </c>
      <c r="AB2845" s="191">
        <v>45983</v>
      </c>
    </row>
    <row r="2846" ht="15" spans="1:34">
      <c r="A2846" s="143">
        <v>2807</v>
      </c>
      <c r="B2846" s="144">
        <v>45982</v>
      </c>
      <c r="C2846" s="169" t="s">
        <v>3277</v>
      </c>
      <c r="D2846" s="143" t="s">
        <v>41</v>
      </c>
      <c r="E2846" s="145" t="s">
        <v>7877</v>
      </c>
      <c r="F2846" s="169" t="s">
        <v>7878</v>
      </c>
      <c r="H2846" s="143" t="s">
        <v>7879</v>
      </c>
      <c r="I2846" s="143" t="s">
        <v>3218</v>
      </c>
      <c r="J2846" s="143" t="s">
        <v>1577</v>
      </c>
      <c r="K2846" s="143">
        <v>168</v>
      </c>
      <c r="L2846" s="143">
        <v>190</v>
      </c>
      <c r="Q2846" s="204" t="s">
        <v>3767</v>
      </c>
      <c r="W2846" s="143" t="s">
        <v>3147</v>
      </c>
      <c r="X2846" s="169" t="str">
        <f t="shared" si="15"/>
        <v>190g  捻丝乱麻</v>
      </c>
      <c r="Y2846" s="169" t="s">
        <v>7880</v>
      </c>
      <c r="Z2846" s="169" t="str">
        <f t="shared" si="16"/>
        <v>190g  捻丝乱麻</v>
      </c>
      <c r="AA2846" s="173">
        <v>22.8</v>
      </c>
      <c r="AB2846" s="191">
        <v>45983</v>
      </c>
    </row>
    <row r="2847" ht="15" spans="1:34">
      <c r="A2847" s="143">
        <v>2808</v>
      </c>
      <c r="B2847" s="144">
        <v>45982</v>
      </c>
      <c r="C2847" s="169" t="s">
        <v>3277</v>
      </c>
      <c r="D2847" s="143" t="s">
        <v>41</v>
      </c>
      <c r="E2847" s="145" t="s">
        <v>7877</v>
      </c>
      <c r="F2847" s="169" t="s">
        <v>7881</v>
      </c>
      <c r="H2847" s="143" t="s">
        <v>7882</v>
      </c>
      <c r="I2847" s="143" t="s">
        <v>7883</v>
      </c>
      <c r="J2847" s="143" t="s">
        <v>2776</v>
      </c>
      <c r="K2847" s="143">
        <v>168</v>
      </c>
      <c r="L2847" s="143">
        <v>250</v>
      </c>
      <c r="Q2847" s="204" t="s">
        <v>3792</v>
      </c>
      <c r="W2847" s="143" t="s">
        <v>3147</v>
      </c>
      <c r="X2847" s="169" t="str">
        <f t="shared" si="15"/>
        <v>250g真捻丝乱麻</v>
      </c>
      <c r="Y2847" s="169" t="s">
        <v>7880</v>
      </c>
      <c r="Z2847" s="169" t="str">
        <f t="shared" si="16"/>
        <v>250g真捻丝乱麻</v>
      </c>
      <c r="AA2847" s="173">
        <v>27</v>
      </c>
      <c r="AB2847" s="191">
        <v>45983</v>
      </c>
    </row>
    <row r="2848" ht="15" spans="1:34">
      <c r="A2848" s="143">
        <v>2809</v>
      </c>
      <c r="B2848" s="144">
        <v>45982</v>
      </c>
      <c r="C2848" s="169" t="s">
        <v>3277</v>
      </c>
      <c r="D2848" s="143" t="s">
        <v>41</v>
      </c>
      <c r="E2848" s="145" t="s">
        <v>7877</v>
      </c>
      <c r="F2848" s="169" t="s">
        <v>7884</v>
      </c>
      <c r="H2848" s="143" t="s">
        <v>7885</v>
      </c>
      <c r="I2848" s="143" t="s">
        <v>3218</v>
      </c>
      <c r="J2848" s="143" t="s">
        <v>1577</v>
      </c>
      <c r="K2848" s="143">
        <v>168</v>
      </c>
      <c r="L2848" s="143">
        <v>280</v>
      </c>
      <c r="Q2848" s="204" t="s">
        <v>4844</v>
      </c>
      <c r="W2848" s="143" t="s">
        <v>3147</v>
      </c>
      <c r="X2848" s="169" t="str">
        <f t="shared" si="15"/>
        <v>280g捻丝乱麻</v>
      </c>
      <c r="Y2848" s="169" t="s">
        <v>7880</v>
      </c>
      <c r="Z2848" s="169" t="str">
        <f t="shared" si="16"/>
        <v>280g捻丝乱麻</v>
      </c>
      <c r="AA2848" s="173">
        <v>22.8</v>
      </c>
      <c r="AB2848" s="191">
        <v>45983</v>
      </c>
    </row>
    <row r="2849" ht="15" spans="1:28">
      <c r="A2849" s="143">
        <v>2810</v>
      </c>
      <c r="B2849" s="144">
        <v>45982</v>
      </c>
      <c r="C2849" s="169" t="s">
        <v>3277</v>
      </c>
      <c r="D2849" s="143" t="s">
        <v>41</v>
      </c>
      <c r="E2849" s="145" t="s">
        <v>7877</v>
      </c>
      <c r="F2849" s="169" t="s">
        <v>7886</v>
      </c>
      <c r="H2849" s="143" t="s">
        <v>7887</v>
      </c>
      <c r="I2849" s="143" t="s">
        <v>3218</v>
      </c>
      <c r="J2849" s="143" t="s">
        <v>1577</v>
      </c>
      <c r="K2849" s="143">
        <v>168</v>
      </c>
      <c r="L2849" s="143">
        <v>300</v>
      </c>
      <c r="Q2849" s="204" t="s">
        <v>3717</v>
      </c>
      <c r="W2849" s="143" t="s">
        <v>3147</v>
      </c>
      <c r="X2849" s="169" t="str">
        <f t="shared" si="15"/>
        <v>300g捻丝乱麻</v>
      </c>
      <c r="Y2849" s="169" t="s">
        <v>7880</v>
      </c>
      <c r="Z2849" s="169" t="str">
        <f t="shared" si="16"/>
        <v>300g捻丝乱麻</v>
      </c>
      <c r="AA2849" s="173">
        <v>22.8</v>
      </c>
      <c r="AB2849" s="191">
        <v>45983</v>
      </c>
    </row>
    <row r="2850" ht="15" spans="1:28">
      <c r="A2850" s="143">
        <v>2811</v>
      </c>
      <c r="B2850" s="144">
        <v>45982</v>
      </c>
      <c r="C2850" s="169" t="s">
        <v>3277</v>
      </c>
      <c r="D2850" s="143" t="s">
        <v>41</v>
      </c>
      <c r="E2850" s="145" t="s">
        <v>7877</v>
      </c>
      <c r="F2850" s="169" t="s">
        <v>7888</v>
      </c>
      <c r="H2850" s="143" t="s">
        <v>7889</v>
      </c>
      <c r="I2850" s="143" t="s">
        <v>7883</v>
      </c>
      <c r="J2850" s="143" t="s">
        <v>2776</v>
      </c>
      <c r="K2850" s="143">
        <v>168</v>
      </c>
      <c r="L2850" s="143">
        <v>200</v>
      </c>
      <c r="Q2850" s="204" t="s">
        <v>3767</v>
      </c>
      <c r="W2850" s="143" t="s">
        <v>3147</v>
      </c>
      <c r="X2850" s="169" t="str">
        <f t="shared" si="15"/>
        <v>200G新捻丝乱麻</v>
      </c>
      <c r="Y2850" s="169" t="s">
        <v>7880</v>
      </c>
      <c r="Z2850" s="169" t="str">
        <f t="shared" si="16"/>
        <v>200G新捻丝乱麻</v>
      </c>
      <c r="AA2850" s="173">
        <v>25.6</v>
      </c>
      <c r="AB2850" s="191">
        <v>45983</v>
      </c>
    </row>
    <row r="2851" ht="15" spans="1:28">
      <c r="A2851" s="143">
        <v>2812</v>
      </c>
      <c r="B2851" s="144">
        <v>45982</v>
      </c>
      <c r="C2851" s="169" t="s">
        <v>3277</v>
      </c>
      <c r="D2851" s="143" t="s">
        <v>41</v>
      </c>
      <c r="E2851" s="145" t="s">
        <v>7877</v>
      </c>
      <c r="F2851" s="169" t="s">
        <v>7890</v>
      </c>
      <c r="H2851" s="143" t="s">
        <v>7891</v>
      </c>
      <c r="I2851" s="143" t="s">
        <v>3218</v>
      </c>
      <c r="J2851" s="143" t="s">
        <v>1577</v>
      </c>
      <c r="K2851" s="143">
        <v>168</v>
      </c>
      <c r="L2851" s="143">
        <v>230</v>
      </c>
      <c r="Q2851" s="204" t="s">
        <v>4754</v>
      </c>
      <c r="W2851" s="143" t="s">
        <v>3147</v>
      </c>
      <c r="X2851" s="169" t="str">
        <f t="shared" si="15"/>
        <v>230g捻丝乱麻</v>
      </c>
      <c r="Y2851" s="169" t="s">
        <v>7880</v>
      </c>
      <c r="Z2851" s="169" t="str">
        <f t="shared" si="16"/>
        <v>230g捻丝乱麻</v>
      </c>
      <c r="AA2851" s="173">
        <v>22.8</v>
      </c>
      <c r="AB2851" s="191">
        <v>45983</v>
      </c>
    </row>
    <row r="2852" ht="15" spans="1:28">
      <c r="A2852" s="143">
        <v>2813</v>
      </c>
      <c r="B2852" s="144">
        <v>45982</v>
      </c>
      <c r="C2852" s="169" t="s">
        <v>3277</v>
      </c>
      <c r="D2852" s="143" t="s">
        <v>41</v>
      </c>
      <c r="E2852" s="145" t="s">
        <v>7892</v>
      </c>
      <c r="F2852" s="169" t="s">
        <v>7893</v>
      </c>
      <c r="H2852" s="143" t="s">
        <v>7894</v>
      </c>
      <c r="I2852" s="143" t="s">
        <v>3390</v>
      </c>
      <c r="J2852" s="143" t="s">
        <v>2776</v>
      </c>
      <c r="K2852" s="143">
        <v>150</v>
      </c>
      <c r="L2852" s="143">
        <v>185</v>
      </c>
      <c r="Q2852" s="204"/>
      <c r="W2852" s="143" t="s">
        <v>3147</v>
      </c>
      <c r="X2852" s="169" t="str">
        <f t="shared" si="15"/>
        <v>3837#南韩麻</v>
      </c>
      <c r="Y2852" s="169" t="s">
        <v>7895</v>
      </c>
      <c r="Z2852" s="169" t="str">
        <f t="shared" si="16"/>
        <v>3837#南韩麻</v>
      </c>
      <c r="AA2852" s="173">
        <v>12.8</v>
      </c>
      <c r="AB2852" s="191">
        <v>45983</v>
      </c>
    </row>
    <row r="2853" ht="15" spans="1:28">
      <c r="A2853" s="143">
        <v>2814</v>
      </c>
      <c r="B2853" s="144">
        <v>45982</v>
      </c>
      <c r="C2853" s="169" t="s">
        <v>3277</v>
      </c>
      <c r="D2853" s="143" t="s">
        <v>41</v>
      </c>
      <c r="E2853" s="145" t="s">
        <v>7892</v>
      </c>
      <c r="F2853" s="169" t="s">
        <v>7896</v>
      </c>
      <c r="H2853" s="143" t="s">
        <v>7897</v>
      </c>
      <c r="I2853" s="143" t="s">
        <v>3390</v>
      </c>
      <c r="J2853" s="143" t="s">
        <v>2776</v>
      </c>
      <c r="K2853" s="143">
        <v>152</v>
      </c>
      <c r="L2853" s="143">
        <v>190</v>
      </c>
      <c r="Q2853" s="204"/>
      <c r="W2853" s="143" t="s">
        <v>3147</v>
      </c>
      <c r="X2853" s="169" t="str">
        <f t="shared" si="15"/>
        <v>2016 南韩麻</v>
      </c>
      <c r="Y2853" s="169" t="s">
        <v>7898</v>
      </c>
      <c r="Z2853" s="169" t="str">
        <f t="shared" si="16"/>
        <v>2016 南韩麻</v>
      </c>
      <c r="AA2853" s="173">
        <v>13</v>
      </c>
      <c r="AB2853" s="191">
        <v>45983</v>
      </c>
    </row>
    <row r="2854" ht="15" spans="1:28">
      <c r="A2854" s="143">
        <v>2815</v>
      </c>
      <c r="B2854" s="144">
        <v>45982</v>
      </c>
      <c r="C2854" s="169" t="s">
        <v>3277</v>
      </c>
      <c r="D2854" s="143" t="s">
        <v>41</v>
      </c>
      <c r="E2854" s="145" t="s">
        <v>7892</v>
      </c>
      <c r="F2854" s="169" t="s">
        <v>7899</v>
      </c>
      <c r="H2854" s="143" t="s">
        <v>7900</v>
      </c>
      <c r="I2854" s="143" t="s">
        <v>5653</v>
      </c>
      <c r="J2854" s="143" t="s">
        <v>5576</v>
      </c>
      <c r="K2854" s="143">
        <v>150</v>
      </c>
      <c r="L2854" s="143">
        <v>195</v>
      </c>
      <c r="Q2854" s="204"/>
      <c r="W2854" s="143" t="s">
        <v>3147</v>
      </c>
      <c r="X2854" s="169" t="str">
        <f t="shared" si="15"/>
        <v>9030南韩麻</v>
      </c>
      <c r="Y2854" s="169" t="s">
        <v>7901</v>
      </c>
      <c r="Z2854" s="169" t="str">
        <f t="shared" si="16"/>
        <v>9030南韩麻</v>
      </c>
      <c r="AA2854" s="173">
        <v>14.2</v>
      </c>
      <c r="AB2854" s="191">
        <v>45983</v>
      </c>
    </row>
    <row r="2855" ht="15" spans="1:28">
      <c r="A2855" s="143">
        <v>2816</v>
      </c>
      <c r="B2855" s="144">
        <v>45985</v>
      </c>
      <c r="C2855" s="169" t="s">
        <v>3277</v>
      </c>
      <c r="D2855" s="143" t="s">
        <v>41</v>
      </c>
      <c r="E2855" s="145" t="s">
        <v>7902</v>
      </c>
      <c r="F2855" s="143" t="s">
        <v>7903</v>
      </c>
      <c r="G2855" s="169" t="s">
        <v>7904</v>
      </c>
      <c r="H2855" s="143" t="s">
        <v>6018</v>
      </c>
      <c r="I2855" s="204" t="s">
        <v>3390</v>
      </c>
      <c r="J2855" s="143" t="s">
        <v>4144</v>
      </c>
      <c r="K2855" s="204">
        <v>175</v>
      </c>
      <c r="L2855" s="204">
        <v>190</v>
      </c>
      <c r="Q2855" s="143" t="s">
        <v>3767</v>
      </c>
      <c r="W2855" s="143" t="s">
        <v>3147</v>
      </c>
      <c r="X2855" s="143" t="str">
        <f t="shared" si="15"/>
        <v>LJ-1010 舒爽平纹拉架</v>
      </c>
      <c r="Y2855" s="143" t="s">
        <v>6019</v>
      </c>
      <c r="Z2855" s="143" t="str">
        <f t="shared" si="16"/>
        <v>LJ-1010 舒爽平纹拉架</v>
      </c>
      <c r="AA2855" s="173">
        <v>36.2</v>
      </c>
      <c r="AB2855" s="191">
        <v>45985</v>
      </c>
    </row>
    <row r="2856" ht="15" spans="1:28">
      <c r="A2856" s="143">
        <v>2817</v>
      </c>
      <c r="B2856" s="144">
        <v>45985</v>
      </c>
      <c r="C2856" s="169" t="s">
        <v>3277</v>
      </c>
      <c r="D2856" s="143" t="s">
        <v>41</v>
      </c>
      <c r="E2856" s="145" t="s">
        <v>7902</v>
      </c>
      <c r="F2856" s="143" t="s">
        <v>7905</v>
      </c>
      <c r="G2856" s="169" t="s">
        <v>7904</v>
      </c>
      <c r="H2856" s="143" t="s">
        <v>7906</v>
      </c>
      <c r="I2856" s="204" t="s">
        <v>7907</v>
      </c>
      <c r="J2856" s="143" t="s">
        <v>7908</v>
      </c>
      <c r="K2856" s="204">
        <v>175</v>
      </c>
      <c r="L2856" s="204">
        <v>190</v>
      </c>
      <c r="Q2856" s="143" t="s">
        <v>3767</v>
      </c>
      <c r="W2856" s="143" t="s">
        <v>3147</v>
      </c>
      <c r="X2856" s="143" t="str">
        <f t="shared" si="15"/>
        <v>LJ-1505 舒爽平纹拉架</v>
      </c>
      <c r="Y2856" s="143" t="s">
        <v>6019</v>
      </c>
      <c r="Z2856" s="143" t="str">
        <f t="shared" si="16"/>
        <v>LJ-1505 舒爽平纹拉架</v>
      </c>
      <c r="AA2856" s="173">
        <v>36.2</v>
      </c>
      <c r="AB2856" s="191">
        <v>45985</v>
      </c>
    </row>
    <row r="2857" ht="15" spans="1:28">
      <c r="A2857" s="143">
        <v>2818</v>
      </c>
      <c r="B2857" s="144">
        <v>45985</v>
      </c>
      <c r="C2857" s="169" t="s">
        <v>3277</v>
      </c>
      <c r="D2857" s="143" t="s">
        <v>41</v>
      </c>
      <c r="E2857" s="145" t="s">
        <v>7902</v>
      </c>
      <c r="F2857" s="143" t="s">
        <v>7909</v>
      </c>
      <c r="G2857" s="169" t="s">
        <v>7904</v>
      </c>
      <c r="H2857" s="143" t="s">
        <v>7910</v>
      </c>
      <c r="I2857" s="204" t="s">
        <v>3390</v>
      </c>
      <c r="J2857" s="143" t="s">
        <v>4144</v>
      </c>
      <c r="K2857" s="204">
        <v>175</v>
      </c>
      <c r="L2857" s="204">
        <v>190</v>
      </c>
      <c r="Q2857" s="143" t="s">
        <v>3767</v>
      </c>
      <c r="W2857" s="143" t="s">
        <v>3147</v>
      </c>
      <c r="X2857" s="143" t="str">
        <f t="shared" si="15"/>
        <v>LJ-2020 舒爽平纹拉架</v>
      </c>
      <c r="Y2857" s="143" t="s">
        <v>6019</v>
      </c>
      <c r="Z2857" s="143" t="str">
        <f t="shared" si="16"/>
        <v>LJ-2020 舒爽平纹拉架</v>
      </c>
      <c r="AA2857" s="173">
        <v>36.2</v>
      </c>
      <c r="AB2857" s="191">
        <v>45985</v>
      </c>
    </row>
    <row r="2858" ht="15" spans="1:28">
      <c r="A2858" s="143">
        <v>2819</v>
      </c>
      <c r="B2858" s="144">
        <v>45985</v>
      </c>
      <c r="C2858" s="169" t="s">
        <v>3277</v>
      </c>
      <c r="D2858" s="143" t="s">
        <v>41</v>
      </c>
      <c r="E2858" s="145" t="s">
        <v>7902</v>
      </c>
      <c r="F2858" s="143" t="s">
        <v>7911</v>
      </c>
      <c r="G2858" s="169" t="s">
        <v>7904</v>
      </c>
      <c r="H2858" s="143" t="s">
        <v>7912</v>
      </c>
      <c r="I2858" s="204" t="s">
        <v>3390</v>
      </c>
      <c r="J2858" s="143" t="s">
        <v>4144</v>
      </c>
      <c r="K2858" s="204">
        <v>175</v>
      </c>
      <c r="L2858" s="204">
        <v>190</v>
      </c>
      <c r="Q2858" s="143" t="s">
        <v>3767</v>
      </c>
      <c r="W2858" s="143" t="s">
        <v>3147</v>
      </c>
      <c r="X2858" s="143" t="str">
        <f t="shared" si="15"/>
        <v>LJ-4545 舒爽平纹拉架</v>
      </c>
      <c r="Y2858" s="143" t="s">
        <v>6019</v>
      </c>
      <c r="Z2858" s="143" t="str">
        <f t="shared" si="16"/>
        <v>LJ-4545 舒爽平纹拉架</v>
      </c>
      <c r="AA2858" s="173">
        <v>36.2</v>
      </c>
      <c r="AB2858" s="191">
        <v>45985</v>
      </c>
    </row>
    <row r="2859" ht="15" spans="1:28">
      <c r="A2859" s="143">
        <v>2820</v>
      </c>
      <c r="B2859" s="144">
        <v>45985</v>
      </c>
      <c r="C2859" s="169" t="s">
        <v>3277</v>
      </c>
      <c r="D2859" s="143" t="s">
        <v>41</v>
      </c>
      <c r="E2859" s="145" t="s">
        <v>7913</v>
      </c>
      <c r="F2859" s="143" t="s">
        <v>7914</v>
      </c>
      <c r="G2859" s="169" t="s">
        <v>7904</v>
      </c>
      <c r="H2859" s="143" t="s">
        <v>7915</v>
      </c>
      <c r="I2859" s="204" t="s">
        <v>7916</v>
      </c>
      <c r="J2859" s="143" t="s">
        <v>7917</v>
      </c>
      <c r="K2859" s="204">
        <v>175</v>
      </c>
      <c r="L2859" s="204">
        <v>190</v>
      </c>
      <c r="W2859" s="143" t="s">
        <v>3147</v>
      </c>
      <c r="X2859" s="143" t="str">
        <f t="shared" ref="X2859:X2873" si="17">F2859</f>
        <v>H2763</v>
      </c>
      <c r="Y2859" s="169" t="s">
        <v>7918</v>
      </c>
      <c r="Z2859" s="143" t="str">
        <f t="shared" ref="Z2859:Z2873" si="18">X2859</f>
        <v>H2763</v>
      </c>
      <c r="AA2859" s="173">
        <v>16.5</v>
      </c>
      <c r="AB2859" s="191">
        <v>45985</v>
      </c>
    </row>
    <row r="2860" ht="15" spans="1:28">
      <c r="A2860" s="143">
        <v>2821</v>
      </c>
      <c r="B2860" s="144">
        <v>45985</v>
      </c>
      <c r="C2860" s="169" t="s">
        <v>3277</v>
      </c>
      <c r="D2860" s="143" t="s">
        <v>41</v>
      </c>
      <c r="E2860" s="145" t="s">
        <v>7913</v>
      </c>
      <c r="F2860" s="143" t="s">
        <v>7919</v>
      </c>
      <c r="G2860" s="169" t="s">
        <v>7904</v>
      </c>
      <c r="H2860" s="143" t="s">
        <v>7920</v>
      </c>
      <c r="I2860" s="204" t="s">
        <v>7916</v>
      </c>
      <c r="J2860" s="143" t="s">
        <v>7917</v>
      </c>
      <c r="K2860" s="204">
        <v>150</v>
      </c>
      <c r="L2860" s="204">
        <v>90</v>
      </c>
      <c r="W2860" s="143" t="s">
        <v>3147</v>
      </c>
      <c r="X2860" s="143" t="str">
        <f t="shared" si="17"/>
        <v>R16072</v>
      </c>
      <c r="Y2860" s="169" t="s">
        <v>7921</v>
      </c>
      <c r="Z2860" s="143" t="str">
        <f t="shared" si="18"/>
        <v>R16072</v>
      </c>
      <c r="AA2860" s="173">
        <v>16.5</v>
      </c>
      <c r="AB2860" s="191">
        <v>45985</v>
      </c>
    </row>
    <row r="2861" ht="15" spans="1:28">
      <c r="A2861" s="143">
        <v>2822</v>
      </c>
      <c r="B2861" s="144">
        <v>45985</v>
      </c>
      <c r="C2861" s="169" t="s">
        <v>3277</v>
      </c>
      <c r="D2861" s="143" t="s">
        <v>41</v>
      </c>
      <c r="E2861" s="145" t="s">
        <v>7913</v>
      </c>
      <c r="F2861" s="143" t="s">
        <v>7922</v>
      </c>
      <c r="G2861" s="169" t="s">
        <v>7904</v>
      </c>
      <c r="H2861" s="143" t="s">
        <v>7923</v>
      </c>
      <c r="I2861" s="204" t="s">
        <v>4539</v>
      </c>
      <c r="J2861" s="143" t="s">
        <v>2332</v>
      </c>
      <c r="K2861" s="204">
        <v>145</v>
      </c>
      <c r="L2861" s="204">
        <v>130</v>
      </c>
      <c r="W2861" s="143" t="s">
        <v>3147</v>
      </c>
      <c r="X2861" s="143" t="str">
        <f t="shared" si="17"/>
        <v>K7255</v>
      </c>
      <c r="Y2861" s="169" t="s">
        <v>7921</v>
      </c>
      <c r="Z2861" s="143" t="str">
        <f t="shared" si="18"/>
        <v>K7255</v>
      </c>
      <c r="AA2861" s="173">
        <v>12.5</v>
      </c>
      <c r="AB2861" s="191">
        <v>45985</v>
      </c>
    </row>
    <row r="2862" ht="15" spans="1:28">
      <c r="A2862" s="143">
        <v>2823</v>
      </c>
      <c r="B2862" s="144">
        <v>45985</v>
      </c>
      <c r="C2862" s="169" t="s">
        <v>3277</v>
      </c>
      <c r="D2862" s="143" t="s">
        <v>41</v>
      </c>
      <c r="E2862" s="145" t="s">
        <v>7913</v>
      </c>
      <c r="F2862" s="143" t="s">
        <v>7924</v>
      </c>
      <c r="G2862" s="169" t="s">
        <v>7904</v>
      </c>
      <c r="H2862" s="143" t="s">
        <v>7925</v>
      </c>
      <c r="I2862" s="204" t="s">
        <v>3218</v>
      </c>
      <c r="J2862" s="143" t="s">
        <v>1577</v>
      </c>
      <c r="K2862" s="204">
        <v>145</v>
      </c>
      <c r="L2862" s="204">
        <v>125</v>
      </c>
      <c r="W2862" s="143" t="s">
        <v>3147</v>
      </c>
      <c r="X2862" s="143" t="str">
        <f t="shared" si="17"/>
        <v>05133#</v>
      </c>
      <c r="Y2862" s="169" t="s">
        <v>7921</v>
      </c>
      <c r="Z2862" s="143" t="str">
        <f t="shared" si="18"/>
        <v>05133#</v>
      </c>
      <c r="AA2862" s="173">
        <v>10.5</v>
      </c>
      <c r="AB2862" s="191">
        <v>45985</v>
      </c>
    </row>
    <row r="2863" ht="15" spans="1:28">
      <c r="A2863" s="143">
        <v>2824</v>
      </c>
      <c r="B2863" s="144">
        <v>45985</v>
      </c>
      <c r="C2863" s="169" t="s">
        <v>3277</v>
      </c>
      <c r="D2863" s="143" t="s">
        <v>41</v>
      </c>
      <c r="E2863" s="145" t="s">
        <v>7913</v>
      </c>
      <c r="F2863" s="143" t="s">
        <v>7926</v>
      </c>
      <c r="G2863" s="169" t="s">
        <v>7904</v>
      </c>
      <c r="H2863" s="143" t="s">
        <v>7927</v>
      </c>
      <c r="I2863" s="204" t="s">
        <v>3157</v>
      </c>
      <c r="J2863" s="143" t="s">
        <v>46</v>
      </c>
      <c r="K2863" s="204">
        <v>150</v>
      </c>
      <c r="L2863" s="204">
        <v>100</v>
      </c>
      <c r="W2863" s="143" t="s">
        <v>3147</v>
      </c>
      <c r="X2863" s="143" t="str">
        <f t="shared" si="17"/>
        <v>B022/条 B3963</v>
      </c>
      <c r="Y2863" s="169" t="s">
        <v>7928</v>
      </c>
      <c r="Z2863" s="143" t="str">
        <f t="shared" si="18"/>
        <v>B022/条 B3963</v>
      </c>
      <c r="AA2863" s="173">
        <v>16.5</v>
      </c>
      <c r="AB2863" s="191">
        <v>45985</v>
      </c>
    </row>
    <row r="2864" ht="15" spans="1:28">
      <c r="A2864" s="143">
        <v>2825</v>
      </c>
      <c r="B2864" s="144">
        <v>45985</v>
      </c>
      <c r="C2864" s="169" t="s">
        <v>3277</v>
      </c>
      <c r="D2864" s="143" t="s">
        <v>41</v>
      </c>
      <c r="E2864" s="145" t="s">
        <v>7913</v>
      </c>
      <c r="F2864" s="143" t="s">
        <v>7929</v>
      </c>
      <c r="G2864" s="169" t="s">
        <v>7904</v>
      </c>
      <c r="H2864" s="143" t="s">
        <v>7930</v>
      </c>
      <c r="I2864" s="204" t="s">
        <v>3157</v>
      </c>
      <c r="J2864" s="143" t="s">
        <v>46</v>
      </c>
      <c r="K2864" s="204">
        <v>145</v>
      </c>
      <c r="L2864" s="204">
        <v>130</v>
      </c>
      <c r="W2864" s="143" t="s">
        <v>3147</v>
      </c>
      <c r="X2864" s="143" t="str">
        <f t="shared" si="17"/>
        <v>B619/条 B3913</v>
      </c>
      <c r="Y2864" s="169" t="s">
        <v>7928</v>
      </c>
      <c r="Z2864" s="143" t="str">
        <f t="shared" si="18"/>
        <v>B619/条 B3913</v>
      </c>
      <c r="AA2864" s="173">
        <v>15.8</v>
      </c>
      <c r="AB2864" s="191">
        <v>45985</v>
      </c>
    </row>
    <row r="2865" ht="15" spans="1:28">
      <c r="A2865" s="143">
        <v>2826</v>
      </c>
      <c r="B2865" s="144">
        <v>45985</v>
      </c>
      <c r="C2865" s="169" t="s">
        <v>3277</v>
      </c>
      <c r="D2865" s="143" t="s">
        <v>41</v>
      </c>
      <c r="E2865" s="145" t="s">
        <v>7913</v>
      </c>
      <c r="F2865" s="143" t="s">
        <v>7931</v>
      </c>
      <c r="G2865" s="169" t="s">
        <v>7904</v>
      </c>
      <c r="H2865" s="143" t="s">
        <v>7932</v>
      </c>
      <c r="I2865" s="204" t="s">
        <v>3157</v>
      </c>
      <c r="J2865" s="143" t="s">
        <v>46</v>
      </c>
      <c r="K2865" s="204">
        <v>148</v>
      </c>
      <c r="L2865" s="204">
        <v>105</v>
      </c>
      <c r="W2865" s="143" t="s">
        <v>3147</v>
      </c>
      <c r="X2865" s="143" t="str">
        <f t="shared" si="17"/>
        <v>A9078印条 B3166</v>
      </c>
      <c r="Y2865" s="169" t="s">
        <v>7928</v>
      </c>
      <c r="Z2865" s="143" t="str">
        <f t="shared" si="18"/>
        <v>A9078印条 B3166</v>
      </c>
      <c r="AA2865" s="173">
        <v>16.3</v>
      </c>
      <c r="AB2865" s="191">
        <v>45985</v>
      </c>
    </row>
    <row r="2866" ht="15" spans="1:28">
      <c r="A2866" s="143">
        <v>2827</v>
      </c>
      <c r="B2866" s="144">
        <v>45985</v>
      </c>
      <c r="C2866" s="169" t="s">
        <v>3277</v>
      </c>
      <c r="D2866" s="143" t="s">
        <v>41</v>
      </c>
      <c r="E2866" s="145" t="s">
        <v>7913</v>
      </c>
      <c r="F2866" s="143" t="s">
        <v>7933</v>
      </c>
      <c r="G2866" s="169" t="s">
        <v>7904</v>
      </c>
      <c r="H2866" s="143" t="s">
        <v>7934</v>
      </c>
      <c r="I2866" s="204" t="s">
        <v>3157</v>
      </c>
      <c r="J2866" s="143" t="s">
        <v>46</v>
      </c>
      <c r="K2866" s="204">
        <v>140</v>
      </c>
      <c r="L2866" s="204">
        <v>95</v>
      </c>
      <c r="W2866" s="143" t="s">
        <v>3147</v>
      </c>
      <c r="X2866" s="143" t="str">
        <f t="shared" si="17"/>
        <v>A9039/条 B3923</v>
      </c>
      <c r="Y2866" s="169" t="s">
        <v>7928</v>
      </c>
      <c r="Z2866" s="143" t="str">
        <f t="shared" si="18"/>
        <v>A9039/条 B3923</v>
      </c>
      <c r="AA2866" s="173">
        <v>15.8</v>
      </c>
      <c r="AB2866" s="191">
        <v>45985</v>
      </c>
    </row>
    <row r="2867" ht="15" spans="1:28">
      <c r="A2867" s="143">
        <v>2828</v>
      </c>
      <c r="B2867" s="144">
        <v>45985</v>
      </c>
      <c r="C2867" s="169" t="s">
        <v>3277</v>
      </c>
      <c r="D2867" s="143" t="s">
        <v>41</v>
      </c>
      <c r="E2867" s="145" t="s">
        <v>7913</v>
      </c>
      <c r="F2867" s="143" t="s">
        <v>7935</v>
      </c>
      <c r="G2867" s="169" t="s">
        <v>7904</v>
      </c>
      <c r="H2867" s="143" t="s">
        <v>7936</v>
      </c>
      <c r="I2867" s="204" t="s">
        <v>3157</v>
      </c>
      <c r="J2867" s="143" t="s">
        <v>46</v>
      </c>
      <c r="K2867" s="204">
        <v>145</v>
      </c>
      <c r="L2867" s="204">
        <v>80</v>
      </c>
      <c r="W2867" s="143" t="s">
        <v>3147</v>
      </c>
      <c r="X2867" s="143" t="str">
        <f t="shared" si="17"/>
        <v>A9041/双色条 B3302</v>
      </c>
      <c r="Y2867" s="169" t="s">
        <v>7928</v>
      </c>
      <c r="Z2867" s="143" t="str">
        <f t="shared" si="18"/>
        <v>A9041/双色条 B3302</v>
      </c>
      <c r="AA2867" s="173">
        <v>16.5</v>
      </c>
      <c r="AB2867" s="191">
        <v>45985</v>
      </c>
    </row>
    <row r="2868" ht="15" spans="1:28">
      <c r="A2868" s="143">
        <v>2829</v>
      </c>
      <c r="B2868" s="144">
        <v>45985</v>
      </c>
      <c r="C2868" s="169" t="s">
        <v>3277</v>
      </c>
      <c r="D2868" s="143" t="s">
        <v>41</v>
      </c>
      <c r="E2868" s="145" t="s">
        <v>7913</v>
      </c>
      <c r="F2868" s="143">
        <v>32209</v>
      </c>
      <c r="G2868" s="169" t="s">
        <v>7904</v>
      </c>
      <c r="H2868" s="143" t="s">
        <v>7937</v>
      </c>
      <c r="I2868" s="204" t="s">
        <v>3157</v>
      </c>
      <c r="J2868" s="143" t="s">
        <v>2332</v>
      </c>
      <c r="K2868" s="204">
        <v>145</v>
      </c>
      <c r="L2868" s="204">
        <v>135</v>
      </c>
      <c r="W2868" s="143" t="s">
        <v>3147</v>
      </c>
      <c r="X2868" s="143">
        <f t="shared" si="17"/>
        <v>32209</v>
      </c>
      <c r="Y2868" s="169" t="s">
        <v>7938</v>
      </c>
      <c r="Z2868" s="143">
        <f t="shared" si="18"/>
        <v>32209</v>
      </c>
      <c r="AA2868" s="173">
        <v>15</v>
      </c>
      <c r="AB2868" s="191">
        <v>45985</v>
      </c>
    </row>
    <row r="2869" ht="15" spans="1:28">
      <c r="A2869" s="143">
        <v>2830</v>
      </c>
      <c r="B2869" s="144">
        <v>45985</v>
      </c>
      <c r="C2869" s="169" t="s">
        <v>3277</v>
      </c>
      <c r="D2869" s="143" t="s">
        <v>41</v>
      </c>
      <c r="E2869" s="145" t="s">
        <v>7913</v>
      </c>
      <c r="F2869" s="143">
        <v>62502</v>
      </c>
      <c r="G2869" s="169" t="s">
        <v>7904</v>
      </c>
      <c r="H2869" s="143" t="s">
        <v>7939</v>
      </c>
      <c r="I2869" s="204" t="s">
        <v>7940</v>
      </c>
      <c r="J2869" s="143" t="s">
        <v>2332</v>
      </c>
      <c r="K2869" s="204">
        <v>145</v>
      </c>
      <c r="L2869" s="204">
        <v>130</v>
      </c>
      <c r="W2869" s="143" t="s">
        <v>3147</v>
      </c>
      <c r="X2869" s="143">
        <f t="shared" si="17"/>
        <v>62502</v>
      </c>
      <c r="Y2869" s="169" t="s">
        <v>7938</v>
      </c>
      <c r="Z2869" s="143">
        <f t="shared" si="18"/>
        <v>62502</v>
      </c>
      <c r="AA2869" s="173">
        <v>13.8</v>
      </c>
      <c r="AB2869" s="191">
        <v>45985</v>
      </c>
    </row>
    <row r="2870" ht="15" spans="1:28">
      <c r="A2870" s="143">
        <v>2831</v>
      </c>
      <c r="B2870" s="144">
        <v>45985</v>
      </c>
      <c r="C2870" s="169" t="s">
        <v>3277</v>
      </c>
      <c r="D2870" s="143" t="s">
        <v>41</v>
      </c>
      <c r="E2870" s="145" t="s">
        <v>7913</v>
      </c>
      <c r="F2870" s="143">
        <v>31712</v>
      </c>
      <c r="G2870" s="169" t="s">
        <v>7904</v>
      </c>
      <c r="H2870" s="143" t="s">
        <v>7941</v>
      </c>
      <c r="I2870" s="204" t="s">
        <v>7940</v>
      </c>
      <c r="J2870" s="143" t="s">
        <v>2332</v>
      </c>
      <c r="K2870" s="204">
        <v>145</v>
      </c>
      <c r="L2870" s="204">
        <v>130</v>
      </c>
      <c r="W2870" s="143" t="s">
        <v>3147</v>
      </c>
      <c r="X2870" s="143">
        <f t="shared" si="17"/>
        <v>31712</v>
      </c>
      <c r="Y2870" s="169" t="s">
        <v>7938</v>
      </c>
      <c r="Z2870" s="143">
        <f t="shared" si="18"/>
        <v>31712</v>
      </c>
      <c r="AA2870" s="173">
        <v>13.8</v>
      </c>
      <c r="AB2870" s="191">
        <v>45985</v>
      </c>
    </row>
    <row r="2871" ht="15" spans="1:28">
      <c r="A2871" s="143">
        <v>2832</v>
      </c>
      <c r="B2871" s="144">
        <v>45985</v>
      </c>
      <c r="C2871" s="169" t="s">
        <v>3277</v>
      </c>
      <c r="D2871" s="143" t="s">
        <v>41</v>
      </c>
      <c r="E2871" s="145" t="s">
        <v>7913</v>
      </c>
      <c r="F2871" s="143">
        <v>32210</v>
      </c>
      <c r="G2871" s="169" t="s">
        <v>7904</v>
      </c>
      <c r="H2871" s="143" t="s">
        <v>7942</v>
      </c>
      <c r="I2871" s="204" t="s">
        <v>7940</v>
      </c>
      <c r="J2871" s="143" t="s">
        <v>2332</v>
      </c>
      <c r="K2871" s="204">
        <v>145</v>
      </c>
      <c r="L2871" s="204">
        <v>140</v>
      </c>
      <c r="W2871" s="143" t="s">
        <v>3147</v>
      </c>
      <c r="X2871" s="143">
        <f t="shared" si="17"/>
        <v>32210</v>
      </c>
      <c r="Y2871" s="169" t="s">
        <v>7938</v>
      </c>
      <c r="Z2871" s="143">
        <f t="shared" si="18"/>
        <v>32210</v>
      </c>
      <c r="AA2871" s="173">
        <v>13.5</v>
      </c>
      <c r="AB2871" s="191">
        <v>45985</v>
      </c>
    </row>
    <row r="2872" ht="15" spans="1:28">
      <c r="A2872" s="143">
        <v>2833</v>
      </c>
      <c r="B2872" s="144">
        <v>45985</v>
      </c>
      <c r="C2872" s="169" t="s">
        <v>3277</v>
      </c>
      <c r="D2872" s="143" t="s">
        <v>41</v>
      </c>
      <c r="E2872" s="145" t="s">
        <v>7913</v>
      </c>
      <c r="F2872" s="143">
        <v>739</v>
      </c>
      <c r="G2872" s="169" t="s">
        <v>7904</v>
      </c>
      <c r="H2872" s="143" t="s">
        <v>7943</v>
      </c>
      <c r="I2872" s="204" t="s">
        <v>7940</v>
      </c>
      <c r="J2872" s="143" t="s">
        <v>2332</v>
      </c>
      <c r="K2872" s="204">
        <v>145</v>
      </c>
      <c r="L2872" s="204">
        <v>130</v>
      </c>
      <c r="W2872" s="143" t="s">
        <v>3147</v>
      </c>
      <c r="X2872" s="143">
        <f t="shared" si="17"/>
        <v>739</v>
      </c>
      <c r="Y2872" s="169" t="s">
        <v>7944</v>
      </c>
      <c r="Z2872" s="143">
        <f t="shared" si="18"/>
        <v>739</v>
      </c>
      <c r="AA2872" s="173">
        <v>11.8</v>
      </c>
      <c r="AB2872" s="191">
        <v>45985</v>
      </c>
    </row>
    <row r="2873" ht="15" spans="1:28">
      <c r="A2873" s="143">
        <v>2834</v>
      </c>
      <c r="B2873" s="144">
        <v>45985</v>
      </c>
      <c r="C2873" s="169" t="s">
        <v>3277</v>
      </c>
      <c r="D2873" s="143" t="s">
        <v>41</v>
      </c>
      <c r="E2873" s="145" t="s">
        <v>7913</v>
      </c>
      <c r="F2873" s="143">
        <v>1153</v>
      </c>
      <c r="G2873" s="169" t="s">
        <v>7904</v>
      </c>
      <c r="H2873" s="143" t="s">
        <v>7945</v>
      </c>
      <c r="I2873" s="204" t="s">
        <v>7940</v>
      </c>
      <c r="J2873" s="143" t="s">
        <v>2332</v>
      </c>
      <c r="K2873" s="204">
        <v>150</v>
      </c>
      <c r="L2873" s="204">
        <v>105</v>
      </c>
      <c r="W2873" s="143" t="s">
        <v>3147</v>
      </c>
      <c r="X2873" s="143">
        <f t="shared" si="17"/>
        <v>1153</v>
      </c>
      <c r="Y2873" s="169" t="s">
        <v>7944</v>
      </c>
      <c r="Z2873" s="143">
        <f t="shared" si="18"/>
        <v>1153</v>
      </c>
      <c r="AA2873" s="173">
        <v>12.3</v>
      </c>
      <c r="AB2873" s="191">
        <v>45985</v>
      </c>
    </row>
    <row r="2874" ht="16.5" spans="1:28">
      <c r="A2874" s="143">
        <v>2835</v>
      </c>
      <c r="B2874" s="144">
        <v>45986</v>
      </c>
      <c r="C2874" s="169" t="s">
        <v>3148</v>
      </c>
      <c r="F2874" s="143" t="s">
        <v>7946</v>
      </c>
      <c r="G2874" s="169" t="s">
        <v>3866</v>
      </c>
      <c r="H2874" s="143" t="s">
        <v>7947</v>
      </c>
      <c r="I2874" s="233" t="s">
        <v>3218</v>
      </c>
      <c r="J2874" s="233" t="s">
        <v>325</v>
      </c>
      <c r="K2874" s="197">
        <v>150</v>
      </c>
      <c r="L2874" s="234">
        <v>485</v>
      </c>
      <c r="W2874" s="143" t="s">
        <v>3872</v>
      </c>
      <c r="X2874" s="143" t="s">
        <v>7946</v>
      </c>
      <c r="Y2874" s="143" t="s">
        <v>3872</v>
      </c>
      <c r="Z2874" s="143" t="s">
        <v>7946</v>
      </c>
      <c r="AA2874" s="234">
        <v>31</v>
      </c>
      <c r="AB2874" s="169" t="s">
        <v>3873</v>
      </c>
    </row>
    <row r="2875" ht="16.5" spans="1:28">
      <c r="A2875" s="143">
        <v>2836</v>
      </c>
      <c r="B2875" s="144">
        <v>45986</v>
      </c>
      <c r="C2875" s="169" t="s">
        <v>3148</v>
      </c>
      <c r="F2875" s="143" t="s">
        <v>7948</v>
      </c>
      <c r="G2875" s="169" t="s">
        <v>3866</v>
      </c>
      <c r="H2875" s="143" t="s">
        <v>7949</v>
      </c>
      <c r="I2875" s="233" t="s">
        <v>3218</v>
      </c>
      <c r="J2875" s="233" t="s">
        <v>325</v>
      </c>
      <c r="K2875" s="197">
        <v>150</v>
      </c>
      <c r="L2875" s="234">
        <v>618</v>
      </c>
      <c r="W2875" s="143" t="s">
        <v>3872</v>
      </c>
      <c r="X2875" s="143" t="s">
        <v>7948</v>
      </c>
      <c r="Y2875" s="143" t="s">
        <v>3872</v>
      </c>
      <c r="Z2875" s="143" t="s">
        <v>7948</v>
      </c>
      <c r="AA2875" s="234">
        <v>56.8</v>
      </c>
      <c r="AB2875" s="169" t="s">
        <v>3873</v>
      </c>
    </row>
    <row r="2876" ht="16.5" spans="1:28">
      <c r="A2876" s="143">
        <v>2837</v>
      </c>
      <c r="B2876" s="144">
        <v>45986</v>
      </c>
      <c r="C2876" s="169" t="s">
        <v>3148</v>
      </c>
      <c r="F2876" s="143" t="s">
        <v>7950</v>
      </c>
      <c r="G2876" s="169" t="s">
        <v>3866</v>
      </c>
      <c r="H2876" s="143" t="s">
        <v>7951</v>
      </c>
      <c r="I2876" s="233" t="s">
        <v>3218</v>
      </c>
      <c r="J2876" s="233" t="s">
        <v>325</v>
      </c>
      <c r="K2876" s="197">
        <v>150</v>
      </c>
      <c r="L2876" s="234">
        <v>512</v>
      </c>
      <c r="W2876" s="143" t="s">
        <v>3872</v>
      </c>
      <c r="X2876" s="143" t="s">
        <v>7950</v>
      </c>
      <c r="Y2876" s="143" t="s">
        <v>3872</v>
      </c>
      <c r="Z2876" s="143" t="s">
        <v>7950</v>
      </c>
      <c r="AA2876" s="234">
        <v>40.2</v>
      </c>
      <c r="AB2876" s="169" t="s">
        <v>3873</v>
      </c>
    </row>
    <row r="2877" ht="16.5" spans="1:28">
      <c r="A2877" s="143">
        <v>2838</v>
      </c>
      <c r="B2877" s="144">
        <v>45986</v>
      </c>
      <c r="C2877" s="169" t="s">
        <v>3148</v>
      </c>
      <c r="F2877" s="143" t="s">
        <v>7952</v>
      </c>
      <c r="G2877" s="169" t="s">
        <v>3866</v>
      </c>
      <c r="H2877" s="143" t="s">
        <v>7953</v>
      </c>
      <c r="I2877" s="233" t="s">
        <v>3218</v>
      </c>
      <c r="J2877" s="233" t="s">
        <v>325</v>
      </c>
      <c r="K2877" s="197">
        <v>150</v>
      </c>
      <c r="L2877" s="234">
        <v>403</v>
      </c>
      <c r="W2877" s="143" t="s">
        <v>3872</v>
      </c>
      <c r="X2877" s="143" t="s">
        <v>7952</v>
      </c>
      <c r="Y2877" s="143" t="s">
        <v>3872</v>
      </c>
      <c r="Z2877" s="143" t="s">
        <v>7952</v>
      </c>
      <c r="AA2877" s="234">
        <v>25.9</v>
      </c>
      <c r="AB2877" s="169" t="s">
        <v>3873</v>
      </c>
    </row>
    <row r="2878" ht="16.5" spans="1:28">
      <c r="A2878" s="143">
        <v>2839</v>
      </c>
      <c r="B2878" s="144">
        <v>45986</v>
      </c>
      <c r="C2878" s="169" t="s">
        <v>3148</v>
      </c>
      <c r="F2878" s="143" t="s">
        <v>7954</v>
      </c>
      <c r="G2878" s="169" t="s">
        <v>3866</v>
      </c>
      <c r="H2878" s="143" t="s">
        <v>7955</v>
      </c>
      <c r="I2878" s="233" t="s">
        <v>3218</v>
      </c>
      <c r="J2878" s="233" t="s">
        <v>325</v>
      </c>
      <c r="K2878" s="197">
        <v>150</v>
      </c>
      <c r="L2878" s="234">
        <v>485</v>
      </c>
      <c r="W2878" s="143" t="s">
        <v>3872</v>
      </c>
      <c r="X2878" s="143" t="s">
        <v>7954</v>
      </c>
      <c r="Y2878" s="143" t="s">
        <v>3872</v>
      </c>
      <c r="Z2878" s="143" t="s">
        <v>7954</v>
      </c>
      <c r="AA2878" s="234">
        <v>31.8</v>
      </c>
      <c r="AB2878" s="169" t="s">
        <v>3873</v>
      </c>
    </row>
    <row r="2879" ht="16.5" spans="1:28">
      <c r="A2879" s="143">
        <v>2840</v>
      </c>
      <c r="B2879" s="144">
        <v>45986</v>
      </c>
      <c r="C2879" s="169" t="s">
        <v>3148</v>
      </c>
      <c r="F2879" s="143" t="s">
        <v>7956</v>
      </c>
      <c r="G2879" s="169" t="s">
        <v>3866</v>
      </c>
      <c r="H2879" s="143" t="s">
        <v>7957</v>
      </c>
      <c r="I2879" s="233" t="s">
        <v>3218</v>
      </c>
      <c r="J2879" s="233" t="s">
        <v>325</v>
      </c>
      <c r="K2879" s="197">
        <v>150</v>
      </c>
      <c r="L2879" s="234">
        <v>613</v>
      </c>
      <c r="W2879" s="143" t="s">
        <v>3872</v>
      </c>
      <c r="X2879" s="143" t="s">
        <v>7956</v>
      </c>
      <c r="Y2879" s="143" t="s">
        <v>3872</v>
      </c>
      <c r="Z2879" s="143" t="s">
        <v>7956</v>
      </c>
      <c r="AA2879" s="234">
        <v>32.6</v>
      </c>
      <c r="AB2879" s="169" t="s">
        <v>3873</v>
      </c>
    </row>
    <row r="2880" ht="16.5" spans="1:28">
      <c r="A2880" s="143">
        <v>2841</v>
      </c>
      <c r="B2880" s="144">
        <v>45986</v>
      </c>
      <c r="C2880" s="169" t="s">
        <v>3148</v>
      </c>
      <c r="F2880" s="143" t="s">
        <v>7958</v>
      </c>
      <c r="G2880" s="169" t="s">
        <v>3866</v>
      </c>
      <c r="H2880" s="143" t="s">
        <v>7959</v>
      </c>
      <c r="I2880" s="235" t="s">
        <v>3869</v>
      </c>
      <c r="J2880" s="235" t="s">
        <v>4004</v>
      </c>
      <c r="K2880" s="197">
        <v>150</v>
      </c>
      <c r="L2880" s="234">
        <v>613</v>
      </c>
      <c r="W2880" s="143" t="s">
        <v>3872</v>
      </c>
      <c r="X2880" s="143" t="s">
        <v>7958</v>
      </c>
      <c r="Y2880" s="143" t="s">
        <v>3872</v>
      </c>
      <c r="Z2880" s="143" t="s">
        <v>7958</v>
      </c>
      <c r="AA2880" s="234">
        <v>32.5</v>
      </c>
      <c r="AB2880" s="169" t="s">
        <v>3873</v>
      </c>
    </row>
    <row r="2881" ht="16.5" spans="1:28">
      <c r="A2881" s="143">
        <v>2842</v>
      </c>
      <c r="B2881" s="144">
        <v>45986</v>
      </c>
      <c r="C2881" s="169" t="s">
        <v>3148</v>
      </c>
      <c r="F2881" s="143" t="s">
        <v>7960</v>
      </c>
      <c r="G2881" s="169" t="s">
        <v>3866</v>
      </c>
      <c r="H2881" s="143" t="s">
        <v>7961</v>
      </c>
      <c r="I2881" s="233" t="s">
        <v>3218</v>
      </c>
      <c r="J2881" s="233" t="s">
        <v>325</v>
      </c>
      <c r="K2881" s="197">
        <v>150</v>
      </c>
      <c r="L2881" s="234">
        <v>482</v>
      </c>
      <c r="W2881" s="143" t="s">
        <v>3872</v>
      </c>
      <c r="X2881" s="143" t="s">
        <v>7960</v>
      </c>
      <c r="Y2881" s="143" t="s">
        <v>3872</v>
      </c>
      <c r="Z2881" s="143" t="s">
        <v>7960</v>
      </c>
      <c r="AA2881" s="234">
        <v>31.4</v>
      </c>
      <c r="AB2881" s="169" t="s">
        <v>3873</v>
      </c>
    </row>
    <row r="2882" ht="16.5" spans="1:28">
      <c r="A2882" s="143">
        <v>2843</v>
      </c>
      <c r="B2882" s="144">
        <v>45986</v>
      </c>
      <c r="C2882" s="169" t="s">
        <v>3148</v>
      </c>
      <c r="F2882" s="143" t="s">
        <v>7962</v>
      </c>
      <c r="G2882" s="169" t="s">
        <v>3866</v>
      </c>
      <c r="H2882" s="143" t="s">
        <v>7963</v>
      </c>
      <c r="I2882" s="233" t="s">
        <v>3218</v>
      </c>
      <c r="J2882" s="233" t="s">
        <v>325</v>
      </c>
      <c r="K2882" s="197">
        <v>150</v>
      </c>
      <c r="L2882" s="234">
        <v>478</v>
      </c>
      <c r="W2882" s="143" t="s">
        <v>3872</v>
      </c>
      <c r="X2882" s="143" t="s">
        <v>7962</v>
      </c>
      <c r="Y2882" s="143" t="s">
        <v>3872</v>
      </c>
      <c r="Z2882" s="143" t="s">
        <v>7962</v>
      </c>
      <c r="AA2882" s="234">
        <v>39.7</v>
      </c>
      <c r="AB2882" s="169" t="s">
        <v>3873</v>
      </c>
    </row>
    <row r="2883" ht="16.5" spans="1:28">
      <c r="A2883" s="143">
        <v>2844</v>
      </c>
      <c r="B2883" s="144">
        <v>45986</v>
      </c>
      <c r="C2883" s="169" t="s">
        <v>3148</v>
      </c>
      <c r="F2883" s="143" t="s">
        <v>7964</v>
      </c>
      <c r="G2883" s="169" t="s">
        <v>3866</v>
      </c>
      <c r="H2883" s="143" t="s">
        <v>7965</v>
      </c>
      <c r="I2883" s="233" t="s">
        <v>3218</v>
      </c>
      <c r="J2883" s="233" t="s">
        <v>325</v>
      </c>
      <c r="K2883" s="197">
        <v>150</v>
      </c>
      <c r="L2883" s="234">
        <v>547</v>
      </c>
      <c r="W2883" s="143" t="s">
        <v>3872</v>
      </c>
      <c r="X2883" s="143" t="s">
        <v>7964</v>
      </c>
      <c r="Y2883" s="143" t="s">
        <v>3872</v>
      </c>
      <c r="Z2883" s="143" t="s">
        <v>7964</v>
      </c>
      <c r="AA2883" s="234">
        <v>30.9</v>
      </c>
      <c r="AB2883" s="169" t="s">
        <v>3873</v>
      </c>
    </row>
    <row r="2884" ht="16.5" spans="1:28">
      <c r="A2884" s="143">
        <v>2845</v>
      </c>
      <c r="B2884" s="144">
        <v>45986</v>
      </c>
      <c r="C2884" s="169" t="s">
        <v>3148</v>
      </c>
      <c r="F2884" s="143" t="s">
        <v>7966</v>
      </c>
      <c r="G2884" s="169" t="s">
        <v>3866</v>
      </c>
      <c r="H2884" s="143" t="s">
        <v>7967</v>
      </c>
      <c r="I2884" s="235" t="s">
        <v>7968</v>
      </c>
      <c r="J2884" s="235" t="s">
        <v>7969</v>
      </c>
      <c r="K2884" s="197">
        <v>150</v>
      </c>
      <c r="L2884" s="234">
        <v>401</v>
      </c>
      <c r="W2884" s="143" t="s">
        <v>3872</v>
      </c>
      <c r="X2884" s="143" t="s">
        <v>7966</v>
      </c>
      <c r="Y2884" s="143" t="s">
        <v>3872</v>
      </c>
      <c r="Z2884" s="143" t="s">
        <v>7966</v>
      </c>
      <c r="AA2884" s="234">
        <v>41.6</v>
      </c>
      <c r="AB2884" s="169" t="s">
        <v>3873</v>
      </c>
    </row>
    <row r="2885" ht="16.5" spans="1:28">
      <c r="A2885" s="143">
        <v>2846</v>
      </c>
      <c r="B2885" s="144">
        <v>45986</v>
      </c>
      <c r="C2885" s="169" t="s">
        <v>3148</v>
      </c>
      <c r="F2885" s="143" t="s">
        <v>7970</v>
      </c>
      <c r="G2885" s="169" t="s">
        <v>3866</v>
      </c>
      <c r="H2885" s="143" t="s">
        <v>7971</v>
      </c>
      <c r="I2885" s="235" t="s">
        <v>3869</v>
      </c>
      <c r="J2885" s="235" t="s">
        <v>4004</v>
      </c>
      <c r="K2885" s="197">
        <v>150</v>
      </c>
      <c r="L2885" s="234">
        <v>463</v>
      </c>
      <c r="W2885" s="143" t="s">
        <v>3872</v>
      </c>
      <c r="X2885" s="143" t="s">
        <v>7970</v>
      </c>
      <c r="Y2885" s="143" t="s">
        <v>3872</v>
      </c>
      <c r="Z2885" s="143" t="s">
        <v>7970</v>
      </c>
      <c r="AA2885" s="234">
        <v>30.6</v>
      </c>
      <c r="AB2885" s="169" t="s">
        <v>3873</v>
      </c>
    </row>
    <row r="2886" ht="16.5" spans="1:28">
      <c r="A2886" s="143">
        <v>2847</v>
      </c>
      <c r="B2886" s="144">
        <v>45986</v>
      </c>
      <c r="C2886" s="169" t="s">
        <v>3148</v>
      </c>
      <c r="F2886" s="143" t="s">
        <v>7972</v>
      </c>
      <c r="G2886" s="169" t="s">
        <v>3866</v>
      </c>
      <c r="H2886" s="143" t="s">
        <v>7973</v>
      </c>
      <c r="I2886" s="235" t="s">
        <v>7974</v>
      </c>
      <c r="J2886" s="235" t="s">
        <v>7975</v>
      </c>
      <c r="K2886" s="197">
        <v>150</v>
      </c>
      <c r="L2886" s="234">
        <v>400</v>
      </c>
      <c r="W2886" s="143" t="s">
        <v>3872</v>
      </c>
      <c r="X2886" s="143" t="s">
        <v>7972</v>
      </c>
      <c r="Y2886" s="143" t="s">
        <v>3872</v>
      </c>
      <c r="Z2886" s="143" t="s">
        <v>7972</v>
      </c>
      <c r="AA2886" s="234">
        <v>32.5</v>
      </c>
      <c r="AB2886" s="169" t="s">
        <v>3873</v>
      </c>
    </row>
    <row r="2887" ht="16.5" spans="1:28">
      <c r="A2887" s="143">
        <v>2848</v>
      </c>
      <c r="B2887" s="144">
        <v>45986</v>
      </c>
      <c r="C2887" s="169" t="s">
        <v>3148</v>
      </c>
      <c r="F2887" s="143" t="s">
        <v>7976</v>
      </c>
      <c r="G2887" s="169" t="s">
        <v>3866</v>
      </c>
      <c r="H2887" s="143" t="s">
        <v>7977</v>
      </c>
      <c r="I2887" s="235" t="s">
        <v>7978</v>
      </c>
      <c r="J2887" s="235" t="s">
        <v>7979</v>
      </c>
      <c r="K2887" s="197">
        <v>150</v>
      </c>
      <c r="L2887" s="234">
        <v>372</v>
      </c>
      <c r="W2887" s="143" t="s">
        <v>3872</v>
      </c>
      <c r="X2887" s="143" t="s">
        <v>7976</v>
      </c>
      <c r="Y2887" s="143" t="s">
        <v>3872</v>
      </c>
      <c r="Z2887" s="143" t="s">
        <v>7976</v>
      </c>
      <c r="AA2887" s="234">
        <v>34.4</v>
      </c>
      <c r="AB2887" s="169" t="s">
        <v>3873</v>
      </c>
    </row>
    <row r="2888" ht="16.5" spans="1:28">
      <c r="A2888" s="143">
        <v>2849</v>
      </c>
      <c r="B2888" s="144">
        <v>45986</v>
      </c>
      <c r="C2888" s="169" t="s">
        <v>3148</v>
      </c>
      <c r="F2888" s="143" t="s">
        <v>7980</v>
      </c>
      <c r="G2888" s="169" t="s">
        <v>3866</v>
      </c>
      <c r="H2888" s="143" t="s">
        <v>7981</v>
      </c>
      <c r="I2888" s="235" t="s">
        <v>7982</v>
      </c>
      <c r="J2888" s="235" t="s">
        <v>7983</v>
      </c>
      <c r="K2888" s="197">
        <v>150</v>
      </c>
      <c r="L2888" s="234">
        <v>445</v>
      </c>
      <c r="W2888" s="143" t="s">
        <v>3872</v>
      </c>
      <c r="X2888" s="143" t="s">
        <v>7980</v>
      </c>
      <c r="Y2888" s="143" t="s">
        <v>3872</v>
      </c>
      <c r="Z2888" s="143" t="s">
        <v>7980</v>
      </c>
      <c r="AA2888" s="234">
        <v>29.9</v>
      </c>
      <c r="AB2888" s="169" t="s">
        <v>3873</v>
      </c>
    </row>
    <row r="2889" ht="16.5" spans="1:28">
      <c r="A2889" s="143">
        <v>2850</v>
      </c>
      <c r="B2889" s="144">
        <v>45986</v>
      </c>
      <c r="C2889" s="169" t="s">
        <v>3148</v>
      </c>
      <c r="F2889" s="143" t="s">
        <v>7984</v>
      </c>
      <c r="G2889" s="169" t="s">
        <v>3866</v>
      </c>
      <c r="H2889" s="143" t="s">
        <v>7985</v>
      </c>
      <c r="I2889" s="235" t="s">
        <v>7986</v>
      </c>
      <c r="J2889" s="236" t="s">
        <v>7987</v>
      </c>
      <c r="K2889" s="197">
        <v>150</v>
      </c>
      <c r="L2889" s="234">
        <v>456</v>
      </c>
      <c r="W2889" s="143" t="s">
        <v>3872</v>
      </c>
      <c r="X2889" s="143" t="s">
        <v>7984</v>
      </c>
      <c r="Y2889" s="143" t="s">
        <v>3872</v>
      </c>
      <c r="Z2889" s="143" t="s">
        <v>7984</v>
      </c>
      <c r="AA2889" s="234">
        <v>32.3</v>
      </c>
      <c r="AB2889" s="169" t="s">
        <v>3873</v>
      </c>
    </row>
    <row r="2890" ht="16.5" spans="1:28">
      <c r="A2890" s="143">
        <v>2851</v>
      </c>
      <c r="B2890" s="144">
        <v>45986</v>
      </c>
      <c r="C2890" s="169" t="s">
        <v>3148</v>
      </c>
      <c r="F2890" s="143" t="s">
        <v>7988</v>
      </c>
      <c r="G2890" s="169" t="s">
        <v>3866</v>
      </c>
      <c r="H2890" s="143" t="s">
        <v>7989</v>
      </c>
      <c r="I2890" s="235" t="s">
        <v>3218</v>
      </c>
      <c r="J2890" s="235" t="s">
        <v>325</v>
      </c>
      <c r="K2890" s="197">
        <v>150</v>
      </c>
      <c r="L2890" s="234">
        <v>528</v>
      </c>
      <c r="W2890" s="143" t="s">
        <v>3872</v>
      </c>
      <c r="X2890" s="143" t="s">
        <v>7988</v>
      </c>
      <c r="Y2890" s="143" t="s">
        <v>3872</v>
      </c>
      <c r="Z2890" s="143" t="s">
        <v>7988</v>
      </c>
      <c r="AA2890" s="234">
        <v>28.3</v>
      </c>
      <c r="AB2890" s="169" t="s">
        <v>3873</v>
      </c>
    </row>
    <row r="2891" ht="16.5" spans="1:28">
      <c r="A2891" s="143">
        <v>2852</v>
      </c>
      <c r="B2891" s="144">
        <v>45986</v>
      </c>
      <c r="C2891" s="169" t="s">
        <v>3148</v>
      </c>
      <c r="F2891" s="143" t="s">
        <v>7990</v>
      </c>
      <c r="G2891" s="169" t="s">
        <v>3866</v>
      </c>
      <c r="H2891" s="143" t="s">
        <v>7991</v>
      </c>
      <c r="I2891" s="235" t="s">
        <v>7992</v>
      </c>
      <c r="J2891" s="236" t="s">
        <v>7993</v>
      </c>
      <c r="K2891" s="197">
        <v>150</v>
      </c>
      <c r="L2891" s="234">
        <v>543</v>
      </c>
      <c r="W2891" s="143" t="s">
        <v>3872</v>
      </c>
      <c r="X2891" s="143" t="s">
        <v>7990</v>
      </c>
      <c r="Y2891" s="143" t="s">
        <v>3872</v>
      </c>
      <c r="Z2891" s="143" t="s">
        <v>7990</v>
      </c>
      <c r="AA2891" s="234">
        <v>38.4</v>
      </c>
      <c r="AB2891" s="169" t="s">
        <v>3873</v>
      </c>
    </row>
    <row r="2892" ht="15" spans="1:28">
      <c r="A2892" s="143">
        <v>2853</v>
      </c>
      <c r="B2892" s="144">
        <v>45986</v>
      </c>
      <c r="C2892" s="169" t="s">
        <v>3148</v>
      </c>
      <c r="F2892" s="169" t="s">
        <v>7994</v>
      </c>
      <c r="G2892" s="169" t="s">
        <v>7995</v>
      </c>
      <c r="H2892" s="143" t="s">
        <v>7996</v>
      </c>
      <c r="I2892" s="143" t="s">
        <v>3224</v>
      </c>
      <c r="J2892" s="143" t="s">
        <v>325</v>
      </c>
      <c r="K2892" s="143">
        <v>160</v>
      </c>
      <c r="L2892" s="143">
        <v>220</v>
      </c>
      <c r="Q2892" s="204"/>
      <c r="W2892" s="143" t="s">
        <v>3147</v>
      </c>
      <c r="X2892" s="169" t="s">
        <v>7994</v>
      </c>
      <c r="Y2892" s="169" t="s">
        <v>7997</v>
      </c>
      <c r="Z2892" s="169" t="s">
        <v>7994</v>
      </c>
      <c r="AA2892" s="173">
        <v>13.5</v>
      </c>
      <c r="AB2892" s="191">
        <v>45994</v>
      </c>
    </row>
    <row r="2893" ht="15" spans="1:28">
      <c r="A2893" s="143">
        <v>2854</v>
      </c>
      <c r="B2893" s="144">
        <v>45986</v>
      </c>
      <c r="C2893" s="169" t="s">
        <v>3148</v>
      </c>
      <c r="F2893" s="143" t="s">
        <v>7998</v>
      </c>
      <c r="G2893" s="169" t="s">
        <v>7995</v>
      </c>
      <c r="H2893" s="143" t="s">
        <v>7999</v>
      </c>
      <c r="I2893" s="143" t="s">
        <v>3326</v>
      </c>
      <c r="J2893" s="143" t="s">
        <v>5675</v>
      </c>
      <c r="K2893" s="143">
        <v>150</v>
      </c>
      <c r="L2893" s="143">
        <v>220</v>
      </c>
      <c r="Q2893" s="204">
        <v>3</v>
      </c>
      <c r="W2893" s="143" t="s">
        <v>3147</v>
      </c>
      <c r="X2893" s="143" t="s">
        <v>7998</v>
      </c>
      <c r="Y2893" s="169" t="s">
        <v>8000</v>
      </c>
      <c r="Z2893" s="143" t="s">
        <v>7998</v>
      </c>
      <c r="AA2893" s="173">
        <v>58</v>
      </c>
      <c r="AB2893" s="191">
        <v>45994</v>
      </c>
    </row>
    <row r="2894" ht="15" spans="1:28">
      <c r="A2894" s="143">
        <v>2855</v>
      </c>
      <c r="B2894" s="144">
        <v>45986</v>
      </c>
      <c r="C2894" s="169" t="s">
        <v>3148</v>
      </c>
      <c r="F2894" s="169" t="s">
        <v>8001</v>
      </c>
      <c r="G2894" s="169" t="s">
        <v>7995</v>
      </c>
      <c r="H2894" s="143" t="s">
        <v>8002</v>
      </c>
      <c r="I2894" s="143" t="s">
        <v>3218</v>
      </c>
      <c r="J2894" s="143" t="s">
        <v>325</v>
      </c>
      <c r="K2894" s="143">
        <v>160</v>
      </c>
      <c r="L2894" s="143">
        <v>360</v>
      </c>
      <c r="Q2894" s="204"/>
      <c r="W2894" s="143" t="s">
        <v>3147</v>
      </c>
      <c r="X2894" s="169" t="s">
        <v>8001</v>
      </c>
      <c r="Y2894" s="169" t="s">
        <v>8003</v>
      </c>
      <c r="Z2894" s="169" t="s">
        <v>8001</v>
      </c>
      <c r="AA2894" s="173">
        <v>26.5</v>
      </c>
      <c r="AB2894" s="191">
        <v>45994</v>
      </c>
    </row>
    <row r="2895" ht="15" spans="1:28">
      <c r="A2895" s="143">
        <v>2856</v>
      </c>
      <c r="B2895" s="144">
        <v>45986</v>
      </c>
      <c r="C2895" s="169" t="s">
        <v>3148</v>
      </c>
      <c r="F2895" s="143" t="s">
        <v>8004</v>
      </c>
      <c r="G2895" s="169" t="s">
        <v>7995</v>
      </c>
      <c r="H2895" s="143" t="s">
        <v>8005</v>
      </c>
      <c r="I2895" s="143" t="s">
        <v>8006</v>
      </c>
      <c r="J2895" s="143" t="s">
        <v>8007</v>
      </c>
      <c r="K2895" s="143">
        <v>150</v>
      </c>
      <c r="L2895" s="143">
        <v>350</v>
      </c>
      <c r="Q2895" s="204">
        <v>1.9</v>
      </c>
      <c r="W2895" s="143" t="s">
        <v>3147</v>
      </c>
      <c r="X2895" s="143" t="s">
        <v>8004</v>
      </c>
      <c r="Y2895" s="169" t="s">
        <v>8008</v>
      </c>
      <c r="Z2895" s="143" t="s">
        <v>8004</v>
      </c>
      <c r="AA2895" s="173">
        <v>55</v>
      </c>
      <c r="AB2895" s="191">
        <v>45994</v>
      </c>
    </row>
    <row r="2896" ht="15" spans="1:28">
      <c r="A2896" s="143">
        <v>2857</v>
      </c>
      <c r="B2896" s="144">
        <v>45986</v>
      </c>
      <c r="C2896" s="169" t="s">
        <v>3148</v>
      </c>
      <c r="F2896" s="169" t="s">
        <v>8009</v>
      </c>
      <c r="G2896" s="169" t="s">
        <v>7995</v>
      </c>
      <c r="H2896" s="143" t="s">
        <v>8010</v>
      </c>
      <c r="I2896" s="143" t="s">
        <v>324</v>
      </c>
      <c r="J2896" s="143" t="s">
        <v>325</v>
      </c>
      <c r="K2896" s="143">
        <v>150</v>
      </c>
      <c r="L2896" s="143">
        <v>350</v>
      </c>
      <c r="Q2896" s="204">
        <v>1.9</v>
      </c>
      <c r="W2896" s="143" t="s">
        <v>3147</v>
      </c>
      <c r="X2896" s="169" t="s">
        <v>8009</v>
      </c>
      <c r="Y2896" s="169" t="s">
        <v>8008</v>
      </c>
      <c r="Z2896" s="169" t="s">
        <v>8009</v>
      </c>
      <c r="AA2896" s="173">
        <v>30</v>
      </c>
      <c r="AB2896" s="191">
        <v>45994</v>
      </c>
    </row>
    <row r="2897" ht="15" spans="1:28">
      <c r="A2897" s="143">
        <v>2858</v>
      </c>
      <c r="B2897" s="144">
        <v>45986</v>
      </c>
      <c r="C2897" s="169" t="s">
        <v>3148</v>
      </c>
      <c r="F2897" s="169" t="s">
        <v>8011</v>
      </c>
      <c r="G2897" s="169" t="s">
        <v>7995</v>
      </c>
      <c r="H2897" s="143" t="s">
        <v>8012</v>
      </c>
      <c r="I2897" s="143" t="s">
        <v>8013</v>
      </c>
      <c r="J2897" s="143" t="s">
        <v>5675</v>
      </c>
      <c r="K2897" s="143">
        <v>160</v>
      </c>
      <c r="L2897" s="143">
        <v>300</v>
      </c>
      <c r="Q2897" s="204">
        <v>2</v>
      </c>
      <c r="W2897" s="143" t="s">
        <v>3147</v>
      </c>
      <c r="X2897" s="169" t="s">
        <v>8011</v>
      </c>
      <c r="Y2897" s="169" t="s">
        <v>8008</v>
      </c>
      <c r="Z2897" s="169" t="s">
        <v>8011</v>
      </c>
      <c r="AA2897" s="173">
        <v>58.6</v>
      </c>
      <c r="AB2897" s="191">
        <v>45994</v>
      </c>
    </row>
    <row r="2898" ht="15" spans="1:28">
      <c r="A2898" s="143">
        <v>2859</v>
      </c>
      <c r="B2898" s="144">
        <v>45986</v>
      </c>
      <c r="C2898" s="169" t="s">
        <v>3148</v>
      </c>
      <c r="F2898" s="143" t="s">
        <v>8014</v>
      </c>
      <c r="G2898" s="169" t="s">
        <v>7995</v>
      </c>
      <c r="H2898" s="143" t="s">
        <v>8015</v>
      </c>
      <c r="I2898" s="143" t="s">
        <v>3326</v>
      </c>
      <c r="J2898" s="143" t="s">
        <v>5675</v>
      </c>
      <c r="K2898" s="143">
        <v>150</v>
      </c>
      <c r="L2898" s="143">
        <v>300</v>
      </c>
      <c r="Q2898" s="204">
        <v>2.2</v>
      </c>
      <c r="W2898" s="143" t="s">
        <v>3147</v>
      </c>
      <c r="X2898" s="143" t="s">
        <v>8014</v>
      </c>
      <c r="Y2898" s="169" t="s">
        <v>8008</v>
      </c>
      <c r="Z2898" s="143" t="s">
        <v>8014</v>
      </c>
      <c r="AA2898" s="173">
        <v>58.6</v>
      </c>
      <c r="AB2898" s="191">
        <v>45994</v>
      </c>
    </row>
    <row r="2899" spans="1:28">
      <c r="A2899" s="143">
        <v>2860</v>
      </c>
      <c r="B2899" s="144">
        <v>45986</v>
      </c>
      <c r="C2899" s="169" t="s">
        <v>3148</v>
      </c>
      <c r="F2899" s="143" t="s">
        <v>8016</v>
      </c>
      <c r="G2899" s="169" t="s">
        <v>8017</v>
      </c>
      <c r="H2899" s="143" t="s">
        <v>8018</v>
      </c>
      <c r="K2899" s="143">
        <v>150</v>
      </c>
      <c r="W2899" s="143" t="s">
        <v>3147</v>
      </c>
      <c r="X2899" s="143" t="s">
        <v>8016</v>
      </c>
      <c r="Y2899" s="169" t="s">
        <v>8019</v>
      </c>
      <c r="Z2899" s="143" t="s">
        <v>8016</v>
      </c>
    </row>
    <row r="2900" ht="15" spans="1:28">
      <c r="A2900" s="143">
        <v>2861</v>
      </c>
      <c r="B2900" s="144">
        <v>45986</v>
      </c>
      <c r="C2900" s="169" t="s">
        <v>3148</v>
      </c>
      <c r="F2900" s="143" t="s">
        <v>8020</v>
      </c>
      <c r="G2900" s="169" t="s">
        <v>8017</v>
      </c>
      <c r="H2900" s="143" t="s">
        <v>8021</v>
      </c>
      <c r="I2900" s="143" t="s">
        <v>8022</v>
      </c>
      <c r="J2900" s="143" t="s">
        <v>1577</v>
      </c>
      <c r="K2900" s="143">
        <v>140</v>
      </c>
      <c r="Q2900" s="204"/>
      <c r="W2900" s="143" t="s">
        <v>3147</v>
      </c>
      <c r="X2900" s="143" t="s">
        <v>8020</v>
      </c>
      <c r="Y2900" s="143" t="s">
        <v>6061</v>
      </c>
      <c r="Z2900" s="143" t="s">
        <v>8020</v>
      </c>
      <c r="AA2900" s="173">
        <v>11.2</v>
      </c>
      <c r="AB2900" s="191">
        <v>45994</v>
      </c>
    </row>
    <row r="2901" ht="15" spans="1:28">
      <c r="A2901" s="143">
        <v>2862</v>
      </c>
      <c r="B2901" s="144">
        <v>45986</v>
      </c>
      <c r="C2901" s="169" t="s">
        <v>3148</v>
      </c>
      <c r="F2901" s="143" t="s">
        <v>8023</v>
      </c>
      <c r="G2901" s="169" t="s">
        <v>8017</v>
      </c>
      <c r="H2901" s="143" t="s">
        <v>8024</v>
      </c>
      <c r="I2901" s="143" t="s">
        <v>8022</v>
      </c>
      <c r="J2901" s="143" t="s">
        <v>1577</v>
      </c>
      <c r="K2901" s="143">
        <v>155</v>
      </c>
      <c r="L2901" s="143">
        <v>140</v>
      </c>
      <c r="Q2901" s="204">
        <v>4.6</v>
      </c>
      <c r="W2901" s="143" t="s">
        <v>3147</v>
      </c>
      <c r="X2901" s="143" t="s">
        <v>8023</v>
      </c>
      <c r="Y2901" s="169" t="s">
        <v>8025</v>
      </c>
      <c r="Z2901" s="143" t="s">
        <v>8023</v>
      </c>
      <c r="AA2901" s="173">
        <v>43.5</v>
      </c>
      <c r="AB2901" s="191">
        <v>45994</v>
      </c>
    </row>
    <row r="2902" ht="15" spans="1:28">
      <c r="A2902" s="143">
        <v>2863</v>
      </c>
      <c r="B2902" s="144">
        <v>45986</v>
      </c>
      <c r="C2902" s="169" t="s">
        <v>3148</v>
      </c>
      <c r="F2902" s="143" t="s">
        <v>8026</v>
      </c>
      <c r="G2902" s="169" t="s">
        <v>8017</v>
      </c>
      <c r="H2902" s="143" t="s">
        <v>8027</v>
      </c>
      <c r="I2902" s="143" t="s">
        <v>8022</v>
      </c>
      <c r="J2902" s="143" t="s">
        <v>1577</v>
      </c>
      <c r="K2902" s="143">
        <v>165</v>
      </c>
      <c r="L2902" s="143">
        <v>270</v>
      </c>
      <c r="Q2902" s="204">
        <v>2.2</v>
      </c>
      <c r="W2902" s="143" t="s">
        <v>3147</v>
      </c>
      <c r="X2902" s="143" t="s">
        <v>8026</v>
      </c>
      <c r="Y2902" s="169" t="s">
        <v>8025</v>
      </c>
      <c r="Z2902" s="143" t="s">
        <v>8026</v>
      </c>
      <c r="AA2902" s="173">
        <v>46.5</v>
      </c>
      <c r="AB2902" s="191">
        <v>45994</v>
      </c>
    </row>
    <row r="2903" ht="15" spans="1:28">
      <c r="A2903" s="143">
        <v>2864</v>
      </c>
      <c r="B2903" s="144">
        <v>45986</v>
      </c>
      <c r="C2903" s="169" t="s">
        <v>3148</v>
      </c>
      <c r="F2903" s="143" t="s">
        <v>8028</v>
      </c>
      <c r="G2903" s="169" t="s">
        <v>8017</v>
      </c>
      <c r="H2903" s="143" t="s">
        <v>8029</v>
      </c>
      <c r="I2903" s="143" t="s">
        <v>8022</v>
      </c>
      <c r="J2903" s="143" t="s">
        <v>1577</v>
      </c>
      <c r="L2903" s="143">
        <v>160</v>
      </c>
      <c r="Q2903" s="204"/>
      <c r="W2903" s="143" t="s">
        <v>3147</v>
      </c>
      <c r="X2903" s="143" t="s">
        <v>8028</v>
      </c>
      <c r="Y2903" s="169" t="s">
        <v>8025</v>
      </c>
      <c r="Z2903" s="143" t="s">
        <v>8028</v>
      </c>
      <c r="AA2903" s="173">
        <v>17.6</v>
      </c>
      <c r="AB2903" s="191">
        <v>45994</v>
      </c>
    </row>
    <row r="2904" spans="1:28">
      <c r="A2904" s="143">
        <v>2865</v>
      </c>
      <c r="B2904" s="144">
        <v>45986</v>
      </c>
      <c r="C2904" s="169" t="s">
        <v>3148</v>
      </c>
      <c r="F2904" s="143" t="s">
        <v>8030</v>
      </c>
      <c r="H2904" s="143" t="s">
        <v>8031</v>
      </c>
      <c r="K2904" s="143">
        <v>160</v>
      </c>
      <c r="L2904" s="143">
        <v>230</v>
      </c>
      <c r="W2904" s="143" t="s">
        <v>3147</v>
      </c>
      <c r="X2904" s="143" t="s">
        <v>8030</v>
      </c>
      <c r="Y2904" s="169" t="s">
        <v>8032</v>
      </c>
      <c r="Z2904" s="143" t="s">
        <v>8030</v>
      </c>
    </row>
    <row r="2905" spans="1:28">
      <c r="A2905" s="143">
        <v>2866</v>
      </c>
      <c r="B2905" s="144">
        <v>45986</v>
      </c>
      <c r="C2905" s="169" t="s">
        <v>3148</v>
      </c>
      <c r="F2905" s="143" t="s">
        <v>8033</v>
      </c>
      <c r="H2905" s="143" t="s">
        <v>8034</v>
      </c>
      <c r="K2905" s="143">
        <v>155</v>
      </c>
      <c r="L2905" s="143">
        <v>280</v>
      </c>
      <c r="W2905" s="143" t="s">
        <v>3147</v>
      </c>
      <c r="X2905" s="143" t="s">
        <v>8033</v>
      </c>
      <c r="Y2905" s="169" t="s">
        <v>8032</v>
      </c>
      <c r="Z2905" s="143" t="s">
        <v>8033</v>
      </c>
    </row>
    <row r="2906" ht="15" spans="1:28">
      <c r="A2906" s="143">
        <v>2867</v>
      </c>
      <c r="B2906" s="144">
        <v>45986</v>
      </c>
      <c r="C2906" s="169" t="s">
        <v>3148</v>
      </c>
      <c r="F2906" s="143" t="s">
        <v>8035</v>
      </c>
      <c r="H2906" s="143" t="s">
        <v>8036</v>
      </c>
      <c r="I2906" s="143" t="s">
        <v>8037</v>
      </c>
      <c r="J2906" s="143" t="s">
        <v>8038</v>
      </c>
      <c r="K2906" s="143">
        <v>165</v>
      </c>
      <c r="L2906" s="143">
        <v>250</v>
      </c>
      <c r="Q2906" s="204">
        <v>2.4</v>
      </c>
      <c r="W2906" s="143" t="s">
        <v>3147</v>
      </c>
      <c r="X2906" s="143" t="s">
        <v>8035</v>
      </c>
      <c r="Y2906" s="169" t="s">
        <v>8032</v>
      </c>
      <c r="Z2906" s="143" t="s">
        <v>8035</v>
      </c>
      <c r="AA2906" s="173">
        <v>44</v>
      </c>
      <c r="AB2906" s="191">
        <v>45994</v>
      </c>
    </row>
    <row r="2907" ht="15" spans="1:28">
      <c r="A2907" s="143">
        <v>2868</v>
      </c>
      <c r="B2907" s="144">
        <v>45986</v>
      </c>
      <c r="C2907" s="169" t="s">
        <v>3148</v>
      </c>
      <c r="F2907" s="143" t="s">
        <v>8039</v>
      </c>
      <c r="H2907" s="143" t="s">
        <v>8040</v>
      </c>
      <c r="I2907" s="143" t="s">
        <v>8041</v>
      </c>
      <c r="J2907" s="143" t="s">
        <v>8042</v>
      </c>
      <c r="K2907" s="143">
        <v>165</v>
      </c>
      <c r="L2907" s="143">
        <v>250</v>
      </c>
      <c r="Q2907" s="204"/>
      <c r="W2907" s="143" t="s">
        <v>3147</v>
      </c>
      <c r="X2907" s="143" t="s">
        <v>8039</v>
      </c>
      <c r="Y2907" s="169" t="s">
        <v>8032</v>
      </c>
      <c r="Z2907" s="143" t="s">
        <v>8039</v>
      </c>
      <c r="AA2907" s="173">
        <v>16.8</v>
      </c>
      <c r="AB2907" s="191">
        <v>45994</v>
      </c>
    </row>
    <row r="2908" ht="15" spans="1:28">
      <c r="A2908" s="143">
        <v>2869</v>
      </c>
      <c r="B2908" s="144">
        <v>45986</v>
      </c>
      <c r="C2908" s="169" t="s">
        <v>3148</v>
      </c>
      <c r="F2908" s="143" t="s">
        <v>8043</v>
      </c>
      <c r="H2908" s="143" t="s">
        <v>8044</v>
      </c>
      <c r="I2908" s="143" t="s">
        <v>8045</v>
      </c>
      <c r="J2908" s="143" t="s">
        <v>8046</v>
      </c>
      <c r="K2908" s="143">
        <v>160</v>
      </c>
      <c r="L2908" s="143">
        <v>300</v>
      </c>
      <c r="Q2908" s="204">
        <v>2</v>
      </c>
      <c r="W2908" s="143" t="s">
        <v>3147</v>
      </c>
      <c r="X2908" s="143" t="s">
        <v>8043</v>
      </c>
      <c r="Y2908" s="169" t="s">
        <v>8032</v>
      </c>
      <c r="Z2908" s="143" t="s">
        <v>8043</v>
      </c>
      <c r="AA2908" s="173">
        <v>47.3</v>
      </c>
      <c r="AB2908" s="191">
        <v>45994</v>
      </c>
    </row>
    <row r="2909" spans="1:28">
      <c r="A2909" s="143">
        <v>2870</v>
      </c>
      <c r="B2909" s="144">
        <v>45986</v>
      </c>
      <c r="C2909" s="169" t="s">
        <v>3148</v>
      </c>
      <c r="F2909" s="143" t="s">
        <v>8047</v>
      </c>
      <c r="H2909" s="143" t="s">
        <v>8048</v>
      </c>
      <c r="K2909" s="143">
        <v>165</v>
      </c>
      <c r="L2909" s="143">
        <v>210</v>
      </c>
      <c r="W2909" s="143" t="s">
        <v>3147</v>
      </c>
      <c r="X2909" s="143" t="s">
        <v>8047</v>
      </c>
      <c r="Y2909" s="169" t="s">
        <v>8049</v>
      </c>
      <c r="Z2909" s="143" t="s">
        <v>8047</v>
      </c>
    </row>
    <row r="2910" spans="1:28">
      <c r="A2910" s="143">
        <v>2871</v>
      </c>
      <c r="B2910" s="144">
        <v>45986</v>
      </c>
      <c r="C2910" s="169" t="s">
        <v>3148</v>
      </c>
      <c r="F2910" s="143" t="s">
        <v>8050</v>
      </c>
      <c r="H2910" s="143" t="s">
        <v>8051</v>
      </c>
      <c r="K2910" s="143">
        <v>165</v>
      </c>
      <c r="L2910" s="143">
        <v>240</v>
      </c>
      <c r="W2910" s="143" t="s">
        <v>3147</v>
      </c>
      <c r="X2910" s="143" t="s">
        <v>8050</v>
      </c>
      <c r="Y2910" s="169" t="s">
        <v>8049</v>
      </c>
      <c r="Z2910" s="143" t="s">
        <v>8050</v>
      </c>
    </row>
    <row r="2911" spans="1:28">
      <c r="A2911" s="143">
        <v>2872</v>
      </c>
      <c r="B2911" s="144">
        <v>45986</v>
      </c>
      <c r="C2911" s="169" t="s">
        <v>3148</v>
      </c>
      <c r="F2911" s="143" t="s">
        <v>8052</v>
      </c>
      <c r="H2911" s="143" t="s">
        <v>8053</v>
      </c>
      <c r="K2911" s="143">
        <v>185</v>
      </c>
      <c r="L2911" s="143">
        <v>180</v>
      </c>
      <c r="W2911" s="143" t="s">
        <v>3147</v>
      </c>
      <c r="X2911" s="143" t="s">
        <v>8052</v>
      </c>
      <c r="Y2911" s="169" t="s">
        <v>8049</v>
      </c>
      <c r="Z2911" s="143" t="s">
        <v>8052</v>
      </c>
    </row>
    <row r="2912" spans="1:28">
      <c r="A2912" s="143">
        <v>2873</v>
      </c>
      <c r="B2912" s="144">
        <v>45986</v>
      </c>
      <c r="C2912" s="169" t="s">
        <v>3148</v>
      </c>
      <c r="F2912" s="143" t="s">
        <v>8054</v>
      </c>
      <c r="H2912" s="143" t="s">
        <v>8055</v>
      </c>
      <c r="I2912" s="143" t="s">
        <v>8045</v>
      </c>
      <c r="J2912" s="143" t="s">
        <v>8046</v>
      </c>
      <c r="K2912" s="143">
        <v>170</v>
      </c>
      <c r="L2912" s="143">
        <v>285</v>
      </c>
      <c r="Q2912" s="143">
        <v>2</v>
      </c>
      <c r="W2912" s="143" t="s">
        <v>3147</v>
      </c>
      <c r="X2912" s="143" t="s">
        <v>8054</v>
      </c>
      <c r="Y2912" s="143" t="s">
        <v>8025</v>
      </c>
      <c r="Z2912" s="143" t="s">
        <v>8054</v>
      </c>
      <c r="AA2912" s="143">
        <v>47.3</v>
      </c>
      <c r="AB2912" s="191">
        <v>45994</v>
      </c>
    </row>
    <row r="2913" spans="1:28">
      <c r="A2913" s="143">
        <v>2874</v>
      </c>
      <c r="B2913" s="144">
        <v>45986</v>
      </c>
      <c r="C2913" s="169" t="s">
        <v>3148</v>
      </c>
      <c r="F2913" s="169" t="s">
        <v>8056</v>
      </c>
      <c r="H2913" s="143" t="s">
        <v>8057</v>
      </c>
      <c r="I2913" s="143" t="s">
        <v>8058</v>
      </c>
      <c r="J2913" s="143" t="s">
        <v>8059</v>
      </c>
      <c r="K2913" s="143">
        <v>150</v>
      </c>
      <c r="L2913" s="143">
        <v>180</v>
      </c>
      <c r="W2913" s="143" t="s">
        <v>3147</v>
      </c>
      <c r="X2913" s="169" t="s">
        <v>8056</v>
      </c>
      <c r="Y2913" s="169" t="s">
        <v>8019</v>
      </c>
      <c r="Z2913" s="169" t="s">
        <v>8056</v>
      </c>
    </row>
    <row r="2914" spans="1:28">
      <c r="A2914" s="143">
        <v>2875</v>
      </c>
      <c r="B2914" s="144">
        <v>45986</v>
      </c>
      <c r="C2914" s="169" t="s">
        <v>3148</v>
      </c>
      <c r="F2914" s="143" t="s">
        <v>8060</v>
      </c>
      <c r="H2914" s="143" t="s">
        <v>8061</v>
      </c>
      <c r="I2914" s="143" t="s">
        <v>3218</v>
      </c>
      <c r="J2914" s="143" t="s">
        <v>1577</v>
      </c>
      <c r="K2914" s="143">
        <v>160</v>
      </c>
      <c r="L2914" s="143">
        <v>290</v>
      </c>
      <c r="W2914" s="143" t="s">
        <v>3147</v>
      </c>
      <c r="X2914" s="143" t="s">
        <v>8060</v>
      </c>
      <c r="Y2914" s="169" t="s">
        <v>8019</v>
      </c>
      <c r="Z2914" s="143" t="s">
        <v>8060</v>
      </c>
    </row>
    <row r="2915" spans="1:28">
      <c r="A2915" s="143">
        <v>2876</v>
      </c>
      <c r="B2915" s="144">
        <v>45986</v>
      </c>
      <c r="C2915" s="169" t="s">
        <v>3148</v>
      </c>
      <c r="F2915" s="143" t="s">
        <v>8062</v>
      </c>
      <c r="H2915" s="143" t="s">
        <v>8063</v>
      </c>
      <c r="W2915" s="143" t="s">
        <v>3147</v>
      </c>
      <c r="X2915" s="143" t="s">
        <v>8062</v>
      </c>
      <c r="Y2915" s="169" t="s">
        <v>8019</v>
      </c>
      <c r="Z2915" s="143" t="s">
        <v>8062</v>
      </c>
    </row>
    <row r="2916" spans="1:28">
      <c r="A2916" s="143">
        <v>2877</v>
      </c>
      <c r="B2916" s="144">
        <v>45986</v>
      </c>
      <c r="C2916" s="169" t="s">
        <v>3148</v>
      </c>
      <c r="F2916" s="143" t="s">
        <v>8064</v>
      </c>
      <c r="H2916" s="143" t="s">
        <v>8065</v>
      </c>
      <c r="I2916" s="143" t="s">
        <v>8066</v>
      </c>
      <c r="J2916" s="143" t="s">
        <v>8067</v>
      </c>
      <c r="K2916" s="143">
        <v>150</v>
      </c>
      <c r="L2916" s="143">
        <v>350</v>
      </c>
      <c r="W2916" s="143" t="s">
        <v>3147</v>
      </c>
      <c r="X2916" s="143" t="s">
        <v>8064</v>
      </c>
      <c r="Y2916" s="169" t="s">
        <v>8019</v>
      </c>
      <c r="Z2916" s="143" t="s">
        <v>8064</v>
      </c>
    </row>
    <row r="2917" spans="1:28">
      <c r="A2917" s="143">
        <v>2878</v>
      </c>
      <c r="B2917" s="144">
        <v>45986</v>
      </c>
      <c r="C2917" s="169" t="s">
        <v>3148</v>
      </c>
      <c r="F2917" s="143" t="s">
        <v>8068</v>
      </c>
      <c r="H2917" s="143" t="s">
        <v>8069</v>
      </c>
      <c r="I2917" s="143" t="s">
        <v>8070</v>
      </c>
      <c r="J2917" s="143" t="s">
        <v>8071</v>
      </c>
      <c r="K2917" s="143">
        <v>150</v>
      </c>
      <c r="L2917" s="143">
        <v>320</v>
      </c>
      <c r="W2917" s="143" t="s">
        <v>3147</v>
      </c>
      <c r="X2917" s="143" t="s">
        <v>8068</v>
      </c>
      <c r="Y2917" s="169" t="s">
        <v>8019</v>
      </c>
      <c r="Z2917" s="143" t="s">
        <v>8068</v>
      </c>
    </row>
    <row r="2918" ht="15" spans="1:28">
      <c r="A2918" s="143">
        <v>2879</v>
      </c>
      <c r="B2918" s="144">
        <v>45986</v>
      </c>
      <c r="C2918" s="169" t="s">
        <v>3148</v>
      </c>
      <c r="F2918" s="143">
        <v>2160</v>
      </c>
      <c r="H2918" s="143" t="s">
        <v>8072</v>
      </c>
      <c r="I2918" s="143" t="s">
        <v>8073</v>
      </c>
      <c r="J2918" s="143" t="s">
        <v>8074</v>
      </c>
      <c r="K2918" s="143">
        <v>160</v>
      </c>
      <c r="L2918" s="143">
        <v>200</v>
      </c>
      <c r="Q2918" s="204">
        <v>3.1</v>
      </c>
      <c r="W2918" s="143" t="s">
        <v>3147</v>
      </c>
      <c r="X2918" s="143">
        <v>2160</v>
      </c>
      <c r="Y2918" s="169" t="s">
        <v>8075</v>
      </c>
      <c r="Z2918" s="143">
        <v>2160</v>
      </c>
      <c r="AA2918" s="173">
        <v>63.5</v>
      </c>
      <c r="AB2918" s="191">
        <v>45994</v>
      </c>
    </row>
    <row r="2919" ht="15" spans="1:28">
      <c r="A2919" s="143">
        <v>2880</v>
      </c>
      <c r="B2919" s="144">
        <v>45986</v>
      </c>
      <c r="C2919" s="169" t="s">
        <v>3148</v>
      </c>
      <c r="F2919" s="143">
        <v>1640</v>
      </c>
      <c r="H2919" s="143" t="s">
        <v>8076</v>
      </c>
      <c r="I2919" s="143" t="s">
        <v>8077</v>
      </c>
      <c r="J2919" s="143" t="s">
        <v>8078</v>
      </c>
      <c r="K2919" s="143">
        <v>145</v>
      </c>
      <c r="L2919" s="143">
        <v>210</v>
      </c>
      <c r="Q2919" s="204">
        <v>3.2</v>
      </c>
      <c r="W2919" s="143" t="s">
        <v>3147</v>
      </c>
      <c r="X2919" s="143">
        <v>1640</v>
      </c>
      <c r="Y2919" s="169" t="s">
        <v>8075</v>
      </c>
      <c r="Z2919" s="143">
        <v>1640</v>
      </c>
      <c r="AA2919" s="173">
        <v>58.8</v>
      </c>
      <c r="AB2919" s="191">
        <v>45994</v>
      </c>
    </row>
    <row r="2920" ht="15" spans="1:28">
      <c r="A2920" s="143">
        <v>2881</v>
      </c>
      <c r="B2920" s="144">
        <v>45986</v>
      </c>
      <c r="C2920" s="169" t="s">
        <v>3148</v>
      </c>
      <c r="F2920" s="143">
        <v>1656</v>
      </c>
      <c r="H2920" s="143" t="s">
        <v>8079</v>
      </c>
      <c r="I2920" s="143" t="s">
        <v>3218</v>
      </c>
      <c r="J2920" s="143" t="s">
        <v>1577</v>
      </c>
      <c r="K2920" s="143">
        <v>155</v>
      </c>
      <c r="L2920" s="143">
        <v>200</v>
      </c>
      <c r="Q2920" s="204">
        <v>3.2</v>
      </c>
      <c r="W2920" s="143" t="s">
        <v>3147</v>
      </c>
      <c r="X2920" s="143">
        <v>1656</v>
      </c>
      <c r="Y2920" s="169" t="s">
        <v>8075</v>
      </c>
      <c r="Z2920" s="143">
        <v>1656</v>
      </c>
      <c r="AA2920" s="173">
        <v>48.5</v>
      </c>
      <c r="AB2920" s="191">
        <v>45994</v>
      </c>
    </row>
    <row r="2921" ht="15" spans="1:28">
      <c r="A2921" s="143">
        <v>2882</v>
      </c>
      <c r="B2921" s="144">
        <v>45986</v>
      </c>
      <c r="C2921" s="169" t="s">
        <v>3148</v>
      </c>
      <c r="F2921" s="270" t="s">
        <v>8080</v>
      </c>
      <c r="H2921" s="143" t="s">
        <v>8081</v>
      </c>
      <c r="I2921" s="143" t="s">
        <v>3218</v>
      </c>
      <c r="J2921" s="143" t="s">
        <v>1577</v>
      </c>
      <c r="K2921" s="143">
        <v>160</v>
      </c>
      <c r="L2921" s="143">
        <v>110</v>
      </c>
      <c r="Q2921" s="204">
        <v>5.6</v>
      </c>
      <c r="W2921" s="143" t="s">
        <v>3147</v>
      </c>
      <c r="X2921" s="270" t="s">
        <v>8080</v>
      </c>
      <c r="Y2921" s="169" t="s">
        <v>8075</v>
      </c>
      <c r="Z2921" s="270" t="s">
        <v>8080</v>
      </c>
      <c r="AA2921" s="173">
        <v>43.5</v>
      </c>
      <c r="AB2921" s="191">
        <v>45994</v>
      </c>
    </row>
    <row r="2922" ht="15" spans="1:28">
      <c r="A2922" s="143">
        <v>2883</v>
      </c>
      <c r="B2922" s="144">
        <v>45986</v>
      </c>
      <c r="C2922" s="169" t="s">
        <v>3148</v>
      </c>
      <c r="F2922" s="270" t="s">
        <v>8082</v>
      </c>
      <c r="H2922" s="143" t="s">
        <v>8083</v>
      </c>
      <c r="I2922" s="143" t="s">
        <v>8084</v>
      </c>
      <c r="J2922" s="143" t="s">
        <v>8085</v>
      </c>
      <c r="K2922" s="143">
        <v>155</v>
      </c>
      <c r="L2922" s="143">
        <v>170</v>
      </c>
      <c r="Q2922" s="204">
        <v>3.7</v>
      </c>
      <c r="W2922" s="143" t="s">
        <v>3147</v>
      </c>
      <c r="X2922" s="270" t="s">
        <v>8082</v>
      </c>
      <c r="Y2922" s="169" t="s">
        <v>8075</v>
      </c>
      <c r="Z2922" s="270" t="s">
        <v>8082</v>
      </c>
      <c r="AA2922" s="173">
        <v>68.8</v>
      </c>
      <c r="AB2922" s="191">
        <v>45994</v>
      </c>
    </row>
    <row r="2923" ht="15" spans="1:28">
      <c r="A2923" s="143">
        <v>2884</v>
      </c>
      <c r="B2923" s="144">
        <v>45986</v>
      </c>
      <c r="C2923" s="169" t="s">
        <v>3148</v>
      </c>
      <c r="F2923" s="143" t="s">
        <v>8086</v>
      </c>
      <c r="H2923" s="143" t="s">
        <v>8087</v>
      </c>
      <c r="I2923" s="143" t="s">
        <v>8088</v>
      </c>
      <c r="J2923" s="143" t="s">
        <v>8089</v>
      </c>
      <c r="K2923" s="143">
        <v>150</v>
      </c>
      <c r="L2923" s="143">
        <v>175</v>
      </c>
      <c r="Q2923" s="204">
        <v>3.8</v>
      </c>
      <c r="W2923" s="143" t="s">
        <v>3147</v>
      </c>
      <c r="X2923" s="143" t="s">
        <v>8086</v>
      </c>
      <c r="Y2923" s="169" t="s">
        <v>8090</v>
      </c>
      <c r="Z2923" s="143" t="s">
        <v>8086</v>
      </c>
      <c r="AA2923" s="173">
        <v>58.8</v>
      </c>
      <c r="AB2923" s="191">
        <v>45994</v>
      </c>
    </row>
    <row r="2924" ht="15" spans="1:28">
      <c r="A2924" s="143">
        <v>2885</v>
      </c>
      <c r="B2924" s="144">
        <v>45986</v>
      </c>
      <c r="C2924" s="169" t="s">
        <v>3148</v>
      </c>
      <c r="F2924" s="143" t="s">
        <v>8091</v>
      </c>
      <c r="H2924" s="143" t="s">
        <v>8092</v>
      </c>
      <c r="I2924" s="143" t="s">
        <v>8093</v>
      </c>
      <c r="J2924" s="143" t="s">
        <v>8094</v>
      </c>
      <c r="K2924" s="143">
        <v>165</v>
      </c>
      <c r="L2924" s="143">
        <v>170</v>
      </c>
      <c r="Q2924" s="204">
        <v>3.5</v>
      </c>
      <c r="W2924" s="143" t="s">
        <v>3147</v>
      </c>
      <c r="X2924" s="143" t="s">
        <v>8091</v>
      </c>
      <c r="Y2924" s="169" t="s">
        <v>8090</v>
      </c>
      <c r="Z2924" s="143" t="s">
        <v>8091</v>
      </c>
      <c r="AA2924" s="173">
        <v>42.2</v>
      </c>
      <c r="AB2924" s="191">
        <v>45994</v>
      </c>
    </row>
    <row r="2925" ht="15" spans="1:28">
      <c r="A2925" s="143">
        <v>2886</v>
      </c>
      <c r="B2925" s="144">
        <v>45986</v>
      </c>
      <c r="C2925" s="169" t="s">
        <v>3148</v>
      </c>
      <c r="F2925" s="143" t="s">
        <v>8095</v>
      </c>
      <c r="H2925" s="143" t="s">
        <v>8096</v>
      </c>
      <c r="I2925" s="143" t="s">
        <v>8097</v>
      </c>
      <c r="J2925" s="143" t="s">
        <v>8098</v>
      </c>
      <c r="K2925" s="143">
        <v>160</v>
      </c>
      <c r="L2925" s="143">
        <v>180</v>
      </c>
      <c r="Q2925" s="204">
        <v>3.4</v>
      </c>
      <c r="W2925" s="143" t="s">
        <v>3147</v>
      </c>
      <c r="X2925" s="143" t="s">
        <v>8095</v>
      </c>
      <c r="Y2925" s="169" t="s">
        <v>8090</v>
      </c>
      <c r="Z2925" s="143" t="s">
        <v>8095</v>
      </c>
      <c r="AA2925" s="173">
        <v>53.4</v>
      </c>
      <c r="AB2925" s="191">
        <v>45994</v>
      </c>
    </row>
    <row r="2926" ht="15" spans="1:28">
      <c r="A2926" s="143">
        <v>2887</v>
      </c>
      <c r="B2926" s="144">
        <v>45986</v>
      </c>
      <c r="C2926" s="169" t="s">
        <v>3148</v>
      </c>
      <c r="F2926" s="143" t="s">
        <v>8099</v>
      </c>
      <c r="H2926" s="143" t="s">
        <v>8100</v>
      </c>
      <c r="I2926" s="143" t="s">
        <v>8097</v>
      </c>
      <c r="J2926" s="143" t="s">
        <v>8098</v>
      </c>
      <c r="K2926" s="143">
        <v>160</v>
      </c>
      <c r="L2926" s="143">
        <v>110</v>
      </c>
      <c r="Q2926" s="204"/>
      <c r="W2926" s="143" t="s">
        <v>3147</v>
      </c>
      <c r="X2926" s="143" t="s">
        <v>8099</v>
      </c>
      <c r="Y2926" s="169" t="s">
        <v>8090</v>
      </c>
      <c r="Z2926" s="143" t="s">
        <v>8099</v>
      </c>
      <c r="AA2926" s="173">
        <v>12.3</v>
      </c>
      <c r="AB2926" s="191">
        <v>45994</v>
      </c>
    </row>
    <row r="2927" ht="15" spans="1:28">
      <c r="A2927" s="143">
        <v>2888</v>
      </c>
      <c r="B2927" s="144">
        <v>45986</v>
      </c>
      <c r="C2927" s="169" t="s">
        <v>3148</v>
      </c>
      <c r="F2927" s="143" t="s">
        <v>8101</v>
      </c>
      <c r="H2927" s="143" t="s">
        <v>8102</v>
      </c>
      <c r="I2927" s="143" t="s">
        <v>3742</v>
      </c>
      <c r="J2927" s="143" t="s">
        <v>3657</v>
      </c>
      <c r="K2927" s="143">
        <v>160</v>
      </c>
      <c r="L2927" s="143">
        <v>160</v>
      </c>
      <c r="Q2927" s="204">
        <v>3.9</v>
      </c>
      <c r="W2927" s="143" t="s">
        <v>3147</v>
      </c>
      <c r="X2927" s="143" t="s">
        <v>8101</v>
      </c>
      <c r="Y2927" s="169" t="s">
        <v>8090</v>
      </c>
      <c r="Z2927" s="143" t="s">
        <v>8101</v>
      </c>
      <c r="AA2927" s="173">
        <v>36.5</v>
      </c>
      <c r="AB2927" s="191">
        <v>45994</v>
      </c>
    </row>
    <row r="2928" ht="15" spans="1:28">
      <c r="A2928" s="143">
        <v>2889</v>
      </c>
      <c r="B2928" s="144">
        <v>45986</v>
      </c>
      <c r="C2928" s="169" t="s">
        <v>3148</v>
      </c>
      <c r="F2928" s="143" t="s">
        <v>8103</v>
      </c>
      <c r="H2928" s="143" t="s">
        <v>8104</v>
      </c>
      <c r="I2928" s="143" t="s">
        <v>8105</v>
      </c>
      <c r="J2928" s="143" t="s">
        <v>8106</v>
      </c>
      <c r="K2928" s="143">
        <v>140</v>
      </c>
      <c r="L2928" s="143">
        <v>160</v>
      </c>
      <c r="Q2928" s="204">
        <v>4.4</v>
      </c>
      <c r="W2928" s="143" t="s">
        <v>3147</v>
      </c>
      <c r="X2928" s="143" t="s">
        <v>8103</v>
      </c>
      <c r="Y2928" s="169" t="s">
        <v>8090</v>
      </c>
      <c r="Z2928" s="143" t="s">
        <v>8103</v>
      </c>
      <c r="AA2928" s="173">
        <v>57.8</v>
      </c>
      <c r="AB2928" s="191">
        <v>45994</v>
      </c>
    </row>
    <row r="2929" ht="15" spans="1:28">
      <c r="A2929" s="143">
        <v>2890</v>
      </c>
      <c r="B2929" s="144">
        <v>45986</v>
      </c>
      <c r="C2929" s="169" t="s">
        <v>3148</v>
      </c>
      <c r="F2929" s="143" t="s">
        <v>8107</v>
      </c>
      <c r="H2929" s="143" t="s">
        <v>8108</v>
      </c>
      <c r="I2929" s="143" t="s">
        <v>8109</v>
      </c>
      <c r="J2929" s="143" t="s">
        <v>8110</v>
      </c>
      <c r="K2929" s="143">
        <v>160</v>
      </c>
      <c r="L2929" s="143">
        <v>110</v>
      </c>
      <c r="Q2929" s="204"/>
      <c r="W2929" s="143" t="s">
        <v>3147</v>
      </c>
      <c r="X2929" s="143" t="s">
        <v>8107</v>
      </c>
      <c r="Y2929" s="169" t="s">
        <v>8090</v>
      </c>
      <c r="Z2929" s="143" t="s">
        <v>8107</v>
      </c>
      <c r="AA2929" s="173">
        <v>15.3</v>
      </c>
      <c r="AB2929" s="191">
        <v>45994</v>
      </c>
    </row>
    <row r="2930" spans="1:28">
      <c r="A2930" s="143">
        <v>2891</v>
      </c>
      <c r="B2930" s="144">
        <v>45986</v>
      </c>
      <c r="C2930" s="169" t="s">
        <v>3148</v>
      </c>
      <c r="F2930" s="143" t="s">
        <v>8111</v>
      </c>
      <c r="H2930" s="143" t="s">
        <v>8112</v>
      </c>
      <c r="I2930" s="143" t="s">
        <v>8113</v>
      </c>
      <c r="J2930" s="143" t="s">
        <v>8114</v>
      </c>
      <c r="K2930" s="143">
        <v>144</v>
      </c>
      <c r="L2930" s="143">
        <v>193</v>
      </c>
      <c r="W2930" s="143" t="s">
        <v>3147</v>
      </c>
      <c r="X2930" s="143" t="s">
        <v>8111</v>
      </c>
      <c r="Y2930" s="169" t="s">
        <v>8115</v>
      </c>
      <c r="Z2930" s="143" t="s">
        <v>8111</v>
      </c>
    </row>
    <row r="2931" spans="1:28">
      <c r="A2931" s="143">
        <v>2892</v>
      </c>
      <c r="B2931" s="144">
        <v>45986</v>
      </c>
      <c r="C2931" s="169" t="s">
        <v>3148</v>
      </c>
      <c r="F2931" s="143" t="s">
        <v>8116</v>
      </c>
      <c r="H2931" s="143" t="s">
        <v>8117</v>
      </c>
      <c r="I2931" s="143" t="s">
        <v>8118</v>
      </c>
      <c r="J2931" s="143" t="s">
        <v>8119</v>
      </c>
      <c r="K2931" s="143">
        <v>144</v>
      </c>
      <c r="L2931" s="143">
        <v>230</v>
      </c>
      <c r="W2931" s="143" t="s">
        <v>3147</v>
      </c>
      <c r="X2931" s="143" t="s">
        <v>8116</v>
      </c>
      <c r="Y2931" s="169" t="s">
        <v>8115</v>
      </c>
      <c r="Z2931" s="143" t="s">
        <v>8116</v>
      </c>
      <c r="AA2931" s="143">
        <v>50</v>
      </c>
      <c r="AB2931" s="191">
        <v>46051</v>
      </c>
    </row>
    <row r="2932" spans="1:28">
      <c r="A2932" s="143">
        <v>2893</v>
      </c>
      <c r="B2932" s="144">
        <v>45986</v>
      </c>
      <c r="C2932" s="169" t="s">
        <v>3148</v>
      </c>
      <c r="F2932" s="143" t="s">
        <v>8120</v>
      </c>
      <c r="H2932" s="143" t="s">
        <v>8121</v>
      </c>
      <c r="I2932" s="143" t="s">
        <v>8122</v>
      </c>
      <c r="J2932" s="143" t="s">
        <v>8114</v>
      </c>
      <c r="K2932" s="143">
        <v>144</v>
      </c>
      <c r="L2932" s="143">
        <v>260</v>
      </c>
      <c r="W2932" s="143" t="s">
        <v>3147</v>
      </c>
      <c r="X2932" s="143" t="s">
        <v>8120</v>
      </c>
      <c r="Y2932" s="169" t="s">
        <v>8115</v>
      </c>
      <c r="Z2932" s="143" t="s">
        <v>8120</v>
      </c>
    </row>
    <row r="2933" spans="1:28">
      <c r="A2933" s="143">
        <v>2894</v>
      </c>
      <c r="B2933" s="144">
        <v>45986</v>
      </c>
      <c r="C2933" s="169" t="s">
        <v>3148</v>
      </c>
      <c r="F2933" s="143" t="s">
        <v>8123</v>
      </c>
      <c r="H2933" s="143" t="s">
        <v>8124</v>
      </c>
      <c r="I2933" s="143" t="s">
        <v>8125</v>
      </c>
      <c r="J2933" s="143" t="s">
        <v>8126</v>
      </c>
      <c r="K2933" s="143">
        <v>147</v>
      </c>
      <c r="L2933" s="143">
        <v>310</v>
      </c>
      <c r="W2933" s="143" t="s">
        <v>3147</v>
      </c>
      <c r="X2933" s="143" t="s">
        <v>8123</v>
      </c>
      <c r="Y2933" s="169" t="s">
        <v>8115</v>
      </c>
      <c r="Z2933" s="143" t="s">
        <v>8123</v>
      </c>
    </row>
    <row r="2934" spans="1:28">
      <c r="A2934" s="143">
        <v>2895</v>
      </c>
      <c r="B2934" s="144">
        <v>45986</v>
      </c>
      <c r="C2934" s="169" t="s">
        <v>3148</v>
      </c>
      <c r="F2934" s="143" t="s">
        <v>8127</v>
      </c>
      <c r="H2934" s="143" t="s">
        <v>8128</v>
      </c>
      <c r="I2934" s="143" t="s">
        <v>8129</v>
      </c>
      <c r="J2934" s="143" t="s">
        <v>8119</v>
      </c>
      <c r="K2934" s="143">
        <v>145</v>
      </c>
      <c r="L2934" s="143">
        <v>230</v>
      </c>
      <c r="W2934" s="143" t="s">
        <v>3147</v>
      </c>
      <c r="X2934" s="143" t="s">
        <v>8127</v>
      </c>
      <c r="Y2934" s="169" t="s">
        <v>8115</v>
      </c>
      <c r="Z2934" s="143" t="s">
        <v>8127</v>
      </c>
    </row>
    <row r="2935" spans="1:28">
      <c r="A2935" s="143">
        <v>2896</v>
      </c>
      <c r="B2935" s="144">
        <v>45986</v>
      </c>
      <c r="C2935" s="169" t="s">
        <v>3148</v>
      </c>
      <c r="F2935" s="143" t="s">
        <v>8130</v>
      </c>
      <c r="H2935" s="143" t="s">
        <v>8131</v>
      </c>
      <c r="I2935" s="143" t="s">
        <v>8132</v>
      </c>
      <c r="J2935" s="143" t="s">
        <v>8133</v>
      </c>
      <c r="K2935" s="143">
        <v>147</v>
      </c>
      <c r="L2935" s="143">
        <v>155</v>
      </c>
      <c r="W2935" s="143" t="s">
        <v>3147</v>
      </c>
      <c r="X2935" s="143" t="s">
        <v>8130</v>
      </c>
      <c r="Y2935" s="169" t="s">
        <v>8115</v>
      </c>
      <c r="Z2935" s="143" t="s">
        <v>8130</v>
      </c>
    </row>
    <row r="2936" spans="1:28">
      <c r="A2936" s="143">
        <v>2897</v>
      </c>
      <c r="B2936" s="144">
        <v>45986</v>
      </c>
      <c r="C2936" s="169" t="s">
        <v>3148</v>
      </c>
      <c r="F2936" s="143" t="s">
        <v>8134</v>
      </c>
      <c r="H2936" s="143" t="s">
        <v>8135</v>
      </c>
      <c r="I2936" s="143" t="s">
        <v>8122</v>
      </c>
      <c r="J2936" s="143" t="s">
        <v>8114</v>
      </c>
      <c r="K2936" s="143">
        <v>142</v>
      </c>
      <c r="L2936" s="143">
        <v>181</v>
      </c>
      <c r="W2936" s="143" t="s">
        <v>3147</v>
      </c>
      <c r="X2936" s="143" t="s">
        <v>8134</v>
      </c>
      <c r="Y2936" s="169" t="s">
        <v>8115</v>
      </c>
      <c r="Z2936" s="143" t="s">
        <v>8134</v>
      </c>
    </row>
    <row r="2937" spans="1:28">
      <c r="A2937" s="143">
        <v>2898</v>
      </c>
      <c r="B2937" s="144">
        <v>45986</v>
      </c>
      <c r="C2937" s="169" t="s">
        <v>3148</v>
      </c>
      <c r="F2937" s="143" t="s">
        <v>8136</v>
      </c>
      <c r="H2937" s="143" t="s">
        <v>8137</v>
      </c>
      <c r="I2937" s="143" t="s">
        <v>8138</v>
      </c>
      <c r="J2937" s="143" t="s">
        <v>8139</v>
      </c>
      <c r="K2937" s="143">
        <v>144</v>
      </c>
      <c r="L2937" s="143">
        <v>140</v>
      </c>
      <c r="W2937" s="143" t="s">
        <v>3147</v>
      </c>
      <c r="X2937" s="143" t="s">
        <v>8136</v>
      </c>
      <c r="Y2937" s="169" t="s">
        <v>8115</v>
      </c>
      <c r="Z2937" s="143" t="s">
        <v>8136</v>
      </c>
      <c r="AA2937" s="143">
        <v>40.5</v>
      </c>
      <c r="AB2937" s="191">
        <v>46051</v>
      </c>
    </row>
    <row r="2938" spans="1:28">
      <c r="A2938" s="143">
        <v>2899</v>
      </c>
      <c r="B2938" s="144">
        <v>45986</v>
      </c>
      <c r="C2938" s="169" t="s">
        <v>3148</v>
      </c>
      <c r="F2938" s="143" t="s">
        <v>8140</v>
      </c>
      <c r="H2938" s="143" t="s">
        <v>8141</v>
      </c>
      <c r="I2938" s="143" t="s">
        <v>8122</v>
      </c>
      <c r="J2938" s="143" t="s">
        <v>8114</v>
      </c>
      <c r="K2938" s="143">
        <v>225</v>
      </c>
      <c r="L2938" s="143">
        <v>144</v>
      </c>
      <c r="W2938" s="143" t="s">
        <v>3147</v>
      </c>
      <c r="X2938" s="143" t="s">
        <v>8140</v>
      </c>
      <c r="Y2938" s="169" t="s">
        <v>8115</v>
      </c>
      <c r="Z2938" s="143" t="s">
        <v>8140</v>
      </c>
      <c r="AA2938" s="143">
        <v>62</v>
      </c>
      <c r="AB2938" s="191">
        <v>46051</v>
      </c>
    </row>
    <row r="2939" ht="15" spans="1:28">
      <c r="A2939" s="143">
        <v>2900</v>
      </c>
      <c r="B2939" s="144">
        <v>45986</v>
      </c>
      <c r="C2939" s="169" t="s">
        <v>3148</v>
      </c>
      <c r="F2939" s="169" t="s">
        <v>8142</v>
      </c>
      <c r="H2939" s="143" t="s">
        <v>8143</v>
      </c>
      <c r="I2939" s="204" t="s">
        <v>3218</v>
      </c>
      <c r="J2939" s="143" t="s">
        <v>1577</v>
      </c>
      <c r="K2939" s="204">
        <v>145</v>
      </c>
      <c r="W2939" s="143" t="s">
        <v>3147</v>
      </c>
      <c r="X2939" s="143" t="s">
        <v>8143</v>
      </c>
      <c r="Y2939" s="169" t="s">
        <v>8144</v>
      </c>
      <c r="Z2939" s="143" t="s">
        <v>8143</v>
      </c>
      <c r="AA2939" s="173">
        <v>25.8</v>
      </c>
      <c r="AB2939" s="191">
        <v>45994</v>
      </c>
    </row>
    <row r="2940" ht="15" spans="1:28">
      <c r="A2940" s="143">
        <v>2901</v>
      </c>
      <c r="B2940" s="144">
        <v>45986</v>
      </c>
      <c r="C2940" s="169" t="s">
        <v>3148</v>
      </c>
      <c r="F2940" s="169" t="s">
        <v>8142</v>
      </c>
      <c r="H2940" s="143" t="s">
        <v>8145</v>
      </c>
      <c r="I2940" s="204" t="s">
        <v>3218</v>
      </c>
      <c r="J2940" s="143" t="s">
        <v>1577</v>
      </c>
      <c r="K2940" s="204">
        <v>145</v>
      </c>
      <c r="W2940" s="143" t="s">
        <v>3147</v>
      </c>
      <c r="X2940" s="143" t="s">
        <v>8145</v>
      </c>
      <c r="Y2940" s="169" t="s">
        <v>8144</v>
      </c>
      <c r="Z2940" s="143" t="s">
        <v>8145</v>
      </c>
      <c r="AA2940" s="173">
        <v>27.5</v>
      </c>
      <c r="AB2940" s="191">
        <v>45994</v>
      </c>
    </row>
    <row r="2941" ht="15" spans="1:28">
      <c r="A2941" s="143">
        <v>2902</v>
      </c>
      <c r="B2941" s="144">
        <v>45986</v>
      </c>
      <c r="C2941" s="169" t="s">
        <v>3148</v>
      </c>
      <c r="F2941" s="169" t="s">
        <v>8142</v>
      </c>
      <c r="H2941" s="143" t="s">
        <v>8146</v>
      </c>
      <c r="I2941" s="204" t="s">
        <v>6251</v>
      </c>
      <c r="J2941" s="143" t="s">
        <v>3106</v>
      </c>
      <c r="K2941" s="204">
        <v>140</v>
      </c>
      <c r="W2941" s="143" t="s">
        <v>3147</v>
      </c>
      <c r="X2941" s="143" t="s">
        <v>8146</v>
      </c>
      <c r="Y2941" s="169" t="s">
        <v>8144</v>
      </c>
      <c r="Z2941" s="143" t="s">
        <v>8146</v>
      </c>
      <c r="AA2941" s="173">
        <v>22.6</v>
      </c>
      <c r="AB2941" s="191">
        <v>45994</v>
      </c>
    </row>
    <row r="2942" ht="15" spans="1:28">
      <c r="A2942" s="143">
        <v>2903</v>
      </c>
      <c r="B2942" s="144">
        <v>45986</v>
      </c>
      <c r="C2942" s="169" t="s">
        <v>3148</v>
      </c>
      <c r="F2942" s="169" t="s">
        <v>8142</v>
      </c>
      <c r="H2942" s="143" t="s">
        <v>8147</v>
      </c>
      <c r="I2942" s="204" t="s">
        <v>3218</v>
      </c>
      <c r="J2942" s="143" t="s">
        <v>1577</v>
      </c>
      <c r="K2942" s="204">
        <v>145</v>
      </c>
      <c r="W2942" s="143" t="s">
        <v>3147</v>
      </c>
      <c r="X2942" s="143" t="s">
        <v>8147</v>
      </c>
      <c r="Y2942" s="169" t="s">
        <v>8144</v>
      </c>
      <c r="Z2942" s="143" t="s">
        <v>8147</v>
      </c>
      <c r="AA2942" s="173">
        <v>19</v>
      </c>
      <c r="AB2942" s="191">
        <v>45994</v>
      </c>
    </row>
    <row r="2943" ht="15" spans="1:28">
      <c r="A2943" s="143">
        <v>2904</v>
      </c>
      <c r="B2943" s="144">
        <v>45986</v>
      </c>
      <c r="C2943" s="169" t="s">
        <v>3148</v>
      </c>
      <c r="F2943" s="169" t="s">
        <v>8142</v>
      </c>
      <c r="H2943" s="143" t="s">
        <v>8148</v>
      </c>
      <c r="I2943" s="204" t="s">
        <v>3218</v>
      </c>
      <c r="J2943" s="143" t="s">
        <v>1577</v>
      </c>
      <c r="K2943" s="204">
        <v>145</v>
      </c>
      <c r="W2943" s="143" t="s">
        <v>3147</v>
      </c>
      <c r="X2943" s="143" t="s">
        <v>8148</v>
      </c>
      <c r="Y2943" s="169" t="s">
        <v>8144</v>
      </c>
      <c r="Z2943" s="143" t="s">
        <v>8148</v>
      </c>
      <c r="AA2943" s="173">
        <v>18.5</v>
      </c>
      <c r="AB2943" s="191">
        <v>45994</v>
      </c>
    </row>
    <row r="2944" ht="15" spans="1:28">
      <c r="A2944" s="143">
        <v>2905</v>
      </c>
      <c r="B2944" s="144">
        <v>45986</v>
      </c>
      <c r="C2944" s="169" t="s">
        <v>3148</v>
      </c>
      <c r="F2944" s="169" t="s">
        <v>8142</v>
      </c>
      <c r="H2944" s="143" t="s">
        <v>8149</v>
      </c>
      <c r="I2944" s="204" t="s">
        <v>3218</v>
      </c>
      <c r="J2944" s="143" t="s">
        <v>1577</v>
      </c>
      <c r="K2944" s="204">
        <v>145</v>
      </c>
      <c r="W2944" s="143" t="s">
        <v>3147</v>
      </c>
      <c r="X2944" s="143" t="s">
        <v>8149</v>
      </c>
      <c r="Y2944" s="169" t="s">
        <v>8144</v>
      </c>
      <c r="Z2944" s="143" t="s">
        <v>8149</v>
      </c>
      <c r="AA2944" s="173">
        <v>30.6</v>
      </c>
      <c r="AB2944" s="191">
        <v>45994</v>
      </c>
    </row>
    <row r="2945" ht="15" spans="1:33">
      <c r="A2945" s="143">
        <v>2906</v>
      </c>
      <c r="B2945" s="144">
        <v>45986</v>
      </c>
      <c r="C2945" s="169" t="s">
        <v>3148</v>
      </c>
      <c r="F2945" s="169" t="s">
        <v>8142</v>
      </c>
      <c r="H2945" s="143" t="s">
        <v>8150</v>
      </c>
      <c r="I2945" s="204" t="s">
        <v>3218</v>
      </c>
      <c r="J2945" s="143" t="s">
        <v>1577</v>
      </c>
      <c r="K2945" s="204">
        <v>145</v>
      </c>
      <c r="W2945" s="143" t="s">
        <v>3147</v>
      </c>
      <c r="X2945" s="143" t="s">
        <v>8150</v>
      </c>
      <c r="Y2945" s="169" t="s">
        <v>8144</v>
      </c>
      <c r="Z2945" s="143" t="s">
        <v>8150</v>
      </c>
      <c r="AA2945" s="173">
        <v>22.6</v>
      </c>
      <c r="AB2945" s="191">
        <v>45994</v>
      </c>
    </row>
    <row r="2946" ht="15" spans="1:33">
      <c r="A2946" s="143">
        <v>2907</v>
      </c>
      <c r="B2946" s="144">
        <v>45986</v>
      </c>
      <c r="C2946" s="169" t="s">
        <v>3148</v>
      </c>
      <c r="F2946" s="169" t="s">
        <v>8142</v>
      </c>
      <c r="H2946" s="143" t="s">
        <v>8151</v>
      </c>
      <c r="I2946" s="204" t="s">
        <v>3218</v>
      </c>
      <c r="J2946" s="143" t="s">
        <v>1577</v>
      </c>
      <c r="K2946" s="204">
        <v>145</v>
      </c>
      <c r="W2946" s="143" t="s">
        <v>3147</v>
      </c>
      <c r="X2946" s="143" t="s">
        <v>8151</v>
      </c>
      <c r="Y2946" s="169" t="s">
        <v>8144</v>
      </c>
      <c r="Z2946" s="143" t="s">
        <v>8151</v>
      </c>
      <c r="AA2946" s="173">
        <v>20.5</v>
      </c>
      <c r="AB2946" s="191">
        <v>45994</v>
      </c>
    </row>
    <row r="2947" ht="15" spans="1:33">
      <c r="A2947" s="143">
        <v>2908</v>
      </c>
      <c r="B2947" s="144">
        <v>45986</v>
      </c>
      <c r="C2947" s="169" t="s">
        <v>3148</v>
      </c>
      <c r="F2947" s="169" t="s">
        <v>8142</v>
      </c>
      <c r="H2947" s="143" t="s">
        <v>8152</v>
      </c>
      <c r="I2947" s="204" t="s">
        <v>3218</v>
      </c>
      <c r="J2947" s="143" t="s">
        <v>1577</v>
      </c>
      <c r="K2947" s="204">
        <v>145</v>
      </c>
      <c r="W2947" s="143" t="s">
        <v>3147</v>
      </c>
      <c r="X2947" s="143" t="s">
        <v>8152</v>
      </c>
      <c r="Y2947" s="169" t="s">
        <v>8144</v>
      </c>
      <c r="Z2947" s="143" t="s">
        <v>8152</v>
      </c>
      <c r="AA2947" s="173">
        <v>11.8</v>
      </c>
      <c r="AB2947" s="191">
        <v>45994</v>
      </c>
    </row>
    <row r="2948" ht="15" spans="1:33">
      <c r="A2948" s="143">
        <v>2909</v>
      </c>
      <c r="B2948" s="144">
        <v>45986</v>
      </c>
      <c r="C2948" s="169" t="s">
        <v>3148</v>
      </c>
      <c r="F2948" s="169" t="s">
        <v>8153</v>
      </c>
      <c r="H2948" s="143" t="s">
        <v>8154</v>
      </c>
      <c r="I2948" s="204" t="s">
        <v>8022</v>
      </c>
      <c r="J2948" s="143" t="s">
        <v>1577</v>
      </c>
      <c r="K2948" s="204">
        <v>145</v>
      </c>
      <c r="W2948" s="143" t="s">
        <v>3147</v>
      </c>
      <c r="X2948" s="143" t="s">
        <v>8154</v>
      </c>
      <c r="Y2948" s="169" t="s">
        <v>6061</v>
      </c>
      <c r="Z2948" s="143" t="s">
        <v>8154</v>
      </c>
      <c r="AA2948" s="173">
        <v>22.6</v>
      </c>
      <c r="AB2948" s="191">
        <v>45994</v>
      </c>
    </row>
    <row r="2949" ht="15" spans="1:33">
      <c r="A2949" s="143">
        <v>2910</v>
      </c>
      <c r="B2949" s="144">
        <v>45986</v>
      </c>
      <c r="C2949" s="169" t="s">
        <v>3148</v>
      </c>
      <c r="F2949" s="169" t="s">
        <v>8155</v>
      </c>
      <c r="H2949" s="143" t="s">
        <v>8156</v>
      </c>
      <c r="I2949" s="204" t="s">
        <v>8022</v>
      </c>
      <c r="J2949" s="143" t="s">
        <v>1577</v>
      </c>
      <c r="K2949" s="204">
        <v>145</v>
      </c>
      <c r="W2949" s="143" t="s">
        <v>3147</v>
      </c>
      <c r="X2949" s="143" t="s">
        <v>8156</v>
      </c>
      <c r="Y2949" s="169" t="s">
        <v>8157</v>
      </c>
      <c r="Z2949" s="143" t="s">
        <v>8156</v>
      </c>
      <c r="AA2949" s="173">
        <v>18.6</v>
      </c>
      <c r="AB2949" s="191">
        <v>45994</v>
      </c>
    </row>
    <row r="2950" spans="1:33">
      <c r="A2950" s="143">
        <v>2911</v>
      </c>
      <c r="B2950" s="144">
        <v>45989</v>
      </c>
      <c r="C2950" s="169" t="s">
        <v>3277</v>
      </c>
      <c r="D2950" s="143" t="s">
        <v>41</v>
      </c>
      <c r="E2950" s="145" t="s">
        <v>8158</v>
      </c>
      <c r="F2950" s="143" t="s">
        <v>8159</v>
      </c>
      <c r="H2950" s="143" t="s">
        <v>8160</v>
      </c>
      <c r="K2950" s="143">
        <v>165</v>
      </c>
      <c r="L2950" s="143">
        <v>200</v>
      </c>
      <c r="W2950" s="143" t="s">
        <v>3147</v>
      </c>
      <c r="X2950" s="143" t="str">
        <f>F2950</f>
        <v>1816# 200g双面乱麻</v>
      </c>
      <c r="Y2950" s="169" t="s">
        <v>8161</v>
      </c>
      <c r="Z2950" s="143" t="str">
        <f>X2950</f>
        <v>1816# 200g双面乱麻</v>
      </c>
    </row>
    <row r="2951" spans="1:33">
      <c r="A2951" s="143">
        <v>2912</v>
      </c>
      <c r="B2951" s="144">
        <v>45989</v>
      </c>
      <c r="C2951" s="169" t="s">
        <v>3277</v>
      </c>
      <c r="D2951" s="143" t="s">
        <v>41</v>
      </c>
      <c r="E2951" s="145" t="s">
        <v>8158</v>
      </c>
      <c r="F2951" s="169" t="s">
        <v>8162</v>
      </c>
      <c r="H2951" s="143" t="s">
        <v>8163</v>
      </c>
      <c r="K2951" s="143">
        <v>150</v>
      </c>
      <c r="W2951" s="143" t="s">
        <v>3147</v>
      </c>
      <c r="X2951" s="143" t="str">
        <f>F2951</f>
        <v>805 加厚阳光麻</v>
      </c>
      <c r="Y2951" s="169" t="s">
        <v>8164</v>
      </c>
      <c r="Z2951" s="143" t="str">
        <f>X2951</f>
        <v>805 加厚阳光麻</v>
      </c>
    </row>
    <row r="2952" spans="1:33">
      <c r="A2952" s="143">
        <v>2913</v>
      </c>
      <c r="B2952" s="144">
        <v>45990</v>
      </c>
      <c r="C2952" s="169" t="s">
        <v>3148</v>
      </c>
      <c r="D2952" s="143" t="s">
        <v>41</v>
      </c>
      <c r="F2952" s="143" t="s">
        <v>8165</v>
      </c>
      <c r="H2952" s="143" t="s">
        <v>8166</v>
      </c>
      <c r="I2952" s="143" t="s">
        <v>3157</v>
      </c>
      <c r="J2952" s="143" t="s">
        <v>3684</v>
      </c>
      <c r="K2952" s="143">
        <v>145</v>
      </c>
      <c r="L2952" s="143">
        <v>135</v>
      </c>
      <c r="W2952" s="169" t="s">
        <v>294</v>
      </c>
      <c r="X2952" s="143" t="s">
        <v>8165</v>
      </c>
      <c r="Y2952" s="169" t="s">
        <v>294</v>
      </c>
      <c r="Z2952" s="143" t="s">
        <v>8165</v>
      </c>
      <c r="AA2952" s="143">
        <v>10.5</v>
      </c>
      <c r="AB2952" s="191">
        <v>45989</v>
      </c>
    </row>
    <row r="2953" spans="1:33">
      <c r="A2953" s="143">
        <v>2914</v>
      </c>
      <c r="B2953" s="144">
        <v>45990</v>
      </c>
      <c r="C2953" s="169" t="s">
        <v>3148</v>
      </c>
      <c r="D2953" s="143" t="s">
        <v>41</v>
      </c>
      <c r="F2953" s="143" t="s">
        <v>8167</v>
      </c>
      <c r="H2953" s="143" t="s">
        <v>8168</v>
      </c>
      <c r="I2953" s="143" t="s">
        <v>3157</v>
      </c>
      <c r="J2953" s="143" t="s">
        <v>3684</v>
      </c>
      <c r="K2953" s="143">
        <v>145</v>
      </c>
      <c r="L2953" s="143">
        <v>100</v>
      </c>
      <c r="W2953" s="169" t="s">
        <v>294</v>
      </c>
      <c r="X2953" s="143" t="s">
        <v>8167</v>
      </c>
      <c r="Y2953" s="169" t="s">
        <v>294</v>
      </c>
      <c r="Z2953" s="143" t="s">
        <v>8167</v>
      </c>
      <c r="AA2953" s="143">
        <v>10</v>
      </c>
      <c r="AB2953" s="191">
        <v>45989</v>
      </c>
    </row>
    <row r="2954" ht="16.5" spans="1:33">
      <c r="A2954" s="143">
        <v>2915</v>
      </c>
      <c r="B2954" s="144">
        <v>45992</v>
      </c>
      <c r="C2954" s="169" t="s">
        <v>3148</v>
      </c>
      <c r="D2954" s="143" t="s">
        <v>41</v>
      </c>
      <c r="F2954" s="143" t="s">
        <v>8169</v>
      </c>
      <c r="H2954" s="143" t="s">
        <v>8170</v>
      </c>
      <c r="I2954" s="143" t="s">
        <v>3742</v>
      </c>
      <c r="J2954" s="143" t="s">
        <v>3657</v>
      </c>
      <c r="K2954" s="143">
        <v>165</v>
      </c>
      <c r="L2954" s="143">
        <v>200</v>
      </c>
      <c r="W2954" s="169" t="s">
        <v>294</v>
      </c>
      <c r="X2954" s="143" t="s">
        <v>8169</v>
      </c>
      <c r="Y2954" s="169" t="s">
        <v>294</v>
      </c>
      <c r="Z2954" s="143" t="s">
        <v>8169</v>
      </c>
      <c r="AA2954" s="237">
        <v>11.5</v>
      </c>
      <c r="AB2954" s="191">
        <v>45991</v>
      </c>
      <c r="AG2954" s="237">
        <v>34.5</v>
      </c>
    </row>
    <row r="2955" ht="16.5" spans="1:33">
      <c r="A2955" s="143">
        <v>2916</v>
      </c>
      <c r="B2955" s="144">
        <v>45992</v>
      </c>
      <c r="C2955" s="169" t="s">
        <v>3148</v>
      </c>
      <c r="D2955" s="143" t="s">
        <v>41</v>
      </c>
      <c r="F2955" s="143" t="s">
        <v>8171</v>
      </c>
      <c r="H2955" s="143" t="s">
        <v>8172</v>
      </c>
      <c r="I2955" s="143" t="s">
        <v>3742</v>
      </c>
      <c r="J2955" s="143" t="s">
        <v>3657</v>
      </c>
      <c r="K2955" s="143">
        <v>165</v>
      </c>
      <c r="L2955" s="143">
        <v>240</v>
      </c>
      <c r="W2955" s="169" t="s">
        <v>294</v>
      </c>
      <c r="X2955" s="143" t="s">
        <v>8171</v>
      </c>
      <c r="Y2955" s="169" t="s">
        <v>294</v>
      </c>
      <c r="Z2955" s="143" t="s">
        <v>8171</v>
      </c>
      <c r="AA2955" s="237">
        <v>14.5</v>
      </c>
      <c r="AB2955" s="191">
        <v>45991</v>
      </c>
      <c r="AG2955" s="237">
        <v>34.5</v>
      </c>
    </row>
    <row r="2956" ht="16.5" spans="1:33">
      <c r="A2956" s="143">
        <v>2917</v>
      </c>
      <c r="B2956" s="144">
        <v>45992</v>
      </c>
      <c r="C2956" s="169" t="s">
        <v>3148</v>
      </c>
      <c r="D2956" s="143" t="s">
        <v>41</v>
      </c>
      <c r="F2956" s="238" t="s">
        <v>8173</v>
      </c>
      <c r="H2956" s="143" t="s">
        <v>8174</v>
      </c>
      <c r="I2956" s="143" t="s">
        <v>3742</v>
      </c>
      <c r="J2956" s="143" t="s">
        <v>3657</v>
      </c>
      <c r="K2956" s="143">
        <v>165</v>
      </c>
      <c r="L2956" s="143">
        <v>300</v>
      </c>
      <c r="W2956" s="169" t="s">
        <v>294</v>
      </c>
      <c r="X2956" s="238" t="s">
        <v>8173</v>
      </c>
      <c r="Y2956" s="169" t="s">
        <v>294</v>
      </c>
      <c r="Z2956" s="238" t="s">
        <v>8173</v>
      </c>
      <c r="AA2956" s="237">
        <v>17.5</v>
      </c>
      <c r="AB2956" s="191">
        <v>45991</v>
      </c>
      <c r="AG2956" s="237">
        <v>34.5</v>
      </c>
    </row>
    <row r="2957" ht="16.5" spans="1:33">
      <c r="A2957" s="143">
        <v>2918</v>
      </c>
      <c r="B2957" s="144">
        <v>45992</v>
      </c>
      <c r="C2957" s="169" t="s">
        <v>3148</v>
      </c>
      <c r="D2957" s="143" t="s">
        <v>41</v>
      </c>
      <c r="F2957" s="143" t="s">
        <v>8175</v>
      </c>
      <c r="H2957" s="143" t="s">
        <v>8176</v>
      </c>
      <c r="I2957" s="143" t="s">
        <v>8177</v>
      </c>
      <c r="J2957" s="143" t="s">
        <v>6335</v>
      </c>
      <c r="K2957" s="143">
        <v>175</v>
      </c>
      <c r="L2957" s="143">
        <v>210</v>
      </c>
      <c r="W2957" s="169" t="s">
        <v>294</v>
      </c>
      <c r="X2957" s="143" t="s">
        <v>8175</v>
      </c>
      <c r="Y2957" s="169" t="s">
        <v>294</v>
      </c>
      <c r="Z2957" s="143" t="s">
        <v>8175</v>
      </c>
      <c r="AA2957" s="237">
        <v>15</v>
      </c>
      <c r="AB2957" s="191">
        <v>45991</v>
      </c>
      <c r="AG2957" s="237">
        <v>40</v>
      </c>
    </row>
    <row r="2958" ht="16.5" spans="1:33">
      <c r="A2958" s="143">
        <v>2919</v>
      </c>
      <c r="B2958" s="144">
        <v>45993</v>
      </c>
      <c r="C2958" s="169" t="s">
        <v>3646</v>
      </c>
      <c r="F2958" s="233" t="s">
        <v>8178</v>
      </c>
      <c r="H2958" s="143" t="s">
        <v>8179</v>
      </c>
      <c r="I2958" s="233" t="s">
        <v>8180</v>
      </c>
      <c r="J2958" s="143" t="s">
        <v>8181</v>
      </c>
      <c r="K2958" s="207">
        <v>138</v>
      </c>
      <c r="L2958" s="207">
        <v>188</v>
      </c>
      <c r="W2958" s="169" t="s">
        <v>8182</v>
      </c>
      <c r="X2958" s="233" t="s">
        <v>8183</v>
      </c>
      <c r="Y2958" s="169" t="s">
        <v>8182</v>
      </c>
      <c r="Z2958" s="233" t="s">
        <v>8183</v>
      </c>
      <c r="AA2958" s="207">
        <v>48</v>
      </c>
      <c r="AB2958" s="169" t="s">
        <v>8184</v>
      </c>
    </row>
    <row r="2959" ht="16.5" spans="1:33">
      <c r="A2959" s="143">
        <v>2920</v>
      </c>
      <c r="B2959" s="144">
        <v>45993</v>
      </c>
      <c r="C2959" s="169" t="s">
        <v>3646</v>
      </c>
      <c r="F2959" s="233" t="s">
        <v>8178</v>
      </c>
      <c r="H2959" s="143" t="s">
        <v>8185</v>
      </c>
      <c r="I2959" s="233" t="s">
        <v>8180</v>
      </c>
      <c r="J2959" s="143" t="s">
        <v>8181</v>
      </c>
      <c r="K2959" s="207">
        <v>138</v>
      </c>
      <c r="L2959" s="207">
        <v>121</v>
      </c>
      <c r="W2959" s="169" t="s">
        <v>8182</v>
      </c>
      <c r="X2959" s="233" t="s">
        <v>8186</v>
      </c>
      <c r="Y2959" s="169" t="s">
        <v>8182</v>
      </c>
      <c r="Z2959" s="233" t="s">
        <v>8186</v>
      </c>
      <c r="AA2959" s="207">
        <v>44</v>
      </c>
      <c r="AB2959" s="169" t="s">
        <v>8184</v>
      </c>
    </row>
    <row r="2960" ht="16.5" spans="1:33">
      <c r="A2960" s="143">
        <v>2921</v>
      </c>
      <c r="B2960" s="144">
        <v>45993</v>
      </c>
      <c r="C2960" s="169" t="s">
        <v>3646</v>
      </c>
      <c r="F2960" s="233" t="s">
        <v>8187</v>
      </c>
      <c r="H2960" s="143" t="s">
        <v>8188</v>
      </c>
      <c r="I2960" s="233" t="s">
        <v>8180</v>
      </c>
      <c r="J2960" s="143" t="s">
        <v>8181</v>
      </c>
      <c r="K2960" s="207">
        <v>138</v>
      </c>
      <c r="L2960" s="207">
        <v>142</v>
      </c>
      <c r="W2960" s="169" t="s">
        <v>8182</v>
      </c>
      <c r="X2960" s="233" t="s">
        <v>8189</v>
      </c>
      <c r="Y2960" s="169" t="s">
        <v>8182</v>
      </c>
      <c r="Z2960" s="233" t="s">
        <v>8189</v>
      </c>
      <c r="AA2960" s="207">
        <v>44</v>
      </c>
      <c r="AB2960" s="169" t="s">
        <v>8184</v>
      </c>
    </row>
    <row r="2961" ht="33" spans="1:28">
      <c r="A2961" s="143">
        <v>2922</v>
      </c>
      <c r="B2961" s="144">
        <v>45993</v>
      </c>
      <c r="C2961" s="169" t="s">
        <v>3646</v>
      </c>
      <c r="F2961" s="233" t="s">
        <v>8190</v>
      </c>
      <c r="H2961" s="143" t="s">
        <v>8191</v>
      </c>
      <c r="I2961" s="239" t="s">
        <v>8192</v>
      </c>
      <c r="J2961" s="143" t="s">
        <v>8193</v>
      </c>
      <c r="K2961" s="207">
        <v>140</v>
      </c>
      <c r="L2961" s="207">
        <v>133</v>
      </c>
      <c r="W2961" s="169" t="s">
        <v>8182</v>
      </c>
      <c r="X2961" s="233" t="s">
        <v>8194</v>
      </c>
      <c r="Y2961" s="169" t="s">
        <v>8182</v>
      </c>
      <c r="Z2961" s="233" t="s">
        <v>8194</v>
      </c>
      <c r="AA2961" s="207">
        <v>18</v>
      </c>
      <c r="AB2961" s="169" t="s">
        <v>8184</v>
      </c>
    </row>
    <row r="2962" ht="33" spans="1:28">
      <c r="A2962" s="143">
        <v>2923</v>
      </c>
      <c r="B2962" s="144">
        <v>45993</v>
      </c>
      <c r="C2962" s="169" t="s">
        <v>3646</v>
      </c>
      <c r="F2962" s="233" t="s">
        <v>8190</v>
      </c>
      <c r="H2962" s="143" t="s">
        <v>8195</v>
      </c>
      <c r="I2962" s="239" t="s">
        <v>8192</v>
      </c>
      <c r="J2962" s="143" t="s">
        <v>8193</v>
      </c>
      <c r="K2962" s="207">
        <v>140</v>
      </c>
      <c r="L2962" s="207">
        <v>128</v>
      </c>
      <c r="W2962" s="169" t="s">
        <v>8182</v>
      </c>
      <c r="X2962" s="233" t="s">
        <v>8196</v>
      </c>
      <c r="Y2962" s="169" t="s">
        <v>8182</v>
      </c>
      <c r="Z2962" s="233" t="s">
        <v>8196</v>
      </c>
      <c r="AA2962" s="207">
        <v>22</v>
      </c>
      <c r="AB2962" s="169" t="s">
        <v>8184</v>
      </c>
    </row>
    <row r="2963" ht="33" spans="1:28">
      <c r="A2963" s="143">
        <v>2924</v>
      </c>
      <c r="B2963" s="144">
        <v>45993</v>
      </c>
      <c r="C2963" s="169" t="s">
        <v>3646</v>
      </c>
      <c r="F2963" s="233" t="s">
        <v>8197</v>
      </c>
      <c r="H2963" s="143" t="s">
        <v>8198</v>
      </c>
      <c r="I2963" s="239" t="s">
        <v>8199</v>
      </c>
      <c r="J2963" s="143" t="s">
        <v>8200</v>
      </c>
      <c r="K2963" s="207">
        <v>140</v>
      </c>
      <c r="L2963" s="207">
        <v>92</v>
      </c>
      <c r="W2963" s="169" t="s">
        <v>8182</v>
      </c>
      <c r="X2963" s="207">
        <v>2036</v>
      </c>
      <c r="Y2963" s="169" t="s">
        <v>8182</v>
      </c>
      <c r="Z2963" s="233">
        <v>2036</v>
      </c>
      <c r="AA2963" s="207">
        <v>34</v>
      </c>
      <c r="AB2963" s="169" t="s">
        <v>8184</v>
      </c>
    </row>
    <row r="2964" ht="33" spans="1:28">
      <c r="A2964" s="143">
        <v>2925</v>
      </c>
      <c r="B2964" s="144">
        <v>45993</v>
      </c>
      <c r="C2964" s="169" t="s">
        <v>3646</v>
      </c>
      <c r="F2964" s="233" t="s">
        <v>8201</v>
      </c>
      <c r="H2964" s="143" t="s">
        <v>8202</v>
      </c>
      <c r="I2964" s="239" t="s">
        <v>8203</v>
      </c>
      <c r="J2964" s="143" t="s">
        <v>8204</v>
      </c>
      <c r="K2964" s="207">
        <v>118</v>
      </c>
      <c r="L2964" s="207">
        <v>200</v>
      </c>
      <c r="W2964" s="169" t="s">
        <v>8182</v>
      </c>
      <c r="X2964" s="207">
        <v>125</v>
      </c>
      <c r="Y2964" s="169" t="s">
        <v>8182</v>
      </c>
      <c r="Z2964" s="233">
        <v>125</v>
      </c>
      <c r="AA2964" s="207"/>
      <c r="AB2964" s="169" t="s">
        <v>8184</v>
      </c>
    </row>
    <row r="2965" ht="33" spans="1:28">
      <c r="A2965" s="143">
        <v>2926</v>
      </c>
      <c r="B2965" s="144">
        <v>45993</v>
      </c>
      <c r="C2965" s="169" t="s">
        <v>3646</v>
      </c>
      <c r="F2965" s="233" t="s">
        <v>8205</v>
      </c>
      <c r="H2965" s="143" t="s">
        <v>8206</v>
      </c>
      <c r="I2965" s="239" t="s">
        <v>8207</v>
      </c>
      <c r="J2965" s="143" t="s">
        <v>8208</v>
      </c>
      <c r="K2965" s="207">
        <v>140</v>
      </c>
      <c r="L2965" s="207">
        <v>175</v>
      </c>
      <c r="W2965" s="169" t="s">
        <v>8182</v>
      </c>
      <c r="X2965" s="233" t="s">
        <v>8209</v>
      </c>
      <c r="Y2965" s="169" t="s">
        <v>8182</v>
      </c>
      <c r="Z2965" s="233" t="s">
        <v>8209</v>
      </c>
      <c r="AA2965" s="207">
        <v>14</v>
      </c>
      <c r="AB2965" s="169" t="s">
        <v>8184</v>
      </c>
    </row>
    <row r="2966" ht="33" spans="1:28">
      <c r="A2966" s="143">
        <v>2927</v>
      </c>
      <c r="B2966" s="144">
        <v>45993</v>
      </c>
      <c r="C2966" s="169" t="s">
        <v>3646</v>
      </c>
      <c r="F2966" s="233" t="s">
        <v>8210</v>
      </c>
      <c r="H2966" s="143" t="s">
        <v>8211</v>
      </c>
      <c r="I2966" s="239" t="s">
        <v>8207</v>
      </c>
      <c r="J2966" s="143" t="s">
        <v>8208</v>
      </c>
      <c r="K2966" s="207">
        <v>140</v>
      </c>
      <c r="L2966" s="207">
        <v>200</v>
      </c>
      <c r="W2966" s="169" t="s">
        <v>8182</v>
      </c>
      <c r="X2966" s="233" t="s">
        <v>8212</v>
      </c>
      <c r="Y2966" s="169" t="s">
        <v>8182</v>
      </c>
      <c r="Z2966" s="233" t="s">
        <v>8212</v>
      </c>
      <c r="AA2966" s="207">
        <v>11.2</v>
      </c>
      <c r="AB2966" s="169" t="s">
        <v>8184</v>
      </c>
    </row>
    <row r="2967" ht="33" spans="1:28">
      <c r="A2967" s="143">
        <v>2928</v>
      </c>
      <c r="B2967" s="144">
        <v>45993</v>
      </c>
      <c r="C2967" s="169" t="s">
        <v>3646</v>
      </c>
      <c r="F2967" s="233" t="s">
        <v>8213</v>
      </c>
      <c r="H2967" s="143" t="s">
        <v>8214</v>
      </c>
      <c r="I2967" s="239" t="s">
        <v>8215</v>
      </c>
      <c r="J2967" s="143" t="s">
        <v>8216</v>
      </c>
      <c r="K2967" s="207">
        <v>138</v>
      </c>
      <c r="L2967" s="207">
        <v>205</v>
      </c>
      <c r="W2967" s="169" t="s">
        <v>8182</v>
      </c>
      <c r="X2967" s="233" t="s">
        <v>8217</v>
      </c>
      <c r="Y2967" s="169" t="s">
        <v>8182</v>
      </c>
      <c r="Z2967" s="233" t="s">
        <v>8217</v>
      </c>
      <c r="AA2967" s="207"/>
      <c r="AB2967" s="169" t="s">
        <v>8184</v>
      </c>
    </row>
    <row r="2968" ht="16.5" spans="1:28">
      <c r="A2968" s="143">
        <v>2929</v>
      </c>
      <c r="B2968" s="144">
        <v>45993</v>
      </c>
      <c r="C2968" s="169" t="s">
        <v>3646</v>
      </c>
      <c r="F2968" s="233" t="s">
        <v>8218</v>
      </c>
      <c r="H2968" s="143" t="s">
        <v>8219</v>
      </c>
      <c r="I2968" s="233" t="s">
        <v>8220</v>
      </c>
      <c r="J2968" s="143" t="s">
        <v>8221</v>
      </c>
      <c r="K2968" s="207">
        <v>142</v>
      </c>
      <c r="L2968" s="207">
        <v>60</v>
      </c>
      <c r="W2968" s="169" t="s">
        <v>8182</v>
      </c>
      <c r="X2968" s="233" t="s">
        <v>8222</v>
      </c>
      <c r="Y2968" s="169" t="s">
        <v>8182</v>
      </c>
      <c r="Z2968" s="233" t="s">
        <v>8222</v>
      </c>
      <c r="AA2968" s="207">
        <v>42</v>
      </c>
      <c r="AB2968" s="169" t="s">
        <v>8184</v>
      </c>
    </row>
    <row r="2969" ht="16.5" spans="1:28">
      <c r="A2969" s="143">
        <v>2930</v>
      </c>
      <c r="B2969" s="144">
        <v>45993</v>
      </c>
      <c r="C2969" s="169" t="s">
        <v>3646</v>
      </c>
      <c r="F2969" s="233" t="s">
        <v>8218</v>
      </c>
      <c r="H2969" s="143" t="s">
        <v>8223</v>
      </c>
      <c r="I2969" s="233" t="s">
        <v>8224</v>
      </c>
      <c r="J2969" s="143" t="s">
        <v>8221</v>
      </c>
      <c r="K2969" s="207">
        <v>142</v>
      </c>
      <c r="L2969" s="207">
        <v>60</v>
      </c>
      <c r="W2969" s="169" t="s">
        <v>8182</v>
      </c>
      <c r="X2969" s="233" t="s">
        <v>8225</v>
      </c>
      <c r="Y2969" s="169" t="s">
        <v>8182</v>
      </c>
      <c r="Z2969" s="233" t="s">
        <v>8225</v>
      </c>
      <c r="AA2969" s="207">
        <v>23</v>
      </c>
      <c r="AB2969" s="169" t="s">
        <v>8184</v>
      </c>
    </row>
    <row r="2970" ht="16.5" spans="1:28">
      <c r="A2970" s="143">
        <v>2931</v>
      </c>
      <c r="B2970" s="144">
        <v>45993</v>
      </c>
      <c r="C2970" s="169" t="s">
        <v>3646</v>
      </c>
      <c r="F2970" s="233" t="s">
        <v>8218</v>
      </c>
      <c r="H2970" s="143" t="s">
        <v>8226</v>
      </c>
      <c r="I2970" s="233" t="s">
        <v>8224</v>
      </c>
      <c r="J2970" s="143" t="s">
        <v>8221</v>
      </c>
      <c r="K2970" s="207">
        <v>140</v>
      </c>
      <c r="L2970" s="207">
        <v>75</v>
      </c>
      <c r="W2970" s="169" t="s">
        <v>8182</v>
      </c>
      <c r="X2970" s="233" t="s">
        <v>8227</v>
      </c>
      <c r="Y2970" s="169" t="s">
        <v>8182</v>
      </c>
      <c r="Z2970" s="233" t="s">
        <v>8227</v>
      </c>
      <c r="AA2970" s="207">
        <v>28</v>
      </c>
      <c r="AB2970" s="169" t="s">
        <v>8184</v>
      </c>
    </row>
    <row r="2971" ht="16.5" spans="1:28">
      <c r="A2971" s="143">
        <v>2932</v>
      </c>
      <c r="B2971" s="144">
        <v>45993</v>
      </c>
      <c r="C2971" s="169" t="s">
        <v>3646</v>
      </c>
      <c r="F2971" s="233" t="s">
        <v>8228</v>
      </c>
      <c r="H2971" s="143" t="s">
        <v>8229</v>
      </c>
      <c r="I2971" s="233" t="s">
        <v>8224</v>
      </c>
      <c r="J2971" s="143" t="s">
        <v>8221</v>
      </c>
      <c r="K2971" s="207">
        <v>138</v>
      </c>
      <c r="L2971" s="207">
        <v>75</v>
      </c>
      <c r="W2971" s="169" t="s">
        <v>8182</v>
      </c>
      <c r="X2971" s="233" t="s">
        <v>8230</v>
      </c>
      <c r="Y2971" s="169" t="s">
        <v>8182</v>
      </c>
      <c r="Z2971" s="233" t="s">
        <v>8230</v>
      </c>
      <c r="AA2971" s="207">
        <v>29</v>
      </c>
      <c r="AB2971" s="169" t="s">
        <v>8184</v>
      </c>
    </row>
    <row r="2972" ht="33" spans="1:28">
      <c r="A2972" s="143">
        <v>2933</v>
      </c>
      <c r="B2972" s="144">
        <v>45993</v>
      </c>
      <c r="C2972" s="169" t="s">
        <v>3646</v>
      </c>
      <c r="F2972" s="233" t="s">
        <v>8231</v>
      </c>
      <c r="H2972" s="143" t="s">
        <v>8232</v>
      </c>
      <c r="I2972" s="239" t="s">
        <v>8233</v>
      </c>
      <c r="J2972" s="143" t="s">
        <v>8234</v>
      </c>
      <c r="K2972" s="207">
        <v>138</v>
      </c>
      <c r="L2972" s="207">
        <v>230</v>
      </c>
      <c r="W2972" s="169" t="s">
        <v>8182</v>
      </c>
      <c r="X2972" s="233" t="s">
        <v>8235</v>
      </c>
      <c r="Y2972" s="169" t="s">
        <v>8182</v>
      </c>
      <c r="Z2972" s="233" t="s">
        <v>8235</v>
      </c>
      <c r="AA2972" s="207"/>
      <c r="AB2972" s="169" t="s">
        <v>8184</v>
      </c>
    </row>
    <row r="2973" ht="33" spans="1:28">
      <c r="A2973" s="143">
        <v>2934</v>
      </c>
      <c r="B2973" s="144">
        <v>45993</v>
      </c>
      <c r="C2973" s="169" t="s">
        <v>3646</v>
      </c>
      <c r="F2973" s="233" t="s">
        <v>8236</v>
      </c>
      <c r="H2973" s="143" t="s">
        <v>8237</v>
      </c>
      <c r="I2973" s="239" t="s">
        <v>8233</v>
      </c>
      <c r="J2973" s="143" t="s">
        <v>8234</v>
      </c>
      <c r="K2973" s="207">
        <v>138</v>
      </c>
      <c r="L2973" s="207">
        <v>220</v>
      </c>
      <c r="W2973" s="169" t="s">
        <v>8182</v>
      </c>
      <c r="X2973" s="233" t="s">
        <v>8238</v>
      </c>
      <c r="Y2973" s="169" t="s">
        <v>8182</v>
      </c>
      <c r="Z2973" s="233" t="s">
        <v>8238</v>
      </c>
      <c r="AA2973" s="207"/>
      <c r="AB2973" s="169" t="s">
        <v>8184</v>
      </c>
    </row>
    <row r="2974" spans="1:28">
      <c r="A2974" s="143">
        <v>2935</v>
      </c>
      <c r="B2974" s="144">
        <v>45996</v>
      </c>
      <c r="C2974" s="169" t="s">
        <v>3646</v>
      </c>
      <c r="F2974" s="143" t="s">
        <v>289</v>
      </c>
      <c r="H2974" s="143" t="s">
        <v>8239</v>
      </c>
      <c r="I2974" s="143" t="s">
        <v>281</v>
      </c>
      <c r="J2974" s="143" t="s">
        <v>282</v>
      </c>
      <c r="K2974" s="143">
        <v>145</v>
      </c>
      <c r="L2974" s="143">
        <v>100</v>
      </c>
      <c r="Q2974" s="143" t="s">
        <v>291</v>
      </c>
      <c r="W2974" s="143" t="s">
        <v>292</v>
      </c>
      <c r="X2974" s="143" t="s">
        <v>8240</v>
      </c>
      <c r="Y2974" s="143" t="s">
        <v>292</v>
      </c>
      <c r="Z2974" s="143" t="s">
        <v>8240</v>
      </c>
      <c r="AA2974" s="240">
        <v>3.85</v>
      </c>
      <c r="AB2974" s="170"/>
    </row>
    <row r="2975" spans="1:28">
      <c r="A2975" s="143">
        <v>2936</v>
      </c>
      <c r="B2975" s="144">
        <v>45996</v>
      </c>
      <c r="C2975" s="169" t="s">
        <v>3646</v>
      </c>
      <c r="F2975" s="143" t="s">
        <v>8241</v>
      </c>
      <c r="H2975" s="143" t="s">
        <v>8242</v>
      </c>
      <c r="I2975" s="143" t="s">
        <v>281</v>
      </c>
      <c r="J2975" s="143" t="s">
        <v>282</v>
      </c>
      <c r="K2975" s="143" t="s">
        <v>8243</v>
      </c>
      <c r="L2975" s="143">
        <v>125</v>
      </c>
      <c r="Q2975" s="143" t="s">
        <v>8244</v>
      </c>
      <c r="W2975" s="143" t="s">
        <v>292</v>
      </c>
      <c r="X2975" s="143" t="s">
        <v>8241</v>
      </c>
      <c r="Y2975" s="143" t="s">
        <v>292</v>
      </c>
      <c r="Z2975" s="143" t="s">
        <v>8241</v>
      </c>
      <c r="AA2975" s="143">
        <v>4.5</v>
      </c>
    </row>
    <row r="2976" spans="1:28">
      <c r="A2976" s="143">
        <v>2937</v>
      </c>
      <c r="B2976" s="144">
        <v>45996</v>
      </c>
      <c r="C2976" s="169" t="s">
        <v>3148</v>
      </c>
      <c r="F2976" s="143" t="s">
        <v>8245</v>
      </c>
      <c r="H2976" s="143" t="s">
        <v>8246</v>
      </c>
      <c r="I2976" s="143" t="s">
        <v>8247</v>
      </c>
      <c r="J2976" s="143" t="s">
        <v>8248</v>
      </c>
      <c r="K2976" s="143">
        <v>160</v>
      </c>
      <c r="L2976" s="143">
        <v>170</v>
      </c>
      <c r="W2976" s="169" t="s">
        <v>294</v>
      </c>
      <c r="X2976" s="143" t="s">
        <v>8245</v>
      </c>
      <c r="Y2976" s="169" t="s">
        <v>294</v>
      </c>
      <c r="Z2976" s="143" t="s">
        <v>8245</v>
      </c>
      <c r="AA2976" s="143">
        <v>14.5</v>
      </c>
    </row>
    <row r="2977" spans="1:34">
      <c r="A2977" s="143">
        <v>2938</v>
      </c>
      <c r="B2977" s="144">
        <v>45996</v>
      </c>
      <c r="C2977" s="169" t="s">
        <v>3148</v>
      </c>
      <c r="F2977" s="143" t="s">
        <v>8249</v>
      </c>
      <c r="H2977" s="143" t="s">
        <v>8250</v>
      </c>
      <c r="I2977" s="143" t="s">
        <v>8251</v>
      </c>
      <c r="J2977" s="143" t="s">
        <v>8252</v>
      </c>
      <c r="K2977" s="143">
        <v>170</v>
      </c>
      <c r="L2977" s="143">
        <v>165</v>
      </c>
      <c r="W2977" s="169" t="s">
        <v>294</v>
      </c>
      <c r="X2977" s="143" t="s">
        <v>8249</v>
      </c>
      <c r="Y2977" s="169" t="s">
        <v>294</v>
      </c>
      <c r="Z2977" s="143" t="s">
        <v>8249</v>
      </c>
      <c r="AA2977" s="143">
        <v>14.5</v>
      </c>
    </row>
    <row r="2978" spans="1:34">
      <c r="A2978" s="143">
        <v>2939</v>
      </c>
      <c r="B2978" s="144">
        <v>45996</v>
      </c>
      <c r="C2978" s="169" t="s">
        <v>3148</v>
      </c>
      <c r="F2978" s="143" t="s">
        <v>8253</v>
      </c>
      <c r="H2978" s="143" t="s">
        <v>8254</v>
      </c>
      <c r="I2978" s="143" t="s">
        <v>8255</v>
      </c>
      <c r="J2978" s="143" t="s">
        <v>8256</v>
      </c>
      <c r="K2978" s="143">
        <v>165</v>
      </c>
      <c r="L2978" s="143">
        <v>165</v>
      </c>
      <c r="W2978" s="169" t="s">
        <v>294</v>
      </c>
      <c r="X2978" s="143" t="s">
        <v>8253</v>
      </c>
      <c r="Y2978" s="169" t="s">
        <v>294</v>
      </c>
      <c r="Z2978" s="143" t="s">
        <v>8253</v>
      </c>
      <c r="AA2978" s="143">
        <v>11</v>
      </c>
    </row>
    <row r="2979" spans="1:34">
      <c r="A2979" s="143">
        <v>2940</v>
      </c>
      <c r="B2979" s="144">
        <v>45996</v>
      </c>
      <c r="C2979" s="169" t="s">
        <v>3148</v>
      </c>
      <c r="F2979" s="143" t="s">
        <v>8257</v>
      </c>
      <c r="H2979" s="143" t="s">
        <v>8258</v>
      </c>
      <c r="I2979" s="143" t="s">
        <v>8259</v>
      </c>
      <c r="J2979" s="143" t="s">
        <v>8260</v>
      </c>
      <c r="K2979" s="143">
        <v>155</v>
      </c>
      <c r="L2979" s="143">
        <v>150</v>
      </c>
      <c r="W2979" s="169" t="s">
        <v>294</v>
      </c>
      <c r="X2979" s="143" t="s">
        <v>8257</v>
      </c>
      <c r="Y2979" s="169" t="s">
        <v>294</v>
      </c>
      <c r="Z2979" s="143" t="s">
        <v>8257</v>
      </c>
      <c r="AA2979" s="143">
        <v>12</v>
      </c>
    </row>
    <row r="2980" ht="16.5" spans="1:34">
      <c r="A2980" s="143">
        <v>2941</v>
      </c>
      <c r="B2980" s="144">
        <v>45996</v>
      </c>
      <c r="C2980" s="169" t="s">
        <v>3277</v>
      </c>
      <c r="F2980" s="143" t="s">
        <v>8261</v>
      </c>
      <c r="H2980" s="143" t="s">
        <v>8262</v>
      </c>
      <c r="I2980" s="143" t="s">
        <v>3218</v>
      </c>
      <c r="J2980" s="143" t="s">
        <v>1577</v>
      </c>
      <c r="K2980" s="143">
        <v>150</v>
      </c>
      <c r="L2980" s="143">
        <v>150</v>
      </c>
      <c r="W2980" s="169" t="s">
        <v>294</v>
      </c>
      <c r="X2980" s="143" t="str">
        <f>F2980</f>
        <v>E16 A巴宝丽</v>
      </c>
      <c r="Y2980" s="169" t="s">
        <v>294</v>
      </c>
      <c r="Z2980" s="143" t="str">
        <f>X2980</f>
        <v>E16 A巴宝丽</v>
      </c>
      <c r="AA2980" s="237">
        <v>8.5</v>
      </c>
    </row>
    <row r="2981" ht="17.25" spans="1:34">
      <c r="A2981" s="143">
        <v>2942</v>
      </c>
      <c r="B2981" s="144">
        <v>45996</v>
      </c>
      <c r="C2981" s="169" t="s">
        <v>3277</v>
      </c>
      <c r="F2981" s="169" t="s">
        <v>8263</v>
      </c>
      <c r="H2981" s="143" t="s">
        <v>8264</v>
      </c>
      <c r="I2981" s="143" t="s">
        <v>3390</v>
      </c>
      <c r="J2981" s="143" t="s">
        <v>4144</v>
      </c>
      <c r="K2981" s="143">
        <v>160</v>
      </c>
      <c r="L2981" s="143">
        <v>200</v>
      </c>
      <c r="Q2981" s="143" t="s">
        <v>3767</v>
      </c>
      <c r="W2981" s="169" t="s">
        <v>294</v>
      </c>
      <c r="X2981" s="143" t="str">
        <f t="shared" ref="X2981:X2995" si="19">F2981</f>
        <v>高品质捻丝乱麻</v>
      </c>
      <c r="Y2981" s="169" t="s">
        <v>294</v>
      </c>
      <c r="Z2981" s="143" t="str">
        <f t="shared" ref="Z2981:Z2995" si="20">X2981</f>
        <v>高品质捻丝乱麻</v>
      </c>
      <c r="AA2981" s="241">
        <v>8.5</v>
      </c>
    </row>
    <row r="2982" ht="16.5" spans="1:34">
      <c r="A2982" s="143">
        <v>2943</v>
      </c>
      <c r="B2982" s="144">
        <v>45996</v>
      </c>
      <c r="C2982" s="169" t="s">
        <v>3277</v>
      </c>
      <c r="F2982" s="143" t="s">
        <v>8265</v>
      </c>
      <c r="H2982" s="143" t="s">
        <v>8266</v>
      </c>
      <c r="I2982" s="143" t="s">
        <v>3218</v>
      </c>
      <c r="J2982" s="143" t="s">
        <v>1577</v>
      </c>
      <c r="K2982" s="143">
        <v>150</v>
      </c>
      <c r="L2982" s="143">
        <v>70</v>
      </c>
      <c r="W2982" s="169" t="s">
        <v>294</v>
      </c>
      <c r="X2982" s="143" t="str">
        <f t="shared" si="19"/>
        <v>E1201 加密珍珠雪纺</v>
      </c>
      <c r="Y2982" s="169" t="s">
        <v>294</v>
      </c>
      <c r="Z2982" s="143" t="str">
        <f t="shared" si="20"/>
        <v>E1201 加密珍珠雪纺</v>
      </c>
      <c r="AA2982" s="237">
        <v>6</v>
      </c>
    </row>
    <row r="2983" ht="17.25" spans="1:34">
      <c r="A2983" s="143">
        <v>2944</v>
      </c>
      <c r="B2983" s="144">
        <v>45996</v>
      </c>
      <c r="C2983" s="169" t="s">
        <v>3277</v>
      </c>
      <c r="F2983" s="143" t="s">
        <v>8267</v>
      </c>
      <c r="H2983" s="143" t="s">
        <v>8268</v>
      </c>
      <c r="I2983" s="143" t="s">
        <v>8269</v>
      </c>
      <c r="J2983" s="143" t="s">
        <v>8270</v>
      </c>
      <c r="K2983" s="143">
        <v>170</v>
      </c>
      <c r="L2983" s="143">
        <v>180</v>
      </c>
      <c r="Q2983" s="143" t="s">
        <v>4671</v>
      </c>
      <c r="W2983" s="169" t="s">
        <v>294</v>
      </c>
      <c r="X2983" s="143" t="str">
        <f t="shared" si="19"/>
        <v>E366彩棉拉架</v>
      </c>
      <c r="Y2983" s="169" t="s">
        <v>294</v>
      </c>
      <c r="Z2983" s="143" t="str">
        <f t="shared" si="20"/>
        <v>E366彩棉拉架</v>
      </c>
      <c r="AA2983" s="241">
        <v>8.2</v>
      </c>
      <c r="AH2983" s="143" t="s">
        <v>8271</v>
      </c>
    </row>
    <row r="2984" ht="16.5" spans="1:34">
      <c r="A2984" s="143">
        <v>2945</v>
      </c>
      <c r="B2984" s="144">
        <v>45996</v>
      </c>
      <c r="C2984" s="169" t="s">
        <v>3277</v>
      </c>
      <c r="F2984" s="143" t="s">
        <v>8272</v>
      </c>
      <c r="H2984" s="143" t="s">
        <v>8273</v>
      </c>
      <c r="I2984" s="143" t="s">
        <v>3275</v>
      </c>
      <c r="J2984" s="143" t="s">
        <v>3276</v>
      </c>
      <c r="K2984" s="143">
        <v>150</v>
      </c>
      <c r="L2984" s="143">
        <v>310</v>
      </c>
      <c r="W2984" s="169" t="s">
        <v>294</v>
      </c>
      <c r="X2984" s="143" t="str">
        <f t="shared" si="19"/>
        <v>E203 CV双股小斜纹</v>
      </c>
      <c r="Y2984" s="169" t="s">
        <v>294</v>
      </c>
      <c r="Z2984" s="143" t="str">
        <f t="shared" si="20"/>
        <v>E203 CV双股小斜纹</v>
      </c>
      <c r="AA2984" s="242">
        <v>16.5</v>
      </c>
    </row>
    <row r="2985" ht="16.5" spans="1:34">
      <c r="A2985" s="143">
        <v>2946</v>
      </c>
      <c r="B2985" s="144">
        <v>45996</v>
      </c>
      <c r="C2985" s="169" t="s">
        <v>3277</v>
      </c>
      <c r="F2985" s="143" t="s">
        <v>8274</v>
      </c>
      <c r="H2985" s="143" t="s">
        <v>8275</v>
      </c>
      <c r="I2985" s="143" t="s">
        <v>8276</v>
      </c>
      <c r="J2985" s="143" t="s">
        <v>8277</v>
      </c>
      <c r="K2985" s="143">
        <v>150</v>
      </c>
      <c r="L2985" s="143">
        <v>260</v>
      </c>
      <c r="W2985" s="169" t="s">
        <v>294</v>
      </c>
      <c r="X2985" s="143" t="str">
        <f t="shared" si="19"/>
        <v>E206 CV40支双股1/2斜</v>
      </c>
      <c r="Y2985" s="169" t="s">
        <v>294</v>
      </c>
      <c r="Z2985" s="143" t="str">
        <f t="shared" si="20"/>
        <v>E206 CV40支双股1/2斜</v>
      </c>
      <c r="AA2985" s="242">
        <v>18.5</v>
      </c>
    </row>
    <row r="2986" ht="16.5" spans="1:34">
      <c r="A2986" s="143">
        <v>2947</v>
      </c>
      <c r="B2986" s="144">
        <v>45996</v>
      </c>
      <c r="C2986" s="169" t="s">
        <v>3277</v>
      </c>
      <c r="F2986" s="143" t="s">
        <v>8278</v>
      </c>
      <c r="H2986" s="143" t="s">
        <v>8279</v>
      </c>
      <c r="I2986" s="143" t="s">
        <v>8280</v>
      </c>
      <c r="J2986" s="143" t="s">
        <v>858</v>
      </c>
      <c r="K2986" s="143">
        <v>150</v>
      </c>
      <c r="L2986" s="143">
        <v>116</v>
      </c>
      <c r="W2986" s="169" t="s">
        <v>294</v>
      </c>
      <c r="X2986" s="143" t="str">
        <f t="shared" si="19"/>
        <v>E1253 精品锦棉皱</v>
      </c>
      <c r="Y2986" s="169" t="s">
        <v>294</v>
      </c>
      <c r="Z2986" s="143" t="str">
        <f t="shared" si="20"/>
        <v>E1253 精品锦棉皱</v>
      </c>
      <c r="AA2986" s="242">
        <v>5.8</v>
      </c>
    </row>
    <row r="2987" spans="1:34">
      <c r="A2987" s="143">
        <v>2948</v>
      </c>
      <c r="B2987" s="144">
        <v>45996</v>
      </c>
      <c r="C2987" s="169" t="s">
        <v>3277</v>
      </c>
      <c r="F2987" s="143" t="s">
        <v>2541</v>
      </c>
      <c r="H2987" s="143" t="s">
        <v>8281</v>
      </c>
      <c r="I2987" s="143" t="s">
        <v>7073</v>
      </c>
      <c r="J2987" s="143" t="s">
        <v>7139</v>
      </c>
      <c r="K2987" s="143">
        <v>150</v>
      </c>
      <c r="L2987" s="143">
        <v>120</v>
      </c>
      <c r="W2987" s="169" t="s">
        <v>294</v>
      </c>
      <c r="X2987" s="143" t="str">
        <f t="shared" si="19"/>
        <v>60支涤棉仿天丝</v>
      </c>
      <c r="Y2987" s="169" t="s">
        <v>294</v>
      </c>
      <c r="Z2987" s="143" t="str">
        <f t="shared" si="20"/>
        <v>60支涤棉仿天丝</v>
      </c>
    </row>
    <row r="2988" ht="16.5" spans="1:34">
      <c r="A2988" s="143">
        <v>2949</v>
      </c>
      <c r="B2988" s="144">
        <v>45996</v>
      </c>
      <c r="C2988" s="169" t="s">
        <v>3277</v>
      </c>
      <c r="F2988" s="143" t="s">
        <v>8282</v>
      </c>
      <c r="H2988" s="143" t="s">
        <v>8283</v>
      </c>
      <c r="I2988" s="143" t="s">
        <v>1373</v>
      </c>
      <c r="J2988" s="143" t="s">
        <v>858</v>
      </c>
      <c r="K2988" s="143">
        <v>150</v>
      </c>
      <c r="L2988" s="143">
        <v>120</v>
      </c>
      <c r="W2988" s="169" t="s">
        <v>294</v>
      </c>
      <c r="X2988" s="143" t="str">
        <f t="shared" si="19"/>
        <v>E883 锦涤斜</v>
      </c>
      <c r="Y2988" s="169" t="s">
        <v>294</v>
      </c>
      <c r="Z2988" s="143" t="str">
        <f t="shared" si="20"/>
        <v>E883 锦涤斜</v>
      </c>
      <c r="AA2988" s="237">
        <v>8</v>
      </c>
    </row>
    <row r="2989" ht="16.5" spans="1:34">
      <c r="A2989" s="143">
        <v>2950</v>
      </c>
      <c r="B2989" s="144">
        <v>45996</v>
      </c>
      <c r="C2989" s="169" t="s">
        <v>3277</v>
      </c>
      <c r="F2989" s="143" t="s">
        <v>8284</v>
      </c>
      <c r="H2989" s="143" t="s">
        <v>8285</v>
      </c>
      <c r="I2989" s="143" t="s">
        <v>3218</v>
      </c>
      <c r="J2989" s="143" t="s">
        <v>1577</v>
      </c>
      <c r="K2989" s="143">
        <v>150</v>
      </c>
      <c r="L2989" s="143">
        <v>220</v>
      </c>
      <c r="W2989" s="169" t="s">
        <v>294</v>
      </c>
      <c r="X2989" s="143" t="str">
        <f t="shared" si="19"/>
        <v>E821 高品质孔雀斜</v>
      </c>
      <c r="Y2989" s="169" t="s">
        <v>294</v>
      </c>
      <c r="Z2989" s="143" t="str">
        <f t="shared" si="20"/>
        <v>E821 高品质孔雀斜</v>
      </c>
      <c r="AA2989" s="242">
        <v>9</v>
      </c>
    </row>
    <row r="2990" ht="16.5" spans="1:34">
      <c r="A2990" s="143">
        <v>2951</v>
      </c>
      <c r="B2990" s="144">
        <v>45996</v>
      </c>
      <c r="C2990" s="169" t="s">
        <v>3277</v>
      </c>
      <c r="F2990" s="143" t="s">
        <v>8286</v>
      </c>
      <c r="H2990" s="143" t="s">
        <v>8287</v>
      </c>
      <c r="I2990" s="143" t="s">
        <v>436</v>
      </c>
      <c r="J2990" s="143" t="s">
        <v>4144</v>
      </c>
      <c r="K2990" s="143">
        <v>150</v>
      </c>
      <c r="L2990" s="143">
        <v>240</v>
      </c>
      <c r="W2990" s="169" t="s">
        <v>294</v>
      </c>
      <c r="X2990" s="143" t="str">
        <f t="shared" si="19"/>
        <v>E5806A 阳涤乐丽</v>
      </c>
      <c r="Y2990" s="169" t="s">
        <v>294</v>
      </c>
      <c r="Z2990" s="143" t="str">
        <f t="shared" si="20"/>
        <v>E5806A 阳涤乐丽</v>
      </c>
      <c r="AA2990" s="237">
        <v>12.5</v>
      </c>
    </row>
    <row r="2991" ht="16.5" spans="1:34">
      <c r="A2991" s="143">
        <v>2952</v>
      </c>
      <c r="B2991" s="144">
        <v>45996</v>
      </c>
      <c r="C2991" s="169" t="s">
        <v>3277</v>
      </c>
      <c r="F2991" s="143" t="s">
        <v>8288</v>
      </c>
      <c r="H2991" s="143" t="s">
        <v>8289</v>
      </c>
      <c r="I2991" s="143" t="s">
        <v>8290</v>
      </c>
      <c r="J2991" s="143" t="s">
        <v>8291</v>
      </c>
      <c r="K2991" s="143">
        <v>150</v>
      </c>
      <c r="L2991" s="143">
        <v>300</v>
      </c>
      <c r="W2991" s="169" t="s">
        <v>294</v>
      </c>
      <c r="X2991" s="143" t="str">
        <f t="shared" si="19"/>
        <v>E199 CV双股小斜纹</v>
      </c>
      <c r="Y2991" s="169" t="s">
        <v>294</v>
      </c>
      <c r="Z2991" s="143" t="str">
        <f t="shared" si="20"/>
        <v>E199 CV双股小斜纹</v>
      </c>
      <c r="AA2991" s="242">
        <v>14</v>
      </c>
    </row>
    <row r="2992" ht="16.5" spans="1:34">
      <c r="A2992" s="143">
        <v>2953</v>
      </c>
      <c r="B2992" s="144">
        <v>45996</v>
      </c>
      <c r="C2992" s="169" t="s">
        <v>3277</v>
      </c>
      <c r="F2992" s="143" t="s">
        <v>8292</v>
      </c>
      <c r="H2992" s="143" t="s">
        <v>8293</v>
      </c>
      <c r="I2992" s="143" t="s">
        <v>8294</v>
      </c>
      <c r="J2992" s="143" t="s">
        <v>8295</v>
      </c>
      <c r="K2992" s="143">
        <v>150</v>
      </c>
      <c r="L2992" s="143">
        <v>90</v>
      </c>
      <c r="W2992" s="169" t="s">
        <v>294</v>
      </c>
      <c r="X2992" s="143" t="str">
        <f t="shared" si="19"/>
        <v>E230 C亚麻小百叶</v>
      </c>
      <c r="Y2992" s="169" t="s">
        <v>294</v>
      </c>
      <c r="Z2992" s="143" t="str">
        <f t="shared" si="20"/>
        <v>E230 C亚麻小百叶</v>
      </c>
      <c r="AA2992" s="237">
        <v>10.5</v>
      </c>
    </row>
    <row r="2993" ht="16.5" spans="1:27">
      <c r="A2993" s="143">
        <v>2954</v>
      </c>
      <c r="B2993" s="144">
        <v>45996</v>
      </c>
      <c r="C2993" s="169" t="s">
        <v>3277</v>
      </c>
      <c r="F2993" s="143" t="s">
        <v>8296</v>
      </c>
      <c r="H2993" s="143" t="s">
        <v>8297</v>
      </c>
      <c r="I2993" s="143" t="s">
        <v>8298</v>
      </c>
      <c r="J2993" s="143" t="s">
        <v>8299</v>
      </c>
      <c r="K2993" s="143">
        <v>150</v>
      </c>
      <c r="L2993" s="143">
        <v>125</v>
      </c>
      <c r="W2993" s="169" t="s">
        <v>294</v>
      </c>
      <c r="X2993" s="143" t="str">
        <f t="shared" si="19"/>
        <v>E226 C亚麻子母条</v>
      </c>
      <c r="Y2993" s="169" t="s">
        <v>294</v>
      </c>
      <c r="Z2993" s="143" t="str">
        <f t="shared" si="20"/>
        <v>E226 C亚麻子母条</v>
      </c>
      <c r="AA2993" s="237">
        <v>8.5</v>
      </c>
    </row>
    <row r="2994" ht="16.5" spans="1:27">
      <c r="A2994" s="143">
        <v>2955</v>
      </c>
      <c r="B2994" s="144">
        <v>45996</v>
      </c>
      <c r="C2994" s="169" t="s">
        <v>3277</v>
      </c>
      <c r="F2994" s="143" t="s">
        <v>8300</v>
      </c>
      <c r="H2994" s="143" t="s">
        <v>8301</v>
      </c>
      <c r="I2994" s="143" t="s">
        <v>8302</v>
      </c>
      <c r="J2994" s="143" t="s">
        <v>871</v>
      </c>
      <c r="K2994" s="143">
        <v>150</v>
      </c>
      <c r="L2994" s="143">
        <v>55</v>
      </c>
      <c r="W2994" s="169" t="s">
        <v>294</v>
      </c>
      <c r="X2994" s="143" t="str">
        <f t="shared" si="19"/>
        <v>E130 U曲天丝</v>
      </c>
      <c r="Y2994" s="169" t="s">
        <v>294</v>
      </c>
      <c r="Z2994" s="143" t="str">
        <f t="shared" si="20"/>
        <v>E130 U曲天丝</v>
      </c>
      <c r="AA2994" s="242">
        <v>7.5</v>
      </c>
    </row>
    <row r="2995" ht="16.5" spans="1:27">
      <c r="A2995" s="143">
        <v>2956</v>
      </c>
      <c r="B2995" s="144">
        <v>45996</v>
      </c>
      <c r="C2995" s="169" t="s">
        <v>3277</v>
      </c>
      <c r="F2995" s="143" t="s">
        <v>8303</v>
      </c>
      <c r="H2995" s="143" t="s">
        <v>8304</v>
      </c>
      <c r="I2995" s="143" t="s">
        <v>8305</v>
      </c>
      <c r="J2995" s="143" t="s">
        <v>8306</v>
      </c>
      <c r="K2995" s="143">
        <v>150</v>
      </c>
      <c r="L2995" s="143">
        <v>85</v>
      </c>
      <c r="W2995" s="169" t="s">
        <v>294</v>
      </c>
      <c r="X2995" s="143" t="str">
        <f t="shared" si="19"/>
        <v>E127 D天丝牙签条</v>
      </c>
      <c r="Y2995" s="169" t="s">
        <v>294</v>
      </c>
      <c r="Z2995" s="143" t="str">
        <f t="shared" si="20"/>
        <v>E127 D天丝牙签条</v>
      </c>
      <c r="AA2995" s="242">
        <v>6.5</v>
      </c>
    </row>
    <row r="2996" spans="1:27">
      <c r="A2996" s="143">
        <v>2957</v>
      </c>
      <c r="B2996" s="144">
        <v>45997</v>
      </c>
      <c r="C2996" s="169" t="s">
        <v>3148</v>
      </c>
      <c r="F2996" s="169" t="s">
        <v>8307</v>
      </c>
      <c r="H2996" s="143" t="s">
        <v>8308</v>
      </c>
      <c r="I2996" s="143" t="s">
        <v>8309</v>
      </c>
      <c r="J2996" s="143" t="s">
        <v>8309</v>
      </c>
      <c r="L2996" s="143">
        <v>42</v>
      </c>
      <c r="W2996" s="169" t="s">
        <v>8310</v>
      </c>
      <c r="X2996" s="169" t="s">
        <v>8307</v>
      </c>
      <c r="Y2996" s="169" t="s">
        <v>8310</v>
      </c>
      <c r="Z2996" s="169" t="s">
        <v>8307</v>
      </c>
    </row>
    <row r="2997" spans="1:27">
      <c r="A2997" s="143">
        <v>2958</v>
      </c>
      <c r="B2997" s="144">
        <v>45997</v>
      </c>
      <c r="C2997" s="169" t="s">
        <v>3148</v>
      </c>
      <c r="F2997" s="143" t="s">
        <v>8311</v>
      </c>
      <c r="H2997" s="143" t="s">
        <v>8312</v>
      </c>
      <c r="I2997" s="143" t="s">
        <v>324</v>
      </c>
      <c r="J2997" s="143" t="s">
        <v>1577</v>
      </c>
      <c r="K2997" s="143">
        <v>150</v>
      </c>
      <c r="L2997" s="143">
        <v>65</v>
      </c>
      <c r="W2997" s="169" t="s">
        <v>294</v>
      </c>
      <c r="X2997" s="143" t="s">
        <v>8311</v>
      </c>
      <c r="Y2997" s="169" t="s">
        <v>294</v>
      </c>
      <c r="Z2997" s="143" t="s">
        <v>8311</v>
      </c>
      <c r="AA2997" s="143">
        <v>4.7</v>
      </c>
    </row>
    <row r="2998" spans="1:27">
      <c r="A2998" s="143">
        <v>2959</v>
      </c>
      <c r="B2998" s="144">
        <v>45997</v>
      </c>
      <c r="C2998" s="169" t="s">
        <v>3148</v>
      </c>
      <c r="F2998" s="169" t="s">
        <v>8313</v>
      </c>
      <c r="H2998" s="143" t="s">
        <v>8314</v>
      </c>
      <c r="I2998" s="143" t="s">
        <v>324</v>
      </c>
      <c r="J2998" s="143" t="s">
        <v>1577</v>
      </c>
      <c r="K2998" s="143">
        <v>150</v>
      </c>
      <c r="L2998" s="143">
        <v>50</v>
      </c>
      <c r="W2998" s="169" t="s">
        <v>294</v>
      </c>
      <c r="X2998" s="169" t="s">
        <v>8313</v>
      </c>
      <c r="Y2998" s="169" t="s">
        <v>294</v>
      </c>
      <c r="Z2998" s="169" t="s">
        <v>8313</v>
      </c>
      <c r="AA2998" s="143">
        <v>3.2</v>
      </c>
    </row>
    <row r="2999" spans="1:27">
      <c r="A2999" s="143">
        <v>2960</v>
      </c>
      <c r="B2999" s="144">
        <v>45997</v>
      </c>
      <c r="C2999" s="169" t="s">
        <v>3148</v>
      </c>
      <c r="F2999" s="169" t="s">
        <v>8315</v>
      </c>
      <c r="H2999" s="143" t="s">
        <v>8316</v>
      </c>
      <c r="K2999" s="143">
        <v>150</v>
      </c>
      <c r="W2999" s="169" t="s">
        <v>294</v>
      </c>
      <c r="X2999" s="169" t="s">
        <v>8315</v>
      </c>
      <c r="Y2999" s="169" t="s">
        <v>294</v>
      </c>
      <c r="Z2999" s="169" t="s">
        <v>8315</v>
      </c>
    </row>
    <row r="3000" ht="16.5" spans="1:27">
      <c r="A3000" s="143">
        <v>2961</v>
      </c>
      <c r="B3000" s="144">
        <v>45997</v>
      </c>
      <c r="C3000" s="169" t="s">
        <v>3148</v>
      </c>
      <c r="F3000" s="143" t="s">
        <v>8317</v>
      </c>
      <c r="H3000" s="143" t="s">
        <v>8318</v>
      </c>
      <c r="K3000" s="143">
        <v>150</v>
      </c>
      <c r="W3000" s="169" t="s">
        <v>294</v>
      </c>
      <c r="X3000" s="143" t="s">
        <v>8317</v>
      </c>
      <c r="Y3000" s="169" t="s">
        <v>294</v>
      </c>
      <c r="Z3000" s="143" t="s">
        <v>8317</v>
      </c>
      <c r="AA3000" s="242">
        <v>5</v>
      </c>
    </row>
    <row r="3001" ht="16.5" spans="1:27">
      <c r="A3001" s="143">
        <v>2962</v>
      </c>
      <c r="B3001" s="144">
        <v>45997</v>
      </c>
      <c r="C3001" s="169" t="s">
        <v>3148</v>
      </c>
      <c r="F3001" s="143" t="s">
        <v>8319</v>
      </c>
      <c r="H3001" s="143" t="s">
        <v>8320</v>
      </c>
      <c r="I3001" s="143" t="s">
        <v>324</v>
      </c>
      <c r="J3001" s="143" t="s">
        <v>1577</v>
      </c>
      <c r="K3001" s="143">
        <v>150</v>
      </c>
      <c r="L3001" s="143">
        <v>105</v>
      </c>
      <c r="W3001" s="169" t="s">
        <v>294</v>
      </c>
      <c r="X3001" s="143" t="s">
        <v>8319</v>
      </c>
      <c r="Y3001" s="169" t="s">
        <v>294</v>
      </c>
      <c r="Z3001" s="143" t="s">
        <v>8319</v>
      </c>
      <c r="AA3001" s="242">
        <v>6.5</v>
      </c>
    </row>
    <row r="3002" ht="16.5" spans="1:27">
      <c r="A3002" s="143">
        <v>2963</v>
      </c>
      <c r="B3002" s="144">
        <v>45997</v>
      </c>
      <c r="C3002" s="169" t="s">
        <v>3148</v>
      </c>
      <c r="F3002" s="143" t="s">
        <v>8321</v>
      </c>
      <c r="H3002" s="143" t="s">
        <v>8322</v>
      </c>
      <c r="I3002" s="143" t="s">
        <v>8323</v>
      </c>
      <c r="J3002" s="143" t="s">
        <v>8324</v>
      </c>
      <c r="K3002" s="143">
        <v>150</v>
      </c>
      <c r="L3002" s="143">
        <v>165</v>
      </c>
      <c r="W3002" s="169" t="s">
        <v>294</v>
      </c>
      <c r="X3002" s="143" t="s">
        <v>8321</v>
      </c>
      <c r="Y3002" s="169" t="s">
        <v>294</v>
      </c>
      <c r="Z3002" s="143" t="s">
        <v>8321</v>
      </c>
      <c r="AA3002" s="242">
        <v>10</v>
      </c>
    </row>
    <row r="3003" spans="1:27">
      <c r="A3003" s="143">
        <v>2964</v>
      </c>
      <c r="B3003" s="144">
        <v>45999</v>
      </c>
      <c r="C3003" s="169" t="s">
        <v>3148</v>
      </c>
      <c r="F3003" s="143" t="s">
        <v>8325</v>
      </c>
      <c r="H3003" s="143" t="s">
        <v>8326</v>
      </c>
      <c r="I3003" s="143" t="s">
        <v>8327</v>
      </c>
      <c r="J3003" s="143" t="s">
        <v>8328</v>
      </c>
      <c r="K3003" s="143">
        <v>175</v>
      </c>
      <c r="L3003" s="143">
        <v>300</v>
      </c>
      <c r="W3003" s="169" t="s">
        <v>294</v>
      </c>
      <c r="X3003" s="143" t="s">
        <v>8325</v>
      </c>
      <c r="Y3003" s="169" t="s">
        <v>294</v>
      </c>
      <c r="Z3003" s="143" t="s">
        <v>8325</v>
      </c>
      <c r="AA3003" s="143">
        <v>29</v>
      </c>
    </row>
    <row r="3004" spans="1:27">
      <c r="A3004" s="143">
        <v>2965</v>
      </c>
      <c r="B3004" s="144">
        <v>45999</v>
      </c>
      <c r="C3004" s="169" t="s">
        <v>3148</v>
      </c>
      <c r="F3004" s="143" t="s">
        <v>8329</v>
      </c>
      <c r="H3004" s="143" t="s">
        <v>8330</v>
      </c>
      <c r="I3004" s="143" t="s">
        <v>8327</v>
      </c>
      <c r="J3004" s="143" t="s">
        <v>8328</v>
      </c>
      <c r="K3004" s="143">
        <v>175</v>
      </c>
      <c r="L3004" s="143">
        <v>350</v>
      </c>
      <c r="W3004" s="169" t="s">
        <v>294</v>
      </c>
      <c r="X3004" s="143" t="s">
        <v>8329</v>
      </c>
      <c r="Y3004" s="169" t="s">
        <v>294</v>
      </c>
      <c r="Z3004" s="143" t="s">
        <v>8329</v>
      </c>
      <c r="AA3004" s="143">
        <v>34.5</v>
      </c>
    </row>
    <row r="3005" spans="1:27">
      <c r="A3005" s="143">
        <v>2966</v>
      </c>
      <c r="B3005" s="144">
        <v>45999</v>
      </c>
      <c r="C3005" s="169" t="s">
        <v>3148</v>
      </c>
      <c r="F3005" s="143" t="s">
        <v>8331</v>
      </c>
      <c r="H3005" s="143" t="s">
        <v>8332</v>
      </c>
      <c r="I3005" s="143" t="s">
        <v>8333</v>
      </c>
      <c r="J3005" s="143" t="s">
        <v>8334</v>
      </c>
      <c r="K3005" s="143">
        <v>185</v>
      </c>
      <c r="L3005" s="143">
        <v>290</v>
      </c>
      <c r="W3005" s="169" t="s">
        <v>294</v>
      </c>
      <c r="X3005" s="143" t="s">
        <v>8331</v>
      </c>
      <c r="Y3005" s="169" t="s">
        <v>294</v>
      </c>
      <c r="Z3005" s="143" t="s">
        <v>8331</v>
      </c>
      <c r="AA3005" s="143">
        <v>33</v>
      </c>
    </row>
    <row r="3006" spans="1:27">
      <c r="A3006" s="143">
        <v>2967</v>
      </c>
      <c r="B3006" s="144">
        <v>45999</v>
      </c>
      <c r="C3006" s="169" t="s">
        <v>3148</v>
      </c>
      <c r="F3006" s="143" t="s">
        <v>8335</v>
      </c>
      <c r="H3006" s="143" t="s">
        <v>8336</v>
      </c>
      <c r="I3006" s="143" t="s">
        <v>8337</v>
      </c>
      <c r="J3006" s="143" t="s">
        <v>8338</v>
      </c>
      <c r="K3006" s="143">
        <v>160</v>
      </c>
      <c r="L3006" s="143">
        <v>320</v>
      </c>
      <c r="W3006" s="169" t="s">
        <v>294</v>
      </c>
      <c r="X3006" s="143" t="s">
        <v>8335</v>
      </c>
      <c r="Y3006" s="169" t="s">
        <v>294</v>
      </c>
      <c r="Z3006" s="143" t="s">
        <v>8335</v>
      </c>
      <c r="AA3006" s="143">
        <v>25.8</v>
      </c>
    </row>
    <row r="3007" spans="1:27">
      <c r="A3007" s="143">
        <v>2968</v>
      </c>
      <c r="B3007" s="144">
        <v>45999</v>
      </c>
      <c r="C3007" s="169" t="s">
        <v>3277</v>
      </c>
      <c r="F3007" s="143" t="s">
        <v>8339</v>
      </c>
      <c r="H3007" s="143" t="s">
        <v>8340</v>
      </c>
      <c r="I3007" s="143" t="s">
        <v>3157</v>
      </c>
      <c r="J3007" s="143" t="s">
        <v>3684</v>
      </c>
      <c r="K3007" s="143">
        <v>185</v>
      </c>
      <c r="L3007" s="143">
        <v>270</v>
      </c>
      <c r="W3007" s="169" t="s">
        <v>294</v>
      </c>
      <c r="X3007" s="143" t="str">
        <f>F3007</f>
        <v>E1090 26S双纱潮牌爽滑棉平纹</v>
      </c>
      <c r="Y3007" s="169" t="s">
        <v>294</v>
      </c>
      <c r="Z3007" s="143" t="str">
        <f>F3007</f>
        <v>E1090 26S双纱潮牌爽滑棉平纹</v>
      </c>
    </row>
    <row r="3008" spans="1:27">
      <c r="A3008" s="143">
        <v>2969</v>
      </c>
      <c r="B3008" s="144">
        <v>45999</v>
      </c>
      <c r="C3008" s="169" t="s">
        <v>3148</v>
      </c>
      <c r="F3008" s="143" t="s">
        <v>8341</v>
      </c>
      <c r="H3008" s="143" t="s">
        <v>8342</v>
      </c>
      <c r="I3008" s="143" t="s">
        <v>3173</v>
      </c>
      <c r="J3008" s="143" t="s">
        <v>282</v>
      </c>
      <c r="K3008" s="143">
        <v>150</v>
      </c>
      <c r="L3008" s="143">
        <v>100</v>
      </c>
      <c r="W3008" s="169" t="s">
        <v>294</v>
      </c>
      <c r="X3008" s="143" t="s">
        <v>8341</v>
      </c>
      <c r="Y3008" s="169" t="s">
        <v>294</v>
      </c>
      <c r="Z3008" s="143" t="s">
        <v>8341</v>
      </c>
      <c r="AA3008" s="169" t="s">
        <v>8343</v>
      </c>
    </row>
    <row r="3009" spans="1:34">
      <c r="A3009" s="143">
        <v>2970</v>
      </c>
      <c r="B3009" s="144">
        <v>45999</v>
      </c>
      <c r="C3009" s="169" t="s">
        <v>3148</v>
      </c>
      <c r="E3009" s="145" t="s">
        <v>8344</v>
      </c>
      <c r="F3009" s="143" t="s">
        <v>8345</v>
      </c>
      <c r="H3009" s="143" t="s">
        <v>8346</v>
      </c>
      <c r="I3009" s="143" t="s">
        <v>3218</v>
      </c>
      <c r="J3009" s="143" t="s">
        <v>1577</v>
      </c>
      <c r="K3009" s="143">
        <v>145</v>
      </c>
      <c r="L3009" s="143">
        <v>330</v>
      </c>
      <c r="W3009" s="169" t="s">
        <v>294</v>
      </c>
      <c r="X3009" s="143" t="s">
        <v>8345</v>
      </c>
      <c r="Y3009" s="169" t="s">
        <v>294</v>
      </c>
      <c r="Z3009" s="143" t="s">
        <v>8345</v>
      </c>
      <c r="AA3009" s="143">
        <v>16.5</v>
      </c>
    </row>
    <row r="3010" spans="1:34">
      <c r="A3010" s="143">
        <v>2971</v>
      </c>
      <c r="B3010" s="144">
        <v>45999</v>
      </c>
      <c r="C3010" s="169" t="s">
        <v>3148</v>
      </c>
      <c r="E3010" s="145" t="s">
        <v>8344</v>
      </c>
      <c r="F3010" s="169" t="s">
        <v>8347</v>
      </c>
      <c r="H3010" s="143" t="s">
        <v>8348</v>
      </c>
      <c r="I3010" s="143" t="s">
        <v>3218</v>
      </c>
      <c r="J3010" s="143" t="s">
        <v>1577</v>
      </c>
      <c r="K3010" s="143">
        <v>145</v>
      </c>
      <c r="L3010" s="143">
        <v>275</v>
      </c>
      <c r="W3010" s="169" t="s">
        <v>294</v>
      </c>
      <c r="X3010" s="169" t="s">
        <v>8347</v>
      </c>
      <c r="Y3010" s="169" t="s">
        <v>294</v>
      </c>
      <c r="Z3010" s="169" t="s">
        <v>8347</v>
      </c>
      <c r="AA3010" s="143">
        <v>18</v>
      </c>
    </row>
    <row r="3011" spans="1:34">
      <c r="A3011" s="143">
        <v>2972</v>
      </c>
      <c r="B3011" s="144">
        <v>45999</v>
      </c>
      <c r="C3011" s="169" t="s">
        <v>3148</v>
      </c>
      <c r="E3011" s="196" t="s">
        <v>8349</v>
      </c>
      <c r="F3011" s="143" t="s">
        <v>8350</v>
      </c>
      <c r="H3011" s="143" t="s">
        <v>8351</v>
      </c>
      <c r="I3011" s="143" t="s">
        <v>3157</v>
      </c>
      <c r="J3011" s="143" t="s">
        <v>46</v>
      </c>
      <c r="K3011" s="143">
        <v>148</v>
      </c>
      <c r="L3011" s="143">
        <v>340</v>
      </c>
      <c r="W3011" s="169" t="s">
        <v>294</v>
      </c>
      <c r="X3011" s="143" t="s">
        <v>8350</v>
      </c>
      <c r="Y3011" s="169" t="s">
        <v>294</v>
      </c>
      <c r="Z3011" s="143" t="s">
        <v>8350</v>
      </c>
    </row>
    <row r="3012" spans="1:34">
      <c r="A3012" s="143">
        <v>2973</v>
      </c>
      <c r="B3012" s="144">
        <v>45999</v>
      </c>
      <c r="C3012" s="169" t="s">
        <v>3148</v>
      </c>
      <c r="E3012" s="196" t="s">
        <v>8349</v>
      </c>
      <c r="F3012" s="143" t="s">
        <v>8352</v>
      </c>
      <c r="H3012" s="143" t="s">
        <v>8353</v>
      </c>
      <c r="I3012" s="143" t="s">
        <v>3157</v>
      </c>
      <c r="J3012" s="143" t="s">
        <v>3684</v>
      </c>
      <c r="K3012" s="143">
        <v>145</v>
      </c>
      <c r="L3012" s="143">
        <v>310</v>
      </c>
      <c r="W3012" s="169" t="s">
        <v>294</v>
      </c>
      <c r="X3012" s="143" t="s">
        <v>8352</v>
      </c>
      <c r="Y3012" s="169" t="s">
        <v>294</v>
      </c>
      <c r="Z3012" s="143" t="s">
        <v>8352</v>
      </c>
    </row>
    <row r="3013" spans="1:34">
      <c r="A3013" s="143">
        <v>2974</v>
      </c>
      <c r="B3013" s="144">
        <v>45999</v>
      </c>
      <c r="C3013" s="169" t="s">
        <v>3148</v>
      </c>
      <c r="E3013" s="196" t="s">
        <v>8349</v>
      </c>
      <c r="F3013" s="143" t="s">
        <v>8354</v>
      </c>
      <c r="H3013" s="143" t="s">
        <v>8355</v>
      </c>
      <c r="I3013" s="143" t="s">
        <v>3157</v>
      </c>
      <c r="J3013" s="143" t="s">
        <v>3684</v>
      </c>
      <c r="K3013" s="143">
        <v>145</v>
      </c>
      <c r="L3013" s="143">
        <v>290</v>
      </c>
      <c r="W3013" s="169" t="s">
        <v>294</v>
      </c>
      <c r="X3013" s="143" t="s">
        <v>8354</v>
      </c>
      <c r="Y3013" s="169" t="s">
        <v>294</v>
      </c>
      <c r="Z3013" s="143" t="s">
        <v>8354</v>
      </c>
    </row>
    <row r="3014" ht="14.25" spans="1:34">
      <c r="A3014" s="143">
        <v>2975</v>
      </c>
      <c r="B3014" s="144">
        <v>45999</v>
      </c>
      <c r="C3014" s="169" t="s">
        <v>3148</v>
      </c>
      <c r="E3014" s="145" t="s">
        <v>8356</v>
      </c>
      <c r="F3014" s="143" t="s">
        <v>8357</v>
      </c>
      <c r="H3014" s="143" t="s">
        <v>8358</v>
      </c>
      <c r="I3014" s="143" t="s">
        <v>3218</v>
      </c>
      <c r="J3014" s="143" t="s">
        <v>1577</v>
      </c>
      <c r="K3014" s="143">
        <v>145</v>
      </c>
      <c r="L3014" s="143">
        <v>120</v>
      </c>
      <c r="W3014" s="169" t="s">
        <v>294</v>
      </c>
      <c r="X3014" s="143" t="s">
        <v>8357</v>
      </c>
      <c r="Y3014" s="169" t="s">
        <v>294</v>
      </c>
      <c r="Z3014" s="143" t="s">
        <v>8357</v>
      </c>
      <c r="AA3014" s="238">
        <v>11.5</v>
      </c>
      <c r="AB3014" s="191">
        <v>46381</v>
      </c>
    </row>
    <row r="3015" ht="14.25" spans="1:34">
      <c r="A3015" s="143">
        <v>2976</v>
      </c>
      <c r="B3015" s="144">
        <v>45999</v>
      </c>
      <c r="C3015" s="169" t="s">
        <v>3148</v>
      </c>
      <c r="E3015" s="145" t="s">
        <v>8356</v>
      </c>
      <c r="F3015" s="143" t="s">
        <v>8359</v>
      </c>
      <c r="H3015" s="143" t="s">
        <v>8360</v>
      </c>
      <c r="I3015" s="143" t="s">
        <v>3218</v>
      </c>
      <c r="J3015" s="143" t="s">
        <v>1577</v>
      </c>
      <c r="K3015" s="143">
        <v>145</v>
      </c>
      <c r="L3015" s="143">
        <v>95</v>
      </c>
      <c r="W3015" s="169" t="s">
        <v>294</v>
      </c>
      <c r="X3015" s="143" t="s">
        <v>8359</v>
      </c>
      <c r="Y3015" s="169" t="s">
        <v>294</v>
      </c>
      <c r="Z3015" s="143" t="s">
        <v>8359</v>
      </c>
      <c r="AA3015" s="238">
        <v>9.5</v>
      </c>
      <c r="AB3015" s="191">
        <v>46381</v>
      </c>
    </row>
    <row r="3016" ht="14.25" spans="1:34">
      <c r="A3016" s="143">
        <v>2977</v>
      </c>
      <c r="B3016" s="144">
        <v>45999</v>
      </c>
      <c r="C3016" s="169" t="s">
        <v>3148</v>
      </c>
      <c r="E3016" s="145" t="s">
        <v>8356</v>
      </c>
      <c r="F3016" s="143" t="s">
        <v>8361</v>
      </c>
      <c r="H3016" s="143" t="s">
        <v>8362</v>
      </c>
      <c r="I3016" s="143" t="s">
        <v>3218</v>
      </c>
      <c r="J3016" s="143" t="s">
        <v>1577</v>
      </c>
      <c r="K3016" s="143">
        <v>145</v>
      </c>
      <c r="L3016" s="143">
        <v>105</v>
      </c>
      <c r="W3016" s="169" t="s">
        <v>294</v>
      </c>
      <c r="X3016" s="143" t="s">
        <v>8361</v>
      </c>
      <c r="Y3016" s="169" t="s">
        <v>294</v>
      </c>
      <c r="Z3016" s="143" t="s">
        <v>8361</v>
      </c>
      <c r="AA3016" s="238">
        <v>9.5</v>
      </c>
      <c r="AB3016" s="191">
        <v>46381</v>
      </c>
    </row>
    <row r="3017" ht="14.25" spans="1:34">
      <c r="A3017" s="143">
        <v>2978</v>
      </c>
      <c r="B3017" s="144">
        <v>45999</v>
      </c>
      <c r="C3017" s="169" t="s">
        <v>3148</v>
      </c>
      <c r="F3017" s="169" t="s">
        <v>8363</v>
      </c>
      <c r="H3017" s="143" t="s">
        <v>8364</v>
      </c>
      <c r="I3017" s="143" t="s">
        <v>4690</v>
      </c>
      <c r="J3017" s="143" t="s">
        <v>1460</v>
      </c>
      <c r="K3017" s="143">
        <v>142</v>
      </c>
      <c r="L3017" s="143">
        <v>100</v>
      </c>
      <c r="W3017" s="169" t="s">
        <v>294</v>
      </c>
      <c r="X3017" s="169" t="s">
        <v>8363</v>
      </c>
      <c r="Y3017" s="169" t="s">
        <v>294</v>
      </c>
      <c r="Z3017" s="169" t="s">
        <v>8363</v>
      </c>
      <c r="AA3017" s="238">
        <v>8.5</v>
      </c>
      <c r="AB3017" s="191">
        <v>46381</v>
      </c>
    </row>
    <row r="3018" ht="14.25" spans="1:34">
      <c r="A3018" s="143">
        <v>2979</v>
      </c>
      <c r="B3018" s="144">
        <v>45999</v>
      </c>
      <c r="C3018" s="169" t="s">
        <v>3148</v>
      </c>
      <c r="E3018" s="145" t="s">
        <v>8365</v>
      </c>
      <c r="F3018" s="143" t="s">
        <v>8366</v>
      </c>
      <c r="H3018" s="143" t="s">
        <v>8367</v>
      </c>
      <c r="I3018" s="143" t="s">
        <v>3218</v>
      </c>
      <c r="J3018" s="143" t="s">
        <v>1577</v>
      </c>
      <c r="K3018" s="143">
        <v>140</v>
      </c>
      <c r="L3018" s="143">
        <v>55</v>
      </c>
      <c r="W3018" s="169" t="s">
        <v>294</v>
      </c>
      <c r="X3018" s="143" t="s">
        <v>8366</v>
      </c>
      <c r="Y3018" s="169" t="s">
        <v>294</v>
      </c>
      <c r="Z3018" s="143" t="s">
        <v>8366</v>
      </c>
      <c r="AA3018" s="243">
        <v>15</v>
      </c>
      <c r="AB3018" s="191">
        <v>46381</v>
      </c>
      <c r="AH3018" s="143" t="s">
        <v>8368</v>
      </c>
    </row>
    <row r="3019" ht="14.25" spans="1:34">
      <c r="A3019" s="143">
        <v>2980</v>
      </c>
      <c r="B3019" s="144">
        <v>45999</v>
      </c>
      <c r="C3019" s="169" t="s">
        <v>3148</v>
      </c>
      <c r="E3019" s="145" t="s">
        <v>8365</v>
      </c>
      <c r="F3019" s="143" t="s">
        <v>8369</v>
      </c>
      <c r="H3019" s="143" t="s">
        <v>8370</v>
      </c>
      <c r="I3019" s="143" t="s">
        <v>3218</v>
      </c>
      <c r="J3019" s="143" t="s">
        <v>1577</v>
      </c>
      <c r="K3019" s="143">
        <v>140</v>
      </c>
      <c r="L3019" s="143">
        <v>70</v>
      </c>
      <c r="W3019" s="169" t="s">
        <v>294</v>
      </c>
      <c r="X3019" s="143" t="s">
        <v>8369</v>
      </c>
      <c r="Y3019" s="169" t="s">
        <v>294</v>
      </c>
      <c r="Z3019" s="143" t="s">
        <v>8369</v>
      </c>
      <c r="AA3019" s="243">
        <v>15</v>
      </c>
      <c r="AB3019" s="191">
        <v>46381</v>
      </c>
      <c r="AH3019" s="143" t="s">
        <v>8371</v>
      </c>
    </row>
    <row r="3020" spans="1:34">
      <c r="A3020" s="143">
        <v>2981</v>
      </c>
      <c r="B3020" s="144">
        <v>45999</v>
      </c>
      <c r="C3020" s="169" t="s">
        <v>3148</v>
      </c>
      <c r="E3020" s="145" t="s">
        <v>8365</v>
      </c>
      <c r="F3020" s="143" t="s">
        <v>8372</v>
      </c>
      <c r="H3020" s="143" t="s">
        <v>8373</v>
      </c>
      <c r="I3020" s="143" t="s">
        <v>3218</v>
      </c>
      <c r="J3020" s="143" t="s">
        <v>1577</v>
      </c>
      <c r="K3020" s="143">
        <v>140</v>
      </c>
      <c r="L3020" s="143">
        <v>50</v>
      </c>
      <c r="W3020" s="169" t="s">
        <v>294</v>
      </c>
      <c r="X3020" s="143" t="s">
        <v>8372</v>
      </c>
      <c r="Y3020" s="169" t="s">
        <v>294</v>
      </c>
      <c r="Z3020" s="143" t="s">
        <v>8372</v>
      </c>
      <c r="AB3020" s="191">
        <v>46381</v>
      </c>
      <c r="AH3020" s="143" t="s">
        <v>8374</v>
      </c>
    </row>
    <row r="3021" ht="14.25" spans="1:34">
      <c r="A3021" s="143">
        <v>2982</v>
      </c>
      <c r="B3021" s="144">
        <v>45999</v>
      </c>
      <c r="C3021" s="169" t="s">
        <v>3148</v>
      </c>
      <c r="E3021" s="145" t="s">
        <v>8365</v>
      </c>
      <c r="F3021" s="143" t="s">
        <v>8375</v>
      </c>
      <c r="H3021" s="143" t="s">
        <v>8376</v>
      </c>
      <c r="I3021" s="143" t="s">
        <v>3218</v>
      </c>
      <c r="J3021" s="143" t="s">
        <v>1577</v>
      </c>
      <c r="K3021" s="143">
        <v>140</v>
      </c>
      <c r="L3021" s="143">
        <v>60</v>
      </c>
      <c r="W3021" s="169" t="s">
        <v>294</v>
      </c>
      <c r="X3021" s="143" t="s">
        <v>8375</v>
      </c>
      <c r="Y3021" s="169" t="s">
        <v>294</v>
      </c>
      <c r="Z3021" s="143" t="s">
        <v>8375</v>
      </c>
      <c r="AA3021" s="238">
        <v>13.8</v>
      </c>
      <c r="AB3021" s="191">
        <v>46381</v>
      </c>
      <c r="AH3021" s="143" t="s">
        <v>8374</v>
      </c>
    </row>
    <row r="3022" ht="14.25" spans="1:34">
      <c r="A3022" s="143">
        <v>2983</v>
      </c>
      <c r="B3022" s="144">
        <v>45999</v>
      </c>
      <c r="C3022" s="169" t="s">
        <v>3148</v>
      </c>
      <c r="E3022" s="145" t="s">
        <v>8365</v>
      </c>
      <c r="F3022" s="143" t="s">
        <v>8377</v>
      </c>
      <c r="H3022" s="143" t="s">
        <v>8378</v>
      </c>
      <c r="I3022" s="143" t="s">
        <v>3218</v>
      </c>
      <c r="J3022" s="143" t="s">
        <v>1577</v>
      </c>
      <c r="K3022" s="143">
        <v>140</v>
      </c>
      <c r="L3022" s="143">
        <v>75</v>
      </c>
      <c r="W3022" s="169" t="s">
        <v>294</v>
      </c>
      <c r="X3022" s="143" t="s">
        <v>8377</v>
      </c>
      <c r="Y3022" s="169" t="s">
        <v>294</v>
      </c>
      <c r="Z3022" s="143" t="s">
        <v>8377</v>
      </c>
      <c r="AA3022" s="238">
        <v>13.8</v>
      </c>
      <c r="AB3022" s="191">
        <v>46381</v>
      </c>
      <c r="AH3022" s="143" t="s">
        <v>8374</v>
      </c>
    </row>
    <row r="3023" ht="14.25" spans="1:34">
      <c r="A3023" s="143">
        <v>2984</v>
      </c>
      <c r="B3023" s="144">
        <v>45999</v>
      </c>
      <c r="C3023" s="169" t="s">
        <v>3148</v>
      </c>
      <c r="E3023" s="145" t="s">
        <v>8365</v>
      </c>
      <c r="F3023" s="143" t="s">
        <v>8379</v>
      </c>
      <c r="H3023" s="143" t="s">
        <v>8380</v>
      </c>
      <c r="I3023" s="143" t="s">
        <v>3218</v>
      </c>
      <c r="J3023" s="143" t="s">
        <v>1577</v>
      </c>
      <c r="K3023" s="143">
        <v>140</v>
      </c>
      <c r="L3023" s="143">
        <v>75</v>
      </c>
      <c r="W3023" s="169" t="s">
        <v>294</v>
      </c>
      <c r="X3023" s="143" t="s">
        <v>8379</v>
      </c>
      <c r="Y3023" s="169" t="s">
        <v>294</v>
      </c>
      <c r="Z3023" s="143" t="s">
        <v>8379</v>
      </c>
      <c r="AA3023" s="238">
        <v>13.8</v>
      </c>
      <c r="AB3023" s="191">
        <v>46381</v>
      </c>
      <c r="AH3023" s="143" t="s">
        <v>8374</v>
      </c>
    </row>
    <row r="3024" ht="14.25" spans="1:34">
      <c r="A3024" s="143">
        <v>2985</v>
      </c>
      <c r="B3024" s="144">
        <v>45999</v>
      </c>
      <c r="C3024" s="169" t="s">
        <v>3148</v>
      </c>
      <c r="E3024" s="145" t="s">
        <v>8365</v>
      </c>
      <c r="F3024" s="143" t="s">
        <v>8381</v>
      </c>
      <c r="H3024" s="143" t="s">
        <v>8382</v>
      </c>
      <c r="I3024" s="143" t="s">
        <v>3218</v>
      </c>
      <c r="J3024" s="143" t="s">
        <v>1577</v>
      </c>
      <c r="K3024" s="143">
        <v>140</v>
      </c>
      <c r="L3024" s="143">
        <v>75</v>
      </c>
      <c r="W3024" s="169" t="s">
        <v>294</v>
      </c>
      <c r="X3024" s="143" t="s">
        <v>8381</v>
      </c>
      <c r="Y3024" s="169" t="s">
        <v>294</v>
      </c>
      <c r="Z3024" s="143" t="s">
        <v>8381</v>
      </c>
      <c r="AA3024" s="238">
        <v>13.8</v>
      </c>
      <c r="AB3024" s="191">
        <v>46381</v>
      </c>
      <c r="AH3024" s="143" t="s">
        <v>8374</v>
      </c>
    </row>
    <row r="3025" ht="14.25" spans="1:34">
      <c r="A3025" s="143">
        <v>2986</v>
      </c>
      <c r="B3025" s="144">
        <v>45999</v>
      </c>
      <c r="C3025" s="169" t="s">
        <v>3148</v>
      </c>
      <c r="E3025" s="145" t="s">
        <v>8365</v>
      </c>
      <c r="F3025" s="143" t="s">
        <v>8383</v>
      </c>
      <c r="H3025" s="143" t="s">
        <v>8384</v>
      </c>
      <c r="I3025" s="143" t="s">
        <v>3218</v>
      </c>
      <c r="J3025" s="143" t="s">
        <v>1577</v>
      </c>
      <c r="K3025" s="143">
        <v>140</v>
      </c>
      <c r="L3025" s="143">
        <v>75</v>
      </c>
      <c r="W3025" s="169" t="s">
        <v>294</v>
      </c>
      <c r="X3025" s="143" t="s">
        <v>8383</v>
      </c>
      <c r="Y3025" s="169" t="s">
        <v>294</v>
      </c>
      <c r="Z3025" s="143" t="s">
        <v>8383</v>
      </c>
      <c r="AA3025" s="238">
        <v>13.8</v>
      </c>
      <c r="AB3025" s="191">
        <v>46381</v>
      </c>
      <c r="AH3025" s="143" t="s">
        <v>8374</v>
      </c>
    </row>
    <row r="3026" ht="16.5" spans="1:34">
      <c r="A3026" s="143">
        <v>2987</v>
      </c>
      <c r="B3026" s="144">
        <v>45999</v>
      </c>
      <c r="C3026" s="169" t="s">
        <v>3148</v>
      </c>
      <c r="E3026" s="145" t="s">
        <v>8385</v>
      </c>
      <c r="F3026" s="143" t="s">
        <v>8386</v>
      </c>
      <c r="H3026" s="143" t="s">
        <v>8387</v>
      </c>
      <c r="I3026" s="143" t="s">
        <v>3390</v>
      </c>
      <c r="J3026" s="143" t="s">
        <v>4144</v>
      </c>
      <c r="K3026" s="143">
        <v>150</v>
      </c>
      <c r="L3026" s="143">
        <v>150</v>
      </c>
      <c r="W3026" s="169" t="s">
        <v>294</v>
      </c>
      <c r="X3026" s="143" t="s">
        <v>8386</v>
      </c>
      <c r="Y3026" s="169" t="s">
        <v>294</v>
      </c>
      <c r="Z3026" s="143" t="s">
        <v>8386</v>
      </c>
      <c r="AA3026" s="242">
        <v>8</v>
      </c>
      <c r="AB3026" s="191">
        <v>46381</v>
      </c>
      <c r="AH3026" s="143" t="s">
        <v>8388</v>
      </c>
    </row>
    <row r="3027" ht="14.25" spans="1:34">
      <c r="A3027" s="143">
        <v>2988</v>
      </c>
      <c r="B3027" s="144">
        <v>45999</v>
      </c>
      <c r="C3027" s="169" t="s">
        <v>3148</v>
      </c>
      <c r="E3027" s="145" t="s">
        <v>8365</v>
      </c>
      <c r="F3027" s="143" t="s">
        <v>8389</v>
      </c>
      <c r="H3027" s="143" t="s">
        <v>8390</v>
      </c>
      <c r="I3027" s="143" t="s">
        <v>3218</v>
      </c>
      <c r="J3027" s="143" t="s">
        <v>1577</v>
      </c>
      <c r="K3027" s="143">
        <v>140</v>
      </c>
      <c r="L3027" s="143">
        <v>80</v>
      </c>
      <c r="W3027" s="169" t="s">
        <v>294</v>
      </c>
      <c r="X3027" s="143" t="s">
        <v>8389</v>
      </c>
      <c r="Y3027" s="169" t="s">
        <v>294</v>
      </c>
      <c r="Z3027" s="143" t="s">
        <v>8389</v>
      </c>
      <c r="AA3027" s="238">
        <v>13.8</v>
      </c>
      <c r="AB3027" s="191">
        <v>46381</v>
      </c>
      <c r="AH3027" s="143" t="s">
        <v>8374</v>
      </c>
    </row>
    <row r="3028" ht="16.5" spans="1:34">
      <c r="A3028" s="143">
        <v>2989</v>
      </c>
      <c r="B3028" s="144">
        <v>45999</v>
      </c>
      <c r="C3028" s="169" t="s">
        <v>3148</v>
      </c>
      <c r="E3028" s="145" t="s">
        <v>8391</v>
      </c>
      <c r="F3028" s="143" t="s">
        <v>8392</v>
      </c>
      <c r="H3028" s="143" t="s">
        <v>8393</v>
      </c>
      <c r="I3028" s="143" t="s">
        <v>3390</v>
      </c>
      <c r="J3028" s="143" t="s">
        <v>3657</v>
      </c>
      <c r="K3028" s="143">
        <v>150</v>
      </c>
      <c r="L3028" s="143">
        <v>140</v>
      </c>
      <c r="W3028" s="169" t="s">
        <v>294</v>
      </c>
      <c r="X3028" s="143" t="s">
        <v>8392</v>
      </c>
      <c r="Y3028" s="169" t="s">
        <v>294</v>
      </c>
      <c r="Z3028" s="143" t="s">
        <v>8392</v>
      </c>
      <c r="AA3028" s="244">
        <v>9.5</v>
      </c>
      <c r="AB3028" s="191">
        <v>46381</v>
      </c>
    </row>
    <row r="3029" ht="16.5" spans="1:34">
      <c r="A3029" s="143">
        <v>2990</v>
      </c>
      <c r="B3029" s="144">
        <v>45999</v>
      </c>
      <c r="C3029" s="169" t="s">
        <v>3148</v>
      </c>
      <c r="E3029" s="145" t="s">
        <v>8391</v>
      </c>
      <c r="F3029" s="143" t="s">
        <v>8394</v>
      </c>
      <c r="H3029" s="143" t="s">
        <v>8395</v>
      </c>
      <c r="I3029" s="143" t="s">
        <v>5349</v>
      </c>
      <c r="J3029" s="143" t="s">
        <v>2917</v>
      </c>
      <c r="K3029" s="143">
        <v>150</v>
      </c>
      <c r="L3029" s="143">
        <v>120</v>
      </c>
      <c r="W3029" s="169" t="s">
        <v>294</v>
      </c>
      <c r="X3029" s="143" t="s">
        <v>8394</v>
      </c>
      <c r="Y3029" s="169" t="s">
        <v>294</v>
      </c>
      <c r="Z3029" s="143" t="s">
        <v>8394</v>
      </c>
      <c r="AA3029" s="242">
        <v>7</v>
      </c>
      <c r="AB3029" s="191">
        <v>46381</v>
      </c>
    </row>
    <row r="3030" ht="16.5" spans="1:34">
      <c r="A3030" s="143">
        <v>2991</v>
      </c>
      <c r="B3030" s="144">
        <v>45999</v>
      </c>
      <c r="C3030" s="169" t="s">
        <v>3148</v>
      </c>
      <c r="E3030" s="145" t="s">
        <v>8396</v>
      </c>
      <c r="F3030" s="143" t="s">
        <v>8397</v>
      </c>
      <c r="H3030" s="143" t="s">
        <v>8398</v>
      </c>
      <c r="I3030" s="143" t="s">
        <v>8399</v>
      </c>
      <c r="J3030" s="143" t="s">
        <v>8400</v>
      </c>
      <c r="K3030" s="143">
        <v>150</v>
      </c>
      <c r="L3030" s="143">
        <v>70</v>
      </c>
      <c r="W3030" s="169" t="s">
        <v>294</v>
      </c>
      <c r="X3030" s="143" t="s">
        <v>8397</v>
      </c>
      <c r="Y3030" s="169" t="s">
        <v>294</v>
      </c>
      <c r="Z3030" s="143" t="s">
        <v>8397</v>
      </c>
      <c r="AA3030" s="242">
        <v>6.5</v>
      </c>
      <c r="AB3030" s="191">
        <v>46381</v>
      </c>
    </row>
    <row r="3031" ht="16.5" spans="1:34">
      <c r="A3031" s="143">
        <v>2992</v>
      </c>
      <c r="B3031" s="144">
        <v>45999</v>
      </c>
      <c r="C3031" s="169" t="s">
        <v>3148</v>
      </c>
      <c r="E3031" s="145" t="s">
        <v>8401</v>
      </c>
      <c r="F3031" s="143" t="s">
        <v>8402</v>
      </c>
      <c r="H3031" s="143" t="s">
        <v>8403</v>
      </c>
      <c r="I3031" s="143" t="s">
        <v>3218</v>
      </c>
      <c r="J3031" s="143" t="s">
        <v>1577</v>
      </c>
      <c r="K3031" s="143">
        <v>150</v>
      </c>
      <c r="L3031" s="143">
        <v>250</v>
      </c>
      <c r="W3031" s="169" t="s">
        <v>294</v>
      </c>
      <c r="X3031" s="143" t="s">
        <v>8402</v>
      </c>
      <c r="Y3031" s="169" t="s">
        <v>294</v>
      </c>
      <c r="Z3031" s="143" t="s">
        <v>8402</v>
      </c>
      <c r="AA3031" s="242">
        <v>13</v>
      </c>
      <c r="AB3031" s="191">
        <v>46381</v>
      </c>
    </row>
    <row r="3032" ht="16.5" spans="1:34">
      <c r="A3032" s="143">
        <v>2993</v>
      </c>
      <c r="B3032" s="144">
        <v>45999</v>
      </c>
      <c r="C3032" s="169" t="s">
        <v>3148</v>
      </c>
      <c r="F3032" s="143" t="s">
        <v>8404</v>
      </c>
      <c r="H3032" s="143" t="s">
        <v>8405</v>
      </c>
      <c r="I3032" s="143" t="s">
        <v>3742</v>
      </c>
      <c r="J3032" s="143" t="s">
        <v>3657</v>
      </c>
      <c r="K3032" s="143">
        <v>150</v>
      </c>
      <c r="L3032" s="143">
        <v>200</v>
      </c>
      <c r="W3032" s="169" t="s">
        <v>294</v>
      </c>
      <c r="X3032" s="143" t="s">
        <v>8404</v>
      </c>
      <c r="Y3032" s="169" t="s">
        <v>294</v>
      </c>
      <c r="Z3032" s="143" t="s">
        <v>8404</v>
      </c>
      <c r="AA3032" s="242">
        <v>10.5</v>
      </c>
      <c r="AB3032" s="191">
        <v>46381</v>
      </c>
    </row>
    <row r="3033" ht="17.25" spans="1:34">
      <c r="A3033" s="143">
        <v>2994</v>
      </c>
      <c r="B3033" s="144">
        <v>46002</v>
      </c>
      <c r="C3033" s="169" t="s">
        <v>3148</v>
      </c>
      <c r="E3033" s="196" t="s">
        <v>8406</v>
      </c>
      <c r="F3033" s="143" t="s">
        <v>8407</v>
      </c>
      <c r="H3033" s="143" t="s">
        <v>8408</v>
      </c>
      <c r="I3033" s="143" t="s">
        <v>8409</v>
      </c>
      <c r="J3033" s="143" t="s">
        <v>8248</v>
      </c>
      <c r="K3033" s="143">
        <v>165</v>
      </c>
      <c r="L3033" s="143">
        <v>190</v>
      </c>
      <c r="W3033" s="169" t="s">
        <v>294</v>
      </c>
      <c r="X3033" s="143" t="s">
        <v>8407</v>
      </c>
      <c r="Y3033" s="169" t="s">
        <v>294</v>
      </c>
      <c r="Z3033" s="143" t="s">
        <v>8407</v>
      </c>
      <c r="AA3033" s="245">
        <v>15</v>
      </c>
      <c r="AB3033" s="191">
        <v>46381</v>
      </c>
      <c r="AH3033" s="143" t="s">
        <v>8410</v>
      </c>
    </row>
    <row r="3034" ht="17.25" spans="1:34">
      <c r="A3034" s="143">
        <v>2995</v>
      </c>
      <c r="B3034" s="144">
        <v>46002</v>
      </c>
      <c r="C3034" s="169" t="s">
        <v>3148</v>
      </c>
      <c r="E3034" s="196" t="s">
        <v>8406</v>
      </c>
      <c r="F3034" s="143" t="s">
        <v>8411</v>
      </c>
      <c r="H3034" s="143" t="s">
        <v>8412</v>
      </c>
      <c r="I3034" s="143" t="s">
        <v>8413</v>
      </c>
      <c r="J3034" s="143" t="s">
        <v>8248</v>
      </c>
      <c r="K3034" s="143">
        <v>165</v>
      </c>
      <c r="L3034" s="143">
        <v>230</v>
      </c>
      <c r="W3034" s="169" t="s">
        <v>294</v>
      </c>
      <c r="X3034" s="143" t="s">
        <v>8411</v>
      </c>
      <c r="Y3034" s="169" t="s">
        <v>294</v>
      </c>
      <c r="Z3034" s="143" t="s">
        <v>8411</v>
      </c>
      <c r="AA3034" s="245">
        <v>24</v>
      </c>
      <c r="AB3034" s="191">
        <v>46381</v>
      </c>
      <c r="AH3034" s="143" t="s">
        <v>3701</v>
      </c>
    </row>
    <row r="3035" ht="17.25" spans="1:34">
      <c r="A3035" s="143">
        <v>2996</v>
      </c>
      <c r="B3035" s="144">
        <v>46002</v>
      </c>
      <c r="C3035" s="169" t="s">
        <v>3148</v>
      </c>
      <c r="D3035" s="144"/>
      <c r="E3035" s="196" t="s">
        <v>8406</v>
      </c>
      <c r="F3035" s="144" t="s">
        <v>8414</v>
      </c>
      <c r="G3035" s="144"/>
      <c r="H3035" s="143" t="s">
        <v>8415</v>
      </c>
      <c r="I3035" s="143" t="s">
        <v>8416</v>
      </c>
      <c r="J3035" s="143" t="s">
        <v>8417</v>
      </c>
      <c r="K3035" s="143">
        <v>175</v>
      </c>
      <c r="L3035" s="143">
        <v>170</v>
      </c>
      <c r="W3035" s="169" t="s">
        <v>294</v>
      </c>
      <c r="X3035" s="144" t="s">
        <v>8414</v>
      </c>
      <c r="Y3035" s="169" t="s">
        <v>294</v>
      </c>
      <c r="Z3035" s="144" t="s">
        <v>8414</v>
      </c>
      <c r="AA3035" s="241">
        <v>11.5</v>
      </c>
      <c r="AB3035" s="191">
        <v>46381</v>
      </c>
      <c r="AH3035" s="143" t="s">
        <v>8418</v>
      </c>
    </row>
    <row r="3036" ht="17.25" spans="1:34">
      <c r="A3036" s="143">
        <v>2997</v>
      </c>
      <c r="B3036" s="144">
        <v>46002</v>
      </c>
      <c r="C3036" s="169" t="s">
        <v>3148</v>
      </c>
      <c r="D3036" s="144"/>
      <c r="E3036" s="196" t="s">
        <v>8406</v>
      </c>
      <c r="F3036" s="144" t="s">
        <v>8419</v>
      </c>
      <c r="G3036" s="144"/>
      <c r="H3036" s="143" t="s">
        <v>8420</v>
      </c>
      <c r="I3036" s="143" t="s">
        <v>8421</v>
      </c>
      <c r="J3036" s="143" t="s">
        <v>8422</v>
      </c>
      <c r="K3036" s="143">
        <v>175</v>
      </c>
      <c r="L3036" s="143">
        <v>160</v>
      </c>
      <c r="W3036" s="169" t="s">
        <v>294</v>
      </c>
      <c r="X3036" s="144" t="s">
        <v>8419</v>
      </c>
      <c r="Y3036" s="169" t="s">
        <v>294</v>
      </c>
      <c r="Z3036" s="144" t="s">
        <v>8419</v>
      </c>
      <c r="AA3036" s="241">
        <v>8</v>
      </c>
      <c r="AB3036" s="191">
        <v>46381</v>
      </c>
      <c r="AH3036" s="143" t="s">
        <v>8423</v>
      </c>
    </row>
    <row r="3037" ht="17.25" spans="1:34">
      <c r="A3037" s="143">
        <v>2998</v>
      </c>
      <c r="B3037" s="144">
        <v>46002</v>
      </c>
      <c r="C3037" s="169" t="s">
        <v>3148</v>
      </c>
      <c r="D3037" s="144"/>
      <c r="E3037" s="196" t="s">
        <v>8406</v>
      </c>
      <c r="F3037" s="144" t="s">
        <v>8424</v>
      </c>
      <c r="G3037" s="144"/>
      <c r="H3037" s="143" t="s">
        <v>8425</v>
      </c>
      <c r="I3037" s="143" t="s">
        <v>8413</v>
      </c>
      <c r="J3037" s="143" t="s">
        <v>8248</v>
      </c>
      <c r="K3037" s="143">
        <v>165</v>
      </c>
      <c r="L3037" s="143">
        <v>230</v>
      </c>
      <c r="W3037" s="169" t="s">
        <v>294</v>
      </c>
      <c r="X3037" s="144" t="s">
        <v>8424</v>
      </c>
      <c r="Y3037" s="169" t="s">
        <v>294</v>
      </c>
      <c r="Z3037" s="144" t="s">
        <v>8424</v>
      </c>
      <c r="AA3037" s="241">
        <v>11.5</v>
      </c>
      <c r="AB3037" s="191">
        <v>46381</v>
      </c>
      <c r="AH3037" s="143" t="s">
        <v>8426</v>
      </c>
    </row>
    <row r="3038" ht="17.25" spans="1:34">
      <c r="A3038" s="143">
        <v>2999</v>
      </c>
      <c r="B3038" s="144">
        <v>46002</v>
      </c>
      <c r="C3038" s="169" t="s">
        <v>3148</v>
      </c>
      <c r="D3038" s="144"/>
      <c r="E3038" s="196" t="s">
        <v>8406</v>
      </c>
      <c r="F3038" s="144" t="s">
        <v>8427</v>
      </c>
      <c r="G3038" s="144"/>
      <c r="H3038" s="143" t="s">
        <v>8428</v>
      </c>
      <c r="I3038" s="143" t="s">
        <v>8429</v>
      </c>
      <c r="J3038" s="143" t="s">
        <v>8252</v>
      </c>
      <c r="K3038" s="143">
        <v>155</v>
      </c>
      <c r="L3038" s="143">
        <v>220</v>
      </c>
      <c r="W3038" s="169" t="s">
        <v>294</v>
      </c>
      <c r="X3038" s="144" t="s">
        <v>8427</v>
      </c>
      <c r="Y3038" s="169" t="s">
        <v>294</v>
      </c>
      <c r="Z3038" s="144" t="s">
        <v>8427</v>
      </c>
      <c r="AA3038" s="245">
        <v>18</v>
      </c>
      <c r="AB3038" s="191">
        <v>46381</v>
      </c>
      <c r="AH3038" s="143" t="s">
        <v>8430</v>
      </c>
    </row>
    <row r="3039" ht="14.25" spans="1:34">
      <c r="A3039" s="143">
        <v>3000</v>
      </c>
      <c r="B3039" s="144">
        <v>46002</v>
      </c>
      <c r="C3039" s="169" t="s">
        <v>3148</v>
      </c>
      <c r="D3039" s="144"/>
      <c r="E3039" s="202" t="s">
        <v>8431</v>
      </c>
      <c r="F3039" s="144" t="s">
        <v>8432</v>
      </c>
      <c r="G3039" s="144"/>
      <c r="H3039" s="143" t="s">
        <v>8433</v>
      </c>
      <c r="I3039" s="143" t="s">
        <v>45</v>
      </c>
      <c r="J3039" s="143" t="s">
        <v>3684</v>
      </c>
      <c r="K3039" s="143">
        <v>153</v>
      </c>
      <c r="L3039" s="143">
        <v>215</v>
      </c>
      <c r="W3039" s="169" t="s">
        <v>294</v>
      </c>
      <c r="X3039" s="144" t="s">
        <v>8432</v>
      </c>
      <c r="Y3039" s="169" t="s">
        <v>294</v>
      </c>
      <c r="Z3039" s="144" t="s">
        <v>8432</v>
      </c>
      <c r="AA3039" s="238">
        <v>13.8</v>
      </c>
      <c r="AB3039" s="191">
        <v>46381</v>
      </c>
    </row>
    <row r="3040" ht="14.25" spans="1:34">
      <c r="A3040" s="143">
        <v>3001</v>
      </c>
      <c r="B3040" s="144">
        <v>46002</v>
      </c>
      <c r="C3040" s="169" t="s">
        <v>3148</v>
      </c>
      <c r="D3040" s="144"/>
      <c r="E3040" s="202" t="s">
        <v>8431</v>
      </c>
      <c r="F3040" s="144" t="s">
        <v>8434</v>
      </c>
      <c r="G3040" s="144"/>
      <c r="H3040" s="143" t="s">
        <v>8435</v>
      </c>
      <c r="I3040" s="143" t="s">
        <v>45</v>
      </c>
      <c r="J3040" s="143" t="s">
        <v>3684</v>
      </c>
      <c r="K3040" s="143">
        <v>155</v>
      </c>
      <c r="L3040" s="143">
        <v>125</v>
      </c>
      <c r="W3040" s="169" t="s">
        <v>294</v>
      </c>
      <c r="X3040" s="144" t="s">
        <v>8434</v>
      </c>
      <c r="Y3040" s="169" t="s">
        <v>294</v>
      </c>
      <c r="Z3040" s="144" t="s">
        <v>8434</v>
      </c>
      <c r="AA3040" s="238">
        <v>13.8</v>
      </c>
      <c r="AB3040" s="191">
        <v>46381</v>
      </c>
    </row>
    <row r="3041" ht="14.25" spans="1:34">
      <c r="A3041" s="143">
        <v>3002</v>
      </c>
      <c r="B3041" s="144">
        <v>46002</v>
      </c>
      <c r="C3041" s="169" t="s">
        <v>3148</v>
      </c>
      <c r="D3041" s="144"/>
      <c r="E3041" s="202" t="s">
        <v>8431</v>
      </c>
      <c r="F3041" s="144" t="s">
        <v>8436</v>
      </c>
      <c r="G3041" s="144"/>
      <c r="H3041" s="143" t="s">
        <v>8437</v>
      </c>
      <c r="I3041" s="143" t="s">
        <v>45</v>
      </c>
      <c r="J3041" s="143" t="s">
        <v>3684</v>
      </c>
      <c r="K3041" s="143">
        <v>160</v>
      </c>
      <c r="L3041" s="143">
        <v>135</v>
      </c>
      <c r="W3041" s="169" t="s">
        <v>294</v>
      </c>
      <c r="X3041" s="144" t="s">
        <v>8436</v>
      </c>
      <c r="Y3041" s="169" t="s">
        <v>294</v>
      </c>
      <c r="Z3041" s="144" t="s">
        <v>8436</v>
      </c>
      <c r="AA3041" s="238">
        <v>11.8</v>
      </c>
      <c r="AB3041" s="191">
        <v>46381</v>
      </c>
    </row>
    <row r="3042" ht="14.25" spans="1:34">
      <c r="A3042" s="143">
        <v>3003</v>
      </c>
      <c r="B3042" s="144">
        <v>46002</v>
      </c>
      <c r="C3042" s="169" t="s">
        <v>3148</v>
      </c>
      <c r="D3042" s="144"/>
      <c r="E3042" s="202" t="s">
        <v>8438</v>
      </c>
      <c r="F3042" s="144" t="s">
        <v>8439</v>
      </c>
      <c r="G3042" s="144"/>
      <c r="H3042" s="143" t="s">
        <v>8440</v>
      </c>
      <c r="I3042" s="143" t="s">
        <v>45</v>
      </c>
      <c r="J3042" s="143" t="s">
        <v>3684</v>
      </c>
      <c r="K3042" s="143">
        <v>145</v>
      </c>
      <c r="L3042" s="143">
        <v>200</v>
      </c>
      <c r="W3042" s="169" t="s">
        <v>294</v>
      </c>
      <c r="X3042" s="144" t="s">
        <v>8439</v>
      </c>
      <c r="Y3042" s="169" t="s">
        <v>294</v>
      </c>
      <c r="Z3042" s="144" t="s">
        <v>8439</v>
      </c>
      <c r="AA3042" s="238">
        <v>15.5</v>
      </c>
      <c r="AB3042" s="191">
        <v>46381</v>
      </c>
    </row>
    <row r="3043" spans="1:34">
      <c r="A3043" s="143">
        <v>3004</v>
      </c>
      <c r="B3043" s="144">
        <v>46002</v>
      </c>
      <c r="C3043" s="169" t="s">
        <v>3148</v>
      </c>
      <c r="D3043" s="144"/>
      <c r="E3043" s="202" t="s">
        <v>8438</v>
      </c>
      <c r="F3043" s="144" t="s">
        <v>8441</v>
      </c>
      <c r="G3043" s="144"/>
      <c r="H3043" s="143" t="s">
        <v>8442</v>
      </c>
      <c r="I3043" s="143" t="s">
        <v>3157</v>
      </c>
      <c r="J3043" s="143" t="s">
        <v>3684</v>
      </c>
      <c r="K3043" s="143">
        <v>147</v>
      </c>
      <c r="L3043" s="143">
        <v>200</v>
      </c>
      <c r="W3043" s="143" t="s">
        <v>3147</v>
      </c>
      <c r="X3043" s="144" t="s">
        <v>8441</v>
      </c>
      <c r="Y3043" s="143" t="s">
        <v>3147</v>
      </c>
      <c r="Z3043" s="144" t="s">
        <v>8441</v>
      </c>
      <c r="AA3043" s="143">
        <v>17.6</v>
      </c>
      <c r="AB3043" s="191">
        <v>46004</v>
      </c>
    </row>
    <row r="3044" spans="1:34">
      <c r="A3044" s="143">
        <v>3005</v>
      </c>
      <c r="B3044" s="144">
        <v>46002</v>
      </c>
      <c r="C3044" s="169" t="s">
        <v>3148</v>
      </c>
      <c r="D3044" s="144"/>
      <c r="E3044" s="202" t="s">
        <v>8438</v>
      </c>
      <c r="F3044" s="202" t="s">
        <v>8443</v>
      </c>
      <c r="G3044" s="144"/>
      <c r="H3044" s="143" t="s">
        <v>8444</v>
      </c>
      <c r="I3044" s="143" t="s">
        <v>3157</v>
      </c>
      <c r="J3044" s="143" t="s">
        <v>3684</v>
      </c>
      <c r="K3044" s="143">
        <v>148</v>
      </c>
      <c r="L3044" s="143">
        <v>200</v>
      </c>
      <c r="W3044" s="143" t="s">
        <v>3147</v>
      </c>
      <c r="X3044" s="202" t="s">
        <v>8443</v>
      </c>
      <c r="Y3044" s="143" t="s">
        <v>3147</v>
      </c>
      <c r="Z3044" s="202" t="s">
        <v>8443</v>
      </c>
      <c r="AA3044" s="143">
        <v>16.6</v>
      </c>
      <c r="AB3044" s="191">
        <v>46004</v>
      </c>
    </row>
    <row r="3045" spans="1:34">
      <c r="A3045" s="143">
        <v>3006</v>
      </c>
      <c r="B3045" s="144">
        <v>46002</v>
      </c>
      <c r="C3045" s="169" t="s">
        <v>3148</v>
      </c>
      <c r="D3045" s="144"/>
      <c r="E3045" s="202" t="s">
        <v>8438</v>
      </c>
      <c r="F3045" s="144" t="s">
        <v>8445</v>
      </c>
      <c r="G3045" s="144"/>
      <c r="H3045" s="143" t="s">
        <v>8446</v>
      </c>
      <c r="I3045" s="143" t="s">
        <v>8447</v>
      </c>
      <c r="J3045" s="143" t="s">
        <v>8448</v>
      </c>
      <c r="K3045" s="143">
        <v>148</v>
      </c>
      <c r="L3045" s="143">
        <v>200</v>
      </c>
      <c r="W3045" s="143" t="s">
        <v>3147</v>
      </c>
      <c r="X3045" s="144" t="s">
        <v>8445</v>
      </c>
      <c r="Y3045" s="143" t="s">
        <v>3147</v>
      </c>
      <c r="Z3045" s="144" t="s">
        <v>8445</v>
      </c>
      <c r="AA3045" s="143">
        <v>16.2</v>
      </c>
      <c r="AB3045" s="191">
        <v>46004</v>
      </c>
    </row>
    <row r="3046" ht="15" spans="1:34">
      <c r="A3046" s="143">
        <v>3007</v>
      </c>
      <c r="B3046" s="144">
        <v>46002</v>
      </c>
      <c r="C3046" s="169" t="s">
        <v>3148</v>
      </c>
      <c r="D3046" s="144"/>
      <c r="E3046" s="202" t="s">
        <v>8449</v>
      </c>
      <c r="F3046" s="144" t="s">
        <v>8450</v>
      </c>
      <c r="G3046" s="144"/>
      <c r="H3046" s="143" t="s">
        <v>8451</v>
      </c>
      <c r="I3046" s="143" t="s">
        <v>3157</v>
      </c>
      <c r="K3046" s="143">
        <v>178</v>
      </c>
      <c r="L3046" s="143">
        <v>210</v>
      </c>
      <c r="W3046" s="169" t="s">
        <v>8452</v>
      </c>
      <c r="X3046" s="144" t="s">
        <v>8450</v>
      </c>
      <c r="Y3046" s="143" t="s">
        <v>8452</v>
      </c>
      <c r="Z3046" s="144" t="s">
        <v>8450</v>
      </c>
      <c r="AA3046" s="217" t="s">
        <v>8453</v>
      </c>
      <c r="AB3046" s="170">
        <v>46030</v>
      </c>
      <c r="AG3046" s="143" t="s">
        <v>8454</v>
      </c>
      <c r="AH3046" s="143" t="s">
        <v>8455</v>
      </c>
    </row>
    <row r="3047" ht="15" spans="1:34">
      <c r="A3047" s="143">
        <v>3008</v>
      </c>
      <c r="B3047" s="144">
        <v>46002</v>
      </c>
      <c r="C3047" s="169" t="s">
        <v>3148</v>
      </c>
      <c r="D3047" s="144"/>
      <c r="E3047" s="202" t="s">
        <v>8449</v>
      </c>
      <c r="F3047" s="144" t="s">
        <v>8456</v>
      </c>
      <c r="G3047" s="144"/>
      <c r="H3047" s="143" t="s">
        <v>8457</v>
      </c>
      <c r="I3047" s="143" t="s">
        <v>8458</v>
      </c>
      <c r="K3047" s="143">
        <v>175</v>
      </c>
      <c r="L3047" s="143">
        <v>160</v>
      </c>
      <c r="W3047" s="169" t="s">
        <v>8452</v>
      </c>
      <c r="X3047" s="144" t="s">
        <v>8456</v>
      </c>
      <c r="Y3047" s="143" t="s">
        <v>8452</v>
      </c>
      <c r="Z3047" s="144" t="s">
        <v>8456</v>
      </c>
      <c r="AA3047" s="217" t="s">
        <v>8459</v>
      </c>
      <c r="AB3047" s="170">
        <v>46030</v>
      </c>
      <c r="AG3047" s="143" t="s">
        <v>8454</v>
      </c>
      <c r="AH3047" s="143" t="s">
        <v>7478</v>
      </c>
    </row>
    <row r="3048" ht="15" spans="1:34">
      <c r="A3048" s="143">
        <v>3009</v>
      </c>
      <c r="B3048" s="144">
        <v>46002</v>
      </c>
      <c r="C3048" s="169" t="s">
        <v>3148</v>
      </c>
      <c r="D3048" s="144"/>
      <c r="E3048" s="202" t="s">
        <v>8449</v>
      </c>
      <c r="F3048" s="144" t="s">
        <v>8460</v>
      </c>
      <c r="G3048" s="144"/>
      <c r="H3048" s="143" t="s">
        <v>8461</v>
      </c>
      <c r="I3048" s="143" t="s">
        <v>3157</v>
      </c>
      <c r="K3048" s="143">
        <v>175</v>
      </c>
      <c r="L3048" s="143">
        <v>250</v>
      </c>
      <c r="W3048" s="169" t="s">
        <v>8452</v>
      </c>
      <c r="X3048" s="144" t="s">
        <v>8460</v>
      </c>
      <c r="Y3048" s="143" t="s">
        <v>8452</v>
      </c>
      <c r="Z3048" s="144" t="s">
        <v>8460</v>
      </c>
      <c r="AA3048" s="217" t="s">
        <v>8462</v>
      </c>
      <c r="AB3048" s="170">
        <v>46030</v>
      </c>
      <c r="AG3048" s="143" t="s">
        <v>8454</v>
      </c>
      <c r="AH3048" s="143" t="s">
        <v>8463</v>
      </c>
    </row>
    <row r="3049" ht="15" spans="1:34">
      <c r="A3049" s="143">
        <v>3010</v>
      </c>
      <c r="B3049" s="144">
        <v>46002</v>
      </c>
      <c r="C3049" s="169" t="s">
        <v>3148</v>
      </c>
      <c r="D3049" s="144"/>
      <c r="E3049" s="202" t="s">
        <v>8449</v>
      </c>
      <c r="F3049" s="144" t="s">
        <v>8464</v>
      </c>
      <c r="G3049" s="144"/>
      <c r="H3049" s="143" t="s">
        <v>8465</v>
      </c>
      <c r="I3049" s="143" t="s">
        <v>8466</v>
      </c>
      <c r="K3049" s="143">
        <v>175</v>
      </c>
      <c r="L3049" s="143">
        <v>190</v>
      </c>
      <c r="W3049" s="169" t="s">
        <v>8452</v>
      </c>
      <c r="X3049" s="144" t="s">
        <v>8464</v>
      </c>
      <c r="Y3049" s="143" t="s">
        <v>8452</v>
      </c>
      <c r="Z3049" s="144" t="s">
        <v>8464</v>
      </c>
      <c r="AA3049" s="217" t="s">
        <v>8467</v>
      </c>
      <c r="AB3049" s="170">
        <v>46030</v>
      </c>
      <c r="AG3049" s="169" t="s">
        <v>8468</v>
      </c>
      <c r="AH3049" s="143" t="s">
        <v>3767</v>
      </c>
    </row>
    <row r="3050" ht="15" spans="1:34">
      <c r="A3050" s="143">
        <v>3011</v>
      </c>
      <c r="B3050" s="144">
        <v>46002</v>
      </c>
      <c r="C3050" s="169" t="s">
        <v>3148</v>
      </c>
      <c r="D3050" s="144"/>
      <c r="E3050" s="202" t="s">
        <v>8449</v>
      </c>
      <c r="F3050" s="144" t="s">
        <v>8469</v>
      </c>
      <c r="G3050" s="144"/>
      <c r="H3050" s="143" t="s">
        <v>8470</v>
      </c>
      <c r="I3050" s="143" t="s">
        <v>3157</v>
      </c>
      <c r="K3050" s="143">
        <v>190</v>
      </c>
      <c r="L3050" s="143">
        <v>300</v>
      </c>
      <c r="W3050" s="169" t="s">
        <v>8452</v>
      </c>
      <c r="X3050" s="144" t="s">
        <v>8469</v>
      </c>
      <c r="Y3050" s="143" t="s">
        <v>8452</v>
      </c>
      <c r="Z3050" s="144" t="s">
        <v>8469</v>
      </c>
      <c r="AA3050" s="217" t="s">
        <v>8471</v>
      </c>
      <c r="AB3050" s="170">
        <v>46030</v>
      </c>
      <c r="AG3050" s="143" t="s">
        <v>8454</v>
      </c>
      <c r="AH3050" s="143" t="s">
        <v>8472</v>
      </c>
    </row>
    <row r="3051" ht="15" spans="1:34">
      <c r="A3051" s="143">
        <v>3012</v>
      </c>
      <c r="B3051" s="144">
        <v>46002</v>
      </c>
      <c r="C3051" s="169" t="s">
        <v>3148</v>
      </c>
      <c r="E3051" s="202" t="s">
        <v>8449</v>
      </c>
      <c r="F3051" s="143" t="s">
        <v>8473</v>
      </c>
      <c r="H3051" s="143" t="s">
        <v>8474</v>
      </c>
      <c r="I3051" s="143" t="s">
        <v>3157</v>
      </c>
      <c r="K3051" s="143">
        <v>170</v>
      </c>
      <c r="L3051" s="143">
        <v>260</v>
      </c>
      <c r="W3051" s="169" t="s">
        <v>8452</v>
      </c>
      <c r="X3051" s="143" t="s">
        <v>8473</v>
      </c>
      <c r="Y3051" s="143" t="s">
        <v>8452</v>
      </c>
      <c r="Z3051" s="143" t="s">
        <v>8473</v>
      </c>
      <c r="AA3051" s="217" t="s">
        <v>8462</v>
      </c>
      <c r="AB3051" s="170">
        <v>46030</v>
      </c>
      <c r="AG3051" s="143" t="s">
        <v>8454</v>
      </c>
      <c r="AH3051" s="143" t="s">
        <v>8475</v>
      </c>
    </row>
    <row r="3052" ht="15" spans="1:34">
      <c r="A3052" s="143">
        <v>3013</v>
      </c>
      <c r="B3052" s="144">
        <v>46002</v>
      </c>
      <c r="C3052" s="169" t="s">
        <v>3148</v>
      </c>
      <c r="E3052" s="202" t="s">
        <v>8449</v>
      </c>
      <c r="F3052" s="143" t="s">
        <v>8476</v>
      </c>
      <c r="H3052" s="143" t="s">
        <v>8477</v>
      </c>
      <c r="I3052" s="143" t="s">
        <v>45</v>
      </c>
      <c r="K3052" s="143">
        <v>180</v>
      </c>
      <c r="L3052" s="143">
        <v>235</v>
      </c>
      <c r="W3052" s="169" t="s">
        <v>8452</v>
      </c>
      <c r="X3052" s="143" t="s">
        <v>8476</v>
      </c>
      <c r="Y3052" s="143" t="s">
        <v>8452</v>
      </c>
      <c r="Z3052" s="143" t="s">
        <v>8476</v>
      </c>
      <c r="AA3052" s="217" t="s">
        <v>8478</v>
      </c>
      <c r="AB3052" s="170">
        <v>46030</v>
      </c>
      <c r="AG3052" s="143" t="s">
        <v>8454</v>
      </c>
      <c r="AH3052" s="143" t="s">
        <v>8479</v>
      </c>
    </row>
    <row r="3053" ht="15" spans="1:34">
      <c r="A3053" s="143">
        <v>3014</v>
      </c>
      <c r="B3053" s="144">
        <v>46002</v>
      </c>
      <c r="C3053" s="169" t="s">
        <v>3148</v>
      </c>
      <c r="E3053" s="202" t="s">
        <v>8449</v>
      </c>
      <c r="F3053" s="143" t="s">
        <v>8480</v>
      </c>
      <c r="H3053" s="143" t="s">
        <v>8481</v>
      </c>
      <c r="I3053" s="143" t="s">
        <v>8482</v>
      </c>
      <c r="K3053" s="143">
        <v>178</v>
      </c>
      <c r="L3053" s="143">
        <v>170</v>
      </c>
      <c r="W3053" s="169" t="s">
        <v>8452</v>
      </c>
      <c r="X3053" s="143" t="s">
        <v>8480</v>
      </c>
      <c r="Y3053" s="143" t="s">
        <v>8452</v>
      </c>
      <c r="Z3053" s="143" t="s">
        <v>8480</v>
      </c>
      <c r="AA3053" s="173" t="s">
        <v>8483</v>
      </c>
      <c r="AB3053" s="170">
        <v>46030</v>
      </c>
      <c r="AG3053" s="143" t="s">
        <v>8454</v>
      </c>
      <c r="AH3053" s="143" t="s">
        <v>3658</v>
      </c>
    </row>
    <row r="3054" ht="15" spans="1:34">
      <c r="A3054" s="143">
        <v>3015</v>
      </c>
      <c r="B3054" s="144">
        <v>46002</v>
      </c>
      <c r="C3054" s="169" t="s">
        <v>3148</v>
      </c>
      <c r="E3054" s="202" t="s">
        <v>8449</v>
      </c>
      <c r="F3054" s="143" t="s">
        <v>8484</v>
      </c>
      <c r="H3054" s="143" t="s">
        <v>8485</v>
      </c>
      <c r="I3054" s="143" t="s">
        <v>45</v>
      </c>
      <c r="K3054" s="143">
        <v>178</v>
      </c>
      <c r="L3054" s="143">
        <v>230</v>
      </c>
      <c r="W3054" s="169" t="s">
        <v>8452</v>
      </c>
      <c r="X3054" s="143" t="s">
        <v>8484</v>
      </c>
      <c r="Y3054" s="143" t="s">
        <v>8452</v>
      </c>
      <c r="Z3054" s="143" t="s">
        <v>8484</v>
      </c>
      <c r="AA3054" s="173" t="s">
        <v>8486</v>
      </c>
      <c r="AB3054" s="170">
        <v>46030</v>
      </c>
      <c r="AG3054" s="143" t="s">
        <v>8454</v>
      </c>
      <c r="AH3054" s="143" t="s">
        <v>3701</v>
      </c>
    </row>
    <row r="3055" ht="15" spans="1:34">
      <c r="A3055" s="143">
        <v>3016</v>
      </c>
      <c r="B3055" s="144">
        <v>46002</v>
      </c>
      <c r="C3055" s="169" t="s">
        <v>3148</v>
      </c>
      <c r="E3055" s="202" t="s">
        <v>8449</v>
      </c>
      <c r="F3055" s="143" t="s">
        <v>8487</v>
      </c>
      <c r="H3055" s="143" t="s">
        <v>8488</v>
      </c>
      <c r="I3055" s="143" t="s">
        <v>3157</v>
      </c>
      <c r="K3055" s="143">
        <v>163</v>
      </c>
      <c r="L3055" s="143">
        <v>190</v>
      </c>
      <c r="W3055" s="169" t="s">
        <v>8452</v>
      </c>
      <c r="X3055" s="143" t="s">
        <v>8487</v>
      </c>
      <c r="Y3055" s="143" t="s">
        <v>8452</v>
      </c>
      <c r="Z3055" s="143" t="s">
        <v>8487</v>
      </c>
      <c r="AA3055" s="217" t="s">
        <v>8489</v>
      </c>
      <c r="AB3055" s="170">
        <v>46030</v>
      </c>
      <c r="AG3055" s="143" t="s">
        <v>8454</v>
      </c>
      <c r="AH3055" s="143" t="s">
        <v>3658</v>
      </c>
    </row>
    <row r="3056" ht="15" spans="1:34">
      <c r="A3056" s="143">
        <v>3017</v>
      </c>
      <c r="B3056" s="144">
        <v>46002</v>
      </c>
      <c r="C3056" s="169" t="s">
        <v>3148</v>
      </c>
      <c r="E3056" s="202" t="s">
        <v>8449</v>
      </c>
      <c r="F3056" s="143" t="s">
        <v>8490</v>
      </c>
      <c r="H3056" s="143" t="s">
        <v>8491</v>
      </c>
      <c r="I3056" s="143" t="s">
        <v>8492</v>
      </c>
      <c r="J3056" s="143" t="s">
        <v>8493</v>
      </c>
      <c r="K3056" s="143">
        <v>178</v>
      </c>
      <c r="L3056" s="143">
        <v>170</v>
      </c>
      <c r="W3056" s="169" t="s">
        <v>8452</v>
      </c>
      <c r="X3056" s="143" t="s">
        <v>8490</v>
      </c>
      <c r="Y3056" s="143" t="s">
        <v>8452</v>
      </c>
      <c r="Z3056" s="143" t="s">
        <v>8490</v>
      </c>
      <c r="AA3056" s="217" t="s">
        <v>8494</v>
      </c>
      <c r="AB3056" s="170">
        <v>46030</v>
      </c>
      <c r="AG3056" s="143" t="s">
        <v>8454</v>
      </c>
      <c r="AH3056" s="143" t="s">
        <v>8418</v>
      </c>
    </row>
    <row r="3057" ht="15" spans="1:34">
      <c r="A3057" s="143">
        <v>3018</v>
      </c>
      <c r="B3057" s="144">
        <v>46002</v>
      </c>
      <c r="C3057" s="169" t="s">
        <v>3148</v>
      </c>
      <c r="E3057" s="196" t="s">
        <v>8495</v>
      </c>
      <c r="F3057" s="143" t="s">
        <v>8496</v>
      </c>
      <c r="H3057" s="143" t="s">
        <v>8497</v>
      </c>
      <c r="I3057" s="143" t="s">
        <v>45</v>
      </c>
      <c r="K3057" s="143">
        <v>175</v>
      </c>
      <c r="L3057" s="143">
        <v>190</v>
      </c>
      <c r="W3057" s="169" t="s">
        <v>8452</v>
      </c>
      <c r="X3057" s="143" t="s">
        <v>8496</v>
      </c>
      <c r="Y3057" s="143" t="s">
        <v>8452</v>
      </c>
      <c r="Z3057" s="143" t="s">
        <v>8496</v>
      </c>
      <c r="AA3057" s="217" t="s">
        <v>8498</v>
      </c>
      <c r="AB3057" s="170">
        <v>46030</v>
      </c>
      <c r="AG3057" s="143" t="s">
        <v>8454</v>
      </c>
      <c r="AH3057" s="143" t="s">
        <v>8410</v>
      </c>
    </row>
    <row r="3058" ht="15" spans="1:34">
      <c r="A3058" s="143">
        <v>3019</v>
      </c>
      <c r="B3058" s="144">
        <v>46002</v>
      </c>
      <c r="C3058" s="169" t="s">
        <v>3148</v>
      </c>
      <c r="E3058" s="196" t="s">
        <v>8495</v>
      </c>
      <c r="F3058" s="143" t="s">
        <v>8499</v>
      </c>
      <c r="H3058" s="143" t="s">
        <v>8500</v>
      </c>
      <c r="I3058" s="143" t="s">
        <v>8501</v>
      </c>
      <c r="K3058" s="143">
        <v>180</v>
      </c>
      <c r="L3058" s="143">
        <v>220</v>
      </c>
      <c r="W3058" s="169" t="s">
        <v>8452</v>
      </c>
      <c r="X3058" s="143" t="s">
        <v>8499</v>
      </c>
      <c r="Y3058" s="143" t="s">
        <v>8452</v>
      </c>
      <c r="Z3058" s="143" t="s">
        <v>8499</v>
      </c>
      <c r="AA3058" s="217" t="s">
        <v>8502</v>
      </c>
      <c r="AB3058" s="170">
        <v>46030</v>
      </c>
      <c r="AG3058" s="143" t="s">
        <v>8454</v>
      </c>
      <c r="AH3058" s="143" t="s">
        <v>3701</v>
      </c>
    </row>
    <row r="3059" ht="15" spans="1:34">
      <c r="A3059" s="143">
        <v>3020</v>
      </c>
      <c r="B3059" s="144">
        <v>46002</v>
      </c>
      <c r="C3059" s="169" t="s">
        <v>3148</v>
      </c>
      <c r="E3059" s="196" t="s">
        <v>8495</v>
      </c>
      <c r="F3059" s="143" t="s">
        <v>8503</v>
      </c>
      <c r="H3059" s="143" t="s">
        <v>8504</v>
      </c>
      <c r="I3059" s="143" t="s">
        <v>8505</v>
      </c>
      <c r="K3059" s="143">
        <v>168</v>
      </c>
      <c r="L3059" s="143">
        <v>135</v>
      </c>
      <c r="W3059" s="169" t="s">
        <v>8452</v>
      </c>
      <c r="X3059" s="143" t="s">
        <v>8503</v>
      </c>
      <c r="Y3059" s="143" t="s">
        <v>8452</v>
      </c>
      <c r="Z3059" s="143" t="s">
        <v>8503</v>
      </c>
      <c r="AA3059" s="217" t="s">
        <v>8506</v>
      </c>
      <c r="AB3059" s="170">
        <v>46030</v>
      </c>
      <c r="AG3059" s="143" t="s">
        <v>8454</v>
      </c>
      <c r="AH3059" s="143" t="s">
        <v>7876</v>
      </c>
    </row>
    <row r="3060" ht="15" spans="1:34">
      <c r="A3060" s="143">
        <v>3021</v>
      </c>
      <c r="B3060" s="144">
        <v>46002</v>
      </c>
      <c r="C3060" s="169" t="s">
        <v>3148</v>
      </c>
      <c r="E3060" s="196" t="s">
        <v>8495</v>
      </c>
      <c r="F3060" s="143" t="s">
        <v>8507</v>
      </c>
      <c r="H3060" s="143" t="s">
        <v>8508</v>
      </c>
      <c r="I3060" s="143" t="s">
        <v>8509</v>
      </c>
      <c r="K3060" s="143">
        <v>175</v>
      </c>
      <c r="L3060" s="143">
        <v>145</v>
      </c>
      <c r="W3060" s="169" t="s">
        <v>8452</v>
      </c>
      <c r="X3060" s="143" t="s">
        <v>8507</v>
      </c>
      <c r="Y3060" s="143" t="s">
        <v>8452</v>
      </c>
      <c r="Z3060" s="143" t="s">
        <v>8507</v>
      </c>
      <c r="AA3060" s="217" t="s">
        <v>8510</v>
      </c>
      <c r="AB3060" s="170">
        <v>46030</v>
      </c>
      <c r="AG3060" s="143" t="s">
        <v>8454</v>
      </c>
      <c r="AH3060" s="143" t="s">
        <v>8511</v>
      </c>
    </row>
    <row r="3061" ht="15" spans="1:34">
      <c r="A3061" s="143">
        <v>3022</v>
      </c>
      <c r="B3061" s="144">
        <v>46002</v>
      </c>
      <c r="C3061" s="169" t="s">
        <v>3148</v>
      </c>
      <c r="E3061" s="196" t="s">
        <v>8495</v>
      </c>
      <c r="F3061" s="143" t="s">
        <v>8512</v>
      </c>
      <c r="H3061" s="143" t="s">
        <v>8513</v>
      </c>
      <c r="I3061" s="143" t="s">
        <v>8514</v>
      </c>
      <c r="K3061" s="143">
        <v>175</v>
      </c>
      <c r="L3061" s="143">
        <v>200</v>
      </c>
      <c r="W3061" s="169" t="s">
        <v>8452</v>
      </c>
      <c r="X3061" s="143" t="s">
        <v>8512</v>
      </c>
      <c r="Y3061" s="143" t="s">
        <v>8452</v>
      </c>
      <c r="Z3061" s="143" t="s">
        <v>8512</v>
      </c>
      <c r="AA3061" s="217" t="s">
        <v>8515</v>
      </c>
      <c r="AB3061" s="170">
        <v>46030</v>
      </c>
      <c r="AG3061" s="143" t="s">
        <v>8454</v>
      </c>
      <c r="AH3061" s="143" t="s">
        <v>8516</v>
      </c>
    </row>
    <row r="3062" ht="15" spans="1:34">
      <c r="A3062" s="143">
        <v>3023</v>
      </c>
      <c r="B3062" s="144">
        <v>46002</v>
      </c>
      <c r="C3062" s="169" t="s">
        <v>3148</v>
      </c>
      <c r="E3062" s="196" t="s">
        <v>8495</v>
      </c>
      <c r="F3062" s="143" t="s">
        <v>8517</v>
      </c>
      <c r="H3062" s="143" t="s">
        <v>8518</v>
      </c>
      <c r="I3062" s="143" t="s">
        <v>8519</v>
      </c>
      <c r="K3062" s="143">
        <v>170</v>
      </c>
      <c r="L3062" s="143">
        <v>180</v>
      </c>
      <c r="W3062" s="169" t="s">
        <v>8452</v>
      </c>
      <c r="X3062" s="143" t="s">
        <v>8517</v>
      </c>
      <c r="Y3062" s="143" t="s">
        <v>8452</v>
      </c>
      <c r="Z3062" s="143" t="s">
        <v>8517</v>
      </c>
      <c r="AA3062" s="217" t="s">
        <v>8520</v>
      </c>
      <c r="AB3062" s="170">
        <v>46030</v>
      </c>
      <c r="AG3062" s="143" t="s">
        <v>8454</v>
      </c>
      <c r="AH3062" s="143" t="s">
        <v>8521</v>
      </c>
    </row>
    <row r="3063" ht="15" spans="1:34">
      <c r="A3063" s="143">
        <v>3024</v>
      </c>
      <c r="B3063" s="144">
        <v>46002</v>
      </c>
      <c r="C3063" s="169" t="s">
        <v>3148</v>
      </c>
      <c r="E3063" s="196" t="s">
        <v>8495</v>
      </c>
      <c r="F3063" s="143" t="s">
        <v>8522</v>
      </c>
      <c r="H3063" s="143" t="s">
        <v>8523</v>
      </c>
      <c r="I3063" s="143" t="s">
        <v>8524</v>
      </c>
      <c r="K3063" s="143">
        <v>135</v>
      </c>
      <c r="L3063" s="143">
        <v>210</v>
      </c>
      <c r="W3063" s="169" t="s">
        <v>8452</v>
      </c>
      <c r="X3063" s="143" t="s">
        <v>8522</v>
      </c>
      <c r="Y3063" s="143" t="s">
        <v>8452</v>
      </c>
      <c r="Z3063" s="143" t="s">
        <v>8522</v>
      </c>
      <c r="AA3063" s="217" t="s">
        <v>8525</v>
      </c>
      <c r="AB3063" s="170">
        <v>46030</v>
      </c>
      <c r="AG3063" s="143" t="s">
        <v>8454</v>
      </c>
      <c r="AH3063" s="143" t="s">
        <v>8423</v>
      </c>
    </row>
    <row r="3064" ht="15" spans="1:34">
      <c r="A3064" s="143">
        <v>3025</v>
      </c>
      <c r="B3064" s="144">
        <v>46002</v>
      </c>
      <c r="C3064" s="169" t="s">
        <v>3148</v>
      </c>
      <c r="E3064" s="196" t="s">
        <v>8495</v>
      </c>
      <c r="F3064" s="143" t="s">
        <v>8526</v>
      </c>
      <c r="H3064" s="143" t="s">
        <v>8527</v>
      </c>
      <c r="I3064" s="143" t="s">
        <v>8528</v>
      </c>
      <c r="K3064" s="143">
        <v>188</v>
      </c>
      <c r="L3064" s="143">
        <v>240</v>
      </c>
      <c r="W3064" s="169" t="s">
        <v>8452</v>
      </c>
      <c r="X3064" s="143" t="s">
        <v>8526</v>
      </c>
      <c r="Y3064" s="143" t="s">
        <v>8452</v>
      </c>
      <c r="Z3064" s="143" t="s">
        <v>8526</v>
      </c>
      <c r="AA3064" s="173" t="s">
        <v>8529</v>
      </c>
      <c r="AB3064" s="170">
        <v>46030</v>
      </c>
      <c r="AG3064" s="143" t="s">
        <v>8454</v>
      </c>
      <c r="AH3064" s="143" t="s">
        <v>3800</v>
      </c>
    </row>
    <row r="3065" ht="15" spans="1:34">
      <c r="A3065" s="143">
        <v>3026</v>
      </c>
      <c r="B3065" s="144">
        <v>46002</v>
      </c>
      <c r="C3065" s="169" t="s">
        <v>3148</v>
      </c>
      <c r="E3065" s="196" t="s">
        <v>8495</v>
      </c>
      <c r="F3065" s="143" t="s">
        <v>8530</v>
      </c>
      <c r="H3065" s="143" t="s">
        <v>8531</v>
      </c>
      <c r="I3065" s="143" t="s">
        <v>8532</v>
      </c>
      <c r="K3065" s="143">
        <v>172</v>
      </c>
      <c r="L3065" s="143">
        <v>180</v>
      </c>
      <c r="W3065" s="169" t="s">
        <v>8452</v>
      </c>
      <c r="X3065" s="143" t="s">
        <v>8530</v>
      </c>
      <c r="Y3065" s="143" t="s">
        <v>8452</v>
      </c>
      <c r="Z3065" s="143" t="s">
        <v>8530</v>
      </c>
      <c r="AA3065" s="217" t="s">
        <v>8533</v>
      </c>
      <c r="AB3065" s="170">
        <v>46030</v>
      </c>
      <c r="AG3065" s="143" t="s">
        <v>8454</v>
      </c>
      <c r="AH3065" s="143" t="s">
        <v>3658</v>
      </c>
    </row>
    <row r="3066" ht="15" spans="1:34">
      <c r="A3066" s="143">
        <v>3027</v>
      </c>
      <c r="B3066" s="144">
        <v>46002</v>
      </c>
      <c r="C3066" s="169" t="s">
        <v>3148</v>
      </c>
      <c r="E3066" s="196" t="s">
        <v>8495</v>
      </c>
      <c r="F3066" s="143" t="s">
        <v>8534</v>
      </c>
      <c r="H3066" s="143" t="s">
        <v>8535</v>
      </c>
      <c r="I3066" s="143" t="s">
        <v>8536</v>
      </c>
      <c r="K3066" s="143">
        <v>160</v>
      </c>
      <c r="L3066" s="143">
        <v>185</v>
      </c>
      <c r="W3066" s="169" t="s">
        <v>8452</v>
      </c>
      <c r="X3066" s="143" t="s">
        <v>8534</v>
      </c>
      <c r="Y3066" s="143" t="s">
        <v>8452</v>
      </c>
      <c r="Z3066" s="143" t="s">
        <v>8534</v>
      </c>
      <c r="AA3066" s="217" t="s">
        <v>8537</v>
      </c>
      <c r="AB3066" s="170">
        <v>46030</v>
      </c>
      <c r="AG3066" s="143" t="s">
        <v>8454</v>
      </c>
      <c r="AH3066" s="143" t="s">
        <v>8418</v>
      </c>
    </row>
    <row r="3067" ht="15" spans="1:34">
      <c r="A3067" s="143">
        <v>3028</v>
      </c>
      <c r="B3067" s="144">
        <v>46002</v>
      </c>
      <c r="C3067" s="169" t="s">
        <v>3148</v>
      </c>
      <c r="E3067" s="196" t="s">
        <v>8495</v>
      </c>
      <c r="F3067" s="143" t="s">
        <v>8538</v>
      </c>
      <c r="H3067" s="143" t="s">
        <v>8539</v>
      </c>
      <c r="I3067" s="143" t="s">
        <v>8540</v>
      </c>
      <c r="K3067" s="143">
        <v>170</v>
      </c>
      <c r="L3067" s="143">
        <v>255</v>
      </c>
      <c r="W3067" s="169" t="s">
        <v>8452</v>
      </c>
      <c r="X3067" s="143" t="s">
        <v>8538</v>
      </c>
      <c r="Y3067" s="143" t="s">
        <v>8452</v>
      </c>
      <c r="Z3067" s="143" t="s">
        <v>8538</v>
      </c>
      <c r="AA3067" s="173" t="s">
        <v>8541</v>
      </c>
      <c r="AB3067" s="170">
        <v>46030</v>
      </c>
      <c r="AG3067" s="143" t="s">
        <v>8454</v>
      </c>
      <c r="AH3067" s="143" t="s">
        <v>8475</v>
      </c>
    </row>
    <row r="3068" ht="15" spans="1:34">
      <c r="A3068" s="143">
        <v>3029</v>
      </c>
      <c r="B3068" s="144">
        <v>46002</v>
      </c>
      <c r="C3068" s="169" t="s">
        <v>3148</v>
      </c>
      <c r="E3068" s="196" t="s">
        <v>8495</v>
      </c>
      <c r="F3068" s="143" t="s">
        <v>8542</v>
      </c>
      <c r="H3068" s="143" t="s">
        <v>8543</v>
      </c>
      <c r="I3068" s="143" t="s">
        <v>8544</v>
      </c>
      <c r="K3068" s="143">
        <v>175</v>
      </c>
      <c r="L3068" s="143">
        <v>190</v>
      </c>
      <c r="W3068" s="169" t="s">
        <v>8452</v>
      </c>
      <c r="X3068" s="143" t="s">
        <v>8542</v>
      </c>
      <c r="Y3068" s="143" t="s">
        <v>8452</v>
      </c>
      <c r="Z3068" s="143" t="s">
        <v>8542</v>
      </c>
      <c r="AA3068" s="217" t="s">
        <v>8545</v>
      </c>
      <c r="AB3068" s="170">
        <v>46030</v>
      </c>
      <c r="AG3068" s="143" t="s">
        <v>8454</v>
      </c>
      <c r="AH3068" s="143" t="s">
        <v>8410</v>
      </c>
    </row>
    <row r="3069" ht="15" spans="1:34">
      <c r="A3069" s="143">
        <v>3030</v>
      </c>
      <c r="B3069" s="144">
        <v>46002</v>
      </c>
      <c r="C3069" s="169" t="s">
        <v>3148</v>
      </c>
      <c r="E3069" s="196" t="s">
        <v>8495</v>
      </c>
      <c r="F3069" s="143" t="s">
        <v>8546</v>
      </c>
      <c r="H3069" s="143" t="s">
        <v>8547</v>
      </c>
      <c r="I3069" s="143" t="s">
        <v>8548</v>
      </c>
      <c r="K3069" s="143">
        <v>175</v>
      </c>
      <c r="L3069" s="143">
        <v>220</v>
      </c>
      <c r="W3069" s="169" t="s">
        <v>8452</v>
      </c>
      <c r="X3069" s="143" t="s">
        <v>8546</v>
      </c>
      <c r="Y3069" s="143" t="s">
        <v>8452</v>
      </c>
      <c r="Z3069" s="143" t="s">
        <v>8546</v>
      </c>
      <c r="AA3069" s="173" t="s">
        <v>8541</v>
      </c>
      <c r="AB3069" s="170">
        <v>46030</v>
      </c>
      <c r="AG3069" s="143" t="s">
        <v>8454</v>
      </c>
      <c r="AH3069" s="143" t="s">
        <v>4754</v>
      </c>
    </row>
    <row r="3070" ht="15" spans="1:34">
      <c r="A3070" s="143">
        <v>3031</v>
      </c>
      <c r="B3070" s="144">
        <v>46002</v>
      </c>
      <c r="C3070" s="169" t="s">
        <v>3148</v>
      </c>
      <c r="E3070" s="196" t="s">
        <v>8549</v>
      </c>
      <c r="F3070" s="143" t="s">
        <v>8550</v>
      </c>
      <c r="H3070" s="143" t="s">
        <v>8551</v>
      </c>
      <c r="I3070" s="143" t="s">
        <v>8552</v>
      </c>
      <c r="K3070" s="143">
        <v>170</v>
      </c>
      <c r="L3070" s="143">
        <v>240</v>
      </c>
      <c r="W3070" s="169" t="s">
        <v>8452</v>
      </c>
      <c r="X3070" s="143" t="s">
        <v>8550</v>
      </c>
      <c r="Y3070" s="143" t="s">
        <v>8452</v>
      </c>
      <c r="Z3070" s="143" t="s">
        <v>8550</v>
      </c>
      <c r="AA3070" s="217" t="s">
        <v>8553</v>
      </c>
      <c r="AB3070" s="170">
        <v>46030</v>
      </c>
      <c r="AG3070" s="143" t="s">
        <v>8454</v>
      </c>
      <c r="AH3070" s="143" t="s">
        <v>8554</v>
      </c>
    </row>
    <row r="3071" ht="15" spans="1:34">
      <c r="A3071" s="143">
        <v>3032</v>
      </c>
      <c r="B3071" s="144">
        <v>46002</v>
      </c>
      <c r="C3071" s="169" t="s">
        <v>3148</v>
      </c>
      <c r="E3071" s="196" t="s">
        <v>8549</v>
      </c>
      <c r="F3071" s="143" t="s">
        <v>8555</v>
      </c>
      <c r="H3071" s="143" t="s">
        <v>8556</v>
      </c>
      <c r="I3071" s="143" t="s">
        <v>8557</v>
      </c>
      <c r="K3071" s="143">
        <v>180</v>
      </c>
      <c r="L3071" s="143">
        <v>210</v>
      </c>
      <c r="W3071" s="169" t="s">
        <v>8452</v>
      </c>
      <c r="X3071" s="143" t="s">
        <v>8555</v>
      </c>
      <c r="Y3071" s="143" t="s">
        <v>8452</v>
      </c>
      <c r="Z3071" s="143" t="s">
        <v>8555</v>
      </c>
      <c r="AA3071" s="173" t="s">
        <v>8558</v>
      </c>
      <c r="AB3071" s="170">
        <v>46030</v>
      </c>
      <c r="AG3071" s="143" t="s">
        <v>8454</v>
      </c>
      <c r="AH3071" s="143" t="s">
        <v>4754</v>
      </c>
    </row>
    <row r="3072" ht="15" spans="1:34">
      <c r="A3072" s="143">
        <v>3033</v>
      </c>
      <c r="B3072" s="144">
        <v>46002</v>
      </c>
      <c r="C3072" s="169" t="s">
        <v>3148</v>
      </c>
      <c r="E3072" s="196" t="s">
        <v>8549</v>
      </c>
      <c r="F3072" s="143" t="s">
        <v>8559</v>
      </c>
      <c r="H3072" s="143" t="s">
        <v>8560</v>
      </c>
      <c r="I3072" s="143" t="s">
        <v>8561</v>
      </c>
      <c r="K3072" s="143">
        <v>185</v>
      </c>
      <c r="L3072" s="143">
        <v>215</v>
      </c>
      <c r="W3072" s="169" t="s">
        <v>8452</v>
      </c>
      <c r="X3072" s="143" t="s">
        <v>8559</v>
      </c>
      <c r="Y3072" s="143" t="s">
        <v>8452</v>
      </c>
      <c r="Z3072" s="143" t="s">
        <v>8559</v>
      </c>
      <c r="AA3072" s="173" t="s">
        <v>8562</v>
      </c>
      <c r="AB3072" s="170">
        <v>46030</v>
      </c>
      <c r="AG3072" s="143" t="s">
        <v>8454</v>
      </c>
      <c r="AH3072" s="143" t="s">
        <v>3701</v>
      </c>
    </row>
    <row r="3073" ht="15" spans="1:34">
      <c r="A3073" s="143">
        <v>3034</v>
      </c>
      <c r="B3073" s="144">
        <v>46002</v>
      </c>
      <c r="C3073" s="169" t="s">
        <v>3148</v>
      </c>
      <c r="E3073" s="196" t="s">
        <v>8549</v>
      </c>
      <c r="F3073" s="143" t="s">
        <v>8563</v>
      </c>
      <c r="H3073" s="143" t="s">
        <v>8564</v>
      </c>
      <c r="I3073" s="143" t="s">
        <v>8565</v>
      </c>
      <c r="K3073" s="143">
        <v>180</v>
      </c>
      <c r="L3073" s="143">
        <v>240</v>
      </c>
      <c r="W3073" s="169" t="s">
        <v>8452</v>
      </c>
      <c r="X3073" s="143" t="s">
        <v>8563</v>
      </c>
      <c r="Y3073" s="143" t="s">
        <v>8452</v>
      </c>
      <c r="Z3073" s="143" t="s">
        <v>8563</v>
      </c>
      <c r="AA3073" s="173" t="s">
        <v>8566</v>
      </c>
      <c r="AB3073" s="170">
        <v>46030</v>
      </c>
      <c r="AG3073" s="143" t="s">
        <v>8454</v>
      </c>
      <c r="AH3073" s="143" t="s">
        <v>3771</v>
      </c>
    </row>
    <row r="3074" ht="15" spans="1:34">
      <c r="A3074" s="143">
        <v>3035</v>
      </c>
      <c r="B3074" s="144">
        <v>46002</v>
      </c>
      <c r="C3074" s="169" t="s">
        <v>3148</v>
      </c>
      <c r="E3074" s="196" t="s">
        <v>8549</v>
      </c>
      <c r="F3074" s="143" t="s">
        <v>8567</v>
      </c>
      <c r="H3074" s="143" t="s">
        <v>8568</v>
      </c>
      <c r="I3074" s="143" t="s">
        <v>8569</v>
      </c>
      <c r="K3074" s="143">
        <v>185</v>
      </c>
      <c r="L3074" s="143">
        <v>360</v>
      </c>
      <c r="W3074" s="169" t="s">
        <v>8452</v>
      </c>
      <c r="X3074" s="143" t="s">
        <v>8567</v>
      </c>
      <c r="Y3074" s="143" t="s">
        <v>8452</v>
      </c>
      <c r="Z3074" s="143" t="s">
        <v>8567</v>
      </c>
      <c r="AA3074" s="173" t="s">
        <v>8570</v>
      </c>
      <c r="AB3074" s="170">
        <v>46030</v>
      </c>
      <c r="AG3074" s="143" t="s">
        <v>8454</v>
      </c>
      <c r="AH3074" s="143" t="s">
        <v>4814</v>
      </c>
    </row>
    <row r="3075" ht="15" spans="1:34">
      <c r="A3075" s="143">
        <v>3036</v>
      </c>
      <c r="B3075" s="144">
        <v>46002</v>
      </c>
      <c r="C3075" s="169" t="s">
        <v>3148</v>
      </c>
      <c r="E3075" s="196" t="s">
        <v>8549</v>
      </c>
      <c r="F3075" s="143" t="s">
        <v>8571</v>
      </c>
      <c r="H3075" s="143" t="s">
        <v>8572</v>
      </c>
      <c r="I3075" s="143" t="s">
        <v>8573</v>
      </c>
      <c r="K3075" s="143">
        <v>173</v>
      </c>
      <c r="L3075" s="143">
        <v>410</v>
      </c>
      <c r="W3075" s="169" t="s">
        <v>8452</v>
      </c>
      <c r="X3075" s="143" t="s">
        <v>8571</v>
      </c>
      <c r="Y3075" s="143" t="s">
        <v>8452</v>
      </c>
      <c r="Z3075" s="143" t="s">
        <v>8571</v>
      </c>
      <c r="AA3075" s="217" t="s">
        <v>8574</v>
      </c>
      <c r="AB3075" s="170">
        <v>46030</v>
      </c>
      <c r="AG3075" s="143" t="s">
        <v>8454</v>
      </c>
      <c r="AH3075" s="143" t="s">
        <v>7576</v>
      </c>
    </row>
    <row r="3076" ht="15" spans="1:34">
      <c r="A3076" s="143">
        <v>3037</v>
      </c>
      <c r="B3076" s="144">
        <v>46002</v>
      </c>
      <c r="C3076" s="169" t="s">
        <v>3148</v>
      </c>
      <c r="E3076" s="196" t="s">
        <v>8549</v>
      </c>
      <c r="F3076" s="143" t="s">
        <v>8575</v>
      </c>
      <c r="H3076" s="143" t="s">
        <v>8576</v>
      </c>
      <c r="I3076" s="143" t="s">
        <v>8577</v>
      </c>
      <c r="K3076" s="143">
        <v>180</v>
      </c>
      <c r="L3076" s="143">
        <v>330</v>
      </c>
      <c r="W3076" s="169" t="s">
        <v>8452</v>
      </c>
      <c r="X3076" s="143" t="s">
        <v>8575</v>
      </c>
      <c r="Y3076" s="143" t="s">
        <v>8452</v>
      </c>
      <c r="Z3076" s="143" t="s">
        <v>8575</v>
      </c>
      <c r="AA3076" s="217" t="s">
        <v>8578</v>
      </c>
      <c r="AB3076" s="170">
        <v>46030</v>
      </c>
      <c r="AG3076" s="143" t="s">
        <v>8454</v>
      </c>
      <c r="AH3076" s="143" t="s">
        <v>4809</v>
      </c>
    </row>
    <row r="3077" ht="15" spans="1:34">
      <c r="A3077" s="143">
        <v>3038</v>
      </c>
      <c r="B3077" s="144">
        <v>46002</v>
      </c>
      <c r="C3077" s="169" t="s">
        <v>3148</v>
      </c>
      <c r="E3077" s="196" t="s">
        <v>8549</v>
      </c>
      <c r="F3077" s="143" t="s">
        <v>8579</v>
      </c>
      <c r="H3077" s="143" t="s">
        <v>8580</v>
      </c>
      <c r="I3077" s="143" t="s">
        <v>8581</v>
      </c>
      <c r="K3077" s="143">
        <v>280</v>
      </c>
      <c r="L3077" s="143">
        <v>185</v>
      </c>
      <c r="W3077" s="169" t="s">
        <v>8452</v>
      </c>
      <c r="X3077" s="143" t="s">
        <v>8579</v>
      </c>
      <c r="Y3077" s="143" t="s">
        <v>8452</v>
      </c>
      <c r="Z3077" s="143" t="s">
        <v>8579</v>
      </c>
      <c r="AA3077" s="217" t="s">
        <v>8582</v>
      </c>
      <c r="AB3077" s="170">
        <v>46030</v>
      </c>
      <c r="AG3077" s="143" t="s">
        <v>8454</v>
      </c>
      <c r="AH3077" s="143" t="s">
        <v>8583</v>
      </c>
    </row>
    <row r="3078" ht="15" spans="1:34">
      <c r="A3078" s="143">
        <v>3039</v>
      </c>
      <c r="B3078" s="144">
        <v>46002</v>
      </c>
      <c r="C3078" s="169" t="s">
        <v>3148</v>
      </c>
      <c r="E3078" s="196" t="s">
        <v>8549</v>
      </c>
      <c r="F3078" s="143" t="s">
        <v>8584</v>
      </c>
      <c r="H3078" s="143" t="s">
        <v>8585</v>
      </c>
      <c r="I3078" s="143" t="s">
        <v>8586</v>
      </c>
      <c r="K3078" s="143">
        <v>185</v>
      </c>
      <c r="L3078" s="143">
        <v>380</v>
      </c>
      <c r="W3078" s="169" t="s">
        <v>8452</v>
      </c>
      <c r="X3078" s="143" t="s">
        <v>8584</v>
      </c>
      <c r="Y3078" s="143" t="s">
        <v>8452</v>
      </c>
      <c r="Z3078" s="143" t="s">
        <v>8584</v>
      </c>
      <c r="AA3078" s="173" t="s">
        <v>8587</v>
      </c>
      <c r="AB3078" s="170">
        <v>46030</v>
      </c>
      <c r="AG3078" s="143" t="s">
        <v>8454</v>
      </c>
      <c r="AH3078" s="143" t="s">
        <v>8588</v>
      </c>
    </row>
    <row r="3079" ht="15" spans="1:34">
      <c r="A3079" s="143">
        <v>3040</v>
      </c>
      <c r="B3079" s="144">
        <v>46002</v>
      </c>
      <c r="C3079" s="169" t="s">
        <v>3148</v>
      </c>
      <c r="E3079" s="196" t="s">
        <v>8549</v>
      </c>
      <c r="F3079" s="143" t="s">
        <v>8589</v>
      </c>
      <c r="H3079" s="143" t="s">
        <v>8590</v>
      </c>
      <c r="I3079" s="143" t="s">
        <v>8591</v>
      </c>
      <c r="K3079" s="143">
        <v>185</v>
      </c>
      <c r="L3079" s="143">
        <v>280</v>
      </c>
      <c r="W3079" s="169" t="s">
        <v>8452</v>
      </c>
      <c r="X3079" s="143" t="s">
        <v>8589</v>
      </c>
      <c r="Y3079" s="143" t="s">
        <v>8452</v>
      </c>
      <c r="Z3079" s="143" t="s">
        <v>8589</v>
      </c>
      <c r="AA3079" s="217" t="s">
        <v>8592</v>
      </c>
      <c r="AB3079" s="170">
        <v>46030</v>
      </c>
      <c r="AG3079" s="143" t="s">
        <v>8454</v>
      </c>
      <c r="AH3079" s="143" t="s">
        <v>8583</v>
      </c>
    </row>
    <row r="3080" ht="15" spans="1:34">
      <c r="A3080" s="143">
        <v>3041</v>
      </c>
      <c r="B3080" s="144">
        <v>46002</v>
      </c>
      <c r="C3080" s="169" t="s">
        <v>3148</v>
      </c>
      <c r="E3080" s="196" t="s">
        <v>8549</v>
      </c>
      <c r="F3080" s="143" t="s">
        <v>8593</v>
      </c>
      <c r="H3080" s="143" t="s">
        <v>8594</v>
      </c>
      <c r="I3080" s="143" t="s">
        <v>8595</v>
      </c>
      <c r="K3080" s="143">
        <v>185</v>
      </c>
      <c r="L3080" s="143">
        <v>390</v>
      </c>
      <c r="W3080" s="169" t="s">
        <v>8452</v>
      </c>
      <c r="X3080" s="143" t="s">
        <v>8593</v>
      </c>
      <c r="Y3080" s="143" t="s">
        <v>8452</v>
      </c>
      <c r="Z3080" s="143" t="s">
        <v>8593</v>
      </c>
      <c r="AA3080" s="217" t="s">
        <v>8596</v>
      </c>
      <c r="AB3080" s="170">
        <v>46030</v>
      </c>
      <c r="AG3080" s="143" t="s">
        <v>8454</v>
      </c>
      <c r="AH3080" s="143" t="s">
        <v>8597</v>
      </c>
    </row>
    <row r="3081" ht="15" spans="1:34">
      <c r="A3081" s="143">
        <v>3042</v>
      </c>
      <c r="B3081" s="144">
        <v>46002</v>
      </c>
      <c r="C3081" s="169" t="s">
        <v>3148</v>
      </c>
      <c r="E3081" s="196" t="s">
        <v>8549</v>
      </c>
      <c r="F3081" s="143" t="s">
        <v>8598</v>
      </c>
      <c r="H3081" s="143" t="s">
        <v>8599</v>
      </c>
      <c r="I3081" s="143" t="s">
        <v>8600</v>
      </c>
      <c r="K3081" s="143">
        <v>170</v>
      </c>
      <c r="L3081" s="143">
        <v>260</v>
      </c>
      <c r="W3081" s="169" t="s">
        <v>8452</v>
      </c>
      <c r="X3081" s="143" t="s">
        <v>8598</v>
      </c>
      <c r="Y3081" s="143" t="s">
        <v>8452</v>
      </c>
      <c r="Z3081" s="143" t="s">
        <v>8598</v>
      </c>
      <c r="AA3081" s="173" t="s">
        <v>8570</v>
      </c>
      <c r="AB3081" s="170">
        <v>46030</v>
      </c>
      <c r="AG3081" s="143" t="s">
        <v>8454</v>
      </c>
      <c r="AH3081" s="143" t="s">
        <v>8601</v>
      </c>
    </row>
    <row r="3082" ht="15" spans="1:34">
      <c r="A3082" s="143">
        <v>3043</v>
      </c>
      <c r="B3082" s="144">
        <v>46002</v>
      </c>
      <c r="C3082" s="169" t="s">
        <v>3148</v>
      </c>
      <c r="E3082" s="196" t="s">
        <v>8549</v>
      </c>
      <c r="F3082" s="143" t="s">
        <v>8602</v>
      </c>
      <c r="H3082" s="143" t="s">
        <v>8603</v>
      </c>
      <c r="I3082" s="143" t="s">
        <v>8604</v>
      </c>
      <c r="K3082" s="143">
        <v>178</v>
      </c>
      <c r="L3082" s="143">
        <v>260</v>
      </c>
      <c r="W3082" s="169" t="s">
        <v>8452</v>
      </c>
      <c r="X3082" s="143" t="s">
        <v>8602</v>
      </c>
      <c r="Y3082" s="143" t="s">
        <v>8452</v>
      </c>
      <c r="Z3082" s="143" t="s">
        <v>8602</v>
      </c>
      <c r="AA3082" s="173" t="s">
        <v>8570</v>
      </c>
      <c r="AB3082" s="170">
        <v>46030</v>
      </c>
      <c r="AG3082" s="143" t="s">
        <v>8454</v>
      </c>
      <c r="AH3082" s="143" t="s">
        <v>8605</v>
      </c>
    </row>
    <row r="3083" ht="15" spans="1:34">
      <c r="A3083" s="143">
        <v>3044</v>
      </c>
      <c r="B3083" s="144">
        <v>46002</v>
      </c>
      <c r="C3083" s="169" t="s">
        <v>3148</v>
      </c>
      <c r="E3083" s="196" t="s">
        <v>8549</v>
      </c>
      <c r="F3083" s="143" t="s">
        <v>8606</v>
      </c>
      <c r="H3083" s="143" t="s">
        <v>8607</v>
      </c>
      <c r="I3083" s="143" t="s">
        <v>8608</v>
      </c>
      <c r="K3083" s="143">
        <v>172</v>
      </c>
      <c r="L3083" s="143">
        <v>279</v>
      </c>
      <c r="W3083" s="169" t="s">
        <v>8452</v>
      </c>
      <c r="X3083" s="143" t="s">
        <v>8606</v>
      </c>
      <c r="Y3083" s="143" t="s">
        <v>8452</v>
      </c>
      <c r="Z3083" s="143" t="s">
        <v>8606</v>
      </c>
      <c r="AA3083" s="173" t="s">
        <v>8570</v>
      </c>
      <c r="AB3083" s="170">
        <v>46030</v>
      </c>
      <c r="AG3083" s="143" t="s">
        <v>8454</v>
      </c>
      <c r="AH3083" s="143" t="s">
        <v>8609</v>
      </c>
    </row>
    <row r="3084" ht="15" spans="1:34">
      <c r="A3084" s="143">
        <v>3045</v>
      </c>
      <c r="B3084" s="144">
        <v>46002</v>
      </c>
      <c r="C3084" s="169" t="s">
        <v>3148</v>
      </c>
      <c r="E3084" s="196" t="s">
        <v>8549</v>
      </c>
      <c r="F3084" s="143" t="s">
        <v>8610</v>
      </c>
      <c r="H3084" s="143" t="s">
        <v>8611</v>
      </c>
      <c r="I3084" s="143" t="s">
        <v>8612</v>
      </c>
      <c r="K3084" s="143">
        <v>172</v>
      </c>
      <c r="L3084" s="143">
        <v>320</v>
      </c>
      <c r="W3084" s="169" t="s">
        <v>8452</v>
      </c>
      <c r="X3084" s="143" t="s">
        <v>8610</v>
      </c>
      <c r="Y3084" s="143" t="s">
        <v>8452</v>
      </c>
      <c r="Z3084" s="143" t="s">
        <v>8610</v>
      </c>
      <c r="AA3084" s="217" t="s">
        <v>8592</v>
      </c>
      <c r="AB3084" s="170">
        <v>46030</v>
      </c>
      <c r="AG3084" s="143" t="s">
        <v>8454</v>
      </c>
      <c r="AH3084" s="143" t="s">
        <v>8583</v>
      </c>
    </row>
    <row r="3085" ht="15" spans="1:34">
      <c r="A3085" s="143">
        <v>3046</v>
      </c>
      <c r="B3085" s="144">
        <v>46002</v>
      </c>
      <c r="C3085" s="169" t="s">
        <v>3148</v>
      </c>
      <c r="E3085" s="196" t="s">
        <v>8549</v>
      </c>
      <c r="F3085" s="143" t="s">
        <v>8613</v>
      </c>
      <c r="H3085" s="143" t="s">
        <v>8614</v>
      </c>
      <c r="I3085" s="143" t="s">
        <v>8615</v>
      </c>
      <c r="K3085" s="143">
        <v>177</v>
      </c>
      <c r="L3085" s="143">
        <v>300</v>
      </c>
      <c r="W3085" s="169" t="s">
        <v>8452</v>
      </c>
      <c r="X3085" s="143" t="s">
        <v>8613</v>
      </c>
      <c r="Y3085" s="143" t="s">
        <v>8452</v>
      </c>
      <c r="Z3085" s="143" t="s">
        <v>8613</v>
      </c>
      <c r="AA3085" s="173" t="s">
        <v>8570</v>
      </c>
      <c r="AB3085" s="170">
        <v>46030</v>
      </c>
      <c r="AG3085" s="143" t="s">
        <v>8454</v>
      </c>
      <c r="AH3085" s="143" t="s">
        <v>8616</v>
      </c>
    </row>
    <row r="3086" ht="15" spans="1:34">
      <c r="A3086" s="143">
        <v>3047</v>
      </c>
      <c r="B3086" s="144">
        <v>46002</v>
      </c>
      <c r="C3086" s="169" t="s">
        <v>3148</v>
      </c>
      <c r="E3086" s="196" t="s">
        <v>8549</v>
      </c>
      <c r="F3086" s="143" t="s">
        <v>8617</v>
      </c>
      <c r="H3086" s="143" t="s">
        <v>8618</v>
      </c>
      <c r="I3086" s="143" t="s">
        <v>8619</v>
      </c>
      <c r="K3086" s="143">
        <v>185</v>
      </c>
      <c r="L3086" s="143">
        <v>320</v>
      </c>
      <c r="W3086" s="169" t="s">
        <v>8452</v>
      </c>
      <c r="X3086" s="143" t="s">
        <v>8617</v>
      </c>
      <c r="Y3086" s="143" t="s">
        <v>8452</v>
      </c>
      <c r="Z3086" s="143" t="s">
        <v>8617</v>
      </c>
      <c r="AA3086" s="217" t="s">
        <v>8620</v>
      </c>
      <c r="AB3086" s="170">
        <v>46030</v>
      </c>
      <c r="AG3086" s="143" t="s">
        <v>8454</v>
      </c>
      <c r="AH3086" s="143" t="s">
        <v>4809</v>
      </c>
    </row>
    <row r="3087" ht="16.5" spans="1:34">
      <c r="A3087" s="143">
        <v>3048</v>
      </c>
      <c r="B3087" s="144">
        <v>46003</v>
      </c>
      <c r="C3087" s="169" t="s">
        <v>3148</v>
      </c>
      <c r="E3087" s="196" t="s">
        <v>8621</v>
      </c>
      <c r="F3087" s="143" t="s">
        <v>8622</v>
      </c>
      <c r="H3087" s="143" t="s">
        <v>8623</v>
      </c>
      <c r="I3087" s="143" t="s">
        <v>8624</v>
      </c>
      <c r="J3087" s="197" t="s">
        <v>8625</v>
      </c>
      <c r="K3087" s="143">
        <v>175</v>
      </c>
      <c r="L3087" s="143">
        <v>180</v>
      </c>
      <c r="W3087" s="143" t="s">
        <v>8626</v>
      </c>
      <c r="X3087" s="143" t="s">
        <v>8622</v>
      </c>
      <c r="Y3087" s="169" t="s">
        <v>8626</v>
      </c>
      <c r="Z3087" s="143" t="s">
        <v>8622</v>
      </c>
      <c r="AA3087" s="173">
        <v>38</v>
      </c>
      <c r="AB3087" s="191">
        <v>46018</v>
      </c>
      <c r="AG3087" s="169" t="s">
        <v>8627</v>
      </c>
      <c r="AH3087" s="143" t="s">
        <v>8628</v>
      </c>
    </row>
    <row r="3088" ht="16.5" spans="1:34">
      <c r="A3088" s="143">
        <v>3049</v>
      </c>
      <c r="B3088" s="144">
        <v>46003</v>
      </c>
      <c r="C3088" s="169" t="s">
        <v>3148</v>
      </c>
      <c r="E3088" s="196" t="s">
        <v>8621</v>
      </c>
      <c r="F3088" s="143" t="s">
        <v>8629</v>
      </c>
      <c r="H3088" s="143" t="s">
        <v>8630</v>
      </c>
      <c r="I3088" s="143" t="s">
        <v>3737</v>
      </c>
      <c r="J3088" s="197" t="s">
        <v>2691</v>
      </c>
      <c r="K3088" s="143">
        <v>185</v>
      </c>
      <c r="L3088" s="143">
        <v>210</v>
      </c>
      <c r="W3088" s="143" t="s">
        <v>8626</v>
      </c>
      <c r="X3088" s="143" t="s">
        <v>8629</v>
      </c>
      <c r="Y3088" s="169" t="s">
        <v>8626</v>
      </c>
      <c r="Z3088" s="143" t="s">
        <v>8629</v>
      </c>
      <c r="AA3088" s="173">
        <v>38</v>
      </c>
      <c r="AB3088" s="191">
        <v>46018</v>
      </c>
      <c r="AG3088" s="143" t="s">
        <v>8631</v>
      </c>
      <c r="AH3088" s="143" t="s">
        <v>3792</v>
      </c>
    </row>
    <row r="3089" ht="16.5" spans="1:34">
      <c r="A3089" s="143">
        <v>3050</v>
      </c>
      <c r="B3089" s="144">
        <v>46003</v>
      </c>
      <c r="C3089" s="169" t="s">
        <v>3148</v>
      </c>
      <c r="E3089" s="196" t="s">
        <v>8621</v>
      </c>
      <c r="F3089" s="143" t="s">
        <v>8632</v>
      </c>
      <c r="H3089" s="143" t="s">
        <v>8633</v>
      </c>
      <c r="I3089" s="143" t="s">
        <v>8634</v>
      </c>
      <c r="J3089" s="197" t="s">
        <v>8635</v>
      </c>
      <c r="K3089" s="143">
        <v>185</v>
      </c>
      <c r="L3089" s="143">
        <v>250</v>
      </c>
      <c r="W3089" s="143" t="s">
        <v>8626</v>
      </c>
      <c r="X3089" s="143" t="s">
        <v>8632</v>
      </c>
      <c r="Y3089" s="169" t="s">
        <v>8626</v>
      </c>
      <c r="Z3089" s="143" t="s">
        <v>8632</v>
      </c>
      <c r="AA3089" s="173">
        <v>34</v>
      </c>
      <c r="AB3089" s="191">
        <v>46018</v>
      </c>
      <c r="AG3089" s="143" t="s">
        <v>8631</v>
      </c>
      <c r="AH3089" s="143" t="s">
        <v>8636</v>
      </c>
    </row>
    <row r="3090" ht="16.5" spans="1:34">
      <c r="A3090" s="143">
        <v>3051</v>
      </c>
      <c r="B3090" s="144">
        <v>46003</v>
      </c>
      <c r="C3090" s="169" t="s">
        <v>3148</v>
      </c>
      <c r="E3090" s="196" t="s">
        <v>8621</v>
      </c>
      <c r="F3090" s="143" t="s">
        <v>8637</v>
      </c>
      <c r="H3090" s="143" t="s">
        <v>8638</v>
      </c>
      <c r="I3090" s="143" t="s">
        <v>8639</v>
      </c>
      <c r="J3090" s="197" t="s">
        <v>8640</v>
      </c>
      <c r="K3090" s="143">
        <v>185</v>
      </c>
      <c r="L3090" s="143">
        <v>300</v>
      </c>
      <c r="W3090" s="143" t="s">
        <v>8626</v>
      </c>
      <c r="X3090" s="143" t="s">
        <v>8637</v>
      </c>
      <c r="Y3090" s="169" t="s">
        <v>8626</v>
      </c>
      <c r="Z3090" s="143" t="s">
        <v>8637</v>
      </c>
      <c r="AA3090" s="173">
        <v>40</v>
      </c>
      <c r="AB3090" s="191">
        <v>46018</v>
      </c>
      <c r="AG3090" s="143" t="s">
        <v>8641</v>
      </c>
      <c r="AH3090" s="143" t="s">
        <v>4809</v>
      </c>
    </row>
    <row r="3091" ht="16.5" spans="1:34">
      <c r="A3091" s="143">
        <v>3052</v>
      </c>
      <c r="B3091" s="144">
        <v>46003</v>
      </c>
      <c r="C3091" s="169" t="s">
        <v>3148</v>
      </c>
      <c r="E3091" s="196" t="s">
        <v>8621</v>
      </c>
      <c r="F3091" s="187" t="s">
        <v>8642</v>
      </c>
      <c r="H3091" s="143" t="s">
        <v>8643</v>
      </c>
      <c r="I3091" s="143" t="s">
        <v>8644</v>
      </c>
      <c r="J3091" s="197" t="s">
        <v>8645</v>
      </c>
      <c r="K3091" s="143">
        <v>185</v>
      </c>
      <c r="L3091" s="143">
        <v>340</v>
      </c>
      <c r="W3091" s="143" t="s">
        <v>8626</v>
      </c>
      <c r="X3091" s="187" t="s">
        <v>8642</v>
      </c>
      <c r="Y3091" s="169" t="s">
        <v>8626</v>
      </c>
      <c r="Z3091" s="187" t="s">
        <v>8642</v>
      </c>
      <c r="AA3091" s="173">
        <v>40</v>
      </c>
      <c r="AB3091" s="191">
        <v>46018</v>
      </c>
      <c r="AG3091" s="143" t="s">
        <v>8641</v>
      </c>
      <c r="AH3091" s="143" t="s">
        <v>4814</v>
      </c>
    </row>
    <row r="3092" ht="16.5" spans="1:34">
      <c r="A3092" s="143">
        <v>3053</v>
      </c>
      <c r="B3092" s="144">
        <v>46003</v>
      </c>
      <c r="C3092" s="169" t="s">
        <v>3148</v>
      </c>
      <c r="E3092" s="196" t="s">
        <v>8621</v>
      </c>
      <c r="F3092" s="187" t="s">
        <v>8646</v>
      </c>
      <c r="H3092" s="143" t="s">
        <v>8647</v>
      </c>
      <c r="I3092" s="143" t="s">
        <v>8648</v>
      </c>
      <c r="J3092" s="197" t="s">
        <v>7718</v>
      </c>
      <c r="K3092" s="143">
        <v>125</v>
      </c>
      <c r="L3092" s="143">
        <v>450</v>
      </c>
      <c r="W3092" s="143" t="s">
        <v>8626</v>
      </c>
      <c r="X3092" s="187" t="s">
        <v>8646</v>
      </c>
      <c r="Y3092" s="169" t="s">
        <v>8626</v>
      </c>
      <c r="Z3092" s="187" t="s">
        <v>8646</v>
      </c>
      <c r="AA3092" s="173">
        <v>45</v>
      </c>
      <c r="AB3092" s="191">
        <v>46018</v>
      </c>
      <c r="AG3092" s="143" t="s">
        <v>8641</v>
      </c>
      <c r="AH3092" s="143" t="s">
        <v>7442</v>
      </c>
    </row>
    <row r="3093" ht="16.5" spans="1:34">
      <c r="A3093" s="143">
        <v>3054</v>
      </c>
      <c r="B3093" s="144">
        <v>46003</v>
      </c>
      <c r="C3093" s="169" t="s">
        <v>3148</v>
      </c>
      <c r="E3093" s="196" t="s">
        <v>8649</v>
      </c>
      <c r="F3093" s="143" t="s">
        <v>8650</v>
      </c>
      <c r="H3093" s="143" t="s">
        <v>8651</v>
      </c>
      <c r="I3093" s="143" t="s">
        <v>45</v>
      </c>
      <c r="J3093" s="197" t="s">
        <v>46</v>
      </c>
      <c r="K3093" s="143">
        <v>185</v>
      </c>
      <c r="L3093" s="143">
        <v>230</v>
      </c>
      <c r="W3093" s="143" t="s">
        <v>8626</v>
      </c>
      <c r="X3093" s="143" t="s">
        <v>8650</v>
      </c>
      <c r="Y3093" s="169" t="s">
        <v>8626</v>
      </c>
      <c r="Z3093" s="143" t="s">
        <v>8650</v>
      </c>
      <c r="AA3093" s="173">
        <v>40</v>
      </c>
      <c r="AB3093" s="191">
        <v>46018</v>
      </c>
      <c r="AG3093" s="169" t="s">
        <v>8652</v>
      </c>
      <c r="AH3093" s="143" t="s">
        <v>3800</v>
      </c>
    </row>
    <row r="3094" ht="16.5" spans="1:34">
      <c r="A3094" s="143">
        <v>3055</v>
      </c>
      <c r="B3094" s="144">
        <v>46003</v>
      </c>
      <c r="C3094" s="169" t="s">
        <v>3148</v>
      </c>
      <c r="E3094" s="196" t="s">
        <v>8649</v>
      </c>
      <c r="F3094" s="143" t="s">
        <v>8653</v>
      </c>
      <c r="H3094" s="143" t="s">
        <v>8654</v>
      </c>
      <c r="I3094" s="143" t="s">
        <v>8655</v>
      </c>
      <c r="J3094" s="197" t="s">
        <v>8656</v>
      </c>
      <c r="K3094" s="143">
        <v>175</v>
      </c>
      <c r="L3094" s="143">
        <v>300</v>
      </c>
      <c r="W3094" s="143" t="s">
        <v>8626</v>
      </c>
      <c r="X3094" s="143" t="s">
        <v>8653</v>
      </c>
      <c r="Y3094" s="169" t="s">
        <v>8626</v>
      </c>
      <c r="Z3094" s="143" t="s">
        <v>8653</v>
      </c>
      <c r="AA3094" s="173">
        <v>40</v>
      </c>
      <c r="AB3094" s="191">
        <v>46018</v>
      </c>
      <c r="AG3094" s="169" t="s">
        <v>8657</v>
      </c>
      <c r="AH3094" s="143" t="s">
        <v>4826</v>
      </c>
    </row>
    <row r="3095" ht="16.5" spans="1:34">
      <c r="A3095" s="143">
        <v>3056</v>
      </c>
      <c r="B3095" s="144">
        <v>46003</v>
      </c>
      <c r="C3095" s="169" t="s">
        <v>3148</v>
      </c>
      <c r="E3095" s="196" t="s">
        <v>8649</v>
      </c>
      <c r="F3095" s="143" t="s">
        <v>8658</v>
      </c>
      <c r="H3095" s="143" t="s">
        <v>8659</v>
      </c>
      <c r="I3095" s="143" t="s">
        <v>45</v>
      </c>
      <c r="J3095" s="197" t="s">
        <v>3684</v>
      </c>
      <c r="K3095" s="143">
        <v>175</v>
      </c>
      <c r="L3095" s="143">
        <v>180</v>
      </c>
      <c r="W3095" s="143" t="s">
        <v>8626</v>
      </c>
      <c r="X3095" s="143" t="s">
        <v>8658</v>
      </c>
      <c r="Y3095" s="169" t="s">
        <v>8626</v>
      </c>
      <c r="Z3095" s="143" t="s">
        <v>8658</v>
      </c>
      <c r="AA3095" s="173">
        <v>48</v>
      </c>
      <c r="AB3095" s="191">
        <v>46018</v>
      </c>
      <c r="AG3095" s="143" t="s">
        <v>8631</v>
      </c>
      <c r="AH3095" s="143" t="s">
        <v>8628</v>
      </c>
    </row>
    <row r="3096" ht="16.5" spans="1:34">
      <c r="A3096" s="143">
        <v>3057</v>
      </c>
      <c r="B3096" s="144">
        <v>46003</v>
      </c>
      <c r="C3096" s="169" t="s">
        <v>3148</v>
      </c>
      <c r="E3096" s="196" t="s">
        <v>8649</v>
      </c>
      <c r="F3096" s="143" t="s">
        <v>8660</v>
      </c>
      <c r="H3096" s="143" t="s">
        <v>8661</v>
      </c>
      <c r="I3096" s="143" t="s">
        <v>8662</v>
      </c>
      <c r="J3096" s="197" t="s">
        <v>8663</v>
      </c>
      <c r="K3096" s="143">
        <v>175</v>
      </c>
      <c r="L3096" s="143">
        <v>380</v>
      </c>
      <c r="W3096" s="143" t="s">
        <v>8626</v>
      </c>
      <c r="X3096" s="143" t="s">
        <v>8660</v>
      </c>
      <c r="Y3096" s="169" t="s">
        <v>8626</v>
      </c>
      <c r="Z3096" s="143" t="s">
        <v>8660</v>
      </c>
      <c r="AA3096" s="173">
        <v>35</v>
      </c>
      <c r="AB3096" s="191">
        <v>46018</v>
      </c>
      <c r="AG3096" s="143" t="s">
        <v>8631</v>
      </c>
      <c r="AH3096" s="143" t="s">
        <v>4814</v>
      </c>
    </row>
    <row r="3097" ht="16.5" spans="1:34">
      <c r="A3097" s="143">
        <v>3058</v>
      </c>
      <c r="B3097" s="144">
        <v>46003</v>
      </c>
      <c r="C3097" s="169" t="s">
        <v>3148</v>
      </c>
      <c r="E3097" s="196" t="s">
        <v>8649</v>
      </c>
      <c r="F3097" s="143" t="s">
        <v>8664</v>
      </c>
      <c r="H3097" s="143" t="s">
        <v>8665</v>
      </c>
      <c r="I3097" s="143" t="s">
        <v>8666</v>
      </c>
      <c r="J3097" s="197" t="s">
        <v>8667</v>
      </c>
      <c r="K3097" s="143">
        <v>185</v>
      </c>
      <c r="L3097" s="143">
        <v>210</v>
      </c>
      <c r="W3097" s="143" t="s">
        <v>8626</v>
      </c>
      <c r="X3097" s="143" t="s">
        <v>8664</v>
      </c>
      <c r="Y3097" s="169" t="s">
        <v>8626</v>
      </c>
      <c r="Z3097" s="143" t="s">
        <v>8664</v>
      </c>
      <c r="AA3097" s="173">
        <v>40</v>
      </c>
      <c r="AB3097" s="191">
        <v>46018</v>
      </c>
      <c r="AG3097" s="169" t="s">
        <v>8668</v>
      </c>
      <c r="AH3097" s="143" t="s">
        <v>3701</v>
      </c>
    </row>
    <row r="3098" ht="16.5" spans="1:34">
      <c r="A3098" s="143">
        <v>3059</v>
      </c>
      <c r="B3098" s="144">
        <v>46003</v>
      </c>
      <c r="C3098" s="169" t="s">
        <v>3148</v>
      </c>
      <c r="E3098" s="196" t="s">
        <v>8649</v>
      </c>
      <c r="F3098" s="143" t="s">
        <v>8669</v>
      </c>
      <c r="H3098" s="143" t="s">
        <v>8670</v>
      </c>
      <c r="I3098" s="143" t="s">
        <v>8671</v>
      </c>
      <c r="J3098" s="197" t="s">
        <v>8672</v>
      </c>
      <c r="K3098" s="143">
        <v>175</v>
      </c>
      <c r="L3098" s="143">
        <v>265</v>
      </c>
      <c r="W3098" s="143" t="s">
        <v>8626</v>
      </c>
      <c r="X3098" s="143" t="s">
        <v>8669</v>
      </c>
      <c r="Y3098" s="169" t="s">
        <v>8626</v>
      </c>
      <c r="Z3098" s="143" t="s">
        <v>8669</v>
      </c>
      <c r="AA3098" s="173">
        <v>40</v>
      </c>
      <c r="AB3098" s="191">
        <v>46018</v>
      </c>
      <c r="AG3098" s="143" t="s">
        <v>8641</v>
      </c>
      <c r="AH3098" s="143" t="s">
        <v>4844</v>
      </c>
    </row>
    <row r="3099" ht="16.5" spans="1:34">
      <c r="A3099" s="143">
        <v>3060</v>
      </c>
      <c r="B3099" s="144">
        <v>46003</v>
      </c>
      <c r="C3099" s="169" t="s">
        <v>3148</v>
      </c>
      <c r="E3099" s="196" t="s">
        <v>8649</v>
      </c>
      <c r="F3099" s="187" t="s">
        <v>8673</v>
      </c>
      <c r="H3099" s="143" t="s">
        <v>8674</v>
      </c>
      <c r="I3099" s="143" t="s">
        <v>8675</v>
      </c>
      <c r="J3099" s="197" t="s">
        <v>8676</v>
      </c>
      <c r="K3099" s="143">
        <v>185</v>
      </c>
      <c r="L3099" s="143">
        <v>210</v>
      </c>
      <c r="W3099" s="143" t="s">
        <v>8626</v>
      </c>
      <c r="X3099" s="187" t="s">
        <v>8673</v>
      </c>
      <c r="Y3099" s="169" t="s">
        <v>8626</v>
      </c>
      <c r="Z3099" s="187" t="s">
        <v>8673</v>
      </c>
      <c r="AA3099" s="173">
        <v>39</v>
      </c>
      <c r="AB3099" s="191">
        <v>46018</v>
      </c>
      <c r="AG3099" s="143" t="s">
        <v>8677</v>
      </c>
      <c r="AH3099" s="143" t="s">
        <v>3701</v>
      </c>
    </row>
    <row r="3100" ht="16.5" spans="1:34">
      <c r="A3100" s="143">
        <v>3061</v>
      </c>
      <c r="B3100" s="144">
        <v>46003</v>
      </c>
      <c r="C3100" s="169" t="s">
        <v>3148</v>
      </c>
      <c r="E3100" s="196" t="s">
        <v>8649</v>
      </c>
      <c r="F3100" s="187" t="s">
        <v>8678</v>
      </c>
      <c r="H3100" s="143" t="s">
        <v>8679</v>
      </c>
      <c r="I3100" s="143" t="s">
        <v>8680</v>
      </c>
      <c r="J3100" s="197" t="s">
        <v>8681</v>
      </c>
      <c r="K3100" s="143">
        <v>173</v>
      </c>
      <c r="L3100" s="143">
        <v>280</v>
      </c>
      <c r="W3100" s="143" t="s">
        <v>8626</v>
      </c>
      <c r="X3100" s="187" t="s">
        <v>8678</v>
      </c>
      <c r="Y3100" s="169" t="s">
        <v>8626</v>
      </c>
      <c r="Z3100" s="187" t="s">
        <v>8678</v>
      </c>
      <c r="AA3100" s="173">
        <v>48</v>
      </c>
      <c r="AB3100" s="191">
        <v>46018</v>
      </c>
      <c r="AG3100" s="143" t="s">
        <v>8677</v>
      </c>
      <c r="AH3100" s="143" t="s">
        <v>8636</v>
      </c>
    </row>
    <row r="3101" ht="16.5" spans="1:34">
      <c r="A3101" s="143">
        <v>3062</v>
      </c>
      <c r="B3101" s="144">
        <v>46003</v>
      </c>
      <c r="C3101" s="169" t="s">
        <v>3148</v>
      </c>
      <c r="E3101" s="196" t="s">
        <v>8649</v>
      </c>
      <c r="F3101" s="187" t="s">
        <v>8682</v>
      </c>
      <c r="H3101" s="143" t="s">
        <v>8683</v>
      </c>
      <c r="I3101" s="143" t="s">
        <v>8684</v>
      </c>
      <c r="J3101" s="197" t="s">
        <v>4405</v>
      </c>
      <c r="K3101" s="143">
        <v>175</v>
      </c>
      <c r="L3101" s="143">
        <v>265</v>
      </c>
      <c r="W3101" s="143" t="s">
        <v>8626</v>
      </c>
      <c r="X3101" s="187" t="s">
        <v>8682</v>
      </c>
      <c r="Y3101" s="169" t="s">
        <v>8626</v>
      </c>
      <c r="Z3101" s="187" t="s">
        <v>8682</v>
      </c>
      <c r="AA3101" s="173">
        <v>42</v>
      </c>
      <c r="AB3101" s="191">
        <v>46018</v>
      </c>
      <c r="AG3101" s="143" t="s">
        <v>8677</v>
      </c>
      <c r="AH3101" s="143" t="s">
        <v>8636</v>
      </c>
    </row>
    <row r="3102" ht="16.5" spans="1:34">
      <c r="A3102" s="143">
        <v>3063</v>
      </c>
      <c r="B3102" s="144">
        <v>46003</v>
      </c>
      <c r="C3102" s="169" t="s">
        <v>3148</v>
      </c>
      <c r="E3102" s="196" t="s">
        <v>8649</v>
      </c>
      <c r="F3102" s="246" t="s">
        <v>8646</v>
      </c>
      <c r="H3102" s="143" t="s">
        <v>8647</v>
      </c>
      <c r="I3102" s="143" t="s">
        <v>8648</v>
      </c>
      <c r="J3102" s="197" t="s">
        <v>7718</v>
      </c>
      <c r="K3102" s="143">
        <v>125</v>
      </c>
      <c r="L3102" s="143">
        <v>450</v>
      </c>
      <c r="W3102" s="143" t="s">
        <v>8626</v>
      </c>
      <c r="X3102" s="246" t="s">
        <v>8646</v>
      </c>
      <c r="Y3102" s="169" t="s">
        <v>8626</v>
      </c>
      <c r="Z3102" s="246" t="s">
        <v>8646</v>
      </c>
      <c r="AA3102" s="173">
        <v>45</v>
      </c>
      <c r="AB3102" s="191">
        <v>46018</v>
      </c>
      <c r="AG3102" s="143" t="s">
        <v>8677</v>
      </c>
      <c r="AH3102" s="143" t="s">
        <v>7442</v>
      </c>
    </row>
    <row r="3103" ht="16.5" spans="1:34">
      <c r="A3103" s="143">
        <v>3064</v>
      </c>
      <c r="B3103" s="144">
        <v>46003</v>
      </c>
      <c r="C3103" s="169" t="s">
        <v>3148</v>
      </c>
      <c r="E3103" s="196" t="s">
        <v>8649</v>
      </c>
      <c r="F3103" s="143" t="s">
        <v>8685</v>
      </c>
      <c r="H3103" s="143" t="s">
        <v>8686</v>
      </c>
      <c r="I3103" s="143" t="s">
        <v>8687</v>
      </c>
      <c r="J3103" s="197" t="s">
        <v>8688</v>
      </c>
      <c r="K3103" s="143">
        <v>180</v>
      </c>
      <c r="L3103" s="143">
        <v>250</v>
      </c>
      <c r="W3103" s="143" t="s">
        <v>8626</v>
      </c>
      <c r="X3103" s="143" t="s">
        <v>8685</v>
      </c>
      <c r="Y3103" s="169" t="s">
        <v>8626</v>
      </c>
      <c r="Z3103" s="143" t="s">
        <v>8685</v>
      </c>
      <c r="AA3103" s="173">
        <v>34</v>
      </c>
      <c r="AB3103" s="191">
        <v>46018</v>
      </c>
      <c r="AG3103" s="169" t="s">
        <v>8689</v>
      </c>
      <c r="AH3103" s="143" t="s">
        <v>8636</v>
      </c>
    </row>
    <row r="3104" ht="16.5" spans="1:34">
      <c r="A3104" s="143">
        <v>3065</v>
      </c>
      <c r="B3104" s="144">
        <v>46003</v>
      </c>
      <c r="C3104" s="169" t="s">
        <v>3148</v>
      </c>
      <c r="E3104" s="196" t="s">
        <v>8649</v>
      </c>
      <c r="F3104" s="143" t="s">
        <v>8690</v>
      </c>
      <c r="H3104" s="143" t="s">
        <v>8691</v>
      </c>
      <c r="I3104" s="143" t="s">
        <v>8692</v>
      </c>
      <c r="J3104" s="197" t="s">
        <v>8693</v>
      </c>
      <c r="K3104" s="143">
        <v>185</v>
      </c>
      <c r="L3104" s="143">
        <v>320</v>
      </c>
      <c r="W3104" s="143" t="s">
        <v>8626</v>
      </c>
      <c r="X3104" s="143" t="s">
        <v>8690</v>
      </c>
      <c r="Y3104" s="169" t="s">
        <v>8626</v>
      </c>
      <c r="Z3104" s="143" t="s">
        <v>8690</v>
      </c>
      <c r="AA3104" s="173">
        <v>35</v>
      </c>
      <c r="AB3104" s="191">
        <v>46018</v>
      </c>
      <c r="AG3104" s="143" t="s">
        <v>8641</v>
      </c>
      <c r="AH3104" s="143" t="s">
        <v>7442</v>
      </c>
    </row>
    <row r="3105" ht="16.5" spans="1:34">
      <c r="A3105" s="143">
        <v>3066</v>
      </c>
      <c r="B3105" s="144">
        <v>46003</v>
      </c>
      <c r="C3105" s="169" t="s">
        <v>3148</v>
      </c>
      <c r="E3105" s="196" t="s">
        <v>8694</v>
      </c>
      <c r="F3105" s="143" t="s">
        <v>8695</v>
      </c>
      <c r="H3105" s="143" t="s">
        <v>8696</v>
      </c>
      <c r="I3105" s="143" t="s">
        <v>8697</v>
      </c>
      <c r="J3105" s="197" t="s">
        <v>8698</v>
      </c>
      <c r="K3105" s="143">
        <v>175</v>
      </c>
      <c r="L3105" s="143">
        <v>200</v>
      </c>
      <c r="W3105" s="143" t="s">
        <v>8626</v>
      </c>
      <c r="X3105" s="143" t="s">
        <v>8695</v>
      </c>
      <c r="Y3105" s="169" t="s">
        <v>8626</v>
      </c>
      <c r="Z3105" s="143" t="s">
        <v>8695</v>
      </c>
      <c r="AA3105" s="173">
        <v>35</v>
      </c>
      <c r="AB3105" s="191">
        <v>46018</v>
      </c>
      <c r="AG3105" s="169" t="s">
        <v>8699</v>
      </c>
      <c r="AH3105" s="143" t="s">
        <v>3738</v>
      </c>
    </row>
    <row r="3106" ht="16.5" spans="1:34">
      <c r="A3106" s="143">
        <v>3067</v>
      </c>
      <c r="B3106" s="144">
        <v>46003</v>
      </c>
      <c r="C3106" s="169" t="s">
        <v>3148</v>
      </c>
      <c r="E3106" s="196" t="s">
        <v>8694</v>
      </c>
      <c r="F3106" s="143" t="s">
        <v>8700</v>
      </c>
      <c r="H3106" s="143" t="s">
        <v>8701</v>
      </c>
      <c r="I3106" s="143" t="s">
        <v>8702</v>
      </c>
      <c r="J3106" s="197" t="s">
        <v>8703</v>
      </c>
      <c r="K3106" s="143">
        <v>150</v>
      </c>
      <c r="L3106" s="143">
        <v>190</v>
      </c>
      <c r="W3106" s="143" t="s">
        <v>8626</v>
      </c>
      <c r="X3106" s="143" t="s">
        <v>8700</v>
      </c>
      <c r="Y3106" s="169" t="s">
        <v>8626</v>
      </c>
      <c r="Z3106" s="143" t="s">
        <v>8700</v>
      </c>
      <c r="AA3106" s="173">
        <v>40</v>
      </c>
      <c r="AB3106" s="191">
        <v>46018</v>
      </c>
      <c r="AG3106" s="169" t="s">
        <v>8704</v>
      </c>
      <c r="AH3106" s="143" t="s">
        <v>8628</v>
      </c>
    </row>
    <row r="3107" ht="16.5" spans="1:34">
      <c r="A3107" s="143">
        <v>3068</v>
      </c>
      <c r="B3107" s="144">
        <v>46003</v>
      </c>
      <c r="C3107" s="169" t="s">
        <v>3148</v>
      </c>
      <c r="E3107" s="196" t="s">
        <v>8694</v>
      </c>
      <c r="F3107" s="143" t="s">
        <v>8705</v>
      </c>
      <c r="H3107" s="143" t="s">
        <v>8706</v>
      </c>
      <c r="I3107" s="143" t="s">
        <v>8707</v>
      </c>
      <c r="J3107" s="197" t="s">
        <v>8708</v>
      </c>
      <c r="K3107" s="143">
        <v>175</v>
      </c>
      <c r="L3107" s="143">
        <v>260</v>
      </c>
      <c r="W3107" s="143" t="s">
        <v>8626</v>
      </c>
      <c r="X3107" s="143" t="s">
        <v>8705</v>
      </c>
      <c r="Y3107" s="169" t="s">
        <v>8626</v>
      </c>
      <c r="Z3107" s="143" t="s">
        <v>8705</v>
      </c>
      <c r="AA3107" s="173">
        <v>35</v>
      </c>
      <c r="AB3107" s="191">
        <v>46018</v>
      </c>
      <c r="AG3107" s="143" t="s">
        <v>8631</v>
      </c>
      <c r="AH3107" s="143" t="s">
        <v>4844</v>
      </c>
    </row>
    <row r="3108" ht="16.5" spans="1:34">
      <c r="A3108" s="143">
        <v>3069</v>
      </c>
      <c r="B3108" s="144">
        <v>46003</v>
      </c>
      <c r="C3108" s="169" t="s">
        <v>3148</v>
      </c>
      <c r="E3108" s="196" t="s">
        <v>8694</v>
      </c>
      <c r="F3108" s="143" t="s">
        <v>8709</v>
      </c>
      <c r="H3108" s="143" t="s">
        <v>8710</v>
      </c>
      <c r="I3108" s="143" t="s">
        <v>8711</v>
      </c>
      <c r="J3108" s="197" t="s">
        <v>8712</v>
      </c>
      <c r="K3108" s="143">
        <v>150</v>
      </c>
      <c r="L3108" s="143">
        <v>250</v>
      </c>
      <c r="W3108" s="143" t="s">
        <v>8626</v>
      </c>
      <c r="X3108" s="143" t="s">
        <v>8709</v>
      </c>
      <c r="Y3108" s="169" t="s">
        <v>8626</v>
      </c>
      <c r="Z3108" s="143" t="s">
        <v>8709</v>
      </c>
      <c r="AA3108" s="173">
        <v>31</v>
      </c>
      <c r="AB3108" s="191">
        <v>46018</v>
      </c>
      <c r="AG3108" s="143" t="s">
        <v>8631</v>
      </c>
      <c r="AH3108" s="143" t="s">
        <v>3701</v>
      </c>
    </row>
    <row r="3109" ht="16.5" spans="1:34">
      <c r="A3109" s="143">
        <v>3070</v>
      </c>
      <c r="B3109" s="144">
        <v>46003</v>
      </c>
      <c r="C3109" s="169" t="s">
        <v>3148</v>
      </c>
      <c r="E3109" s="196" t="s">
        <v>8713</v>
      </c>
      <c r="F3109" s="143" t="s">
        <v>8714</v>
      </c>
      <c r="H3109" s="143" t="s">
        <v>8715</v>
      </c>
      <c r="J3109" s="197"/>
      <c r="K3109" s="143">
        <v>175</v>
      </c>
      <c r="L3109" s="143">
        <v>320</v>
      </c>
      <c r="W3109" s="143" t="s">
        <v>8626</v>
      </c>
      <c r="X3109" s="143" t="s">
        <v>8714</v>
      </c>
      <c r="Y3109" s="169" t="s">
        <v>8626</v>
      </c>
      <c r="Z3109" s="143" t="s">
        <v>8714</v>
      </c>
      <c r="AA3109" s="173">
        <v>38</v>
      </c>
      <c r="AB3109" s="191">
        <v>46018</v>
      </c>
      <c r="AG3109" s="169" t="s">
        <v>8699</v>
      </c>
      <c r="AH3109" s="143" t="s">
        <v>4809</v>
      </c>
    </row>
    <row r="3110" ht="16.5" spans="1:34">
      <c r="A3110" s="143">
        <v>3071</v>
      </c>
      <c r="B3110" s="144">
        <v>46003</v>
      </c>
      <c r="C3110" s="169" t="s">
        <v>3148</v>
      </c>
      <c r="E3110" s="196" t="s">
        <v>8713</v>
      </c>
      <c r="F3110" s="143" t="s">
        <v>8716</v>
      </c>
      <c r="H3110" s="143" t="s">
        <v>8717</v>
      </c>
      <c r="I3110" s="143" t="s">
        <v>3157</v>
      </c>
      <c r="J3110" s="197" t="s">
        <v>3684</v>
      </c>
      <c r="K3110" s="143">
        <v>185</v>
      </c>
      <c r="L3110" s="143">
        <v>360</v>
      </c>
      <c r="W3110" s="143" t="s">
        <v>8626</v>
      </c>
      <c r="X3110" s="143" t="s">
        <v>8716</v>
      </c>
      <c r="Y3110" s="169" t="s">
        <v>8626</v>
      </c>
      <c r="Z3110" s="143" t="s">
        <v>8716</v>
      </c>
      <c r="AA3110" s="173">
        <v>37</v>
      </c>
      <c r="AB3110" s="191">
        <v>46018</v>
      </c>
      <c r="AG3110" s="169" t="s">
        <v>8718</v>
      </c>
      <c r="AH3110" s="143" t="s">
        <v>7442</v>
      </c>
    </row>
    <row r="3111" ht="16.5" spans="1:34">
      <c r="A3111" s="143">
        <v>3072</v>
      </c>
      <c r="B3111" s="144">
        <v>46003</v>
      </c>
      <c r="C3111" s="169" t="s">
        <v>3148</v>
      </c>
      <c r="E3111" s="196" t="s">
        <v>8713</v>
      </c>
      <c r="F3111" s="143" t="s">
        <v>8719</v>
      </c>
      <c r="H3111" s="143" t="s">
        <v>8720</v>
      </c>
      <c r="I3111" s="143" t="s">
        <v>8721</v>
      </c>
      <c r="J3111" s="197" t="s">
        <v>8722</v>
      </c>
      <c r="K3111" s="143">
        <v>175</v>
      </c>
      <c r="L3111" s="143">
        <v>350</v>
      </c>
      <c r="W3111" s="143" t="s">
        <v>8626</v>
      </c>
      <c r="X3111" s="143" t="s">
        <v>8719</v>
      </c>
      <c r="Y3111" s="169" t="s">
        <v>8626</v>
      </c>
      <c r="Z3111" s="143" t="s">
        <v>8719</v>
      </c>
      <c r="AA3111" s="173">
        <v>37</v>
      </c>
      <c r="AB3111" s="191">
        <v>46018</v>
      </c>
      <c r="AG3111" s="143" t="s">
        <v>8641</v>
      </c>
      <c r="AH3111" s="143" t="s">
        <v>4814</v>
      </c>
    </row>
    <row r="3112" ht="16.5" spans="1:34">
      <c r="A3112" s="143">
        <v>3073</v>
      </c>
      <c r="B3112" s="144">
        <v>46003</v>
      </c>
      <c r="C3112" s="169" t="s">
        <v>3148</v>
      </c>
      <c r="E3112" s="196" t="s">
        <v>8713</v>
      </c>
      <c r="F3112" s="143" t="s">
        <v>8723</v>
      </c>
      <c r="H3112" s="143" t="s">
        <v>8724</v>
      </c>
      <c r="I3112" s="143" t="s">
        <v>8725</v>
      </c>
      <c r="J3112" s="197" t="s">
        <v>8726</v>
      </c>
      <c r="K3112" s="143">
        <v>175</v>
      </c>
      <c r="L3112" s="143">
        <v>320</v>
      </c>
      <c r="W3112" s="143" t="s">
        <v>8626</v>
      </c>
      <c r="X3112" s="143" t="s">
        <v>8723</v>
      </c>
      <c r="Y3112" s="169" t="s">
        <v>8626</v>
      </c>
      <c r="Z3112" s="143" t="s">
        <v>8723</v>
      </c>
      <c r="AA3112" s="173">
        <v>36</v>
      </c>
      <c r="AB3112" s="191">
        <v>46018</v>
      </c>
      <c r="AG3112" s="143" t="s">
        <v>8677</v>
      </c>
      <c r="AH3112" s="143" t="s">
        <v>4809</v>
      </c>
    </row>
    <row r="3113" ht="16.5" spans="1:34">
      <c r="A3113" s="143">
        <v>3074</v>
      </c>
      <c r="B3113" s="144">
        <v>46003</v>
      </c>
      <c r="C3113" s="169" t="s">
        <v>3148</v>
      </c>
      <c r="E3113" s="196" t="s">
        <v>8713</v>
      </c>
      <c r="F3113" s="143" t="s">
        <v>8727</v>
      </c>
      <c r="H3113" s="143" t="s">
        <v>8728</v>
      </c>
      <c r="I3113" s="143" t="s">
        <v>8729</v>
      </c>
      <c r="J3113" s="197" t="s">
        <v>8730</v>
      </c>
      <c r="K3113" s="143">
        <v>185</v>
      </c>
      <c r="L3113" s="143">
        <v>320</v>
      </c>
      <c r="W3113" s="143" t="s">
        <v>8626</v>
      </c>
      <c r="X3113" s="143" t="s">
        <v>8727</v>
      </c>
      <c r="Y3113" s="169" t="s">
        <v>8626</v>
      </c>
      <c r="Z3113" s="143" t="s">
        <v>8727</v>
      </c>
      <c r="AA3113" s="173">
        <v>34</v>
      </c>
      <c r="AB3113" s="191">
        <v>46018</v>
      </c>
      <c r="AG3113" s="143" t="s">
        <v>8631</v>
      </c>
      <c r="AH3113" s="143" t="s">
        <v>8731</v>
      </c>
    </row>
    <row r="3114" ht="16.5" spans="1:34">
      <c r="A3114" s="143">
        <v>3075</v>
      </c>
      <c r="B3114" s="144">
        <v>46003</v>
      </c>
      <c r="C3114" s="169" t="s">
        <v>3148</v>
      </c>
      <c r="E3114" s="196" t="s">
        <v>8713</v>
      </c>
      <c r="F3114" s="143" t="s">
        <v>8732</v>
      </c>
      <c r="H3114" s="143" t="s">
        <v>8733</v>
      </c>
      <c r="I3114" s="143" t="s">
        <v>4508</v>
      </c>
      <c r="J3114" s="197" t="s">
        <v>5790</v>
      </c>
      <c r="K3114" s="143">
        <v>175</v>
      </c>
      <c r="L3114" s="143">
        <v>340</v>
      </c>
      <c r="W3114" s="143" t="s">
        <v>8626</v>
      </c>
      <c r="X3114" s="143" t="s">
        <v>8732</v>
      </c>
      <c r="Y3114" s="169" t="s">
        <v>8626</v>
      </c>
      <c r="Z3114" s="143" t="s">
        <v>8732</v>
      </c>
      <c r="AA3114" s="173">
        <v>33</v>
      </c>
      <c r="AB3114" s="191">
        <v>46018</v>
      </c>
      <c r="AG3114" s="169" t="s">
        <v>8734</v>
      </c>
      <c r="AH3114" s="143" t="s">
        <v>4809</v>
      </c>
    </row>
    <row r="3115" ht="16.5" spans="1:34">
      <c r="A3115" s="143">
        <v>3076</v>
      </c>
      <c r="B3115" s="144">
        <v>46003</v>
      </c>
      <c r="C3115" s="169" t="s">
        <v>3148</v>
      </c>
      <c r="E3115" s="196" t="s">
        <v>8713</v>
      </c>
      <c r="F3115" s="187" t="s">
        <v>8735</v>
      </c>
      <c r="H3115" s="143" t="s">
        <v>8736</v>
      </c>
      <c r="I3115" s="143" t="s">
        <v>3157</v>
      </c>
      <c r="J3115" s="197" t="s">
        <v>3684</v>
      </c>
      <c r="K3115" s="143">
        <v>185</v>
      </c>
      <c r="L3115" s="143">
        <v>400</v>
      </c>
      <c r="W3115" s="143" t="s">
        <v>8626</v>
      </c>
      <c r="X3115" s="187" t="s">
        <v>8735</v>
      </c>
      <c r="Y3115" s="169" t="s">
        <v>8626</v>
      </c>
      <c r="Z3115" s="187" t="s">
        <v>8735</v>
      </c>
      <c r="AA3115" s="173">
        <v>36</v>
      </c>
      <c r="AB3115" s="191">
        <v>46018</v>
      </c>
      <c r="AG3115" s="143" t="s">
        <v>8641</v>
      </c>
      <c r="AH3115" s="143" t="s">
        <v>8737</v>
      </c>
    </row>
    <row r="3116" ht="16.5" spans="1:34">
      <c r="A3116" s="143">
        <v>3077</v>
      </c>
      <c r="B3116" s="144">
        <v>46003</v>
      </c>
      <c r="C3116" s="169" t="s">
        <v>3148</v>
      </c>
      <c r="E3116" s="196" t="s">
        <v>8713</v>
      </c>
      <c r="F3116" s="187" t="s">
        <v>8738</v>
      </c>
      <c r="H3116" s="143" t="s">
        <v>8739</v>
      </c>
      <c r="I3116" s="143" t="s">
        <v>3157</v>
      </c>
      <c r="J3116" s="197" t="s">
        <v>3684</v>
      </c>
      <c r="K3116" s="143">
        <v>185</v>
      </c>
      <c r="L3116" s="143">
        <v>420</v>
      </c>
      <c r="W3116" s="143" t="s">
        <v>8626</v>
      </c>
      <c r="X3116" s="187" t="s">
        <v>8738</v>
      </c>
      <c r="Y3116" s="169" t="s">
        <v>8626</v>
      </c>
      <c r="Z3116" s="187" t="s">
        <v>8738</v>
      </c>
      <c r="AA3116" s="173">
        <v>45</v>
      </c>
      <c r="AB3116" s="191">
        <v>46018</v>
      </c>
      <c r="AG3116" s="169" t="s">
        <v>8627</v>
      </c>
      <c r="AH3116" s="143" t="s">
        <v>8740</v>
      </c>
    </row>
    <row r="3117" ht="16.5" spans="1:34">
      <c r="A3117" s="143">
        <v>3078</v>
      </c>
      <c r="B3117" s="144">
        <v>46003</v>
      </c>
      <c r="C3117" s="169" t="s">
        <v>3148</v>
      </c>
      <c r="E3117" s="196" t="s">
        <v>8713</v>
      </c>
      <c r="F3117" s="143" t="s">
        <v>8741</v>
      </c>
      <c r="H3117" s="143" t="s">
        <v>8742</v>
      </c>
      <c r="I3117" s="143" t="s">
        <v>8743</v>
      </c>
      <c r="J3117" s="197" t="s">
        <v>8744</v>
      </c>
      <c r="K3117" s="143">
        <v>185</v>
      </c>
      <c r="L3117" s="143">
        <v>230</v>
      </c>
      <c r="W3117" s="143" t="s">
        <v>8626</v>
      </c>
      <c r="X3117" s="143" t="s">
        <v>8741</v>
      </c>
      <c r="Y3117" s="169" t="s">
        <v>8626</v>
      </c>
      <c r="Z3117" s="143" t="s">
        <v>8741</v>
      </c>
      <c r="AA3117" s="247">
        <v>32</v>
      </c>
      <c r="AB3117" s="191">
        <v>46018</v>
      </c>
      <c r="AG3117" s="169" t="s">
        <v>8699</v>
      </c>
      <c r="AH3117" s="143" t="s">
        <v>3771</v>
      </c>
    </row>
    <row r="3118" ht="16.5" spans="1:34">
      <c r="A3118" s="143">
        <v>3079</v>
      </c>
      <c r="B3118" s="144">
        <v>46003</v>
      </c>
      <c r="C3118" s="169" t="s">
        <v>3148</v>
      </c>
      <c r="E3118" s="196" t="s">
        <v>8713</v>
      </c>
      <c r="F3118" s="143" t="s">
        <v>8745</v>
      </c>
      <c r="H3118" s="143" t="s">
        <v>8746</v>
      </c>
      <c r="I3118" s="143" t="s">
        <v>8747</v>
      </c>
      <c r="J3118" s="197" t="s">
        <v>8748</v>
      </c>
      <c r="K3118" s="143">
        <v>185</v>
      </c>
      <c r="L3118" s="143">
        <v>280</v>
      </c>
      <c r="W3118" s="143" t="s">
        <v>8626</v>
      </c>
      <c r="X3118" s="143" t="s">
        <v>8745</v>
      </c>
      <c r="Y3118" s="169" t="s">
        <v>8626</v>
      </c>
      <c r="Z3118" s="143" t="s">
        <v>8745</v>
      </c>
      <c r="AA3118" s="173">
        <v>34</v>
      </c>
      <c r="AB3118" s="191">
        <v>46018</v>
      </c>
      <c r="AG3118" s="169" t="s">
        <v>8749</v>
      </c>
      <c r="AH3118" s="143" t="s">
        <v>4819</v>
      </c>
    </row>
    <row r="3119" ht="16.5" spans="1:34">
      <c r="A3119" s="143">
        <v>3080</v>
      </c>
      <c r="B3119" s="144">
        <v>46003</v>
      </c>
      <c r="C3119" s="169" t="s">
        <v>3148</v>
      </c>
      <c r="E3119" s="196" t="s">
        <v>8713</v>
      </c>
      <c r="F3119" s="143" t="s">
        <v>8750</v>
      </c>
      <c r="H3119" s="143" t="s">
        <v>8751</v>
      </c>
      <c r="I3119" s="143" t="s">
        <v>8752</v>
      </c>
      <c r="J3119" s="197" t="s">
        <v>8753</v>
      </c>
      <c r="K3119" s="143">
        <v>185</v>
      </c>
      <c r="L3119" s="143">
        <v>220</v>
      </c>
      <c r="W3119" s="143" t="s">
        <v>8626</v>
      </c>
      <c r="X3119" s="143" t="s">
        <v>8750</v>
      </c>
      <c r="Y3119" s="169" t="s">
        <v>8626</v>
      </c>
      <c r="Z3119" s="143" t="s">
        <v>8750</v>
      </c>
      <c r="AA3119" s="173">
        <v>39</v>
      </c>
      <c r="AB3119" s="191">
        <v>46018</v>
      </c>
      <c r="AG3119" s="169" t="s">
        <v>8754</v>
      </c>
      <c r="AH3119" s="143" t="s">
        <v>3792</v>
      </c>
    </row>
    <row r="3120" ht="16.5" spans="1:34">
      <c r="A3120" s="143">
        <v>3081</v>
      </c>
      <c r="B3120" s="144">
        <v>46003</v>
      </c>
      <c r="C3120" s="169" t="s">
        <v>3148</v>
      </c>
      <c r="E3120" s="196" t="s">
        <v>8755</v>
      </c>
      <c r="F3120" s="143" t="s">
        <v>8756</v>
      </c>
      <c r="H3120" s="143" t="s">
        <v>8757</v>
      </c>
      <c r="I3120" s="143" t="s">
        <v>8758</v>
      </c>
      <c r="J3120" s="197" t="s">
        <v>8759</v>
      </c>
      <c r="K3120" s="143">
        <v>185</v>
      </c>
      <c r="L3120" s="143">
        <v>170</v>
      </c>
      <c r="W3120" s="143" t="s">
        <v>8626</v>
      </c>
      <c r="X3120" s="143" t="s">
        <v>8756</v>
      </c>
      <c r="Y3120" s="169" t="s">
        <v>8626</v>
      </c>
      <c r="Z3120" s="143" t="s">
        <v>8756</v>
      </c>
      <c r="AA3120" s="173">
        <v>38</v>
      </c>
      <c r="AB3120" s="191">
        <v>46018</v>
      </c>
      <c r="AG3120" s="143" t="s">
        <v>8641</v>
      </c>
      <c r="AH3120" s="143" t="s">
        <v>8628</v>
      </c>
    </row>
    <row r="3121" ht="16.5" spans="1:34">
      <c r="A3121" s="143">
        <v>3082</v>
      </c>
      <c r="B3121" s="144">
        <v>46003</v>
      </c>
      <c r="C3121" s="169" t="s">
        <v>3148</v>
      </c>
      <c r="E3121" s="196" t="s">
        <v>8755</v>
      </c>
      <c r="F3121" s="143" t="s">
        <v>8760</v>
      </c>
      <c r="H3121" s="143" t="s">
        <v>8761</v>
      </c>
      <c r="I3121" s="143" t="s">
        <v>8762</v>
      </c>
      <c r="J3121" s="197" t="s">
        <v>8763</v>
      </c>
      <c r="K3121" s="143">
        <v>175</v>
      </c>
      <c r="L3121" s="143">
        <v>160</v>
      </c>
      <c r="W3121" s="143" t="s">
        <v>8626</v>
      </c>
      <c r="X3121" s="143" t="s">
        <v>8760</v>
      </c>
      <c r="Y3121" s="169" t="s">
        <v>8626</v>
      </c>
      <c r="Z3121" s="143" t="s">
        <v>8760</v>
      </c>
      <c r="AA3121" s="173">
        <v>55</v>
      </c>
      <c r="AB3121" s="191">
        <v>46018</v>
      </c>
      <c r="AG3121" s="143" t="s">
        <v>8631</v>
      </c>
      <c r="AH3121" s="143" t="s">
        <v>8423</v>
      </c>
    </row>
    <row r="3122" ht="16.5" spans="1:34">
      <c r="A3122" s="143">
        <v>3083</v>
      </c>
      <c r="B3122" s="144">
        <v>46003</v>
      </c>
      <c r="C3122" s="169" t="s">
        <v>3148</v>
      </c>
      <c r="E3122" s="196" t="s">
        <v>8755</v>
      </c>
      <c r="F3122" s="143" t="s">
        <v>8764</v>
      </c>
      <c r="H3122" s="143" t="s">
        <v>8765</v>
      </c>
      <c r="I3122" s="143" t="s">
        <v>3737</v>
      </c>
      <c r="J3122" s="197" t="s">
        <v>2691</v>
      </c>
      <c r="K3122" s="143">
        <v>178</v>
      </c>
      <c r="L3122" s="143">
        <v>150</v>
      </c>
      <c r="W3122" s="143" t="s">
        <v>8626</v>
      </c>
      <c r="X3122" s="143" t="s">
        <v>8764</v>
      </c>
      <c r="Y3122" s="169" t="s">
        <v>8626</v>
      </c>
      <c r="Z3122" s="143" t="s">
        <v>8764</v>
      </c>
      <c r="AA3122" s="173">
        <v>39</v>
      </c>
      <c r="AB3122" s="191">
        <v>46018</v>
      </c>
      <c r="AG3122" s="169" t="s">
        <v>8699</v>
      </c>
      <c r="AH3122" s="143" t="s">
        <v>8766</v>
      </c>
    </row>
    <row r="3123" ht="16.5" spans="1:34">
      <c r="A3123" s="143">
        <v>3084</v>
      </c>
      <c r="B3123" s="144">
        <v>46003</v>
      </c>
      <c r="C3123" s="169" t="s">
        <v>3148</v>
      </c>
      <c r="E3123" s="196" t="s">
        <v>8755</v>
      </c>
      <c r="F3123" s="143" t="s">
        <v>8767</v>
      </c>
      <c r="H3123" s="143" t="s">
        <v>8768</v>
      </c>
      <c r="I3123" s="143" t="s">
        <v>45</v>
      </c>
      <c r="J3123" s="197" t="s">
        <v>3684</v>
      </c>
      <c r="K3123" s="143">
        <v>185</v>
      </c>
      <c r="L3123" s="143">
        <v>200</v>
      </c>
      <c r="W3123" s="143" t="s">
        <v>8626</v>
      </c>
      <c r="X3123" s="143" t="s">
        <v>8767</v>
      </c>
      <c r="Y3123" s="169" t="s">
        <v>8626</v>
      </c>
      <c r="Z3123" s="143" t="s">
        <v>8767</v>
      </c>
      <c r="AA3123" s="173">
        <v>39</v>
      </c>
      <c r="AB3123" s="191">
        <v>46018</v>
      </c>
      <c r="AG3123" s="143" t="s">
        <v>8769</v>
      </c>
      <c r="AH3123" s="143" t="s">
        <v>4754</v>
      </c>
    </row>
    <row r="3124" ht="16.5" spans="1:34">
      <c r="A3124" s="143">
        <v>3085</v>
      </c>
      <c r="B3124" s="144">
        <v>46003</v>
      </c>
      <c r="C3124" s="169" t="s">
        <v>3148</v>
      </c>
      <c r="E3124" s="196" t="s">
        <v>8755</v>
      </c>
      <c r="F3124" s="187" t="s">
        <v>8770</v>
      </c>
      <c r="H3124" s="143" t="s">
        <v>8771</v>
      </c>
      <c r="I3124" s="143" t="s">
        <v>45</v>
      </c>
      <c r="J3124" s="197" t="s">
        <v>3684</v>
      </c>
      <c r="K3124" s="143">
        <v>185</v>
      </c>
      <c r="L3124" s="143">
        <v>260</v>
      </c>
      <c r="W3124" s="143" t="s">
        <v>8626</v>
      </c>
      <c r="X3124" s="187" t="s">
        <v>8770</v>
      </c>
      <c r="Y3124" s="169" t="s">
        <v>8626</v>
      </c>
      <c r="Z3124" s="187" t="s">
        <v>8770</v>
      </c>
      <c r="AA3124" s="173">
        <v>37</v>
      </c>
      <c r="AB3124" s="191">
        <v>46018</v>
      </c>
      <c r="AG3124" s="143" t="s">
        <v>8631</v>
      </c>
      <c r="AH3124" s="143" t="s">
        <v>4819</v>
      </c>
    </row>
    <row r="3125" ht="16.5" spans="1:34">
      <c r="A3125" s="143">
        <v>3086</v>
      </c>
      <c r="B3125" s="144">
        <v>46003</v>
      </c>
      <c r="C3125" s="169" t="s">
        <v>3148</v>
      </c>
      <c r="E3125" s="196" t="s">
        <v>8755</v>
      </c>
      <c r="F3125" s="187" t="s">
        <v>8772</v>
      </c>
      <c r="H3125" s="143" t="s">
        <v>8773</v>
      </c>
      <c r="I3125" s="143" t="s">
        <v>3157</v>
      </c>
      <c r="J3125" s="197" t="s">
        <v>3684</v>
      </c>
      <c r="K3125" s="143">
        <v>185</v>
      </c>
      <c r="L3125" s="143">
        <v>350</v>
      </c>
      <c r="W3125" s="143" t="s">
        <v>8626</v>
      </c>
      <c r="X3125" s="187" t="s">
        <v>8772</v>
      </c>
      <c r="Y3125" s="169" t="s">
        <v>8626</v>
      </c>
      <c r="Z3125" s="187" t="s">
        <v>8772</v>
      </c>
      <c r="AA3125" s="173">
        <v>45</v>
      </c>
      <c r="AB3125" s="191">
        <v>46018</v>
      </c>
      <c r="AG3125" s="169" t="s">
        <v>8699</v>
      </c>
      <c r="AH3125" s="143" t="s">
        <v>7576</v>
      </c>
    </row>
    <row r="3126" ht="16.5" spans="1:34">
      <c r="A3126" s="143">
        <v>3087</v>
      </c>
      <c r="B3126" s="144">
        <v>46003</v>
      </c>
      <c r="C3126" s="169" t="s">
        <v>3148</v>
      </c>
      <c r="E3126" s="196" t="s">
        <v>8755</v>
      </c>
      <c r="F3126" s="187" t="s">
        <v>8774</v>
      </c>
      <c r="H3126" s="143" t="s">
        <v>8775</v>
      </c>
      <c r="I3126" s="143" t="s">
        <v>3157</v>
      </c>
      <c r="J3126" s="197" t="s">
        <v>3684</v>
      </c>
      <c r="K3126" s="143">
        <v>185</v>
      </c>
      <c r="L3126" s="143">
        <v>240</v>
      </c>
      <c r="W3126" s="143" t="s">
        <v>8626</v>
      </c>
      <c r="X3126" s="187" t="s">
        <v>8774</v>
      </c>
      <c r="Y3126" s="169" t="s">
        <v>8626</v>
      </c>
      <c r="Z3126" s="187" t="s">
        <v>8774</v>
      </c>
      <c r="AA3126" s="173">
        <v>40</v>
      </c>
      <c r="AB3126" s="191">
        <v>46018</v>
      </c>
      <c r="AG3126" s="169" t="s">
        <v>8776</v>
      </c>
      <c r="AH3126" s="143" t="s">
        <v>4844</v>
      </c>
    </row>
    <row r="3127" ht="16.5" spans="1:34">
      <c r="A3127" s="143">
        <v>3088</v>
      </c>
      <c r="B3127" s="144">
        <v>46003</v>
      </c>
      <c r="C3127" s="169" t="s">
        <v>3148</v>
      </c>
      <c r="E3127" s="196" t="s">
        <v>8755</v>
      </c>
      <c r="F3127" s="187" t="s">
        <v>8777</v>
      </c>
      <c r="H3127" s="143" t="s">
        <v>8778</v>
      </c>
      <c r="I3127" s="143" t="s">
        <v>3157</v>
      </c>
      <c r="J3127" s="197" t="s">
        <v>3684</v>
      </c>
      <c r="K3127" s="143">
        <v>185</v>
      </c>
      <c r="L3127" s="143">
        <v>310</v>
      </c>
      <c r="W3127" s="143" t="s">
        <v>8626</v>
      </c>
      <c r="X3127" s="187" t="s">
        <v>8777</v>
      </c>
      <c r="Y3127" s="169" t="s">
        <v>8626</v>
      </c>
      <c r="Z3127" s="187" t="s">
        <v>8777</v>
      </c>
      <c r="AA3127" s="173">
        <v>39</v>
      </c>
      <c r="AB3127" s="191">
        <v>46018</v>
      </c>
      <c r="AG3127" s="169" t="s">
        <v>8776</v>
      </c>
      <c r="AH3127" s="143" t="s">
        <v>7442</v>
      </c>
    </row>
    <row r="3128" ht="16.5" spans="1:34">
      <c r="A3128" s="143">
        <v>3089</v>
      </c>
      <c r="B3128" s="144">
        <v>46003</v>
      </c>
      <c r="C3128" s="169" t="s">
        <v>3148</v>
      </c>
      <c r="E3128" s="196" t="s">
        <v>8755</v>
      </c>
      <c r="F3128" s="143" t="s">
        <v>8779</v>
      </c>
      <c r="H3128" s="143" t="s">
        <v>8780</v>
      </c>
      <c r="I3128" s="143" t="s">
        <v>3157</v>
      </c>
      <c r="J3128" s="197" t="s">
        <v>3684</v>
      </c>
      <c r="K3128" s="143">
        <v>185</v>
      </c>
      <c r="L3128" s="143">
        <v>230</v>
      </c>
      <c r="W3128" s="143" t="s">
        <v>8626</v>
      </c>
      <c r="X3128" s="143" t="s">
        <v>8779</v>
      </c>
      <c r="Y3128" s="169" t="s">
        <v>8626</v>
      </c>
      <c r="Z3128" s="143" t="s">
        <v>8779</v>
      </c>
      <c r="AA3128" s="173">
        <v>37</v>
      </c>
      <c r="AB3128" s="191">
        <v>46018</v>
      </c>
      <c r="AG3128" s="143" t="s">
        <v>8769</v>
      </c>
      <c r="AH3128" s="143" t="s">
        <v>8636</v>
      </c>
    </row>
    <row r="3129" ht="16.5" spans="1:34">
      <c r="A3129" s="143">
        <v>3090</v>
      </c>
      <c r="B3129" s="144">
        <v>46003</v>
      </c>
      <c r="C3129" s="169" t="s">
        <v>3148</v>
      </c>
      <c r="E3129" s="196" t="s">
        <v>8755</v>
      </c>
      <c r="F3129" s="143" t="s">
        <v>8781</v>
      </c>
      <c r="H3129" s="143" t="s">
        <v>8782</v>
      </c>
      <c r="I3129" s="143" t="s">
        <v>3157</v>
      </c>
      <c r="J3129" s="197" t="s">
        <v>3684</v>
      </c>
      <c r="K3129" s="143">
        <v>185</v>
      </c>
      <c r="L3129" s="143">
        <v>130</v>
      </c>
      <c r="W3129" s="143" t="s">
        <v>8626</v>
      </c>
      <c r="X3129" s="143" t="s">
        <v>8781</v>
      </c>
      <c r="Y3129" s="169" t="s">
        <v>8626</v>
      </c>
      <c r="Z3129" s="143" t="s">
        <v>8781</v>
      </c>
      <c r="AA3129" s="173">
        <v>38</v>
      </c>
      <c r="AB3129" s="191">
        <v>46018</v>
      </c>
      <c r="AG3129" s="169" t="s">
        <v>8699</v>
      </c>
      <c r="AH3129" s="143" t="s">
        <v>8783</v>
      </c>
    </row>
    <row r="3130" ht="16.5" spans="1:34">
      <c r="A3130" s="143">
        <v>3091</v>
      </c>
      <c r="B3130" s="144">
        <v>46003</v>
      </c>
      <c r="C3130" s="169" t="s">
        <v>3148</v>
      </c>
      <c r="E3130" s="196" t="s">
        <v>8755</v>
      </c>
      <c r="F3130" s="143" t="s">
        <v>8784</v>
      </c>
      <c r="H3130" s="143" t="s">
        <v>8785</v>
      </c>
      <c r="I3130" s="143" t="s">
        <v>3157</v>
      </c>
      <c r="J3130" s="197" t="s">
        <v>3684</v>
      </c>
      <c r="K3130" s="143">
        <v>185</v>
      </c>
      <c r="L3130" s="143">
        <v>165</v>
      </c>
      <c r="W3130" s="143" t="s">
        <v>8626</v>
      </c>
      <c r="X3130" s="143" t="s">
        <v>8784</v>
      </c>
      <c r="Y3130" s="169" t="s">
        <v>8626</v>
      </c>
      <c r="Z3130" s="143" t="s">
        <v>8784</v>
      </c>
      <c r="AA3130" s="173">
        <v>38</v>
      </c>
      <c r="AB3130" s="191">
        <v>46018</v>
      </c>
      <c r="AG3130" s="169" t="s">
        <v>8786</v>
      </c>
      <c r="AH3130" s="143" t="s">
        <v>8628</v>
      </c>
    </row>
    <row r="3131" ht="16.5" spans="1:34">
      <c r="A3131" s="143">
        <v>3092</v>
      </c>
      <c r="B3131" s="144">
        <v>46003</v>
      </c>
      <c r="C3131" s="169" t="s">
        <v>3148</v>
      </c>
      <c r="E3131" s="196" t="s">
        <v>8755</v>
      </c>
      <c r="F3131" s="143" t="s">
        <v>8787</v>
      </c>
      <c r="H3131" s="143" t="s">
        <v>8788</v>
      </c>
      <c r="I3131" s="143" t="s">
        <v>3157</v>
      </c>
      <c r="J3131" s="197" t="s">
        <v>3684</v>
      </c>
      <c r="K3131" s="143">
        <v>185</v>
      </c>
      <c r="L3131" s="143">
        <v>180</v>
      </c>
      <c r="W3131" s="143" t="s">
        <v>8626</v>
      </c>
      <c r="X3131" s="143" t="s">
        <v>8787</v>
      </c>
      <c r="Y3131" s="169" t="s">
        <v>8626</v>
      </c>
      <c r="Z3131" s="143" t="s">
        <v>8787</v>
      </c>
      <c r="AA3131" s="173">
        <v>37</v>
      </c>
      <c r="AB3131" s="191">
        <v>46018</v>
      </c>
      <c r="AG3131" s="169" t="s">
        <v>8789</v>
      </c>
      <c r="AH3131" s="143" t="s">
        <v>8430</v>
      </c>
    </row>
    <row r="3132" ht="16.5" spans="1:34">
      <c r="A3132" s="143">
        <v>3093</v>
      </c>
      <c r="B3132" s="144">
        <v>46003</v>
      </c>
      <c r="C3132" s="169" t="s">
        <v>3148</v>
      </c>
      <c r="E3132" s="196" t="s">
        <v>8755</v>
      </c>
      <c r="F3132" s="187" t="s">
        <v>8790</v>
      </c>
      <c r="H3132" s="143" t="s">
        <v>8791</v>
      </c>
      <c r="I3132" s="143" t="s">
        <v>3157</v>
      </c>
      <c r="J3132" s="197" t="s">
        <v>3684</v>
      </c>
      <c r="K3132" s="143">
        <v>185</v>
      </c>
      <c r="L3132" s="143">
        <v>195</v>
      </c>
      <c r="W3132" s="143" t="s">
        <v>8626</v>
      </c>
      <c r="X3132" s="187" t="s">
        <v>8790</v>
      </c>
      <c r="Y3132" s="169" t="s">
        <v>8626</v>
      </c>
      <c r="Z3132" s="187" t="s">
        <v>8790</v>
      </c>
      <c r="AA3132" s="173">
        <v>37</v>
      </c>
      <c r="AB3132" s="191">
        <v>46018</v>
      </c>
      <c r="AG3132" s="143" t="s">
        <v>8641</v>
      </c>
      <c r="AH3132" s="143" t="s">
        <v>3813</v>
      </c>
    </row>
    <row r="3133" ht="16.5" spans="1:34">
      <c r="A3133" s="143">
        <v>3094</v>
      </c>
      <c r="B3133" s="144">
        <v>46003</v>
      </c>
      <c r="C3133" s="169" t="s">
        <v>3148</v>
      </c>
      <c r="E3133" s="196" t="s">
        <v>8755</v>
      </c>
      <c r="F3133" s="187" t="s">
        <v>8792</v>
      </c>
      <c r="H3133" s="143" t="s">
        <v>8793</v>
      </c>
      <c r="I3133" s="143" t="s">
        <v>3157</v>
      </c>
      <c r="J3133" s="197" t="s">
        <v>3684</v>
      </c>
      <c r="K3133" s="143">
        <v>185</v>
      </c>
      <c r="L3133" s="143">
        <v>310</v>
      </c>
      <c r="W3133" s="143" t="s">
        <v>8626</v>
      </c>
      <c r="X3133" s="187" t="s">
        <v>8792</v>
      </c>
      <c r="Y3133" s="169" t="s">
        <v>8626</v>
      </c>
      <c r="Z3133" s="187" t="s">
        <v>8792</v>
      </c>
      <c r="AA3133" s="173">
        <v>45</v>
      </c>
      <c r="AB3133" s="191">
        <v>46018</v>
      </c>
      <c r="AG3133" s="143" t="s">
        <v>8641</v>
      </c>
      <c r="AH3133" s="143" t="s">
        <v>4809</v>
      </c>
    </row>
    <row r="3134" ht="16.5" spans="1:34">
      <c r="A3134" s="143">
        <v>3095</v>
      </c>
      <c r="B3134" s="144">
        <v>46003</v>
      </c>
      <c r="C3134" s="169" t="s">
        <v>3148</v>
      </c>
      <c r="E3134" s="196" t="s">
        <v>8755</v>
      </c>
      <c r="F3134" s="143" t="s">
        <v>8794</v>
      </c>
      <c r="H3134" s="143" t="s">
        <v>8795</v>
      </c>
      <c r="I3134" s="143" t="s">
        <v>8796</v>
      </c>
      <c r="J3134" s="197" t="s">
        <v>3684</v>
      </c>
      <c r="K3134" s="143">
        <v>185</v>
      </c>
      <c r="L3134" s="143">
        <v>160</v>
      </c>
      <c r="W3134" s="143" t="s">
        <v>8626</v>
      </c>
      <c r="X3134" s="143" t="s">
        <v>8794</v>
      </c>
      <c r="Y3134" s="169" t="s">
        <v>8626</v>
      </c>
      <c r="Z3134" s="143" t="s">
        <v>8794</v>
      </c>
      <c r="AA3134" s="173">
        <v>37</v>
      </c>
      <c r="AB3134" s="191">
        <v>46018</v>
      </c>
      <c r="AG3134" s="143" t="s">
        <v>8631</v>
      </c>
      <c r="AH3134" s="143" t="s">
        <v>4671</v>
      </c>
    </row>
    <row r="3135" ht="16.5" spans="1:34">
      <c r="A3135" s="143">
        <v>3096</v>
      </c>
      <c r="B3135" s="144">
        <v>46003</v>
      </c>
      <c r="C3135" s="169" t="s">
        <v>3148</v>
      </c>
      <c r="E3135" s="196" t="s">
        <v>8755</v>
      </c>
      <c r="F3135" s="143" t="s">
        <v>8797</v>
      </c>
      <c r="H3135" s="143" t="s">
        <v>8798</v>
      </c>
      <c r="I3135" s="143" t="s">
        <v>3157</v>
      </c>
      <c r="J3135" s="197" t="s">
        <v>3684</v>
      </c>
      <c r="K3135" s="143">
        <v>185</v>
      </c>
      <c r="L3135" s="143">
        <v>220</v>
      </c>
      <c r="W3135" s="143" t="s">
        <v>8626</v>
      </c>
      <c r="X3135" s="143" t="s">
        <v>8797</v>
      </c>
      <c r="Y3135" s="169" t="s">
        <v>8626</v>
      </c>
      <c r="Z3135" s="143" t="s">
        <v>8797</v>
      </c>
      <c r="AA3135" s="173">
        <v>38</v>
      </c>
      <c r="AB3135" s="191">
        <v>46018</v>
      </c>
      <c r="AG3135" s="169" t="s">
        <v>8749</v>
      </c>
      <c r="AH3135" s="143" t="s">
        <v>3771</v>
      </c>
    </row>
    <row r="3136" ht="14.25" spans="1:34">
      <c r="A3136" s="143">
        <v>3099</v>
      </c>
      <c r="B3136" s="144">
        <v>46006</v>
      </c>
      <c r="C3136" s="169" t="s">
        <v>3148</v>
      </c>
      <c r="E3136" s="145" t="s">
        <v>8799</v>
      </c>
      <c r="F3136" s="143" t="s">
        <v>8800</v>
      </c>
      <c r="H3136" s="143" t="s">
        <v>8801</v>
      </c>
      <c r="I3136" s="143" t="s">
        <v>672</v>
      </c>
      <c r="K3136" s="143">
        <v>135</v>
      </c>
      <c r="W3136" s="143" t="s">
        <v>294</v>
      </c>
      <c r="X3136" s="143" t="s">
        <v>8800</v>
      </c>
      <c r="Y3136" s="143" t="s">
        <v>294</v>
      </c>
      <c r="Z3136" s="143" t="s">
        <v>8800</v>
      </c>
      <c r="AA3136" s="248">
        <v>25</v>
      </c>
    </row>
    <row r="3137" ht="14.25" spans="1:27">
      <c r="A3137" s="143">
        <v>3100</v>
      </c>
      <c r="B3137" s="144">
        <v>46006</v>
      </c>
      <c r="C3137" s="169" t="s">
        <v>3148</v>
      </c>
      <c r="E3137" s="196" t="s">
        <v>8802</v>
      </c>
      <c r="F3137" s="143" t="s">
        <v>8803</v>
      </c>
      <c r="H3137" s="143" t="s">
        <v>8804</v>
      </c>
      <c r="J3137" s="143" t="s">
        <v>8805</v>
      </c>
      <c r="K3137" s="143">
        <v>150</v>
      </c>
      <c r="L3137" s="143">
        <v>340</v>
      </c>
      <c r="W3137" s="143" t="s">
        <v>294</v>
      </c>
      <c r="X3137" s="143" t="s">
        <v>8803</v>
      </c>
      <c r="Y3137" s="143" t="s">
        <v>294</v>
      </c>
      <c r="Z3137" s="143" t="s">
        <v>8803</v>
      </c>
      <c r="AA3137" s="238">
        <v>38</v>
      </c>
    </row>
    <row r="3138" ht="14.25" spans="1:27">
      <c r="A3138" s="143">
        <v>3101</v>
      </c>
      <c r="B3138" s="144">
        <v>46006</v>
      </c>
      <c r="C3138" s="169" t="s">
        <v>3148</v>
      </c>
      <c r="E3138" s="196" t="s">
        <v>8802</v>
      </c>
      <c r="F3138" s="143" t="s">
        <v>8806</v>
      </c>
      <c r="H3138" s="143" t="s">
        <v>8807</v>
      </c>
      <c r="J3138" s="143" t="s">
        <v>8808</v>
      </c>
      <c r="K3138" s="143">
        <v>150</v>
      </c>
      <c r="L3138" s="143">
        <v>340</v>
      </c>
      <c r="W3138" s="143" t="s">
        <v>294</v>
      </c>
      <c r="X3138" s="143" t="s">
        <v>8806</v>
      </c>
      <c r="Y3138" s="143" t="s">
        <v>294</v>
      </c>
      <c r="Z3138" s="143" t="s">
        <v>8806</v>
      </c>
      <c r="AA3138" s="238">
        <v>29</v>
      </c>
    </row>
    <row r="3139" ht="14.25" spans="1:27">
      <c r="A3139" s="143">
        <v>3102</v>
      </c>
      <c r="B3139" s="144">
        <v>46006</v>
      </c>
      <c r="C3139" s="169" t="s">
        <v>3148</v>
      </c>
      <c r="E3139" s="196" t="s">
        <v>8802</v>
      </c>
      <c r="F3139" s="143" t="s">
        <v>8809</v>
      </c>
      <c r="H3139" s="143" t="s">
        <v>8810</v>
      </c>
      <c r="J3139" s="143" t="s">
        <v>8811</v>
      </c>
      <c r="K3139" s="143">
        <v>150</v>
      </c>
      <c r="L3139" s="143">
        <v>260</v>
      </c>
      <c r="W3139" s="143" t="s">
        <v>294</v>
      </c>
      <c r="X3139" s="143" t="s">
        <v>8809</v>
      </c>
      <c r="Y3139" s="143" t="s">
        <v>294</v>
      </c>
      <c r="Z3139" s="143" t="s">
        <v>8809</v>
      </c>
      <c r="AA3139" s="238">
        <v>21.5</v>
      </c>
    </row>
    <row r="3140" ht="14.25" spans="1:27">
      <c r="A3140" s="143">
        <v>3103</v>
      </c>
      <c r="B3140" s="144">
        <v>46006</v>
      </c>
      <c r="C3140" s="169" t="s">
        <v>3148</v>
      </c>
      <c r="E3140" s="196" t="s">
        <v>8802</v>
      </c>
      <c r="F3140" s="143" t="s">
        <v>8812</v>
      </c>
      <c r="H3140" s="143" t="s">
        <v>8813</v>
      </c>
      <c r="I3140" s="143" t="s">
        <v>535</v>
      </c>
      <c r="K3140" s="143">
        <v>150</v>
      </c>
      <c r="L3140" s="143">
        <v>345</v>
      </c>
      <c r="W3140" s="143" t="s">
        <v>294</v>
      </c>
      <c r="X3140" s="143" t="s">
        <v>8812</v>
      </c>
      <c r="Y3140" s="143" t="s">
        <v>294</v>
      </c>
      <c r="Z3140" s="143" t="s">
        <v>8812</v>
      </c>
      <c r="AA3140" s="238">
        <v>12.8</v>
      </c>
    </row>
    <row r="3141" ht="14.25" spans="1:27">
      <c r="A3141" s="143">
        <v>3104</v>
      </c>
      <c r="B3141" s="144">
        <v>46006</v>
      </c>
      <c r="C3141" s="169" t="s">
        <v>3148</v>
      </c>
      <c r="E3141" s="196" t="s">
        <v>8802</v>
      </c>
      <c r="F3141" s="143" t="s">
        <v>8814</v>
      </c>
      <c r="H3141" s="143" t="s">
        <v>8815</v>
      </c>
      <c r="I3141" s="143" t="s">
        <v>8816</v>
      </c>
      <c r="K3141" s="143">
        <v>150</v>
      </c>
      <c r="L3141" s="143">
        <v>330</v>
      </c>
      <c r="W3141" s="143" t="s">
        <v>294</v>
      </c>
      <c r="X3141" s="143" t="s">
        <v>8814</v>
      </c>
      <c r="Y3141" s="143" t="s">
        <v>294</v>
      </c>
      <c r="Z3141" s="143" t="s">
        <v>8814</v>
      </c>
      <c r="AA3141" s="238">
        <v>27</v>
      </c>
    </row>
    <row r="3142" ht="14.25" spans="1:27">
      <c r="A3142" s="143">
        <v>3105</v>
      </c>
      <c r="B3142" s="144">
        <v>46006</v>
      </c>
      <c r="C3142" s="169" t="s">
        <v>3148</v>
      </c>
      <c r="E3142" s="196" t="s">
        <v>8802</v>
      </c>
      <c r="F3142" s="143" t="s">
        <v>8817</v>
      </c>
      <c r="H3142" s="143" t="s">
        <v>8818</v>
      </c>
      <c r="I3142" s="143" t="s">
        <v>8816</v>
      </c>
      <c r="K3142" s="143">
        <v>150</v>
      </c>
      <c r="L3142" s="143">
        <v>280</v>
      </c>
      <c r="W3142" s="143" t="s">
        <v>294</v>
      </c>
      <c r="X3142" s="143" t="s">
        <v>8817</v>
      </c>
      <c r="Y3142" s="143" t="s">
        <v>294</v>
      </c>
      <c r="Z3142" s="143" t="s">
        <v>8817</v>
      </c>
      <c r="AA3142" s="238">
        <v>24</v>
      </c>
    </row>
    <row r="3143" ht="14.25" spans="1:27">
      <c r="A3143" s="143">
        <v>3106</v>
      </c>
      <c r="B3143" s="144">
        <v>46006</v>
      </c>
      <c r="C3143" s="169" t="s">
        <v>3148</v>
      </c>
      <c r="E3143" s="196" t="s">
        <v>8802</v>
      </c>
      <c r="F3143" s="143" t="s">
        <v>8819</v>
      </c>
      <c r="H3143" s="143" t="s">
        <v>8820</v>
      </c>
      <c r="I3143" s="143" t="s">
        <v>535</v>
      </c>
      <c r="K3143" s="143">
        <v>155</v>
      </c>
      <c r="L3143" s="143">
        <v>275</v>
      </c>
      <c r="W3143" s="143" t="s">
        <v>294</v>
      </c>
      <c r="X3143" s="143" t="s">
        <v>8819</v>
      </c>
      <c r="Y3143" s="143" t="s">
        <v>294</v>
      </c>
      <c r="Z3143" s="143" t="s">
        <v>8819</v>
      </c>
      <c r="AA3143" s="238">
        <v>10.5</v>
      </c>
    </row>
    <row r="3144" ht="14.25" spans="1:27">
      <c r="A3144" s="143">
        <v>3107</v>
      </c>
      <c r="B3144" s="144">
        <v>46006</v>
      </c>
      <c r="C3144" s="169" t="s">
        <v>3148</v>
      </c>
      <c r="E3144" s="196" t="s">
        <v>8802</v>
      </c>
      <c r="F3144" s="143" t="s">
        <v>8821</v>
      </c>
      <c r="H3144" s="143" t="s">
        <v>8822</v>
      </c>
      <c r="I3144" s="143" t="s">
        <v>535</v>
      </c>
      <c r="K3144" s="143">
        <v>158</v>
      </c>
      <c r="L3144" s="143">
        <v>279</v>
      </c>
      <c r="W3144" s="143" t="s">
        <v>294</v>
      </c>
      <c r="X3144" s="143" t="s">
        <v>8821</v>
      </c>
      <c r="Y3144" s="143" t="s">
        <v>294</v>
      </c>
      <c r="Z3144" s="143" t="s">
        <v>8821</v>
      </c>
      <c r="AA3144" s="238">
        <v>10.5</v>
      </c>
    </row>
    <row r="3145" ht="14.25" spans="1:27">
      <c r="A3145" s="143">
        <v>3108</v>
      </c>
      <c r="B3145" s="144">
        <v>46006</v>
      </c>
      <c r="C3145" s="169" t="s">
        <v>3148</v>
      </c>
      <c r="E3145" s="196" t="s">
        <v>8802</v>
      </c>
      <c r="F3145" s="143" t="s">
        <v>8823</v>
      </c>
      <c r="H3145" s="143" t="s">
        <v>8824</v>
      </c>
      <c r="I3145" s="143" t="s">
        <v>3224</v>
      </c>
      <c r="K3145" s="143">
        <v>150</v>
      </c>
      <c r="L3145" s="143">
        <v>285</v>
      </c>
      <c r="W3145" s="143" t="s">
        <v>294</v>
      </c>
      <c r="X3145" s="143" t="s">
        <v>8823</v>
      </c>
      <c r="Y3145" s="143" t="s">
        <v>294</v>
      </c>
      <c r="Z3145" s="143" t="s">
        <v>8823</v>
      </c>
      <c r="AA3145" s="238">
        <v>13.8</v>
      </c>
    </row>
    <row r="3146" ht="14.25" spans="1:27">
      <c r="A3146" s="143">
        <v>3109</v>
      </c>
      <c r="B3146" s="144">
        <v>46006</v>
      </c>
      <c r="C3146" s="169" t="s">
        <v>3148</v>
      </c>
      <c r="E3146" s="196" t="s">
        <v>8802</v>
      </c>
      <c r="F3146" s="143" t="s">
        <v>8825</v>
      </c>
      <c r="H3146" s="143" t="s">
        <v>8826</v>
      </c>
      <c r="I3146" s="143" t="s">
        <v>8827</v>
      </c>
      <c r="K3146" s="143">
        <v>148</v>
      </c>
      <c r="L3146" s="143">
        <v>240</v>
      </c>
      <c r="W3146" s="143" t="s">
        <v>294</v>
      </c>
      <c r="X3146" s="143" t="s">
        <v>8825</v>
      </c>
      <c r="Y3146" s="143" t="s">
        <v>294</v>
      </c>
      <c r="Z3146" s="143" t="s">
        <v>8825</v>
      </c>
      <c r="AA3146" s="238">
        <v>17.5</v>
      </c>
    </row>
    <row r="3147" ht="14.25" spans="1:27">
      <c r="A3147" s="143">
        <v>3110</v>
      </c>
      <c r="B3147" s="144">
        <v>46006</v>
      </c>
      <c r="C3147" s="169" t="s">
        <v>3148</v>
      </c>
      <c r="E3147" s="196" t="s">
        <v>8802</v>
      </c>
      <c r="F3147" s="143" t="s">
        <v>8828</v>
      </c>
      <c r="H3147" s="143" t="s">
        <v>8829</v>
      </c>
      <c r="I3147" s="143" t="s">
        <v>8830</v>
      </c>
      <c r="K3147" s="143">
        <v>150</v>
      </c>
      <c r="L3147" s="143">
        <v>240</v>
      </c>
      <c r="W3147" s="143" t="s">
        <v>294</v>
      </c>
      <c r="X3147" s="143" t="s">
        <v>8828</v>
      </c>
      <c r="Y3147" s="143" t="s">
        <v>294</v>
      </c>
      <c r="Z3147" s="143" t="s">
        <v>8828</v>
      </c>
      <c r="AA3147" s="238">
        <v>16.8</v>
      </c>
    </row>
    <row r="3148" ht="14.25" spans="1:27">
      <c r="A3148" s="143">
        <v>3111</v>
      </c>
      <c r="B3148" s="144">
        <v>46006</v>
      </c>
      <c r="C3148" s="169" t="s">
        <v>3148</v>
      </c>
      <c r="E3148" s="196" t="s">
        <v>8802</v>
      </c>
      <c r="F3148" s="143" t="s">
        <v>8831</v>
      </c>
      <c r="H3148" s="143" t="s">
        <v>8832</v>
      </c>
      <c r="I3148" s="143" t="s">
        <v>535</v>
      </c>
      <c r="K3148" s="143">
        <v>145</v>
      </c>
      <c r="L3148" s="143">
        <v>230</v>
      </c>
      <c r="W3148" s="143" t="s">
        <v>294</v>
      </c>
      <c r="X3148" s="143" t="s">
        <v>8831</v>
      </c>
      <c r="Y3148" s="143" t="s">
        <v>294</v>
      </c>
      <c r="Z3148" s="143" t="s">
        <v>8831</v>
      </c>
      <c r="AA3148" s="238">
        <v>12.5</v>
      </c>
    </row>
    <row r="3149" ht="14.25" spans="1:27">
      <c r="A3149" s="143">
        <v>3112</v>
      </c>
      <c r="B3149" s="144">
        <v>46006</v>
      </c>
      <c r="C3149" s="169" t="s">
        <v>3148</v>
      </c>
      <c r="E3149" s="196" t="s">
        <v>8833</v>
      </c>
      <c r="F3149" s="143" t="s">
        <v>8834</v>
      </c>
      <c r="H3149" s="143" t="s">
        <v>8835</v>
      </c>
      <c r="I3149" s="143" t="s">
        <v>8836</v>
      </c>
      <c r="K3149" s="143">
        <v>114</v>
      </c>
      <c r="L3149" s="143">
        <v>60</v>
      </c>
      <c r="W3149" s="143" t="s">
        <v>294</v>
      </c>
      <c r="X3149" s="143" t="s">
        <v>8834</v>
      </c>
      <c r="Y3149" s="143" t="s">
        <v>294</v>
      </c>
      <c r="Z3149" s="143" t="s">
        <v>8834</v>
      </c>
      <c r="AA3149" s="238">
        <v>82</v>
      </c>
    </row>
    <row r="3150" ht="14.25" spans="1:27">
      <c r="A3150" s="143">
        <v>3113</v>
      </c>
      <c r="B3150" s="144">
        <v>46006</v>
      </c>
      <c r="C3150" s="169" t="s">
        <v>3148</v>
      </c>
      <c r="E3150" s="196" t="s">
        <v>8833</v>
      </c>
      <c r="F3150" s="143" t="s">
        <v>8837</v>
      </c>
      <c r="H3150" s="143" t="s">
        <v>8838</v>
      </c>
      <c r="I3150" s="143" t="s">
        <v>8836</v>
      </c>
      <c r="K3150" s="143">
        <v>140</v>
      </c>
      <c r="W3150" s="143" t="s">
        <v>294</v>
      </c>
      <c r="X3150" s="143" t="s">
        <v>8837</v>
      </c>
      <c r="Y3150" s="143" t="s">
        <v>294</v>
      </c>
      <c r="Z3150" s="143" t="s">
        <v>8837</v>
      </c>
      <c r="AA3150" s="238">
        <v>81</v>
      </c>
    </row>
    <row r="3151" ht="14.25" spans="1:27">
      <c r="A3151" s="143">
        <v>3114</v>
      </c>
      <c r="B3151" s="144">
        <v>46006</v>
      </c>
      <c r="C3151" s="169" t="s">
        <v>3148</v>
      </c>
      <c r="E3151" s="196" t="s">
        <v>8833</v>
      </c>
      <c r="F3151" s="143" t="s">
        <v>8839</v>
      </c>
      <c r="H3151" s="143" t="s">
        <v>8840</v>
      </c>
      <c r="I3151" s="143" t="s">
        <v>8836</v>
      </c>
      <c r="K3151" s="143">
        <v>120</v>
      </c>
      <c r="W3151" s="143" t="s">
        <v>294</v>
      </c>
      <c r="X3151" s="143" t="s">
        <v>8839</v>
      </c>
      <c r="Y3151" s="143" t="s">
        <v>294</v>
      </c>
      <c r="Z3151" s="143" t="s">
        <v>8839</v>
      </c>
      <c r="AA3151" s="238">
        <v>47</v>
      </c>
    </row>
    <row r="3152" ht="14.25" spans="1:27">
      <c r="A3152" s="143">
        <v>3115</v>
      </c>
      <c r="B3152" s="144">
        <v>46006</v>
      </c>
      <c r="C3152" s="169" t="s">
        <v>3148</v>
      </c>
      <c r="E3152" s="196" t="s">
        <v>8833</v>
      </c>
      <c r="F3152" s="143" t="s">
        <v>8841</v>
      </c>
      <c r="H3152" s="143" t="s">
        <v>8842</v>
      </c>
      <c r="I3152" s="143" t="s">
        <v>672</v>
      </c>
      <c r="K3152" s="143">
        <v>135</v>
      </c>
      <c r="L3152" s="143">
        <v>75</v>
      </c>
      <c r="W3152" s="143" t="s">
        <v>294</v>
      </c>
      <c r="X3152" s="143" t="s">
        <v>8841</v>
      </c>
      <c r="Y3152" s="143" t="s">
        <v>294</v>
      </c>
      <c r="Z3152" s="143" t="s">
        <v>8841</v>
      </c>
      <c r="AA3152" s="238">
        <v>29</v>
      </c>
    </row>
    <row r="3153" spans="1:34">
      <c r="A3153" s="143">
        <v>3116</v>
      </c>
      <c r="E3153" s="145" t="s">
        <v>8843</v>
      </c>
      <c r="F3153" s="143" t="s">
        <v>8844</v>
      </c>
      <c r="H3153" s="143" t="s">
        <v>8845</v>
      </c>
      <c r="I3153" s="143" t="s">
        <v>5297</v>
      </c>
      <c r="J3153" s="143" t="s">
        <v>500</v>
      </c>
      <c r="K3153" s="143">
        <v>155</v>
      </c>
      <c r="L3153" s="143">
        <v>210</v>
      </c>
      <c r="Q3153" s="169" t="s">
        <v>8846</v>
      </c>
      <c r="W3153" s="143" t="s">
        <v>3147</v>
      </c>
      <c r="X3153" s="143" t="str">
        <f>F3153</f>
        <v>8040# 18*4坑条</v>
      </c>
      <c r="Y3153" s="169" t="s">
        <v>8847</v>
      </c>
      <c r="Z3153" s="143" t="str">
        <f>X3153</f>
        <v>8040# 18*4坑条</v>
      </c>
    </row>
    <row r="3154" spans="1:34">
      <c r="A3154" s="143">
        <v>3117</v>
      </c>
      <c r="E3154" s="145" t="s">
        <v>8843</v>
      </c>
      <c r="F3154" s="143" t="s">
        <v>8848</v>
      </c>
      <c r="H3154" s="143" t="s">
        <v>8849</v>
      </c>
      <c r="I3154" s="143" t="s">
        <v>5297</v>
      </c>
      <c r="J3154" s="143" t="s">
        <v>500</v>
      </c>
      <c r="K3154" s="143">
        <v>155</v>
      </c>
      <c r="L3154" s="143">
        <v>210</v>
      </c>
      <c r="Q3154" s="169" t="s">
        <v>8850</v>
      </c>
      <c r="W3154" s="143" t="s">
        <v>3147</v>
      </c>
      <c r="X3154" s="143" t="str">
        <f t="shared" ref="X3154:X3160" si="21">F3154</f>
        <v>8041#18x8坑条</v>
      </c>
      <c r="Y3154" s="169" t="s">
        <v>8847</v>
      </c>
      <c r="Z3154" s="143" t="str">
        <f t="shared" ref="Z3154:Z3160" si="22">X3154</f>
        <v>8041#18x8坑条</v>
      </c>
    </row>
    <row r="3155" spans="1:34">
      <c r="A3155" s="143">
        <v>3118</v>
      </c>
      <c r="E3155" s="145" t="s">
        <v>8843</v>
      </c>
      <c r="F3155" s="143" t="s">
        <v>8851</v>
      </c>
      <c r="H3155" s="143" t="s">
        <v>8852</v>
      </c>
      <c r="K3155" s="143">
        <v>180</v>
      </c>
      <c r="L3155" s="143">
        <v>260</v>
      </c>
      <c r="Q3155" s="169" t="s">
        <v>8853</v>
      </c>
      <c r="W3155" s="143" t="s">
        <v>3147</v>
      </c>
      <c r="X3155" s="143" t="str">
        <f t="shared" si="21"/>
        <v>24145圣诞雪松</v>
      </c>
      <c r="Y3155" s="143" t="s">
        <v>7870</v>
      </c>
      <c r="Z3155" s="143" t="str">
        <f t="shared" si="22"/>
        <v>24145圣诞雪松</v>
      </c>
    </row>
    <row r="3156" spans="1:34">
      <c r="A3156" s="143">
        <v>3119</v>
      </c>
      <c r="E3156" s="145" t="s">
        <v>8843</v>
      </c>
      <c r="F3156" s="143" t="s">
        <v>8854</v>
      </c>
      <c r="H3156" s="143" t="s">
        <v>8855</v>
      </c>
      <c r="I3156" s="143" t="s">
        <v>5297</v>
      </c>
      <c r="J3156" s="143" t="s">
        <v>500</v>
      </c>
      <c r="K3156" s="143">
        <v>155</v>
      </c>
      <c r="L3156" s="143">
        <v>210</v>
      </c>
      <c r="Q3156" s="169" t="s">
        <v>8856</v>
      </c>
      <c r="W3156" s="143" t="s">
        <v>3147</v>
      </c>
      <c r="X3156" s="143" t="str">
        <f t="shared" si="21"/>
        <v>J1025#12x2大坑条</v>
      </c>
      <c r="Y3156" s="143" t="s">
        <v>8857</v>
      </c>
      <c r="Z3156" s="143" t="str">
        <f t="shared" si="22"/>
        <v>J1025#12x2大坑条</v>
      </c>
    </row>
    <row r="3157" spans="1:34">
      <c r="A3157" s="143">
        <v>3120</v>
      </c>
      <c r="E3157" s="145" t="s">
        <v>8843</v>
      </c>
      <c r="F3157" s="143" t="s">
        <v>8858</v>
      </c>
      <c r="H3157" s="143" t="s">
        <v>8859</v>
      </c>
      <c r="I3157" s="143" t="s">
        <v>4783</v>
      </c>
      <c r="J3157" s="143" t="s">
        <v>484</v>
      </c>
      <c r="K3157" s="143">
        <v>165</v>
      </c>
      <c r="L3157" s="143">
        <v>210</v>
      </c>
      <c r="Q3157" s="169" t="s">
        <v>8860</v>
      </c>
      <c r="W3157" s="143" t="s">
        <v>3147</v>
      </c>
      <c r="X3157" s="143" t="str">
        <f t="shared" si="21"/>
        <v>5002#16*3乱麻坑条</v>
      </c>
      <c r="Y3157" s="169" t="s">
        <v>8857</v>
      </c>
      <c r="Z3157" s="143" t="str">
        <f t="shared" si="22"/>
        <v>5002#16*3乱麻坑条</v>
      </c>
    </row>
    <row r="3158" spans="1:34">
      <c r="A3158" s="143">
        <v>3121</v>
      </c>
      <c r="E3158" s="145" t="s">
        <v>8843</v>
      </c>
      <c r="F3158" s="143" t="s">
        <v>8861</v>
      </c>
      <c r="H3158" s="143" t="s">
        <v>8862</v>
      </c>
      <c r="I3158" s="143" t="s">
        <v>5297</v>
      </c>
      <c r="J3158" s="143" t="s">
        <v>500</v>
      </c>
      <c r="K3158" s="143">
        <v>153</v>
      </c>
      <c r="L3158" s="143">
        <v>210</v>
      </c>
      <c r="Q3158" s="169" t="s">
        <v>8850</v>
      </c>
      <c r="W3158" s="143" t="s">
        <v>3147</v>
      </c>
      <c r="X3158" s="143" t="str">
        <f t="shared" si="21"/>
        <v>9*5玲珑条</v>
      </c>
      <c r="Y3158" s="169" t="s">
        <v>8847</v>
      </c>
      <c r="Z3158" s="143" t="str">
        <f t="shared" si="22"/>
        <v>9*5玲珑条</v>
      </c>
    </row>
    <row r="3159" spans="1:34">
      <c r="A3159" s="143">
        <v>3122</v>
      </c>
      <c r="E3159" s="145" t="s">
        <v>8843</v>
      </c>
      <c r="F3159" s="143" t="s">
        <v>8863</v>
      </c>
      <c r="H3159" s="143" t="s">
        <v>8864</v>
      </c>
      <c r="K3159" s="143">
        <v>155</v>
      </c>
      <c r="L3159" s="143">
        <v>145</v>
      </c>
      <c r="Q3159" s="169" t="s">
        <v>8865</v>
      </c>
      <c r="W3159" s="143" t="s">
        <v>3147</v>
      </c>
      <c r="X3159" s="143" t="str">
        <f t="shared" si="21"/>
        <v>236012*4花灰绒</v>
      </c>
      <c r="Y3159" s="143" t="s">
        <v>7870</v>
      </c>
      <c r="Z3159" s="143" t="str">
        <f t="shared" si="22"/>
        <v>236012*4花灰绒</v>
      </c>
    </row>
    <row r="3160" spans="1:34">
      <c r="A3160" s="143">
        <v>3123</v>
      </c>
      <c r="E3160" s="145" t="s">
        <v>8799</v>
      </c>
      <c r="F3160" s="169" t="s">
        <v>8866</v>
      </c>
      <c r="H3160" s="143" t="s">
        <v>8867</v>
      </c>
      <c r="I3160" s="143" t="s">
        <v>672</v>
      </c>
      <c r="J3160" s="143" t="s">
        <v>5476</v>
      </c>
      <c r="K3160" s="143">
        <v>135</v>
      </c>
      <c r="L3160" s="143">
        <v>90</v>
      </c>
      <c r="W3160" s="143" t="s">
        <v>294</v>
      </c>
      <c r="X3160" s="143" t="str">
        <f t="shared" si="21"/>
        <v>人丝缎面料</v>
      </c>
      <c r="Y3160" s="143" t="str">
        <f>W3160</f>
        <v>汇恩布行</v>
      </c>
      <c r="Z3160" s="143" t="str">
        <f t="shared" si="22"/>
        <v>人丝缎面料</v>
      </c>
    </row>
    <row r="3161" spans="1:34">
      <c r="A3161" s="143">
        <v>3124</v>
      </c>
      <c r="F3161" s="143" t="s">
        <v>8868</v>
      </c>
      <c r="H3161" s="143" t="s">
        <v>8869</v>
      </c>
      <c r="I3161" s="143" t="s">
        <v>8870</v>
      </c>
      <c r="J3161" s="143" t="s">
        <v>6897</v>
      </c>
      <c r="K3161" s="143">
        <v>175</v>
      </c>
      <c r="L3161" s="143">
        <v>210</v>
      </c>
      <c r="W3161" s="169" t="s">
        <v>8871</v>
      </c>
      <c r="X3161" s="143" t="s">
        <v>8868</v>
      </c>
      <c r="Y3161" s="169" t="s">
        <v>8871</v>
      </c>
      <c r="Z3161" s="143" t="s">
        <v>8868</v>
      </c>
    </row>
    <row r="3162" ht="17.25" spans="1:34">
      <c r="A3162" s="143">
        <v>3125</v>
      </c>
      <c r="E3162" s="196" t="s">
        <v>8872</v>
      </c>
      <c r="F3162" s="169" t="s">
        <v>8873</v>
      </c>
      <c r="H3162" s="143" t="s">
        <v>8874</v>
      </c>
      <c r="I3162" s="143" t="s">
        <v>3157</v>
      </c>
      <c r="J3162" s="143" t="s">
        <v>3684</v>
      </c>
      <c r="K3162" s="143">
        <v>185</v>
      </c>
      <c r="L3162" s="143">
        <v>240</v>
      </c>
      <c r="Q3162" s="143" t="s">
        <v>3800</v>
      </c>
      <c r="W3162" s="143" t="s">
        <v>294</v>
      </c>
      <c r="X3162" s="169" t="s">
        <v>8873</v>
      </c>
      <c r="Y3162" s="143" t="s">
        <v>294</v>
      </c>
      <c r="Z3162" s="169" t="s">
        <v>8873</v>
      </c>
      <c r="AA3162" s="241">
        <v>30</v>
      </c>
      <c r="AH3162" s="143" t="s">
        <v>8875</v>
      </c>
    </row>
    <row r="3163" ht="33" spans="1:34">
      <c r="A3163" s="143">
        <v>3126</v>
      </c>
      <c r="B3163" s="144">
        <v>46013</v>
      </c>
      <c r="C3163" s="143" t="s">
        <v>3148</v>
      </c>
      <c r="E3163" s="196" t="s">
        <v>8876</v>
      </c>
      <c r="F3163" s="143" t="s">
        <v>8877</v>
      </c>
      <c r="H3163" s="143" t="s">
        <v>8878</v>
      </c>
      <c r="I3163" s="143" t="s">
        <v>324</v>
      </c>
      <c r="J3163" s="143" t="s">
        <v>1577</v>
      </c>
      <c r="K3163" s="143">
        <v>150</v>
      </c>
      <c r="L3163" s="143">
        <v>60</v>
      </c>
      <c r="M3163" s="143" t="s">
        <v>8879</v>
      </c>
      <c r="W3163" s="143" t="s">
        <v>294</v>
      </c>
      <c r="X3163" s="143" t="s">
        <v>8877</v>
      </c>
      <c r="Y3163" s="169" t="s">
        <v>8880</v>
      </c>
      <c r="Z3163" s="143" t="s">
        <v>8877</v>
      </c>
      <c r="AA3163" s="238">
        <v>5.2</v>
      </c>
      <c r="AH3163" s="249" t="s">
        <v>8881</v>
      </c>
    </row>
    <row r="3164" ht="33" spans="1:34">
      <c r="A3164" s="143">
        <v>3127</v>
      </c>
      <c r="B3164" s="144">
        <v>46013</v>
      </c>
      <c r="C3164" s="143" t="s">
        <v>3148</v>
      </c>
      <c r="E3164" s="196" t="s">
        <v>8876</v>
      </c>
      <c r="F3164" s="143" t="s">
        <v>8882</v>
      </c>
      <c r="H3164" s="143" t="s">
        <v>8883</v>
      </c>
      <c r="I3164" s="143" t="s">
        <v>324</v>
      </c>
      <c r="J3164" s="143" t="s">
        <v>1577</v>
      </c>
      <c r="K3164" s="143">
        <v>150</v>
      </c>
      <c r="L3164" s="143">
        <v>80</v>
      </c>
      <c r="M3164" s="143" t="s">
        <v>8884</v>
      </c>
      <c r="W3164" s="143" t="s">
        <v>294</v>
      </c>
      <c r="X3164" s="143" t="s">
        <v>8882</v>
      </c>
      <c r="Y3164" s="169" t="s">
        <v>8880</v>
      </c>
      <c r="Z3164" s="143" t="s">
        <v>8882</v>
      </c>
      <c r="AA3164" s="238">
        <v>5.2</v>
      </c>
      <c r="AH3164" s="249" t="s">
        <v>8881</v>
      </c>
    </row>
    <row r="3165" ht="33" spans="1:34">
      <c r="A3165" s="143">
        <v>3128</v>
      </c>
      <c r="B3165" s="144">
        <v>46013</v>
      </c>
      <c r="C3165" s="143" t="s">
        <v>3148</v>
      </c>
      <c r="E3165" s="196" t="s">
        <v>8876</v>
      </c>
      <c r="F3165" s="143" t="s">
        <v>8885</v>
      </c>
      <c r="H3165" s="143" t="s">
        <v>8886</v>
      </c>
      <c r="I3165" s="143" t="s">
        <v>324</v>
      </c>
      <c r="J3165" s="143" t="s">
        <v>1577</v>
      </c>
      <c r="K3165" s="143">
        <v>150</v>
      </c>
      <c r="L3165" s="143">
        <v>60</v>
      </c>
      <c r="M3165" s="143" t="s">
        <v>8879</v>
      </c>
      <c r="W3165" s="143" t="s">
        <v>294</v>
      </c>
      <c r="X3165" s="143" t="s">
        <v>8885</v>
      </c>
      <c r="Y3165" s="169" t="s">
        <v>8880</v>
      </c>
      <c r="Z3165" s="143" t="s">
        <v>8885</v>
      </c>
      <c r="AA3165" s="238">
        <v>4.2</v>
      </c>
      <c r="AH3165" s="249" t="s">
        <v>8881</v>
      </c>
    </row>
    <row r="3166" ht="33" spans="1:34">
      <c r="A3166" s="143">
        <v>3129</v>
      </c>
      <c r="B3166" s="144">
        <v>46013</v>
      </c>
      <c r="C3166" s="143" t="s">
        <v>3148</v>
      </c>
      <c r="E3166" s="196" t="s">
        <v>8876</v>
      </c>
      <c r="F3166" s="143" t="s">
        <v>8887</v>
      </c>
      <c r="H3166" s="143" t="s">
        <v>8888</v>
      </c>
      <c r="I3166" s="143" t="s">
        <v>324</v>
      </c>
      <c r="J3166" s="143" t="s">
        <v>1577</v>
      </c>
      <c r="K3166" s="143">
        <v>150</v>
      </c>
      <c r="L3166" s="143">
        <v>80</v>
      </c>
      <c r="M3166" s="143" t="s">
        <v>8889</v>
      </c>
      <c r="W3166" s="143" t="s">
        <v>294</v>
      </c>
      <c r="X3166" s="143" t="s">
        <v>8887</v>
      </c>
      <c r="Y3166" s="169" t="s">
        <v>8880</v>
      </c>
      <c r="Z3166" s="143" t="s">
        <v>8887</v>
      </c>
      <c r="AA3166" s="238">
        <v>4.5</v>
      </c>
      <c r="AH3166" s="249" t="s">
        <v>8881</v>
      </c>
    </row>
    <row r="3167" ht="33" spans="1:34">
      <c r="A3167" s="143">
        <v>3130</v>
      </c>
      <c r="B3167" s="144">
        <v>46013</v>
      </c>
      <c r="C3167" s="143" t="s">
        <v>3148</v>
      </c>
      <c r="E3167" s="196" t="s">
        <v>8876</v>
      </c>
      <c r="F3167" s="143" t="s">
        <v>8890</v>
      </c>
      <c r="H3167" s="143" t="s">
        <v>8891</v>
      </c>
      <c r="I3167" s="143" t="s">
        <v>324</v>
      </c>
      <c r="J3167" s="143" t="s">
        <v>1577</v>
      </c>
      <c r="K3167" s="143">
        <v>150</v>
      </c>
      <c r="L3167" s="143">
        <v>78</v>
      </c>
      <c r="M3167" s="143" t="s">
        <v>8892</v>
      </c>
      <c r="W3167" s="143" t="s">
        <v>294</v>
      </c>
      <c r="X3167" s="143" t="s">
        <v>8890</v>
      </c>
      <c r="Y3167" s="169" t="s">
        <v>8880</v>
      </c>
      <c r="Z3167" s="143" t="s">
        <v>8890</v>
      </c>
      <c r="AA3167" s="238">
        <v>4.5</v>
      </c>
      <c r="AH3167" s="249" t="s">
        <v>8881</v>
      </c>
    </row>
    <row r="3168" ht="33" spans="1:34">
      <c r="A3168" s="143">
        <v>3131</v>
      </c>
      <c r="B3168" s="144">
        <v>46013</v>
      </c>
      <c r="C3168" s="143" t="s">
        <v>3148</v>
      </c>
      <c r="E3168" s="196" t="s">
        <v>8876</v>
      </c>
      <c r="F3168" s="143" t="s">
        <v>8893</v>
      </c>
      <c r="H3168" s="143" t="s">
        <v>8894</v>
      </c>
      <c r="I3168" s="143" t="s">
        <v>324</v>
      </c>
      <c r="J3168" s="143" t="s">
        <v>1577</v>
      </c>
      <c r="K3168" s="143">
        <v>150</v>
      </c>
      <c r="L3168" s="143">
        <v>55</v>
      </c>
      <c r="M3168" s="143" t="s">
        <v>8895</v>
      </c>
      <c r="W3168" s="143" t="s">
        <v>294</v>
      </c>
      <c r="X3168" s="143" t="s">
        <v>8893</v>
      </c>
      <c r="Y3168" s="169" t="s">
        <v>8880</v>
      </c>
      <c r="Z3168" s="143" t="s">
        <v>8893</v>
      </c>
      <c r="AA3168" s="238">
        <v>3.7</v>
      </c>
      <c r="AH3168" s="249" t="s">
        <v>8881</v>
      </c>
    </row>
    <row r="3169" ht="33" spans="1:34">
      <c r="A3169" s="143">
        <v>3132</v>
      </c>
      <c r="B3169" s="144">
        <v>46013</v>
      </c>
      <c r="C3169" s="143" t="s">
        <v>3148</v>
      </c>
      <c r="E3169" s="196" t="s">
        <v>8876</v>
      </c>
      <c r="F3169" s="143" t="s">
        <v>8896</v>
      </c>
      <c r="H3169" s="143" t="s">
        <v>8897</v>
      </c>
      <c r="I3169" s="143" t="s">
        <v>324</v>
      </c>
      <c r="J3169" s="143" t="s">
        <v>1577</v>
      </c>
      <c r="K3169" s="143">
        <v>150</v>
      </c>
      <c r="L3169" s="143">
        <v>50</v>
      </c>
      <c r="M3169" s="143" t="s">
        <v>8895</v>
      </c>
      <c r="W3169" s="143" t="s">
        <v>294</v>
      </c>
      <c r="X3169" s="143" t="s">
        <v>8896</v>
      </c>
      <c r="Y3169" s="169" t="s">
        <v>8880</v>
      </c>
      <c r="Z3169" s="143" t="s">
        <v>8896</v>
      </c>
      <c r="AA3169" s="238">
        <v>3.5</v>
      </c>
      <c r="AH3169" s="249" t="s">
        <v>8881</v>
      </c>
    </row>
    <row r="3170" ht="33" spans="1:34">
      <c r="A3170" s="143">
        <v>3133</v>
      </c>
      <c r="B3170" s="144">
        <v>46013</v>
      </c>
      <c r="C3170" s="143" t="s">
        <v>3148</v>
      </c>
      <c r="E3170" s="196" t="s">
        <v>8876</v>
      </c>
      <c r="F3170" s="143" t="s">
        <v>8898</v>
      </c>
      <c r="H3170" s="143" t="s">
        <v>8899</v>
      </c>
      <c r="I3170" s="143" t="s">
        <v>8900</v>
      </c>
      <c r="J3170" s="143" t="s">
        <v>2776</v>
      </c>
      <c r="K3170" s="143">
        <v>150</v>
      </c>
      <c r="L3170" s="143">
        <v>120</v>
      </c>
      <c r="M3170" s="143" t="s">
        <v>8901</v>
      </c>
      <c r="W3170" s="143" t="s">
        <v>294</v>
      </c>
      <c r="X3170" s="143" t="s">
        <v>8898</v>
      </c>
      <c r="Y3170" s="169" t="s">
        <v>8880</v>
      </c>
      <c r="Z3170" s="143" t="s">
        <v>8898</v>
      </c>
      <c r="AA3170" s="238">
        <v>5.8</v>
      </c>
      <c r="AH3170" s="249" t="s">
        <v>8881</v>
      </c>
    </row>
    <row r="3171" ht="33" spans="1:34">
      <c r="A3171" s="143">
        <v>3134</v>
      </c>
      <c r="B3171" s="144">
        <v>46013</v>
      </c>
      <c r="C3171" s="143" t="s">
        <v>3148</v>
      </c>
      <c r="E3171" s="196" t="s">
        <v>8876</v>
      </c>
      <c r="F3171" s="143" t="s">
        <v>8902</v>
      </c>
      <c r="H3171" s="143" t="s">
        <v>8903</v>
      </c>
      <c r="I3171" s="143" t="s">
        <v>324</v>
      </c>
      <c r="J3171" s="143" t="s">
        <v>1577</v>
      </c>
      <c r="K3171" s="143">
        <v>147</v>
      </c>
      <c r="L3171" s="143">
        <v>56</v>
      </c>
      <c r="M3171" s="143" t="s">
        <v>8904</v>
      </c>
      <c r="W3171" s="143" t="s">
        <v>294</v>
      </c>
      <c r="X3171" s="143" t="s">
        <v>8902</v>
      </c>
      <c r="Y3171" s="169" t="s">
        <v>8880</v>
      </c>
      <c r="Z3171" s="143" t="s">
        <v>8902</v>
      </c>
      <c r="AA3171" s="238">
        <v>5.8</v>
      </c>
      <c r="AH3171" s="249" t="s">
        <v>8881</v>
      </c>
    </row>
    <row r="3172" ht="33" spans="1:34">
      <c r="A3172" s="143">
        <v>3135</v>
      </c>
      <c r="B3172" s="144">
        <v>46013</v>
      </c>
      <c r="C3172" s="143" t="s">
        <v>3148</v>
      </c>
      <c r="E3172" s="196" t="s">
        <v>8876</v>
      </c>
      <c r="F3172" s="143" t="s">
        <v>8905</v>
      </c>
      <c r="H3172" s="143" t="s">
        <v>8906</v>
      </c>
      <c r="I3172" s="143" t="s">
        <v>324</v>
      </c>
      <c r="J3172" s="143" t="s">
        <v>1577</v>
      </c>
      <c r="K3172" s="143">
        <v>150</v>
      </c>
      <c r="L3172" s="143">
        <v>68</v>
      </c>
      <c r="M3172" s="143" t="s">
        <v>8879</v>
      </c>
      <c r="W3172" s="143" t="s">
        <v>294</v>
      </c>
      <c r="X3172" s="143" t="s">
        <v>8905</v>
      </c>
      <c r="Y3172" s="169" t="s">
        <v>8880</v>
      </c>
      <c r="Z3172" s="143" t="s">
        <v>8905</v>
      </c>
      <c r="AA3172" s="238">
        <v>4.8</v>
      </c>
      <c r="AH3172" s="249" t="s">
        <v>8881</v>
      </c>
    </row>
    <row r="3173" ht="33" spans="1:34">
      <c r="A3173" s="143">
        <v>3136</v>
      </c>
      <c r="B3173" s="144">
        <v>46013</v>
      </c>
      <c r="C3173" s="143" t="s">
        <v>3148</v>
      </c>
      <c r="E3173" s="196" t="s">
        <v>8876</v>
      </c>
      <c r="F3173" s="143" t="s">
        <v>8907</v>
      </c>
      <c r="H3173" s="143" t="s">
        <v>8908</v>
      </c>
      <c r="I3173" s="143" t="s">
        <v>3157</v>
      </c>
      <c r="J3173" s="143" t="s">
        <v>3684</v>
      </c>
      <c r="K3173" s="143">
        <v>145</v>
      </c>
      <c r="L3173" s="143">
        <v>75</v>
      </c>
      <c r="M3173" s="143" t="s">
        <v>8909</v>
      </c>
      <c r="W3173" s="143" t="s">
        <v>294</v>
      </c>
      <c r="X3173" s="143" t="s">
        <v>8907</v>
      </c>
      <c r="Y3173" s="169" t="s">
        <v>8880</v>
      </c>
      <c r="Z3173" s="143" t="s">
        <v>8907</v>
      </c>
      <c r="AA3173" s="238">
        <v>9.5</v>
      </c>
      <c r="AH3173" s="249" t="s">
        <v>8881</v>
      </c>
    </row>
    <row r="3174" ht="33" spans="1:34">
      <c r="A3174" s="143">
        <v>3137</v>
      </c>
      <c r="B3174" s="144">
        <v>46013</v>
      </c>
      <c r="C3174" s="143" t="s">
        <v>3148</v>
      </c>
      <c r="E3174" s="196" t="s">
        <v>8876</v>
      </c>
      <c r="F3174" s="143" t="s">
        <v>8910</v>
      </c>
      <c r="H3174" s="143" t="s">
        <v>8911</v>
      </c>
      <c r="I3174" s="143" t="s">
        <v>3218</v>
      </c>
      <c r="J3174" s="143" t="s">
        <v>1577</v>
      </c>
      <c r="K3174" s="143">
        <v>150</v>
      </c>
      <c r="L3174" s="143">
        <v>80</v>
      </c>
      <c r="M3174" s="143" t="s">
        <v>8892</v>
      </c>
      <c r="W3174" s="143" t="s">
        <v>294</v>
      </c>
      <c r="X3174" s="143" t="s">
        <v>8910</v>
      </c>
      <c r="Y3174" s="169" t="s">
        <v>8880</v>
      </c>
      <c r="Z3174" s="143" t="s">
        <v>8910</v>
      </c>
      <c r="AA3174" s="238">
        <v>4.9</v>
      </c>
      <c r="AH3174" s="249" t="s">
        <v>8881</v>
      </c>
    </row>
    <row r="3175" ht="14.25" spans="1:34">
      <c r="A3175" s="143">
        <v>3138</v>
      </c>
      <c r="B3175" s="144">
        <v>46013</v>
      </c>
      <c r="C3175" s="143" t="s">
        <v>3148</v>
      </c>
      <c r="E3175" s="196" t="s">
        <v>8912</v>
      </c>
      <c r="F3175" s="169" t="s">
        <v>8913</v>
      </c>
      <c r="H3175" s="143" t="s">
        <v>8914</v>
      </c>
      <c r="W3175" s="143" t="s">
        <v>294</v>
      </c>
      <c r="X3175" s="169" t="s">
        <v>8913</v>
      </c>
      <c r="Y3175" s="143" t="s">
        <v>294</v>
      </c>
      <c r="Z3175" s="169" t="s">
        <v>8913</v>
      </c>
      <c r="AA3175" s="238">
        <v>3</v>
      </c>
      <c r="AH3175" s="250" t="s">
        <v>8915</v>
      </c>
    </row>
    <row r="3176" ht="14.25" spans="1:34">
      <c r="A3176" s="143">
        <v>3139</v>
      </c>
      <c r="B3176" s="144">
        <v>46013</v>
      </c>
      <c r="C3176" s="143" t="s">
        <v>3148</v>
      </c>
      <c r="E3176" s="196" t="s">
        <v>8912</v>
      </c>
      <c r="F3176" s="169" t="s">
        <v>8916</v>
      </c>
      <c r="H3176" s="143" t="s">
        <v>8917</v>
      </c>
      <c r="W3176" s="143" t="s">
        <v>294</v>
      </c>
      <c r="X3176" s="169" t="s">
        <v>8916</v>
      </c>
      <c r="Y3176" s="143" t="s">
        <v>294</v>
      </c>
      <c r="Z3176" s="169" t="s">
        <v>8916</v>
      </c>
      <c r="AA3176" s="238">
        <v>3</v>
      </c>
      <c r="AH3176" s="250" t="s">
        <v>8918</v>
      </c>
    </row>
    <row r="3177" ht="14.25" spans="1:34">
      <c r="A3177" s="143">
        <v>3140</v>
      </c>
      <c r="B3177" s="144">
        <v>46013</v>
      </c>
      <c r="C3177" s="143" t="s">
        <v>3148</v>
      </c>
      <c r="E3177" s="196" t="s">
        <v>8912</v>
      </c>
      <c r="F3177" s="169" t="s">
        <v>8919</v>
      </c>
      <c r="H3177" s="143" t="s">
        <v>8920</v>
      </c>
      <c r="W3177" s="143" t="s">
        <v>294</v>
      </c>
      <c r="X3177" s="169" t="s">
        <v>8919</v>
      </c>
      <c r="Y3177" s="143" t="s">
        <v>294</v>
      </c>
      <c r="Z3177" s="169" t="s">
        <v>8919</v>
      </c>
      <c r="AA3177" s="238">
        <v>2.8</v>
      </c>
      <c r="AH3177" s="250" t="s">
        <v>8921</v>
      </c>
    </row>
    <row r="3178" ht="14.25" spans="1:34">
      <c r="A3178" s="143">
        <v>3141</v>
      </c>
      <c r="B3178" s="144">
        <v>46013</v>
      </c>
      <c r="C3178" s="143" t="s">
        <v>3148</v>
      </c>
      <c r="E3178" s="196" t="s">
        <v>8912</v>
      </c>
      <c r="F3178" s="169" t="s">
        <v>8922</v>
      </c>
      <c r="H3178" s="143" t="s">
        <v>8923</v>
      </c>
      <c r="W3178" s="143" t="s">
        <v>294</v>
      </c>
      <c r="X3178" s="169" t="s">
        <v>8922</v>
      </c>
      <c r="Y3178" s="143" t="s">
        <v>294</v>
      </c>
      <c r="Z3178" s="169" t="s">
        <v>8922</v>
      </c>
      <c r="AA3178" s="238">
        <v>3.5</v>
      </c>
      <c r="AH3178" s="250" t="s">
        <v>8924</v>
      </c>
    </row>
    <row r="3179" ht="14.25" spans="1:34">
      <c r="A3179" s="143">
        <v>3142</v>
      </c>
      <c r="B3179" s="144">
        <v>46013</v>
      </c>
      <c r="C3179" s="143" t="s">
        <v>3148</v>
      </c>
      <c r="E3179" s="196" t="s">
        <v>8912</v>
      </c>
      <c r="F3179" s="143" t="s">
        <v>8925</v>
      </c>
      <c r="H3179" s="143" t="s">
        <v>8926</v>
      </c>
      <c r="W3179" s="143" t="s">
        <v>294</v>
      </c>
      <c r="X3179" s="143" t="s">
        <v>8925</v>
      </c>
      <c r="Y3179" s="143" t="s">
        <v>294</v>
      </c>
      <c r="Z3179" s="143" t="s">
        <v>8925</v>
      </c>
      <c r="AA3179" s="248">
        <v>2.5</v>
      </c>
      <c r="AH3179" s="251" t="s">
        <v>8918</v>
      </c>
    </row>
    <row r="3180" spans="1:34">
      <c r="A3180" s="143">
        <v>3143</v>
      </c>
      <c r="B3180" s="144">
        <v>46013</v>
      </c>
      <c r="C3180" s="143" t="s">
        <v>3148</v>
      </c>
      <c r="E3180" s="196" t="s">
        <v>8876</v>
      </c>
      <c r="F3180" s="143" t="s">
        <v>8927</v>
      </c>
      <c r="H3180" s="143" t="s">
        <v>8928</v>
      </c>
      <c r="I3180" s="143" t="s">
        <v>4512</v>
      </c>
      <c r="J3180" s="143" t="s">
        <v>749</v>
      </c>
      <c r="K3180" s="143">
        <v>150</v>
      </c>
      <c r="L3180" s="143">
        <v>110</v>
      </c>
      <c r="W3180" s="143" t="s">
        <v>3147</v>
      </c>
      <c r="X3180" s="143" t="s">
        <v>8927</v>
      </c>
      <c r="Y3180" s="143" t="s">
        <v>2107</v>
      </c>
      <c r="Z3180" s="143" t="s">
        <v>8927</v>
      </c>
      <c r="AA3180" s="143">
        <v>8.6</v>
      </c>
    </row>
    <row r="3181" spans="1:34">
      <c r="A3181" s="143">
        <v>3144</v>
      </c>
      <c r="B3181" s="144">
        <v>46013</v>
      </c>
      <c r="C3181" s="143" t="s">
        <v>3148</v>
      </c>
      <c r="E3181" s="196" t="s">
        <v>8876</v>
      </c>
      <c r="F3181" s="143" t="s">
        <v>8929</v>
      </c>
      <c r="H3181" s="143" t="s">
        <v>8930</v>
      </c>
      <c r="I3181" s="143" t="s">
        <v>196</v>
      </c>
      <c r="J3181" s="143" t="s">
        <v>2528</v>
      </c>
      <c r="K3181" s="143">
        <v>150</v>
      </c>
      <c r="L3181" s="143">
        <v>125</v>
      </c>
      <c r="W3181" s="143" t="s">
        <v>3147</v>
      </c>
      <c r="X3181" s="143" t="s">
        <v>8929</v>
      </c>
      <c r="Y3181" s="143" t="s">
        <v>2107</v>
      </c>
      <c r="Z3181" s="143" t="s">
        <v>8929</v>
      </c>
      <c r="AA3181" s="143">
        <v>7.5</v>
      </c>
    </row>
    <row r="3182" spans="1:34">
      <c r="A3182" s="143">
        <v>3145</v>
      </c>
      <c r="B3182" s="144">
        <v>46013</v>
      </c>
      <c r="C3182" s="143" t="s">
        <v>3148</v>
      </c>
      <c r="E3182" s="196" t="s">
        <v>8876</v>
      </c>
      <c r="F3182" s="143" t="s">
        <v>8931</v>
      </c>
      <c r="H3182" s="143" t="s">
        <v>8932</v>
      </c>
      <c r="I3182" s="143" t="s">
        <v>196</v>
      </c>
      <c r="J3182" s="143" t="s">
        <v>2528</v>
      </c>
      <c r="K3182" s="143">
        <v>150</v>
      </c>
      <c r="L3182" s="143">
        <v>90</v>
      </c>
      <c r="W3182" s="143" t="s">
        <v>3147</v>
      </c>
      <c r="X3182" s="143" t="s">
        <v>8931</v>
      </c>
      <c r="Y3182" s="143" t="s">
        <v>3147</v>
      </c>
      <c r="Z3182" s="143" t="s">
        <v>8931</v>
      </c>
      <c r="AA3182" s="143">
        <v>6.3</v>
      </c>
    </row>
    <row r="3183" spans="1:34">
      <c r="A3183" s="143">
        <v>3146</v>
      </c>
      <c r="B3183" s="144">
        <v>46013</v>
      </c>
      <c r="C3183" s="143" t="s">
        <v>3148</v>
      </c>
      <c r="E3183" s="196" t="s">
        <v>8876</v>
      </c>
      <c r="F3183" s="169" t="s">
        <v>8933</v>
      </c>
      <c r="H3183" s="143" t="s">
        <v>8934</v>
      </c>
      <c r="I3183" s="143" t="s">
        <v>196</v>
      </c>
      <c r="J3183" s="143" t="s">
        <v>2528</v>
      </c>
      <c r="K3183" s="143">
        <v>150</v>
      </c>
      <c r="L3183" s="143">
        <v>110</v>
      </c>
      <c r="W3183" s="143" t="s">
        <v>3147</v>
      </c>
      <c r="X3183" s="169" t="s">
        <v>8933</v>
      </c>
      <c r="Y3183" s="143" t="s">
        <v>3147</v>
      </c>
      <c r="Z3183" s="169" t="s">
        <v>8933</v>
      </c>
      <c r="AA3183" s="143">
        <v>7.8</v>
      </c>
    </row>
    <row r="3184" ht="14.25" spans="1:34">
      <c r="A3184" s="143">
        <v>3147</v>
      </c>
      <c r="B3184" s="144">
        <v>46014</v>
      </c>
      <c r="C3184" s="169" t="s">
        <v>3646</v>
      </c>
      <c r="E3184" s="145" t="s">
        <v>8802</v>
      </c>
      <c r="F3184" s="143" t="s">
        <v>8935</v>
      </c>
      <c r="H3184" s="143" t="s">
        <v>8936</v>
      </c>
      <c r="I3184" s="143" t="s">
        <v>8937</v>
      </c>
      <c r="J3184" s="143" t="s">
        <v>8938</v>
      </c>
      <c r="K3184" s="143">
        <v>150</v>
      </c>
      <c r="L3184" s="143">
        <v>270</v>
      </c>
      <c r="W3184" s="169" t="s">
        <v>8939</v>
      </c>
      <c r="X3184" s="143" t="s">
        <v>8935</v>
      </c>
      <c r="Y3184" s="169" t="s">
        <v>8939</v>
      </c>
      <c r="Z3184" s="143" t="s">
        <v>8935</v>
      </c>
      <c r="AA3184" s="238">
        <v>23</v>
      </c>
    </row>
    <row r="3185" ht="14.25" spans="1:27">
      <c r="A3185" s="143">
        <v>3148</v>
      </c>
      <c r="B3185" s="144">
        <v>46014</v>
      </c>
      <c r="C3185" s="169" t="s">
        <v>3646</v>
      </c>
      <c r="E3185" s="145" t="s">
        <v>8802</v>
      </c>
      <c r="F3185" s="143" t="s">
        <v>8940</v>
      </c>
      <c r="H3185" s="143" t="s">
        <v>8941</v>
      </c>
      <c r="J3185" s="143" t="s">
        <v>8942</v>
      </c>
      <c r="K3185" s="143">
        <v>150</v>
      </c>
      <c r="L3185" s="143">
        <v>340</v>
      </c>
      <c r="W3185" s="169" t="s">
        <v>8939</v>
      </c>
      <c r="X3185" s="143" t="s">
        <v>8940</v>
      </c>
      <c r="Y3185" s="169" t="s">
        <v>8939</v>
      </c>
      <c r="Z3185" s="143" t="s">
        <v>8940</v>
      </c>
      <c r="AA3185" s="238">
        <v>31</v>
      </c>
    </row>
    <row r="3186" ht="14.25" spans="1:27">
      <c r="A3186" s="143">
        <v>3149</v>
      </c>
      <c r="B3186" s="144">
        <v>46014</v>
      </c>
      <c r="C3186" s="169" t="s">
        <v>3646</v>
      </c>
      <c r="E3186" s="145" t="s">
        <v>8802</v>
      </c>
      <c r="F3186" s="143" t="s">
        <v>8943</v>
      </c>
      <c r="H3186" s="143" t="s">
        <v>8944</v>
      </c>
      <c r="J3186" s="143" t="s">
        <v>8945</v>
      </c>
      <c r="K3186" s="143">
        <v>150</v>
      </c>
      <c r="L3186" s="143">
        <v>270</v>
      </c>
      <c r="W3186" s="169" t="s">
        <v>8939</v>
      </c>
      <c r="X3186" s="143" t="s">
        <v>8943</v>
      </c>
      <c r="Y3186" s="169" t="s">
        <v>8939</v>
      </c>
      <c r="Z3186" s="143" t="s">
        <v>8943</v>
      </c>
      <c r="AA3186" s="238">
        <v>26.5</v>
      </c>
    </row>
    <row r="3187" ht="14.25" spans="1:27">
      <c r="A3187" s="143">
        <v>3150</v>
      </c>
      <c r="B3187" s="144">
        <v>46016</v>
      </c>
      <c r="C3187" s="143" t="s">
        <v>3148</v>
      </c>
      <c r="E3187" s="196" t="s">
        <v>8946</v>
      </c>
      <c r="F3187" s="143" t="s">
        <v>8947</v>
      </c>
      <c r="H3187" s="143" t="s">
        <v>8948</v>
      </c>
      <c r="I3187" s="143" t="s">
        <v>8949</v>
      </c>
      <c r="J3187" s="143" t="s">
        <v>8950</v>
      </c>
      <c r="K3187" s="143">
        <v>145</v>
      </c>
      <c r="L3187" s="143">
        <v>210</v>
      </c>
      <c r="W3187" s="143" t="s">
        <v>8939</v>
      </c>
      <c r="X3187" s="143" t="s">
        <v>8947</v>
      </c>
      <c r="Y3187" s="169" t="s">
        <v>8939</v>
      </c>
      <c r="Z3187" s="143" t="s">
        <v>8947</v>
      </c>
      <c r="AA3187" s="238">
        <v>26</v>
      </c>
    </row>
    <row r="3188" ht="14.25" spans="1:27">
      <c r="A3188" s="143">
        <v>3151</v>
      </c>
      <c r="B3188" s="144">
        <v>46016</v>
      </c>
      <c r="C3188" s="143" t="s">
        <v>3148</v>
      </c>
      <c r="E3188" s="196" t="s">
        <v>8946</v>
      </c>
      <c r="F3188" s="143" t="s">
        <v>8951</v>
      </c>
      <c r="H3188" s="143" t="s">
        <v>8952</v>
      </c>
      <c r="I3188" s="143" t="s">
        <v>8953</v>
      </c>
      <c r="J3188" s="143" t="s">
        <v>8954</v>
      </c>
      <c r="K3188" s="143">
        <v>145</v>
      </c>
      <c r="L3188" s="143">
        <v>210</v>
      </c>
      <c r="W3188" s="143" t="s">
        <v>8939</v>
      </c>
      <c r="X3188" s="143" t="s">
        <v>8951</v>
      </c>
      <c r="Y3188" s="169" t="s">
        <v>8939</v>
      </c>
      <c r="Z3188" s="143" t="s">
        <v>8951</v>
      </c>
      <c r="AA3188" s="238">
        <v>21.5</v>
      </c>
    </row>
    <row r="3189" ht="14.25" spans="1:27">
      <c r="A3189" s="143">
        <v>3152</v>
      </c>
      <c r="B3189" s="144">
        <v>46016</v>
      </c>
      <c r="C3189" s="143" t="s">
        <v>3148</v>
      </c>
      <c r="E3189" s="196" t="s">
        <v>8946</v>
      </c>
      <c r="F3189" s="143" t="s">
        <v>8955</v>
      </c>
      <c r="H3189" s="143" t="s">
        <v>8956</v>
      </c>
      <c r="I3189" s="143" t="s">
        <v>8957</v>
      </c>
      <c r="J3189" s="143" t="s">
        <v>8958</v>
      </c>
      <c r="K3189" s="143">
        <v>145</v>
      </c>
      <c r="L3189" s="143">
        <v>200</v>
      </c>
      <c r="W3189" s="143" t="s">
        <v>8939</v>
      </c>
      <c r="X3189" s="143" t="s">
        <v>8955</v>
      </c>
      <c r="Y3189" s="169" t="s">
        <v>8939</v>
      </c>
      <c r="Z3189" s="143" t="s">
        <v>8955</v>
      </c>
      <c r="AA3189" s="238">
        <v>19.5</v>
      </c>
    </row>
    <row r="3190" ht="14.25" spans="1:27">
      <c r="A3190" s="143">
        <v>3153</v>
      </c>
      <c r="B3190" s="144">
        <v>46016</v>
      </c>
      <c r="C3190" s="143" t="s">
        <v>3148</v>
      </c>
      <c r="E3190" s="196" t="s">
        <v>8946</v>
      </c>
      <c r="F3190" s="143" t="s">
        <v>8959</v>
      </c>
      <c r="H3190" s="143" t="s">
        <v>8960</v>
      </c>
      <c r="I3190" s="143" t="s">
        <v>8961</v>
      </c>
      <c r="J3190" s="143" t="s">
        <v>8962</v>
      </c>
      <c r="K3190" s="143">
        <v>145</v>
      </c>
      <c r="L3190" s="143">
        <v>270</v>
      </c>
      <c r="W3190" s="143" t="s">
        <v>8939</v>
      </c>
      <c r="X3190" s="143" t="s">
        <v>8959</v>
      </c>
      <c r="Y3190" s="169" t="s">
        <v>8939</v>
      </c>
      <c r="Z3190" s="143" t="s">
        <v>8959</v>
      </c>
      <c r="AA3190" s="238">
        <v>29</v>
      </c>
    </row>
    <row r="3191" ht="14.25" spans="1:27">
      <c r="A3191" s="143">
        <v>3154</v>
      </c>
      <c r="B3191" s="144">
        <v>46016</v>
      </c>
      <c r="C3191" s="143" t="s">
        <v>3148</v>
      </c>
      <c r="E3191" s="196" t="s">
        <v>8946</v>
      </c>
      <c r="F3191" s="143" t="s">
        <v>8963</v>
      </c>
      <c r="H3191" s="143" t="s">
        <v>8964</v>
      </c>
      <c r="I3191" s="143" t="s">
        <v>8965</v>
      </c>
      <c r="J3191" s="143" t="s">
        <v>8966</v>
      </c>
      <c r="K3191" s="143">
        <v>145</v>
      </c>
      <c r="L3191" s="143">
        <v>270</v>
      </c>
      <c r="W3191" s="143" t="s">
        <v>8939</v>
      </c>
      <c r="X3191" s="143" t="s">
        <v>8963</v>
      </c>
      <c r="Y3191" s="169" t="s">
        <v>8939</v>
      </c>
      <c r="Z3191" s="143" t="s">
        <v>8963</v>
      </c>
      <c r="AA3191" s="238">
        <v>23</v>
      </c>
    </row>
    <row r="3192" ht="14.25" spans="1:27">
      <c r="A3192" s="143">
        <v>3155</v>
      </c>
      <c r="B3192" s="144">
        <v>46016</v>
      </c>
      <c r="C3192" s="143" t="s">
        <v>3148</v>
      </c>
      <c r="E3192" s="196" t="s">
        <v>8946</v>
      </c>
      <c r="F3192" s="143" t="s">
        <v>8967</v>
      </c>
      <c r="H3192" s="143" t="s">
        <v>8968</v>
      </c>
      <c r="I3192" s="143" t="s">
        <v>8969</v>
      </c>
      <c r="J3192" s="143" t="s">
        <v>8970</v>
      </c>
      <c r="K3192" s="143">
        <v>145</v>
      </c>
      <c r="L3192" s="143">
        <v>295</v>
      </c>
      <c r="W3192" s="143" t="s">
        <v>8939</v>
      </c>
      <c r="X3192" s="143" t="s">
        <v>8967</v>
      </c>
      <c r="Y3192" s="169" t="s">
        <v>8939</v>
      </c>
      <c r="Z3192" s="143" t="s">
        <v>8967</v>
      </c>
      <c r="AA3192" s="238">
        <v>35</v>
      </c>
    </row>
    <row r="3193" ht="14.25" spans="1:27">
      <c r="A3193" s="143">
        <v>3156</v>
      </c>
      <c r="B3193" s="144">
        <v>46016</v>
      </c>
      <c r="C3193" s="143" t="s">
        <v>3148</v>
      </c>
      <c r="E3193" s="196" t="s">
        <v>8946</v>
      </c>
      <c r="F3193" s="143" t="s">
        <v>8971</v>
      </c>
      <c r="H3193" s="143" t="s">
        <v>8972</v>
      </c>
      <c r="I3193" s="143" t="s">
        <v>8973</v>
      </c>
      <c r="J3193" s="143" t="s">
        <v>8974</v>
      </c>
      <c r="K3193" s="143">
        <v>145</v>
      </c>
      <c r="L3193" s="143">
        <v>310</v>
      </c>
      <c r="W3193" s="143" t="s">
        <v>8939</v>
      </c>
      <c r="X3193" s="143" t="s">
        <v>8971</v>
      </c>
      <c r="Y3193" s="169" t="s">
        <v>8939</v>
      </c>
      <c r="Z3193" s="143" t="s">
        <v>8971</v>
      </c>
      <c r="AA3193" s="238">
        <v>31</v>
      </c>
    </row>
    <row r="3194" ht="14.25" spans="1:27">
      <c r="A3194" s="143">
        <v>3157</v>
      </c>
      <c r="B3194" s="144">
        <v>46016</v>
      </c>
      <c r="C3194" s="143" t="s">
        <v>3148</v>
      </c>
      <c r="E3194" s="196" t="s">
        <v>8975</v>
      </c>
      <c r="F3194" s="143" t="s">
        <v>8976</v>
      </c>
      <c r="H3194" s="143" t="s">
        <v>8977</v>
      </c>
      <c r="I3194" s="143" t="s">
        <v>8978</v>
      </c>
      <c r="J3194" s="143" t="s">
        <v>1577</v>
      </c>
      <c r="K3194" s="143">
        <v>150</v>
      </c>
      <c r="L3194" s="143">
        <v>180</v>
      </c>
      <c r="W3194" s="143" t="s">
        <v>8939</v>
      </c>
      <c r="X3194" s="143" t="s">
        <v>8976</v>
      </c>
      <c r="Y3194" s="169" t="s">
        <v>8939</v>
      </c>
      <c r="Z3194" s="143" t="s">
        <v>8976</v>
      </c>
      <c r="AA3194" s="238">
        <v>14</v>
      </c>
    </row>
    <row r="3195" ht="14.25" spans="1:27">
      <c r="A3195" s="143">
        <v>3158</v>
      </c>
      <c r="B3195" s="144">
        <v>46016</v>
      </c>
      <c r="C3195" s="143" t="s">
        <v>3148</v>
      </c>
      <c r="E3195" s="196" t="s">
        <v>8975</v>
      </c>
      <c r="F3195" s="143" t="s">
        <v>8979</v>
      </c>
      <c r="H3195" s="143" t="s">
        <v>8980</v>
      </c>
      <c r="I3195" s="143" t="s">
        <v>8978</v>
      </c>
      <c r="J3195" s="143" t="s">
        <v>1577</v>
      </c>
      <c r="K3195" s="143">
        <v>150</v>
      </c>
      <c r="L3195" s="143">
        <v>170</v>
      </c>
      <c r="W3195" s="143" t="s">
        <v>8939</v>
      </c>
      <c r="X3195" s="143" t="s">
        <v>8979</v>
      </c>
      <c r="Y3195" s="169" t="s">
        <v>8939</v>
      </c>
      <c r="Z3195" s="143" t="s">
        <v>8979</v>
      </c>
      <c r="AA3195" s="238">
        <v>8.5</v>
      </c>
    </row>
    <row r="3196" ht="14.25" spans="1:27">
      <c r="A3196" s="143">
        <v>3159</v>
      </c>
      <c r="B3196" s="144">
        <v>46016</v>
      </c>
      <c r="C3196" s="143" t="s">
        <v>3148</v>
      </c>
      <c r="E3196" s="196" t="s">
        <v>8975</v>
      </c>
      <c r="F3196" s="143" t="s">
        <v>8981</v>
      </c>
      <c r="H3196" s="143" t="s">
        <v>8982</v>
      </c>
      <c r="I3196" s="143" t="s">
        <v>8978</v>
      </c>
      <c r="J3196" s="143" t="s">
        <v>1577</v>
      </c>
      <c r="K3196" s="143">
        <v>150</v>
      </c>
      <c r="L3196" s="143">
        <v>150</v>
      </c>
      <c r="W3196" s="143" t="s">
        <v>8939</v>
      </c>
      <c r="X3196" s="143" t="s">
        <v>8981</v>
      </c>
      <c r="Y3196" s="169" t="s">
        <v>8939</v>
      </c>
      <c r="Z3196" s="143" t="s">
        <v>8981</v>
      </c>
      <c r="AA3196" s="238">
        <v>8.5</v>
      </c>
    </row>
    <row r="3197" ht="14.25" spans="1:27">
      <c r="A3197" s="143">
        <v>3160</v>
      </c>
      <c r="B3197" s="144">
        <v>46016</v>
      </c>
      <c r="C3197" s="143" t="s">
        <v>3148</v>
      </c>
      <c r="E3197" s="196" t="s">
        <v>8983</v>
      </c>
      <c r="F3197" s="143" t="s">
        <v>8984</v>
      </c>
      <c r="H3197" s="143" t="s">
        <v>8985</v>
      </c>
      <c r="I3197" s="143" t="s">
        <v>535</v>
      </c>
      <c r="J3197" s="143" t="s">
        <v>1577</v>
      </c>
      <c r="K3197" s="143">
        <v>145</v>
      </c>
      <c r="L3197" s="143">
        <v>105</v>
      </c>
      <c r="W3197" s="143" t="s">
        <v>8939</v>
      </c>
      <c r="X3197" s="143" t="s">
        <v>8984</v>
      </c>
      <c r="Y3197" s="169" t="s">
        <v>8939</v>
      </c>
      <c r="Z3197" s="143" t="s">
        <v>8984</v>
      </c>
      <c r="AA3197" s="238">
        <v>14.5</v>
      </c>
    </row>
    <row r="3198" ht="14.25" spans="1:27">
      <c r="A3198" s="143">
        <v>3161</v>
      </c>
      <c r="B3198" s="144">
        <v>46016</v>
      </c>
      <c r="C3198" s="143" t="s">
        <v>3148</v>
      </c>
      <c r="E3198" s="196" t="s">
        <v>8983</v>
      </c>
      <c r="F3198" s="143" t="s">
        <v>8986</v>
      </c>
      <c r="H3198" s="143" t="s">
        <v>8987</v>
      </c>
      <c r="I3198" s="143" t="s">
        <v>535</v>
      </c>
      <c r="J3198" s="143" t="s">
        <v>1577</v>
      </c>
      <c r="K3198" s="143">
        <v>150</v>
      </c>
      <c r="L3198" s="143">
        <v>165</v>
      </c>
      <c r="W3198" s="143" t="s">
        <v>8939</v>
      </c>
      <c r="X3198" s="143" t="s">
        <v>8986</v>
      </c>
      <c r="Y3198" s="169" t="s">
        <v>8939</v>
      </c>
      <c r="Z3198" s="143" t="s">
        <v>8986</v>
      </c>
      <c r="AA3198" s="238">
        <v>10.5</v>
      </c>
    </row>
    <row r="3199" ht="14.25" spans="1:27">
      <c r="A3199" s="143">
        <v>3162</v>
      </c>
      <c r="B3199" s="144">
        <v>46016</v>
      </c>
      <c r="C3199" s="143" t="s">
        <v>3148</v>
      </c>
      <c r="E3199" s="196" t="s">
        <v>8983</v>
      </c>
      <c r="F3199" s="143" t="s">
        <v>8988</v>
      </c>
      <c r="H3199" s="143" t="s">
        <v>8989</v>
      </c>
      <c r="I3199" s="143" t="s">
        <v>535</v>
      </c>
      <c r="J3199" s="143" t="s">
        <v>1577</v>
      </c>
      <c r="K3199" s="143">
        <v>145</v>
      </c>
      <c r="L3199" s="143">
        <v>150</v>
      </c>
      <c r="W3199" s="143" t="s">
        <v>8939</v>
      </c>
      <c r="X3199" s="143" t="s">
        <v>8988</v>
      </c>
      <c r="Y3199" s="169" t="s">
        <v>8939</v>
      </c>
      <c r="Z3199" s="143" t="s">
        <v>8988</v>
      </c>
      <c r="AA3199" s="238">
        <v>11.5</v>
      </c>
    </row>
    <row r="3200" ht="14.25" spans="1:27">
      <c r="A3200" s="143">
        <v>3163</v>
      </c>
      <c r="B3200" s="144">
        <v>46016</v>
      </c>
      <c r="C3200" s="143" t="s">
        <v>3148</v>
      </c>
      <c r="E3200" s="196" t="s">
        <v>8983</v>
      </c>
      <c r="F3200" s="143" t="s">
        <v>8990</v>
      </c>
      <c r="H3200" s="143" t="s">
        <v>8991</v>
      </c>
      <c r="I3200" s="143" t="s">
        <v>535</v>
      </c>
      <c r="J3200" s="143" t="s">
        <v>1577</v>
      </c>
      <c r="K3200" s="143">
        <v>145</v>
      </c>
      <c r="L3200" s="143">
        <v>132</v>
      </c>
      <c r="W3200" s="143" t="s">
        <v>8939</v>
      </c>
      <c r="X3200" s="143" t="s">
        <v>8990</v>
      </c>
      <c r="Y3200" s="169" t="s">
        <v>8939</v>
      </c>
      <c r="Z3200" s="143" t="s">
        <v>8990</v>
      </c>
      <c r="AA3200" s="238">
        <v>11.5</v>
      </c>
    </row>
    <row r="3201" ht="14.25" spans="1:35">
      <c r="A3201" s="143">
        <v>3164</v>
      </c>
      <c r="B3201" s="144">
        <v>46016</v>
      </c>
      <c r="C3201" s="143" t="s">
        <v>3148</v>
      </c>
      <c r="E3201" s="196" t="s">
        <v>8983</v>
      </c>
      <c r="F3201" s="143" t="s">
        <v>8992</v>
      </c>
      <c r="H3201" s="143" t="s">
        <v>8993</v>
      </c>
      <c r="I3201" s="143" t="s">
        <v>535</v>
      </c>
      <c r="J3201" s="143" t="s">
        <v>1577</v>
      </c>
      <c r="K3201" s="143">
        <v>152</v>
      </c>
      <c r="L3201" s="143">
        <v>88</v>
      </c>
      <c r="W3201" s="143" t="s">
        <v>8939</v>
      </c>
      <c r="X3201" s="143" t="s">
        <v>8992</v>
      </c>
      <c r="Y3201" s="169" t="s">
        <v>8939</v>
      </c>
      <c r="Z3201" s="143" t="s">
        <v>8992</v>
      </c>
      <c r="AA3201" s="238">
        <v>11.5</v>
      </c>
    </row>
    <row r="3202" ht="14.25" spans="1:35">
      <c r="A3202" s="143">
        <v>3165</v>
      </c>
      <c r="B3202" s="144">
        <v>46016</v>
      </c>
      <c r="C3202" s="143" t="s">
        <v>3148</v>
      </c>
      <c r="E3202" s="196" t="s">
        <v>8983</v>
      </c>
      <c r="F3202" s="143" t="s">
        <v>8994</v>
      </c>
      <c r="H3202" s="143" t="s">
        <v>8995</v>
      </c>
      <c r="I3202" s="143" t="s">
        <v>535</v>
      </c>
      <c r="J3202" s="143" t="s">
        <v>1577</v>
      </c>
      <c r="K3202" s="143">
        <v>145</v>
      </c>
      <c r="L3202" s="143">
        <v>68</v>
      </c>
      <c r="W3202" s="143" t="s">
        <v>8939</v>
      </c>
      <c r="X3202" s="143" t="s">
        <v>8994</v>
      </c>
      <c r="Y3202" s="169" t="s">
        <v>8939</v>
      </c>
      <c r="Z3202" s="143" t="s">
        <v>8994</v>
      </c>
      <c r="AA3202" s="238">
        <v>11.5</v>
      </c>
    </row>
    <row r="3203" ht="16.5" spans="1:35">
      <c r="A3203" s="143">
        <v>3166</v>
      </c>
      <c r="B3203" s="144">
        <v>46016</v>
      </c>
      <c r="C3203" s="143" t="s">
        <v>3148</v>
      </c>
      <c r="E3203" s="145" t="s">
        <v>7422</v>
      </c>
      <c r="F3203" s="143" t="s">
        <v>8996</v>
      </c>
      <c r="H3203" s="143" t="s">
        <v>8997</v>
      </c>
      <c r="I3203" s="143" t="s">
        <v>8998</v>
      </c>
      <c r="J3203" s="143" t="s">
        <v>8999</v>
      </c>
      <c r="K3203" s="143">
        <v>185</v>
      </c>
      <c r="L3203" s="143">
        <v>320</v>
      </c>
      <c r="W3203" s="143" t="s">
        <v>8939</v>
      </c>
      <c r="X3203" s="143" t="s">
        <v>8996</v>
      </c>
      <c r="Y3203" s="169" t="s">
        <v>8939</v>
      </c>
      <c r="Z3203" s="143" t="s">
        <v>8996</v>
      </c>
      <c r="AA3203" s="252">
        <v>29</v>
      </c>
      <c r="AG3203" s="253">
        <v>46</v>
      </c>
    </row>
    <row r="3204" ht="16.5" spans="1:35">
      <c r="A3204" s="143">
        <v>3167</v>
      </c>
      <c r="B3204" s="144">
        <v>46016</v>
      </c>
      <c r="C3204" s="143" t="s">
        <v>3148</v>
      </c>
      <c r="E3204" s="145" t="s">
        <v>7422</v>
      </c>
      <c r="F3204" s="143" t="s">
        <v>9000</v>
      </c>
      <c r="H3204" s="143" t="s">
        <v>9001</v>
      </c>
      <c r="I3204" s="143" t="s">
        <v>9002</v>
      </c>
      <c r="J3204" s="143" t="s">
        <v>9003</v>
      </c>
      <c r="K3204" s="143">
        <v>185</v>
      </c>
      <c r="L3204" s="143">
        <v>250</v>
      </c>
      <c r="W3204" s="143" t="s">
        <v>8939</v>
      </c>
      <c r="X3204" s="143" t="s">
        <v>9000</v>
      </c>
      <c r="Y3204" s="169" t="s">
        <v>8939</v>
      </c>
      <c r="Z3204" s="143" t="s">
        <v>9000</v>
      </c>
      <c r="AA3204" s="252">
        <v>23</v>
      </c>
      <c r="AG3204" s="253">
        <v>48.5</v>
      </c>
    </row>
    <row r="3205" ht="17.25" spans="1:35">
      <c r="A3205" s="143">
        <v>3168</v>
      </c>
      <c r="B3205" s="144">
        <v>46016</v>
      </c>
      <c r="C3205" s="143" t="s">
        <v>3148</v>
      </c>
      <c r="E3205" s="145" t="s">
        <v>7422</v>
      </c>
      <c r="F3205" s="143" t="s">
        <v>9004</v>
      </c>
      <c r="H3205" s="143" t="s">
        <v>9005</v>
      </c>
      <c r="I3205" s="143" t="s">
        <v>3737</v>
      </c>
      <c r="J3205" s="143" t="s">
        <v>2691</v>
      </c>
      <c r="K3205" s="143">
        <v>185</v>
      </c>
      <c r="L3205" s="143">
        <v>225</v>
      </c>
      <c r="W3205" s="143" t="s">
        <v>8939</v>
      </c>
      <c r="X3205" s="143" t="s">
        <v>9004</v>
      </c>
      <c r="Y3205" s="169" t="s">
        <v>8939</v>
      </c>
      <c r="Z3205" s="143" t="s">
        <v>9004</v>
      </c>
      <c r="AA3205" s="241">
        <v>21.5</v>
      </c>
      <c r="AG3205" s="254" t="s">
        <v>9006</v>
      </c>
    </row>
    <row r="3206" ht="17.25" spans="1:35">
      <c r="A3206" s="143">
        <v>3169</v>
      </c>
      <c r="B3206" s="144">
        <v>46016</v>
      </c>
      <c r="C3206" s="143" t="s">
        <v>3148</v>
      </c>
      <c r="E3206" s="145" t="s">
        <v>7422</v>
      </c>
      <c r="F3206" s="143" t="s">
        <v>9007</v>
      </c>
      <c r="H3206" s="143" t="s">
        <v>9008</v>
      </c>
      <c r="I3206" s="143" t="s">
        <v>9009</v>
      </c>
      <c r="J3206" s="143" t="s">
        <v>9010</v>
      </c>
      <c r="K3206" s="143">
        <v>185</v>
      </c>
      <c r="L3206" s="143">
        <v>255</v>
      </c>
      <c r="W3206" s="143" t="s">
        <v>8939</v>
      </c>
      <c r="X3206" s="143" t="s">
        <v>9007</v>
      </c>
      <c r="Y3206" s="169" t="s">
        <v>8939</v>
      </c>
      <c r="Z3206" s="143" t="s">
        <v>9007</v>
      </c>
      <c r="AA3206" s="241">
        <v>24.5</v>
      </c>
      <c r="AG3206" s="254" t="s">
        <v>9011</v>
      </c>
    </row>
    <row r="3207" ht="33" spans="1:35">
      <c r="A3207" s="143">
        <v>3170</v>
      </c>
      <c r="B3207" s="144">
        <v>46016</v>
      </c>
      <c r="C3207" s="143" t="s">
        <v>3148</v>
      </c>
      <c r="E3207" s="145" t="s">
        <v>7422</v>
      </c>
      <c r="F3207" s="143" t="s">
        <v>9012</v>
      </c>
      <c r="H3207" s="143" t="s">
        <v>9013</v>
      </c>
      <c r="I3207" s="143" t="s">
        <v>3157</v>
      </c>
      <c r="J3207" s="143" t="s">
        <v>3684</v>
      </c>
      <c r="K3207" s="143">
        <v>175</v>
      </c>
      <c r="L3207" s="143">
        <v>190</v>
      </c>
      <c r="W3207" s="143" t="s">
        <v>8939</v>
      </c>
      <c r="X3207" s="143" t="s">
        <v>9012</v>
      </c>
      <c r="Y3207" s="169" t="s">
        <v>8939</v>
      </c>
      <c r="Z3207" s="143" t="s">
        <v>9012</v>
      </c>
      <c r="AA3207" s="242">
        <v>16</v>
      </c>
      <c r="AG3207" s="255" t="s">
        <v>9014</v>
      </c>
      <c r="AH3207" s="237" t="s">
        <v>9015</v>
      </c>
      <c r="AI3207" s="256"/>
    </row>
    <row r="3208" ht="16.5" spans="1:35">
      <c r="A3208" s="143">
        <v>3171</v>
      </c>
      <c r="C3208" s="143" t="s">
        <v>3148</v>
      </c>
      <c r="E3208" s="145" t="s">
        <v>7422</v>
      </c>
      <c r="F3208" s="143" t="s">
        <v>9016</v>
      </c>
      <c r="H3208" s="143" t="s">
        <v>9017</v>
      </c>
      <c r="I3208" s="143" t="s">
        <v>8648</v>
      </c>
      <c r="J3208" s="143" t="s">
        <v>7718</v>
      </c>
      <c r="K3208" s="143">
        <v>175</v>
      </c>
      <c r="L3208" s="143">
        <v>180</v>
      </c>
      <c r="W3208" s="143" t="s">
        <v>8939</v>
      </c>
      <c r="X3208" s="143" t="s">
        <v>9016</v>
      </c>
      <c r="Y3208" s="169" t="s">
        <v>8939</v>
      </c>
      <c r="Z3208" s="143" t="s">
        <v>9016</v>
      </c>
      <c r="AA3208" s="242">
        <v>19</v>
      </c>
      <c r="AG3208" s="237" t="s">
        <v>9018</v>
      </c>
    </row>
    <row r="3209" ht="14.25" spans="1:35">
      <c r="A3209" s="143">
        <v>3172</v>
      </c>
      <c r="B3209" s="144">
        <v>46024</v>
      </c>
      <c r="C3209" s="169" t="s">
        <v>3148</v>
      </c>
      <c r="E3209" s="196" t="s">
        <v>9019</v>
      </c>
      <c r="F3209" s="143" t="s">
        <v>9020</v>
      </c>
      <c r="H3209" s="143" t="s">
        <v>9021</v>
      </c>
      <c r="I3209" s="143" t="s">
        <v>3157</v>
      </c>
      <c r="J3209" s="143" t="s">
        <v>3684</v>
      </c>
      <c r="K3209" s="143">
        <v>150</v>
      </c>
      <c r="L3209" s="143">
        <v>300</v>
      </c>
      <c r="W3209" s="143" t="s">
        <v>294</v>
      </c>
      <c r="X3209" s="143" t="s">
        <v>9020</v>
      </c>
      <c r="Y3209" s="143" t="s">
        <v>294</v>
      </c>
      <c r="Z3209" s="143" t="s">
        <v>9020</v>
      </c>
      <c r="AA3209" s="238">
        <v>15.5</v>
      </c>
      <c r="AB3209" s="170">
        <v>46024</v>
      </c>
    </row>
    <row r="3210" ht="14.25" spans="1:35">
      <c r="A3210" s="143">
        <v>3173</v>
      </c>
      <c r="B3210" s="144">
        <v>46024</v>
      </c>
      <c r="C3210" s="169" t="s">
        <v>3148</v>
      </c>
      <c r="E3210" s="196" t="s">
        <v>9019</v>
      </c>
      <c r="F3210" s="143" t="s">
        <v>9022</v>
      </c>
      <c r="H3210" s="143" t="s">
        <v>9023</v>
      </c>
      <c r="I3210" s="143" t="s">
        <v>3157</v>
      </c>
      <c r="J3210" s="143" t="s">
        <v>3684</v>
      </c>
      <c r="K3210" s="143">
        <v>152</v>
      </c>
      <c r="L3210" s="143">
        <v>200</v>
      </c>
      <c r="W3210" s="143" t="s">
        <v>294</v>
      </c>
      <c r="X3210" s="143" t="s">
        <v>9022</v>
      </c>
      <c r="Y3210" s="143" t="s">
        <v>294</v>
      </c>
      <c r="Z3210" s="143" t="s">
        <v>9022</v>
      </c>
      <c r="AA3210" s="238">
        <v>14.5</v>
      </c>
      <c r="AB3210" s="170">
        <v>46024</v>
      </c>
    </row>
    <row r="3211" ht="14.25" spans="1:35">
      <c r="A3211" s="143">
        <v>3174</v>
      </c>
      <c r="B3211" s="144">
        <v>46024</v>
      </c>
      <c r="C3211" s="169" t="s">
        <v>3148</v>
      </c>
      <c r="E3211" s="196" t="s">
        <v>9019</v>
      </c>
      <c r="F3211" s="143" t="s">
        <v>9024</v>
      </c>
      <c r="H3211" s="143" t="s">
        <v>9025</v>
      </c>
      <c r="I3211" s="143" t="s">
        <v>3157</v>
      </c>
      <c r="J3211" s="143" t="s">
        <v>3684</v>
      </c>
      <c r="K3211" s="143">
        <v>150</v>
      </c>
      <c r="L3211" s="143">
        <v>360</v>
      </c>
      <c r="W3211" s="143" t="s">
        <v>294</v>
      </c>
      <c r="X3211" s="143" t="s">
        <v>9024</v>
      </c>
      <c r="Y3211" s="143" t="s">
        <v>294</v>
      </c>
      <c r="Z3211" s="143" t="s">
        <v>9024</v>
      </c>
      <c r="AA3211" s="238">
        <v>17.8</v>
      </c>
      <c r="AB3211" s="170">
        <v>46024</v>
      </c>
    </row>
    <row r="3212" ht="14.25" spans="1:35">
      <c r="A3212" s="143">
        <v>3175</v>
      </c>
      <c r="B3212" s="144">
        <v>46024</v>
      </c>
      <c r="C3212" s="169" t="s">
        <v>3148</v>
      </c>
      <c r="E3212" s="196" t="s">
        <v>9019</v>
      </c>
      <c r="F3212" s="143" t="s">
        <v>9026</v>
      </c>
      <c r="H3212" s="143" t="s">
        <v>9027</v>
      </c>
      <c r="I3212" s="143" t="s">
        <v>3157</v>
      </c>
      <c r="J3212" s="143" t="s">
        <v>3684</v>
      </c>
      <c r="K3212" s="143">
        <v>150</v>
      </c>
      <c r="L3212" s="143">
        <v>150</v>
      </c>
      <c r="W3212" s="143" t="s">
        <v>294</v>
      </c>
      <c r="X3212" s="143" t="s">
        <v>9026</v>
      </c>
      <c r="Y3212" s="143" t="s">
        <v>294</v>
      </c>
      <c r="Z3212" s="143" t="s">
        <v>9026</v>
      </c>
      <c r="AA3212" s="238">
        <v>16.2</v>
      </c>
      <c r="AB3212" s="170">
        <v>46024</v>
      </c>
    </row>
    <row r="3213" ht="14.25" spans="1:35">
      <c r="A3213" s="143">
        <v>3176</v>
      </c>
      <c r="B3213" s="144">
        <v>46024</v>
      </c>
      <c r="C3213" s="169" t="s">
        <v>3148</v>
      </c>
      <c r="E3213" s="196" t="s">
        <v>9019</v>
      </c>
      <c r="F3213" s="143" t="s">
        <v>9028</v>
      </c>
      <c r="H3213" s="143" t="s">
        <v>9029</v>
      </c>
      <c r="I3213" s="143" t="s">
        <v>3157</v>
      </c>
      <c r="J3213" s="143" t="s">
        <v>3684</v>
      </c>
      <c r="K3213" s="143">
        <v>152</v>
      </c>
      <c r="L3213" s="143">
        <v>170</v>
      </c>
      <c r="W3213" s="143" t="s">
        <v>294</v>
      </c>
      <c r="X3213" s="143" t="s">
        <v>9028</v>
      </c>
      <c r="Y3213" s="143" t="s">
        <v>294</v>
      </c>
      <c r="Z3213" s="143" t="s">
        <v>9028</v>
      </c>
      <c r="AA3213" s="238">
        <v>17.5</v>
      </c>
      <c r="AB3213" s="170">
        <v>46024</v>
      </c>
    </row>
    <row r="3214" ht="14.25" spans="1:35">
      <c r="A3214" s="143">
        <v>3177</v>
      </c>
      <c r="B3214" s="144">
        <v>46024</v>
      </c>
      <c r="C3214" s="169" t="s">
        <v>3148</v>
      </c>
      <c r="E3214" s="196" t="s">
        <v>9019</v>
      </c>
      <c r="F3214" s="143" t="s">
        <v>9030</v>
      </c>
      <c r="H3214" s="143" t="s">
        <v>9031</v>
      </c>
      <c r="I3214" s="143" t="s">
        <v>7916</v>
      </c>
      <c r="J3214" s="143" t="s">
        <v>9032</v>
      </c>
      <c r="K3214" s="143">
        <v>150</v>
      </c>
      <c r="L3214" s="143">
        <v>260</v>
      </c>
      <c r="W3214" s="143" t="s">
        <v>294</v>
      </c>
      <c r="X3214" s="143" t="s">
        <v>9030</v>
      </c>
      <c r="Y3214" s="143" t="s">
        <v>294</v>
      </c>
      <c r="Z3214" s="143" t="s">
        <v>9030</v>
      </c>
      <c r="AA3214" s="238">
        <v>16.5</v>
      </c>
      <c r="AB3214" s="170">
        <v>46024</v>
      </c>
    </row>
    <row r="3215" ht="14.25" spans="1:35">
      <c r="A3215" s="143">
        <v>3178</v>
      </c>
      <c r="B3215" s="144">
        <v>46024</v>
      </c>
      <c r="C3215" s="169" t="s">
        <v>3148</v>
      </c>
      <c r="E3215" s="196" t="s">
        <v>9019</v>
      </c>
      <c r="F3215" s="143" t="s">
        <v>9033</v>
      </c>
      <c r="H3215" s="143" t="s">
        <v>9034</v>
      </c>
      <c r="I3215" s="143" t="s">
        <v>3157</v>
      </c>
      <c r="J3215" s="143" t="s">
        <v>3684</v>
      </c>
      <c r="K3215" s="143">
        <v>150</v>
      </c>
      <c r="L3215" s="143">
        <v>360</v>
      </c>
      <c r="W3215" s="143" t="s">
        <v>294</v>
      </c>
      <c r="X3215" s="143" t="s">
        <v>9033</v>
      </c>
      <c r="Y3215" s="143" t="s">
        <v>294</v>
      </c>
      <c r="Z3215" s="143" t="s">
        <v>9033</v>
      </c>
      <c r="AA3215" s="238">
        <v>18</v>
      </c>
      <c r="AB3215" s="170">
        <v>46024</v>
      </c>
    </row>
    <row r="3216" ht="14.25" spans="1:35">
      <c r="A3216" s="143">
        <v>3179</v>
      </c>
      <c r="B3216" s="144">
        <v>46024</v>
      </c>
      <c r="C3216" s="169" t="s">
        <v>3148</v>
      </c>
      <c r="E3216" s="196" t="s">
        <v>9019</v>
      </c>
      <c r="F3216" s="143" t="s">
        <v>9035</v>
      </c>
      <c r="H3216" s="143" t="s">
        <v>9036</v>
      </c>
      <c r="I3216" s="143" t="s">
        <v>3157</v>
      </c>
      <c r="J3216" s="143" t="s">
        <v>3684</v>
      </c>
      <c r="K3216" s="143">
        <v>150</v>
      </c>
      <c r="L3216" s="143">
        <v>310</v>
      </c>
      <c r="W3216" s="143" t="s">
        <v>294</v>
      </c>
      <c r="X3216" s="143" t="s">
        <v>9035</v>
      </c>
      <c r="Y3216" s="143" t="s">
        <v>294</v>
      </c>
      <c r="Z3216" s="143" t="s">
        <v>9035</v>
      </c>
      <c r="AA3216" s="238">
        <v>17.8</v>
      </c>
      <c r="AB3216" s="170">
        <v>46024</v>
      </c>
    </row>
    <row r="3217" ht="14.25" spans="1:28">
      <c r="A3217" s="143">
        <v>3180</v>
      </c>
      <c r="B3217" s="144">
        <v>46024</v>
      </c>
      <c r="C3217" s="169" t="s">
        <v>3148</v>
      </c>
      <c r="E3217" s="196" t="s">
        <v>9019</v>
      </c>
      <c r="F3217" s="143" t="s">
        <v>9037</v>
      </c>
      <c r="H3217" s="143" t="s">
        <v>9038</v>
      </c>
      <c r="I3217" s="143" t="s">
        <v>3157</v>
      </c>
      <c r="J3217" s="143" t="s">
        <v>3684</v>
      </c>
      <c r="K3217" s="143">
        <v>150</v>
      </c>
      <c r="L3217" s="143">
        <v>300</v>
      </c>
      <c r="W3217" s="143" t="s">
        <v>294</v>
      </c>
      <c r="X3217" s="143" t="s">
        <v>9037</v>
      </c>
      <c r="Y3217" s="143" t="s">
        <v>294</v>
      </c>
      <c r="Z3217" s="143" t="s">
        <v>9037</v>
      </c>
      <c r="AA3217" s="238">
        <v>17.5</v>
      </c>
      <c r="AB3217" s="170">
        <v>46024</v>
      </c>
    </row>
    <row r="3218" ht="14.25" spans="1:28">
      <c r="A3218" s="143">
        <v>3181</v>
      </c>
      <c r="B3218" s="144">
        <v>46024</v>
      </c>
      <c r="C3218" s="169" t="s">
        <v>3148</v>
      </c>
      <c r="E3218" s="196" t="s">
        <v>9019</v>
      </c>
      <c r="F3218" s="143" t="s">
        <v>9039</v>
      </c>
      <c r="H3218" s="143" t="s">
        <v>9040</v>
      </c>
      <c r="I3218" s="143" t="s">
        <v>3157</v>
      </c>
      <c r="J3218" s="143" t="s">
        <v>3684</v>
      </c>
      <c r="K3218" s="143">
        <v>150</v>
      </c>
      <c r="L3218" s="143">
        <v>300</v>
      </c>
      <c r="W3218" s="143" t="s">
        <v>294</v>
      </c>
      <c r="X3218" s="143" t="s">
        <v>9039</v>
      </c>
      <c r="Y3218" s="143" t="s">
        <v>294</v>
      </c>
      <c r="Z3218" s="143" t="s">
        <v>9039</v>
      </c>
      <c r="AA3218" s="238">
        <v>15</v>
      </c>
      <c r="AB3218" s="170">
        <v>46024</v>
      </c>
    </row>
    <row r="3219" ht="14.25" spans="1:28">
      <c r="A3219" s="143">
        <v>3182</v>
      </c>
      <c r="F3219" s="143" t="s">
        <v>9041</v>
      </c>
      <c r="H3219" s="143" t="s">
        <v>9042</v>
      </c>
      <c r="I3219" s="143" t="s">
        <v>3157</v>
      </c>
      <c r="J3219" s="143" t="s">
        <v>3684</v>
      </c>
      <c r="K3219" s="143">
        <v>155</v>
      </c>
      <c r="L3219" s="143">
        <v>195</v>
      </c>
      <c r="W3219" s="143" t="s">
        <v>294</v>
      </c>
      <c r="X3219" s="143" t="s">
        <v>9041</v>
      </c>
      <c r="Y3219" s="143" t="s">
        <v>294</v>
      </c>
      <c r="Z3219" s="143" t="s">
        <v>9041</v>
      </c>
      <c r="AA3219" s="238">
        <v>17</v>
      </c>
      <c r="AB3219" s="170">
        <v>46024</v>
      </c>
    </row>
    <row r="3220" ht="14.25" spans="1:28">
      <c r="A3220" s="143">
        <v>3183</v>
      </c>
      <c r="C3220" s="169"/>
      <c r="E3220" s="196"/>
      <c r="F3220" s="143" t="s">
        <v>9043</v>
      </c>
      <c r="H3220" s="143" t="s">
        <v>9044</v>
      </c>
      <c r="I3220" s="143" t="s">
        <v>3157</v>
      </c>
      <c r="J3220" s="143" t="s">
        <v>3684</v>
      </c>
      <c r="K3220" s="143">
        <v>150</v>
      </c>
      <c r="L3220" s="143">
        <v>270</v>
      </c>
      <c r="W3220" s="143" t="s">
        <v>294</v>
      </c>
      <c r="X3220" s="143" t="s">
        <v>9043</v>
      </c>
      <c r="Y3220" s="143" t="s">
        <v>294</v>
      </c>
      <c r="Z3220" s="143" t="s">
        <v>9043</v>
      </c>
      <c r="AA3220" s="238">
        <v>18.5</v>
      </c>
      <c r="AB3220" s="170">
        <v>46024</v>
      </c>
    </row>
    <row r="3221" ht="14.25" spans="1:28">
      <c r="A3221" s="143">
        <v>3184</v>
      </c>
      <c r="F3221" s="143" t="s">
        <v>9045</v>
      </c>
      <c r="H3221" s="143" t="s">
        <v>9046</v>
      </c>
      <c r="I3221" s="143" t="s">
        <v>3157</v>
      </c>
      <c r="J3221" s="143" t="s">
        <v>3684</v>
      </c>
      <c r="K3221" s="143">
        <v>153</v>
      </c>
      <c r="L3221" s="143">
        <v>250</v>
      </c>
      <c r="W3221" s="143" t="s">
        <v>294</v>
      </c>
      <c r="X3221" s="143" t="s">
        <v>9045</v>
      </c>
      <c r="Y3221" s="143" t="s">
        <v>294</v>
      </c>
      <c r="Z3221" s="143" t="s">
        <v>9045</v>
      </c>
      <c r="AA3221" s="238">
        <v>19.5</v>
      </c>
      <c r="AB3221" s="170">
        <v>46024</v>
      </c>
    </row>
    <row r="3222" ht="14.25" spans="1:28">
      <c r="A3222" s="143">
        <v>3185</v>
      </c>
      <c r="F3222" s="143" t="s">
        <v>9047</v>
      </c>
      <c r="H3222" s="143" t="s">
        <v>9048</v>
      </c>
      <c r="I3222" s="143" t="s">
        <v>3157</v>
      </c>
      <c r="J3222" s="143" t="s">
        <v>3684</v>
      </c>
      <c r="K3222" s="143">
        <v>155</v>
      </c>
      <c r="L3222" s="143">
        <v>190</v>
      </c>
      <c r="W3222" s="143" t="s">
        <v>294</v>
      </c>
      <c r="X3222" s="143" t="s">
        <v>9047</v>
      </c>
      <c r="Y3222" s="143" t="s">
        <v>294</v>
      </c>
      <c r="Z3222" s="143" t="s">
        <v>9047</v>
      </c>
      <c r="AA3222" s="238">
        <v>19</v>
      </c>
      <c r="AB3222" s="170">
        <v>46024</v>
      </c>
    </row>
    <row r="3223" spans="1:28">
      <c r="A3223" s="143">
        <v>3186</v>
      </c>
      <c r="B3223" s="144">
        <v>46031</v>
      </c>
      <c r="C3223" s="169" t="s">
        <v>3148</v>
      </c>
      <c r="E3223" s="196" t="s">
        <v>9049</v>
      </c>
      <c r="F3223" s="143" t="s">
        <v>9050</v>
      </c>
      <c r="H3223" s="143" t="s">
        <v>9051</v>
      </c>
      <c r="W3223" s="169" t="s">
        <v>9052</v>
      </c>
      <c r="Y3223" s="169" t="s">
        <v>9052</v>
      </c>
    </row>
    <row r="3224" spans="1:28">
      <c r="A3224" s="143">
        <v>3187</v>
      </c>
      <c r="B3224" s="144">
        <v>46031</v>
      </c>
      <c r="C3224" s="169" t="s">
        <v>3148</v>
      </c>
      <c r="E3224" s="196" t="s">
        <v>9049</v>
      </c>
      <c r="F3224" s="143" t="s">
        <v>9053</v>
      </c>
      <c r="H3224" s="143" t="s">
        <v>9054</v>
      </c>
      <c r="W3224" s="169" t="s">
        <v>9052</v>
      </c>
      <c r="Y3224" s="169" t="s">
        <v>9052</v>
      </c>
    </row>
    <row r="3225" spans="1:28">
      <c r="A3225" s="143">
        <v>3188</v>
      </c>
      <c r="B3225" s="144">
        <v>46031</v>
      </c>
      <c r="C3225" s="169" t="s">
        <v>3148</v>
      </c>
      <c r="E3225" s="196" t="s">
        <v>9049</v>
      </c>
      <c r="F3225" s="143" t="s">
        <v>9055</v>
      </c>
      <c r="H3225" s="143" t="s">
        <v>9056</v>
      </c>
      <c r="W3225" s="169" t="s">
        <v>9052</v>
      </c>
      <c r="Y3225" s="169" t="s">
        <v>9052</v>
      </c>
    </row>
    <row r="3226" spans="1:28">
      <c r="A3226" s="143">
        <v>3189</v>
      </c>
      <c r="B3226" s="144">
        <v>46031</v>
      </c>
      <c r="C3226" s="169" t="s">
        <v>3148</v>
      </c>
      <c r="E3226" s="196" t="s">
        <v>9049</v>
      </c>
      <c r="F3226" s="143" t="s">
        <v>9057</v>
      </c>
      <c r="H3226" s="143" t="s">
        <v>9058</v>
      </c>
      <c r="W3226" s="169" t="s">
        <v>9052</v>
      </c>
      <c r="Y3226" s="169" t="s">
        <v>9052</v>
      </c>
    </row>
    <row r="3227" spans="1:28">
      <c r="A3227" s="143">
        <v>3190</v>
      </c>
      <c r="B3227" s="144">
        <v>46031</v>
      </c>
      <c r="C3227" s="169" t="s">
        <v>3148</v>
      </c>
      <c r="E3227" s="196" t="s">
        <v>9049</v>
      </c>
      <c r="F3227" s="143" t="s">
        <v>9059</v>
      </c>
      <c r="H3227" s="143" t="s">
        <v>9060</v>
      </c>
      <c r="W3227" s="169" t="s">
        <v>9052</v>
      </c>
      <c r="Y3227" s="169" t="s">
        <v>9052</v>
      </c>
    </row>
    <row r="3228" spans="1:28">
      <c r="A3228" s="143">
        <v>3191</v>
      </c>
      <c r="B3228" s="144">
        <v>46031</v>
      </c>
      <c r="C3228" s="169" t="s">
        <v>3148</v>
      </c>
      <c r="E3228" s="196" t="s">
        <v>9049</v>
      </c>
      <c r="F3228" s="143" t="s">
        <v>9061</v>
      </c>
      <c r="H3228" s="143" t="s">
        <v>9062</v>
      </c>
      <c r="W3228" s="169" t="s">
        <v>9052</v>
      </c>
      <c r="Y3228" s="169" t="s">
        <v>9052</v>
      </c>
    </row>
    <row r="3229" spans="1:28">
      <c r="A3229" s="143">
        <v>3192</v>
      </c>
      <c r="B3229" s="144">
        <v>46031</v>
      </c>
      <c r="C3229" s="169" t="s">
        <v>3148</v>
      </c>
      <c r="E3229" s="196" t="s">
        <v>9049</v>
      </c>
      <c r="F3229" s="143" t="s">
        <v>9063</v>
      </c>
      <c r="H3229" s="143" t="s">
        <v>9064</v>
      </c>
      <c r="W3229" s="169" t="s">
        <v>9052</v>
      </c>
      <c r="Y3229" s="169" t="s">
        <v>9052</v>
      </c>
    </row>
    <row r="3230" spans="1:28">
      <c r="A3230" s="143">
        <v>3193</v>
      </c>
      <c r="B3230" s="144">
        <v>46031</v>
      </c>
      <c r="C3230" s="169" t="s">
        <v>3148</v>
      </c>
      <c r="E3230" s="196" t="s">
        <v>9049</v>
      </c>
      <c r="F3230" s="143" t="s">
        <v>9065</v>
      </c>
      <c r="H3230" s="143" t="s">
        <v>9066</v>
      </c>
      <c r="W3230" s="169" t="s">
        <v>9052</v>
      </c>
      <c r="Y3230" s="169" t="s">
        <v>9052</v>
      </c>
    </row>
    <row r="3231" spans="1:28">
      <c r="A3231" s="143">
        <v>3194</v>
      </c>
      <c r="B3231" s="144">
        <v>46031</v>
      </c>
      <c r="C3231" s="169" t="s">
        <v>3148</v>
      </c>
      <c r="E3231" s="196" t="s">
        <v>9049</v>
      </c>
      <c r="F3231" s="143" t="s">
        <v>9067</v>
      </c>
      <c r="H3231" s="143" t="s">
        <v>9068</v>
      </c>
      <c r="W3231" s="169" t="s">
        <v>9052</v>
      </c>
      <c r="Y3231" s="169" t="s">
        <v>9052</v>
      </c>
    </row>
    <row r="3232" spans="1:28">
      <c r="A3232" s="143">
        <v>3195</v>
      </c>
      <c r="B3232" s="144">
        <v>46031</v>
      </c>
      <c r="C3232" s="169" t="s">
        <v>3148</v>
      </c>
      <c r="E3232" s="196" t="s">
        <v>9049</v>
      </c>
      <c r="F3232" s="143" t="s">
        <v>9069</v>
      </c>
      <c r="H3232" s="143" t="s">
        <v>9070</v>
      </c>
      <c r="W3232" s="169" t="s">
        <v>9052</v>
      </c>
      <c r="Y3232" s="169" t="s">
        <v>9052</v>
      </c>
    </row>
    <row r="3233" spans="1:33">
      <c r="A3233" s="143">
        <v>3196</v>
      </c>
      <c r="B3233" s="144">
        <v>46031</v>
      </c>
      <c r="C3233" s="169" t="s">
        <v>3148</v>
      </c>
      <c r="E3233" s="196" t="s">
        <v>9049</v>
      </c>
      <c r="F3233" s="143" t="s">
        <v>9071</v>
      </c>
      <c r="H3233" s="143" t="s">
        <v>9072</v>
      </c>
      <c r="W3233" s="169" t="s">
        <v>9052</v>
      </c>
      <c r="Y3233" s="169" t="s">
        <v>9052</v>
      </c>
    </row>
    <row r="3234" spans="1:33">
      <c r="A3234" s="143">
        <v>3197</v>
      </c>
      <c r="B3234" s="144">
        <v>46031</v>
      </c>
      <c r="C3234" s="169" t="s">
        <v>3148</v>
      </c>
      <c r="E3234" s="196" t="s">
        <v>9049</v>
      </c>
      <c r="F3234" s="143" t="s">
        <v>9073</v>
      </c>
      <c r="H3234" s="143" t="s">
        <v>9074</v>
      </c>
      <c r="W3234" s="169" t="s">
        <v>9052</v>
      </c>
      <c r="Y3234" s="169" t="s">
        <v>9052</v>
      </c>
    </row>
    <row r="3235" spans="1:33">
      <c r="A3235" s="143">
        <v>3198</v>
      </c>
      <c r="B3235" s="144">
        <v>46031</v>
      </c>
      <c r="C3235" s="169" t="s">
        <v>3148</v>
      </c>
      <c r="E3235" s="196" t="s">
        <v>9049</v>
      </c>
      <c r="F3235" s="143" t="s">
        <v>9075</v>
      </c>
      <c r="H3235" s="143" t="s">
        <v>9076</v>
      </c>
      <c r="W3235" s="169" t="s">
        <v>9052</v>
      </c>
      <c r="Y3235" s="169" t="s">
        <v>9052</v>
      </c>
    </row>
    <row r="3236" spans="1:33">
      <c r="A3236" s="143">
        <v>3199</v>
      </c>
      <c r="B3236" s="144">
        <v>46031</v>
      </c>
      <c r="C3236" s="169" t="s">
        <v>3148</v>
      </c>
      <c r="E3236" s="196" t="s">
        <v>9049</v>
      </c>
      <c r="F3236" s="143" t="s">
        <v>9077</v>
      </c>
      <c r="H3236" s="143" t="s">
        <v>9078</v>
      </c>
      <c r="W3236" s="169" t="s">
        <v>9052</v>
      </c>
      <c r="Y3236" s="169" t="s">
        <v>9052</v>
      </c>
    </row>
    <row r="3237" spans="1:33">
      <c r="A3237" s="143">
        <v>3200</v>
      </c>
      <c r="B3237" s="144">
        <v>46031</v>
      </c>
      <c r="C3237" s="169" t="s">
        <v>3148</v>
      </c>
      <c r="E3237" s="196" t="s">
        <v>9049</v>
      </c>
      <c r="F3237" s="143" t="s">
        <v>9079</v>
      </c>
      <c r="H3237" s="143" t="s">
        <v>9080</v>
      </c>
      <c r="W3237" s="169" t="s">
        <v>9052</v>
      </c>
      <c r="Y3237" s="169" t="s">
        <v>9052</v>
      </c>
    </row>
    <row r="3238" spans="1:33">
      <c r="A3238" s="143">
        <v>3201</v>
      </c>
      <c r="B3238" s="144">
        <v>46031</v>
      </c>
      <c r="C3238" s="169" t="s">
        <v>3148</v>
      </c>
      <c r="E3238" s="196" t="s">
        <v>9049</v>
      </c>
      <c r="F3238" s="143" t="s">
        <v>9081</v>
      </c>
      <c r="H3238" s="143" t="s">
        <v>9082</v>
      </c>
      <c r="W3238" s="169" t="s">
        <v>9052</v>
      </c>
      <c r="Y3238" s="169" t="s">
        <v>9052</v>
      </c>
    </row>
    <row r="3239" spans="1:33">
      <c r="A3239" s="143">
        <v>3202</v>
      </c>
      <c r="B3239" s="144">
        <v>46034</v>
      </c>
      <c r="C3239" s="169" t="s">
        <v>3148</v>
      </c>
      <c r="D3239" s="145" t="s">
        <v>9083</v>
      </c>
      <c r="F3239" s="143" t="s">
        <v>9084</v>
      </c>
      <c r="H3239" s="143" t="s">
        <v>9085</v>
      </c>
      <c r="I3239" s="143" t="s">
        <v>3157</v>
      </c>
      <c r="J3239" s="143" t="s">
        <v>46</v>
      </c>
      <c r="K3239" s="143">
        <v>145</v>
      </c>
      <c r="L3239" s="143">
        <v>85</v>
      </c>
      <c r="W3239" s="143" t="s">
        <v>294</v>
      </c>
      <c r="X3239" s="143" t="s">
        <v>9084</v>
      </c>
      <c r="Y3239" s="169" t="s">
        <v>294</v>
      </c>
      <c r="Z3239" s="143" t="s">
        <v>9084</v>
      </c>
      <c r="AA3239" s="143">
        <v>18</v>
      </c>
      <c r="AB3239" s="191">
        <v>46034</v>
      </c>
    </row>
    <row r="3240" spans="1:33">
      <c r="A3240" s="143">
        <v>3203</v>
      </c>
      <c r="B3240" s="144">
        <v>46034</v>
      </c>
      <c r="C3240" s="169" t="s">
        <v>3148</v>
      </c>
      <c r="D3240" s="196" t="s">
        <v>9086</v>
      </c>
      <c r="F3240" s="143" t="s">
        <v>9087</v>
      </c>
      <c r="H3240" s="143" t="s">
        <v>9088</v>
      </c>
      <c r="I3240" s="143" t="s">
        <v>9089</v>
      </c>
      <c r="J3240" s="143" t="s">
        <v>1577</v>
      </c>
      <c r="K3240" s="143">
        <v>175</v>
      </c>
      <c r="L3240" s="143">
        <v>140</v>
      </c>
      <c r="W3240" s="143" t="s">
        <v>294</v>
      </c>
      <c r="X3240" s="143" t="s">
        <v>9087</v>
      </c>
      <c r="Y3240" s="169" t="s">
        <v>294</v>
      </c>
      <c r="Z3240" s="143" t="s">
        <v>9087</v>
      </c>
      <c r="AA3240" s="143">
        <v>7.8</v>
      </c>
      <c r="AB3240" s="191">
        <v>46034</v>
      </c>
      <c r="AG3240" s="143" t="s">
        <v>9090</v>
      </c>
    </row>
    <row r="3241" spans="1:33">
      <c r="A3241" s="143">
        <v>3204</v>
      </c>
      <c r="B3241" s="144">
        <v>46034</v>
      </c>
      <c r="C3241" s="169" t="s">
        <v>3148</v>
      </c>
      <c r="D3241" s="196" t="s">
        <v>9086</v>
      </c>
      <c r="F3241" s="143" t="s">
        <v>9091</v>
      </c>
      <c r="H3241" s="143" t="s">
        <v>9092</v>
      </c>
      <c r="I3241" s="143" t="s">
        <v>9089</v>
      </c>
      <c r="J3241" s="143" t="s">
        <v>1577</v>
      </c>
      <c r="K3241" s="143">
        <v>175</v>
      </c>
      <c r="L3241" s="143">
        <v>140</v>
      </c>
      <c r="W3241" s="143" t="s">
        <v>294</v>
      </c>
      <c r="X3241" s="143" t="s">
        <v>9091</v>
      </c>
      <c r="Y3241" s="169" t="s">
        <v>294</v>
      </c>
      <c r="Z3241" s="143" t="s">
        <v>9091</v>
      </c>
      <c r="AA3241" s="143">
        <v>7.8</v>
      </c>
      <c r="AB3241" s="191">
        <v>46034</v>
      </c>
      <c r="AG3241" s="143" t="s">
        <v>9090</v>
      </c>
    </row>
    <row r="3242" spans="1:33">
      <c r="A3242" s="143">
        <v>3205</v>
      </c>
      <c r="B3242" s="144">
        <v>46034</v>
      </c>
      <c r="C3242" s="169" t="s">
        <v>3148</v>
      </c>
      <c r="D3242" s="196" t="s">
        <v>9086</v>
      </c>
      <c r="F3242" s="143" t="s">
        <v>9093</v>
      </c>
      <c r="H3242" s="143" t="s">
        <v>9094</v>
      </c>
      <c r="I3242" s="143" t="s">
        <v>9089</v>
      </c>
      <c r="J3242" s="143" t="s">
        <v>1577</v>
      </c>
      <c r="K3242" s="143">
        <v>175</v>
      </c>
      <c r="L3242" s="143">
        <v>140</v>
      </c>
      <c r="W3242" s="143" t="s">
        <v>294</v>
      </c>
      <c r="X3242" s="143" t="s">
        <v>9093</v>
      </c>
      <c r="Y3242" s="169" t="s">
        <v>294</v>
      </c>
      <c r="Z3242" s="143" t="s">
        <v>9093</v>
      </c>
      <c r="AA3242" s="143">
        <v>7.8</v>
      </c>
      <c r="AB3242" s="191">
        <v>46034</v>
      </c>
      <c r="AG3242" s="143" t="s">
        <v>9090</v>
      </c>
    </row>
    <row r="3243" spans="1:33">
      <c r="A3243" s="143">
        <v>3206</v>
      </c>
      <c r="B3243" s="144">
        <v>46034</v>
      </c>
      <c r="C3243" s="169" t="s">
        <v>3148</v>
      </c>
      <c r="D3243" s="196" t="s">
        <v>9086</v>
      </c>
      <c r="F3243" s="169" t="s">
        <v>9095</v>
      </c>
      <c r="H3243" s="143" t="s">
        <v>9096</v>
      </c>
      <c r="I3243" s="169" t="s">
        <v>9097</v>
      </c>
      <c r="J3243" s="143" t="s">
        <v>1577</v>
      </c>
      <c r="K3243" s="143">
        <v>182</v>
      </c>
      <c r="L3243" s="143">
        <v>210</v>
      </c>
      <c r="W3243" s="143" t="s">
        <v>294</v>
      </c>
      <c r="X3243" s="169" t="s">
        <v>9095</v>
      </c>
      <c r="Y3243" s="169" t="s">
        <v>294</v>
      </c>
      <c r="Z3243" s="169" t="s">
        <v>9095</v>
      </c>
      <c r="AA3243" s="143">
        <v>10.8</v>
      </c>
      <c r="AB3243" s="191">
        <v>46034</v>
      </c>
      <c r="AG3243" s="143" t="s">
        <v>9098</v>
      </c>
    </row>
    <row r="3244" spans="1:33">
      <c r="A3244" s="143">
        <v>3207</v>
      </c>
      <c r="B3244" s="144">
        <v>46034</v>
      </c>
      <c r="C3244" s="169" t="s">
        <v>3148</v>
      </c>
      <c r="D3244" s="196" t="s">
        <v>9086</v>
      </c>
      <c r="F3244" s="169" t="s">
        <v>9099</v>
      </c>
      <c r="H3244" s="143" t="s">
        <v>9100</v>
      </c>
      <c r="I3244" s="143" t="s">
        <v>9101</v>
      </c>
      <c r="J3244" s="143" t="s">
        <v>5576</v>
      </c>
      <c r="K3244" s="143">
        <v>175</v>
      </c>
      <c r="L3244" s="143">
        <v>185</v>
      </c>
      <c r="W3244" s="143" t="s">
        <v>294</v>
      </c>
      <c r="X3244" s="169" t="s">
        <v>9099</v>
      </c>
      <c r="Y3244" s="169" t="s">
        <v>294</v>
      </c>
      <c r="Z3244" s="169" t="s">
        <v>9099</v>
      </c>
      <c r="AA3244" s="143">
        <v>10</v>
      </c>
      <c r="AB3244" s="191">
        <v>46034</v>
      </c>
      <c r="AG3244" s="143" t="s">
        <v>9102</v>
      </c>
    </row>
    <row r="3245" spans="1:33">
      <c r="A3245" s="143">
        <v>3208</v>
      </c>
      <c r="B3245" s="144">
        <v>46034</v>
      </c>
      <c r="C3245" s="169" t="s">
        <v>3148</v>
      </c>
      <c r="D3245" s="196" t="s">
        <v>9086</v>
      </c>
      <c r="F3245" s="143" t="s">
        <v>9103</v>
      </c>
      <c r="H3245" s="143" t="s">
        <v>9104</v>
      </c>
      <c r="I3245" s="143" t="s">
        <v>9101</v>
      </c>
      <c r="J3245" s="143" t="s">
        <v>5576</v>
      </c>
      <c r="K3245" s="143">
        <v>175</v>
      </c>
      <c r="L3245" s="143">
        <v>185</v>
      </c>
      <c r="W3245" s="143" t="s">
        <v>294</v>
      </c>
      <c r="X3245" s="143" t="s">
        <v>9103</v>
      </c>
      <c r="Y3245" s="169" t="s">
        <v>294</v>
      </c>
      <c r="Z3245" s="143" t="s">
        <v>9103</v>
      </c>
      <c r="AA3245" s="143">
        <v>10</v>
      </c>
      <c r="AB3245" s="191">
        <v>46034</v>
      </c>
      <c r="AG3245" s="143" t="s">
        <v>9102</v>
      </c>
    </row>
    <row r="3246" spans="1:33">
      <c r="A3246" s="143">
        <v>3209</v>
      </c>
      <c r="B3246" s="144">
        <v>46034</v>
      </c>
      <c r="C3246" s="169" t="s">
        <v>3148</v>
      </c>
      <c r="D3246" s="196" t="s">
        <v>9086</v>
      </c>
      <c r="F3246" s="143" t="s">
        <v>9105</v>
      </c>
      <c r="H3246" s="143" t="s">
        <v>9106</v>
      </c>
      <c r="I3246" s="143" t="s">
        <v>9101</v>
      </c>
      <c r="J3246" s="143" t="s">
        <v>5576</v>
      </c>
      <c r="K3246" s="143">
        <v>175</v>
      </c>
      <c r="L3246" s="143">
        <v>185</v>
      </c>
      <c r="W3246" s="143" t="s">
        <v>294</v>
      </c>
      <c r="X3246" s="143" t="s">
        <v>9105</v>
      </c>
      <c r="Y3246" s="169" t="s">
        <v>294</v>
      </c>
      <c r="Z3246" s="143" t="s">
        <v>9105</v>
      </c>
      <c r="AA3246" s="143">
        <v>10</v>
      </c>
      <c r="AB3246" s="191">
        <v>46034</v>
      </c>
      <c r="AG3246" s="143" t="s">
        <v>9102</v>
      </c>
    </row>
    <row r="3247" spans="1:33">
      <c r="A3247" s="143">
        <v>3210</v>
      </c>
      <c r="B3247" s="144">
        <v>46034</v>
      </c>
      <c r="C3247" s="169" t="s">
        <v>3148</v>
      </c>
      <c r="D3247" s="196" t="s">
        <v>9086</v>
      </c>
      <c r="F3247" s="143" t="s">
        <v>9107</v>
      </c>
      <c r="H3247" s="143" t="s">
        <v>9108</v>
      </c>
      <c r="I3247" s="143" t="s">
        <v>9101</v>
      </c>
      <c r="J3247" s="143" t="s">
        <v>5576</v>
      </c>
      <c r="K3247" s="143">
        <v>175</v>
      </c>
      <c r="L3247" s="143">
        <v>185</v>
      </c>
      <c r="W3247" s="143" t="s">
        <v>294</v>
      </c>
      <c r="X3247" s="143" t="s">
        <v>9107</v>
      </c>
      <c r="Y3247" s="169" t="s">
        <v>294</v>
      </c>
      <c r="Z3247" s="143" t="s">
        <v>9107</v>
      </c>
      <c r="AA3247" s="143">
        <v>10</v>
      </c>
      <c r="AB3247" s="191">
        <v>46034</v>
      </c>
      <c r="AG3247" s="143" t="s">
        <v>9102</v>
      </c>
    </row>
    <row r="3248" spans="1:33">
      <c r="A3248" s="143">
        <v>3211</v>
      </c>
      <c r="B3248" s="144">
        <v>46034</v>
      </c>
      <c r="C3248" s="169" t="s">
        <v>3148</v>
      </c>
      <c r="D3248" s="196" t="s">
        <v>9086</v>
      </c>
      <c r="F3248" s="143" t="s">
        <v>9109</v>
      </c>
      <c r="H3248" s="143" t="s">
        <v>9110</v>
      </c>
      <c r="I3248" s="143" t="s">
        <v>9101</v>
      </c>
      <c r="J3248" s="143" t="s">
        <v>5576</v>
      </c>
      <c r="K3248" s="143">
        <v>175</v>
      </c>
      <c r="L3248" s="143">
        <v>185</v>
      </c>
      <c r="W3248" s="143" t="s">
        <v>294</v>
      </c>
      <c r="X3248" s="143" t="s">
        <v>9109</v>
      </c>
      <c r="Y3248" s="169" t="s">
        <v>294</v>
      </c>
      <c r="Z3248" s="143" t="s">
        <v>9109</v>
      </c>
      <c r="AA3248" s="143">
        <v>10</v>
      </c>
      <c r="AB3248" s="191">
        <v>46034</v>
      </c>
      <c r="AG3248" s="143" t="s">
        <v>9102</v>
      </c>
    </row>
    <row r="3249" spans="1:34">
      <c r="A3249" s="143">
        <v>3212</v>
      </c>
      <c r="B3249" s="144">
        <v>46034</v>
      </c>
      <c r="C3249" s="169" t="s">
        <v>3148</v>
      </c>
      <c r="D3249" s="196" t="s">
        <v>9086</v>
      </c>
      <c r="F3249" s="169" t="s">
        <v>9111</v>
      </c>
      <c r="H3249" s="143" t="s">
        <v>9112</v>
      </c>
      <c r="I3249" s="143" t="s">
        <v>9089</v>
      </c>
      <c r="J3249" s="143" t="s">
        <v>1577</v>
      </c>
      <c r="K3249" s="143">
        <v>175</v>
      </c>
      <c r="L3249" s="143">
        <v>160</v>
      </c>
      <c r="W3249" s="143" t="s">
        <v>294</v>
      </c>
      <c r="X3249" s="169" t="s">
        <v>9111</v>
      </c>
      <c r="Y3249" s="169" t="s">
        <v>294</v>
      </c>
      <c r="Z3249" s="169" t="s">
        <v>9111</v>
      </c>
      <c r="AA3249" s="143">
        <v>8</v>
      </c>
      <c r="AB3249" s="191">
        <v>46034</v>
      </c>
      <c r="AG3249" s="143" t="s">
        <v>9098</v>
      </c>
    </row>
    <row r="3250" spans="1:34">
      <c r="A3250" s="143">
        <v>3213</v>
      </c>
      <c r="B3250" s="144">
        <v>46034</v>
      </c>
      <c r="C3250" s="169" t="s">
        <v>3148</v>
      </c>
      <c r="D3250" s="196" t="s">
        <v>9086</v>
      </c>
      <c r="F3250" s="143" t="s">
        <v>9113</v>
      </c>
      <c r="H3250" s="143" t="s">
        <v>9114</v>
      </c>
      <c r="I3250" s="143" t="s">
        <v>9089</v>
      </c>
      <c r="J3250" s="143" t="s">
        <v>1577</v>
      </c>
      <c r="K3250" s="143">
        <v>175</v>
      </c>
      <c r="L3250" s="143">
        <v>140</v>
      </c>
      <c r="W3250" s="143" t="s">
        <v>294</v>
      </c>
      <c r="X3250" s="143" t="s">
        <v>9113</v>
      </c>
      <c r="Y3250" s="169" t="s">
        <v>294</v>
      </c>
      <c r="Z3250" s="143" t="s">
        <v>9113</v>
      </c>
      <c r="AA3250" s="143">
        <v>7.8</v>
      </c>
      <c r="AB3250" s="191">
        <v>46034</v>
      </c>
      <c r="AG3250" s="143" t="s">
        <v>9090</v>
      </c>
    </row>
    <row r="3251" ht="17.25" spans="1:34">
      <c r="A3251" s="143">
        <v>3214</v>
      </c>
      <c r="B3251" s="144">
        <v>46034</v>
      </c>
      <c r="C3251" s="169" t="s">
        <v>3148</v>
      </c>
      <c r="D3251" s="196" t="s">
        <v>9086</v>
      </c>
      <c r="F3251" s="143" t="s">
        <v>9115</v>
      </c>
      <c r="H3251" s="143" t="s">
        <v>6507</v>
      </c>
      <c r="I3251" s="143" t="s">
        <v>9089</v>
      </c>
      <c r="J3251" s="143" t="s">
        <v>1577</v>
      </c>
      <c r="K3251" s="143">
        <v>175</v>
      </c>
      <c r="L3251" s="143">
        <v>140</v>
      </c>
      <c r="W3251" s="143" t="s">
        <v>294</v>
      </c>
      <c r="X3251" s="143" t="s">
        <v>9115</v>
      </c>
      <c r="Y3251" s="169" t="s">
        <v>294</v>
      </c>
      <c r="Z3251" s="143" t="s">
        <v>9115</v>
      </c>
      <c r="AA3251" s="241">
        <v>7.8</v>
      </c>
      <c r="AB3251" s="191">
        <v>46034</v>
      </c>
      <c r="AG3251" s="143" t="s">
        <v>9090</v>
      </c>
    </row>
    <row r="3252" spans="1:34">
      <c r="A3252" s="143">
        <v>3215</v>
      </c>
      <c r="B3252" s="144">
        <v>46034</v>
      </c>
      <c r="C3252" s="169" t="s">
        <v>3148</v>
      </c>
      <c r="D3252" s="196" t="s">
        <v>9086</v>
      </c>
      <c r="F3252" s="143" t="s">
        <v>9116</v>
      </c>
      <c r="H3252" s="143" t="s">
        <v>9117</v>
      </c>
      <c r="I3252" s="143" t="s">
        <v>9118</v>
      </c>
      <c r="J3252" s="143" t="s">
        <v>9119</v>
      </c>
      <c r="K3252" s="143">
        <v>150</v>
      </c>
      <c r="L3252" s="143">
        <v>130</v>
      </c>
      <c r="W3252" s="143" t="s">
        <v>294</v>
      </c>
      <c r="X3252" s="143" t="s">
        <v>9116</v>
      </c>
      <c r="Y3252" s="169" t="s">
        <v>294</v>
      </c>
      <c r="Z3252" s="143" t="s">
        <v>9116</v>
      </c>
      <c r="AA3252" s="143">
        <v>10.5</v>
      </c>
      <c r="AB3252" s="191">
        <v>46034</v>
      </c>
    </row>
    <row r="3253" spans="1:34">
      <c r="A3253" s="143">
        <v>3216</v>
      </c>
      <c r="B3253" s="144">
        <v>46034</v>
      </c>
      <c r="C3253" s="169" t="s">
        <v>3148</v>
      </c>
      <c r="D3253" s="196" t="s">
        <v>9086</v>
      </c>
      <c r="F3253" s="143" t="s">
        <v>9120</v>
      </c>
      <c r="H3253" s="143" t="s">
        <v>9121</v>
      </c>
      <c r="I3253" s="143" t="s">
        <v>9122</v>
      </c>
      <c r="J3253" s="143" t="s">
        <v>9123</v>
      </c>
      <c r="K3253" s="143">
        <v>150</v>
      </c>
      <c r="L3253" s="143">
        <v>130</v>
      </c>
      <c r="W3253" s="143" t="s">
        <v>294</v>
      </c>
      <c r="X3253" s="143" t="s">
        <v>9120</v>
      </c>
      <c r="Y3253" s="169" t="s">
        <v>294</v>
      </c>
      <c r="Z3253" s="143" t="s">
        <v>9120</v>
      </c>
      <c r="AA3253" s="143">
        <v>10.5</v>
      </c>
      <c r="AB3253" s="191">
        <v>46034</v>
      </c>
    </row>
    <row r="3254" spans="1:34">
      <c r="A3254" s="143">
        <v>3217</v>
      </c>
      <c r="B3254" s="144">
        <v>46034</v>
      </c>
      <c r="C3254" s="169" t="s">
        <v>3148</v>
      </c>
      <c r="D3254" s="196" t="s">
        <v>9086</v>
      </c>
      <c r="F3254" s="143" t="s">
        <v>9124</v>
      </c>
      <c r="H3254" s="143" t="s">
        <v>9125</v>
      </c>
      <c r="I3254" s="143" t="s">
        <v>9122</v>
      </c>
      <c r="J3254" s="143" t="s">
        <v>9123</v>
      </c>
      <c r="K3254" s="143">
        <v>150</v>
      </c>
      <c r="L3254" s="143">
        <v>140</v>
      </c>
      <c r="W3254" s="143" t="s">
        <v>294</v>
      </c>
      <c r="X3254" s="143" t="s">
        <v>9124</v>
      </c>
      <c r="Y3254" s="169" t="s">
        <v>294</v>
      </c>
      <c r="Z3254" s="143" t="s">
        <v>9124</v>
      </c>
      <c r="AA3254" s="143">
        <v>11.5</v>
      </c>
      <c r="AB3254" s="191">
        <v>46034</v>
      </c>
    </row>
    <row r="3255" spans="1:34">
      <c r="A3255" s="143">
        <v>3218</v>
      </c>
      <c r="B3255" s="144">
        <v>46034</v>
      </c>
      <c r="C3255" s="169" t="s">
        <v>3148</v>
      </c>
      <c r="D3255" s="196" t="s">
        <v>9086</v>
      </c>
      <c r="F3255" s="143" t="s">
        <v>9126</v>
      </c>
      <c r="H3255" s="143" t="s">
        <v>9127</v>
      </c>
      <c r="I3255" s="143" t="s">
        <v>9122</v>
      </c>
      <c r="J3255" s="143" t="s">
        <v>9123</v>
      </c>
      <c r="K3255" s="143">
        <v>150</v>
      </c>
      <c r="L3255" s="143">
        <v>155</v>
      </c>
      <c r="W3255" s="143" t="s">
        <v>294</v>
      </c>
      <c r="X3255" s="143" t="s">
        <v>9126</v>
      </c>
      <c r="Y3255" s="169" t="s">
        <v>294</v>
      </c>
      <c r="Z3255" s="143" t="s">
        <v>9126</v>
      </c>
      <c r="AA3255" s="143">
        <v>11</v>
      </c>
      <c r="AB3255" s="191">
        <v>46034</v>
      </c>
    </row>
    <row r="3256" spans="1:34">
      <c r="A3256" s="143">
        <v>3219</v>
      </c>
      <c r="B3256" s="144">
        <v>46034</v>
      </c>
      <c r="C3256" s="169" t="s">
        <v>3148</v>
      </c>
      <c r="D3256" s="196" t="s">
        <v>9086</v>
      </c>
      <c r="F3256" s="143" t="s">
        <v>9128</v>
      </c>
      <c r="H3256" s="143" t="s">
        <v>9129</v>
      </c>
      <c r="I3256" s="143" t="s">
        <v>9122</v>
      </c>
      <c r="J3256" s="143" t="s">
        <v>9123</v>
      </c>
      <c r="K3256" s="143">
        <v>150</v>
      </c>
      <c r="L3256" s="143">
        <v>155</v>
      </c>
      <c r="W3256" s="143" t="s">
        <v>294</v>
      </c>
      <c r="X3256" s="143" t="s">
        <v>9128</v>
      </c>
      <c r="Y3256" s="169" t="s">
        <v>294</v>
      </c>
      <c r="Z3256" s="143" t="s">
        <v>9128</v>
      </c>
      <c r="AA3256" s="143">
        <v>11</v>
      </c>
      <c r="AB3256" s="191">
        <v>46034</v>
      </c>
    </row>
    <row r="3257" spans="1:34">
      <c r="A3257" s="143">
        <v>3220</v>
      </c>
      <c r="B3257" s="144">
        <v>46034</v>
      </c>
      <c r="C3257" s="169" t="s">
        <v>3148</v>
      </c>
      <c r="D3257" s="196" t="s">
        <v>9086</v>
      </c>
      <c r="F3257" s="143" t="s">
        <v>9130</v>
      </c>
      <c r="H3257" s="143" t="s">
        <v>9131</v>
      </c>
      <c r="I3257" s="143" t="s">
        <v>324</v>
      </c>
      <c r="J3257" s="143" t="s">
        <v>1577</v>
      </c>
      <c r="K3257" s="143">
        <v>152</v>
      </c>
      <c r="L3257" s="143">
        <v>135</v>
      </c>
      <c r="W3257" s="143" t="s">
        <v>294</v>
      </c>
      <c r="X3257" s="143" t="s">
        <v>9130</v>
      </c>
      <c r="Y3257" s="169" t="s">
        <v>294</v>
      </c>
      <c r="Z3257" s="143" t="s">
        <v>9130</v>
      </c>
      <c r="AA3257" s="143">
        <v>12</v>
      </c>
      <c r="AB3257" s="191">
        <v>46034</v>
      </c>
    </row>
    <row r="3258" spans="1:34">
      <c r="A3258" s="143">
        <v>3221</v>
      </c>
      <c r="B3258" s="144">
        <v>46035</v>
      </c>
      <c r="C3258" s="169" t="s">
        <v>3148</v>
      </c>
      <c r="D3258" s="145" t="s">
        <v>41</v>
      </c>
      <c r="F3258" s="143" t="s">
        <v>9132</v>
      </c>
      <c r="H3258" s="143" t="s">
        <v>9133</v>
      </c>
      <c r="I3258" s="143" t="s">
        <v>9134</v>
      </c>
      <c r="J3258" s="143" t="s">
        <v>9135</v>
      </c>
      <c r="K3258" s="143">
        <v>150</v>
      </c>
      <c r="L3258" s="143">
        <v>45</v>
      </c>
      <c r="W3258" s="143" t="s">
        <v>294</v>
      </c>
      <c r="X3258" s="143" t="s">
        <v>9132</v>
      </c>
      <c r="Y3258" s="169" t="s">
        <v>294</v>
      </c>
      <c r="Z3258" s="143" t="s">
        <v>9132</v>
      </c>
      <c r="AA3258" s="143">
        <v>13</v>
      </c>
      <c r="AB3258" s="191">
        <v>46035</v>
      </c>
    </row>
    <row r="3259" spans="1:34">
      <c r="A3259" s="143">
        <v>3222</v>
      </c>
      <c r="B3259" s="144">
        <v>46035</v>
      </c>
      <c r="C3259" s="169" t="s">
        <v>3148</v>
      </c>
      <c r="D3259" s="145" t="s">
        <v>41</v>
      </c>
      <c r="F3259" s="143" t="s">
        <v>9136</v>
      </c>
      <c r="H3259" s="143" t="s">
        <v>9137</v>
      </c>
      <c r="I3259" s="143" t="s">
        <v>3218</v>
      </c>
      <c r="J3259" s="143" t="s">
        <v>1577</v>
      </c>
      <c r="K3259" s="143">
        <v>140</v>
      </c>
      <c r="L3259" s="143">
        <v>45</v>
      </c>
      <c r="W3259" s="143" t="s">
        <v>294</v>
      </c>
      <c r="X3259" s="143" t="s">
        <v>9136</v>
      </c>
      <c r="Y3259" s="169" t="s">
        <v>294</v>
      </c>
      <c r="Z3259" s="143" t="s">
        <v>9136</v>
      </c>
      <c r="AA3259" s="143">
        <v>13.5</v>
      </c>
      <c r="AB3259" s="191">
        <v>46035</v>
      </c>
    </row>
    <row r="3260" spans="1:34">
      <c r="A3260" s="143">
        <v>3223</v>
      </c>
      <c r="B3260" s="144">
        <v>46035</v>
      </c>
      <c r="C3260" s="169" t="s">
        <v>3148</v>
      </c>
      <c r="D3260" s="145" t="s">
        <v>41</v>
      </c>
      <c r="F3260" s="143" t="s">
        <v>9138</v>
      </c>
      <c r="H3260" s="143" t="s">
        <v>9139</v>
      </c>
      <c r="I3260" s="143" t="s">
        <v>3218</v>
      </c>
      <c r="J3260" s="143" t="s">
        <v>1577</v>
      </c>
      <c r="K3260" s="143">
        <v>140</v>
      </c>
      <c r="L3260" s="143">
        <v>45</v>
      </c>
      <c r="W3260" s="143" t="s">
        <v>294</v>
      </c>
      <c r="X3260" s="143" t="s">
        <v>9138</v>
      </c>
      <c r="Y3260" s="169" t="s">
        <v>294</v>
      </c>
      <c r="Z3260" s="143" t="s">
        <v>9138</v>
      </c>
      <c r="AA3260" s="143">
        <v>13.5</v>
      </c>
      <c r="AB3260" s="191">
        <v>46035</v>
      </c>
    </row>
    <row r="3261" spans="1:34">
      <c r="A3261" s="143">
        <v>3224</v>
      </c>
      <c r="B3261" s="144">
        <v>46035</v>
      </c>
      <c r="C3261" s="169" t="s">
        <v>3148</v>
      </c>
      <c r="D3261" s="145" t="s">
        <v>41</v>
      </c>
      <c r="F3261" s="143" t="s">
        <v>9140</v>
      </c>
      <c r="H3261" s="143" t="s">
        <v>9141</v>
      </c>
      <c r="I3261" s="143" t="s">
        <v>3218</v>
      </c>
      <c r="J3261" s="143" t="s">
        <v>1577</v>
      </c>
      <c r="K3261" s="143">
        <v>140</v>
      </c>
      <c r="L3261" s="143">
        <v>45</v>
      </c>
      <c r="W3261" s="143" t="s">
        <v>294</v>
      </c>
      <c r="X3261" s="143" t="s">
        <v>9140</v>
      </c>
      <c r="Y3261" s="169" t="s">
        <v>294</v>
      </c>
      <c r="Z3261" s="143" t="s">
        <v>9140</v>
      </c>
      <c r="AA3261" s="143">
        <v>13.5</v>
      </c>
      <c r="AB3261" s="191">
        <v>46035</v>
      </c>
    </row>
    <row r="3262" ht="33" spans="1:34">
      <c r="A3262" s="143">
        <v>3225</v>
      </c>
      <c r="B3262" s="144">
        <v>46038</v>
      </c>
      <c r="C3262" s="169" t="s">
        <v>3148</v>
      </c>
      <c r="D3262" s="143" t="s">
        <v>2338</v>
      </c>
      <c r="F3262" s="143" t="s">
        <v>9142</v>
      </c>
      <c r="H3262" s="143" t="s">
        <v>9143</v>
      </c>
      <c r="I3262" s="143" t="s">
        <v>3157</v>
      </c>
      <c r="J3262" s="143" t="s">
        <v>3684</v>
      </c>
      <c r="K3262" s="143">
        <v>160</v>
      </c>
      <c r="L3262" s="143">
        <v>185</v>
      </c>
      <c r="W3262" s="143" t="s">
        <v>294</v>
      </c>
      <c r="X3262" s="143" t="s">
        <v>9142</v>
      </c>
      <c r="Y3262" s="169" t="s">
        <v>294</v>
      </c>
      <c r="Z3262" s="143" t="s">
        <v>9142</v>
      </c>
      <c r="AA3262" s="243">
        <v>12.5</v>
      </c>
      <c r="AB3262" s="191">
        <v>46038</v>
      </c>
      <c r="AG3262" s="249" t="s">
        <v>8881</v>
      </c>
    </row>
    <row r="3263" ht="33" spans="1:34">
      <c r="A3263" s="143">
        <v>3226</v>
      </c>
      <c r="B3263" s="144">
        <v>46038</v>
      </c>
      <c r="C3263" s="169" t="s">
        <v>3148</v>
      </c>
      <c r="D3263" s="143" t="s">
        <v>2338</v>
      </c>
      <c r="F3263" s="143" t="s">
        <v>9144</v>
      </c>
      <c r="H3263" s="143" t="s">
        <v>9145</v>
      </c>
      <c r="I3263" s="143" t="s">
        <v>45</v>
      </c>
      <c r="J3263" s="143" t="s">
        <v>3684</v>
      </c>
      <c r="K3263" s="143">
        <v>150</v>
      </c>
      <c r="L3263" s="143">
        <v>250</v>
      </c>
      <c r="W3263" s="143" t="s">
        <v>294</v>
      </c>
      <c r="X3263" s="143" t="s">
        <v>9144</v>
      </c>
      <c r="Y3263" s="169" t="s">
        <v>294</v>
      </c>
      <c r="Z3263" s="143" t="s">
        <v>9144</v>
      </c>
      <c r="AA3263" s="143">
        <v>16</v>
      </c>
      <c r="AB3263" s="191">
        <v>46038</v>
      </c>
      <c r="AG3263" s="249" t="s">
        <v>8881</v>
      </c>
    </row>
    <row r="3264" ht="42.75" spans="1:34">
      <c r="A3264" s="143">
        <v>3227</v>
      </c>
      <c r="B3264" s="144">
        <v>46038</v>
      </c>
      <c r="C3264" s="169" t="s">
        <v>3148</v>
      </c>
      <c r="D3264" s="143" t="s">
        <v>2338</v>
      </c>
      <c r="F3264" s="143" t="s">
        <v>9146</v>
      </c>
      <c r="H3264" s="143" t="s">
        <v>9147</v>
      </c>
      <c r="I3264" s="143" t="s">
        <v>3157</v>
      </c>
      <c r="J3264" s="143" t="s">
        <v>3684</v>
      </c>
      <c r="K3264" s="143">
        <v>150</v>
      </c>
      <c r="L3264" s="143">
        <v>260</v>
      </c>
      <c r="W3264" s="143" t="s">
        <v>294</v>
      </c>
      <c r="X3264" s="143" t="s">
        <v>9146</v>
      </c>
      <c r="Y3264" s="169" t="s">
        <v>294</v>
      </c>
      <c r="Z3264" s="143" t="s">
        <v>9146</v>
      </c>
      <c r="AA3264" s="243" t="s">
        <v>9148</v>
      </c>
      <c r="AB3264" s="191">
        <v>46038</v>
      </c>
      <c r="AG3264" s="249" t="s">
        <v>8881</v>
      </c>
      <c r="AH3264" s="169" t="s">
        <v>9149</v>
      </c>
    </row>
    <row r="3265" ht="42.75" spans="1:34">
      <c r="A3265" s="143">
        <v>3228</v>
      </c>
      <c r="B3265" s="144">
        <v>46038</v>
      </c>
      <c r="C3265" s="169" t="s">
        <v>3148</v>
      </c>
      <c r="D3265" s="143" t="s">
        <v>2338</v>
      </c>
      <c r="F3265" s="143" t="s">
        <v>9150</v>
      </c>
      <c r="H3265" s="143" t="s">
        <v>9151</v>
      </c>
      <c r="I3265" s="143" t="s">
        <v>3157</v>
      </c>
      <c r="J3265" s="143" t="s">
        <v>3684</v>
      </c>
      <c r="K3265" s="143">
        <v>152</v>
      </c>
      <c r="L3265" s="143">
        <v>211</v>
      </c>
      <c r="W3265" s="143" t="s">
        <v>294</v>
      </c>
      <c r="X3265" s="143" t="s">
        <v>9150</v>
      </c>
      <c r="Y3265" s="169" t="s">
        <v>294</v>
      </c>
      <c r="Z3265" s="143" t="s">
        <v>9150</v>
      </c>
      <c r="AA3265" s="243" t="s">
        <v>9152</v>
      </c>
      <c r="AB3265" s="191">
        <v>46038</v>
      </c>
      <c r="AG3265" s="249" t="s">
        <v>8881</v>
      </c>
    </row>
    <row r="3266" ht="33" spans="1:34">
      <c r="A3266" s="143">
        <v>3229</v>
      </c>
      <c r="B3266" s="144">
        <v>46038</v>
      </c>
      <c r="C3266" s="169" t="s">
        <v>3148</v>
      </c>
      <c r="D3266" s="143" t="s">
        <v>2338</v>
      </c>
      <c r="F3266" s="143" t="s">
        <v>9153</v>
      </c>
      <c r="H3266" s="143" t="s">
        <v>9154</v>
      </c>
      <c r="I3266" s="143" t="s">
        <v>3157</v>
      </c>
      <c r="J3266" s="143" t="s">
        <v>3684</v>
      </c>
      <c r="K3266" s="143">
        <v>158</v>
      </c>
      <c r="L3266" s="143">
        <v>270</v>
      </c>
      <c r="W3266" s="143" t="s">
        <v>294</v>
      </c>
      <c r="X3266" s="143" t="s">
        <v>9153</v>
      </c>
      <c r="Y3266" s="169" t="s">
        <v>294</v>
      </c>
      <c r="Z3266" s="143" t="s">
        <v>9153</v>
      </c>
      <c r="AA3266" s="243">
        <v>15.5</v>
      </c>
      <c r="AB3266" s="191">
        <v>46101</v>
      </c>
      <c r="AG3266" s="249" t="s">
        <v>8881</v>
      </c>
      <c r="AH3266" s="143" t="s">
        <v>9155</v>
      </c>
    </row>
    <row r="3267" spans="1:34">
      <c r="A3267" s="143">
        <v>3230</v>
      </c>
      <c r="B3267" s="144">
        <v>46038</v>
      </c>
      <c r="C3267" s="169" t="s">
        <v>3277</v>
      </c>
      <c r="D3267" s="143" t="s">
        <v>9156</v>
      </c>
      <c r="F3267" s="143" t="s">
        <v>9157</v>
      </c>
      <c r="H3267" s="143" t="s">
        <v>9158</v>
      </c>
      <c r="I3267" s="143" t="s">
        <v>9159</v>
      </c>
      <c r="J3267" s="143" t="s">
        <v>2691</v>
      </c>
      <c r="K3267" s="143">
        <v>175</v>
      </c>
      <c r="L3267" s="143">
        <v>180</v>
      </c>
      <c r="Q3267" s="143" t="s">
        <v>4671</v>
      </c>
      <c r="W3267" s="143" t="s">
        <v>294</v>
      </c>
      <c r="X3267" s="143" t="s">
        <v>9157</v>
      </c>
      <c r="Y3267" s="143" t="s">
        <v>294</v>
      </c>
      <c r="Z3267" s="143" t="s">
        <v>9157</v>
      </c>
      <c r="AG3267" s="143">
        <v>14</v>
      </c>
    </row>
    <row r="3268" ht="16.5" spans="1:34">
      <c r="A3268" s="143">
        <v>3231</v>
      </c>
      <c r="B3268" s="144">
        <v>46043</v>
      </c>
      <c r="C3268" s="169" t="s">
        <v>3646</v>
      </c>
      <c r="D3268" s="143" t="s">
        <v>41</v>
      </c>
      <c r="E3268" s="145" t="s">
        <v>9160</v>
      </c>
      <c r="F3268" s="233" t="s">
        <v>9161</v>
      </c>
      <c r="G3268" s="169" t="s">
        <v>9162</v>
      </c>
      <c r="H3268" s="143" t="s">
        <v>9163</v>
      </c>
      <c r="I3268" s="143" t="s">
        <v>324</v>
      </c>
      <c r="J3268" s="233" t="s">
        <v>325</v>
      </c>
      <c r="K3268" s="207">
        <v>148</v>
      </c>
      <c r="L3268" s="207">
        <v>118</v>
      </c>
      <c r="Q3268" s="207" t="s">
        <v>9164</v>
      </c>
      <c r="W3268" s="169" t="s">
        <v>9165</v>
      </c>
      <c r="X3268" s="233" t="s">
        <v>9161</v>
      </c>
      <c r="AH3268" s="257" t="s">
        <v>9166</v>
      </c>
    </row>
    <row r="3269" ht="16.5" spans="1:34">
      <c r="A3269" s="143">
        <v>3232</v>
      </c>
      <c r="B3269" s="144">
        <v>46043</v>
      </c>
      <c r="C3269" s="169" t="s">
        <v>3646</v>
      </c>
      <c r="D3269" s="143" t="s">
        <v>41</v>
      </c>
      <c r="E3269" s="145" t="s">
        <v>9160</v>
      </c>
      <c r="F3269" s="233" t="s">
        <v>9167</v>
      </c>
      <c r="G3269" s="169" t="s">
        <v>9162</v>
      </c>
      <c r="H3269" s="143" t="s">
        <v>9168</v>
      </c>
      <c r="I3269" s="143" t="s">
        <v>324</v>
      </c>
      <c r="J3269" s="233" t="s">
        <v>325</v>
      </c>
      <c r="K3269" s="207">
        <v>148</v>
      </c>
      <c r="L3269" s="207">
        <v>85</v>
      </c>
      <c r="Q3269" s="207">
        <v>8.8</v>
      </c>
      <c r="W3269" s="169" t="s">
        <v>9165</v>
      </c>
      <c r="X3269" s="233" t="s">
        <v>9167</v>
      </c>
      <c r="AH3269" s="257" t="s">
        <v>9169</v>
      </c>
    </row>
    <row r="3270" ht="16.5" spans="1:34">
      <c r="A3270" s="143">
        <v>3233</v>
      </c>
      <c r="B3270" s="144">
        <v>46043</v>
      </c>
      <c r="C3270" s="169" t="s">
        <v>3646</v>
      </c>
      <c r="D3270" s="143" t="s">
        <v>41</v>
      </c>
      <c r="E3270" s="145" t="s">
        <v>9160</v>
      </c>
      <c r="F3270" s="233" t="s">
        <v>9170</v>
      </c>
      <c r="G3270" s="169" t="s">
        <v>9162</v>
      </c>
      <c r="H3270" s="143" t="s">
        <v>9171</v>
      </c>
      <c r="I3270" s="143" t="s">
        <v>9172</v>
      </c>
      <c r="J3270" s="233" t="s">
        <v>9173</v>
      </c>
      <c r="K3270" s="207">
        <v>148</v>
      </c>
      <c r="L3270" s="207" t="s">
        <v>9174</v>
      </c>
      <c r="Q3270" s="207">
        <v>8</v>
      </c>
      <c r="W3270" s="169" t="s">
        <v>9165</v>
      </c>
      <c r="X3270" s="233" t="s">
        <v>9170</v>
      </c>
      <c r="AH3270" s="257" t="s">
        <v>9169</v>
      </c>
    </row>
    <row r="3271" ht="16.5" spans="1:34">
      <c r="A3271" s="143">
        <v>3234</v>
      </c>
      <c r="B3271" s="144">
        <v>46043</v>
      </c>
      <c r="C3271" s="169" t="s">
        <v>3646</v>
      </c>
      <c r="D3271" s="143" t="s">
        <v>41</v>
      </c>
      <c r="E3271" s="145" t="s">
        <v>9160</v>
      </c>
      <c r="F3271" s="233" t="s">
        <v>9175</v>
      </c>
      <c r="G3271" s="169" t="s">
        <v>9162</v>
      </c>
      <c r="H3271" s="143" t="s">
        <v>9176</v>
      </c>
      <c r="I3271" s="143" t="s">
        <v>324</v>
      </c>
      <c r="J3271" s="233" t="s">
        <v>325</v>
      </c>
      <c r="K3271" s="207">
        <v>153</v>
      </c>
      <c r="L3271" s="207">
        <v>57</v>
      </c>
      <c r="Q3271" s="207">
        <v>6.3</v>
      </c>
      <c r="W3271" s="169" t="s">
        <v>9165</v>
      </c>
      <c r="X3271" s="233" t="s">
        <v>9175</v>
      </c>
      <c r="AH3271" s="257" t="s">
        <v>9177</v>
      </c>
    </row>
    <row r="3272" ht="16.5" spans="1:34">
      <c r="A3272" s="143">
        <v>3235</v>
      </c>
      <c r="B3272" s="144">
        <v>46043</v>
      </c>
      <c r="C3272" s="169" t="s">
        <v>3646</v>
      </c>
      <c r="D3272" s="143" t="s">
        <v>41</v>
      </c>
      <c r="E3272" s="145" t="s">
        <v>9160</v>
      </c>
      <c r="F3272" s="233" t="s">
        <v>9178</v>
      </c>
      <c r="G3272" s="169" t="s">
        <v>9162</v>
      </c>
      <c r="H3272" s="143" t="s">
        <v>9179</v>
      </c>
      <c r="I3272" s="143" t="s">
        <v>9180</v>
      </c>
      <c r="J3272" s="233" t="s">
        <v>9181</v>
      </c>
      <c r="K3272" s="207">
        <v>150</v>
      </c>
      <c r="L3272" s="207">
        <v>95</v>
      </c>
      <c r="Q3272" s="207">
        <v>9.6</v>
      </c>
      <c r="W3272" s="169" t="s">
        <v>9165</v>
      </c>
      <c r="X3272" s="233" t="s">
        <v>9178</v>
      </c>
      <c r="AH3272" s="257" t="s">
        <v>9182</v>
      </c>
    </row>
    <row r="3273" ht="16.5" spans="1:34">
      <c r="A3273" s="143">
        <v>3236</v>
      </c>
      <c r="B3273" s="144">
        <v>46043</v>
      </c>
      <c r="C3273" s="169" t="s">
        <v>3646</v>
      </c>
      <c r="D3273" s="143" t="s">
        <v>41</v>
      </c>
      <c r="E3273" s="145" t="s">
        <v>9160</v>
      </c>
      <c r="F3273" s="233" t="s">
        <v>9183</v>
      </c>
      <c r="G3273" s="169" t="s">
        <v>9162</v>
      </c>
      <c r="H3273" s="143" t="s">
        <v>9184</v>
      </c>
      <c r="I3273" s="143" t="s">
        <v>324</v>
      </c>
      <c r="J3273" s="233" t="s">
        <v>325</v>
      </c>
      <c r="K3273" s="207">
        <v>140</v>
      </c>
      <c r="L3273" s="207">
        <v>83</v>
      </c>
      <c r="Q3273" s="207">
        <v>10.2</v>
      </c>
      <c r="W3273" s="169" t="s">
        <v>9165</v>
      </c>
      <c r="X3273" s="233" t="s">
        <v>9183</v>
      </c>
      <c r="AH3273" s="257" t="s">
        <v>9185</v>
      </c>
    </row>
    <row r="3274" ht="16.5" spans="1:34">
      <c r="A3274" s="143">
        <v>3237</v>
      </c>
      <c r="B3274" s="144">
        <v>46043</v>
      </c>
      <c r="C3274" s="169" t="s">
        <v>3646</v>
      </c>
      <c r="D3274" s="143" t="s">
        <v>41</v>
      </c>
      <c r="E3274" s="145" t="s">
        <v>9160</v>
      </c>
      <c r="F3274" s="233" t="s">
        <v>9186</v>
      </c>
      <c r="G3274" s="169" t="s">
        <v>9162</v>
      </c>
      <c r="H3274" s="143" t="s">
        <v>9187</v>
      </c>
      <c r="I3274" s="143" t="s">
        <v>5491</v>
      </c>
      <c r="J3274" s="233" t="s">
        <v>2815</v>
      </c>
      <c r="K3274" s="207">
        <v>150</v>
      </c>
      <c r="L3274" s="207">
        <v>94</v>
      </c>
      <c r="Q3274" s="207">
        <v>9</v>
      </c>
      <c r="W3274" s="169" t="s">
        <v>9165</v>
      </c>
      <c r="X3274" s="233" t="s">
        <v>9186</v>
      </c>
      <c r="AH3274" s="257" t="s">
        <v>9169</v>
      </c>
    </row>
    <row r="3275" ht="16.5" spans="1:34">
      <c r="A3275" s="143">
        <v>3238</v>
      </c>
      <c r="B3275" s="144">
        <v>46043</v>
      </c>
      <c r="C3275" s="169" t="s">
        <v>3646</v>
      </c>
      <c r="D3275" s="143" t="s">
        <v>41</v>
      </c>
      <c r="E3275" s="145" t="s">
        <v>9160</v>
      </c>
      <c r="F3275" s="233" t="s">
        <v>9188</v>
      </c>
      <c r="G3275" s="169" t="s">
        <v>9162</v>
      </c>
      <c r="H3275" s="143" t="s">
        <v>9189</v>
      </c>
      <c r="I3275" s="143" t="s">
        <v>324</v>
      </c>
      <c r="J3275" s="233" t="s">
        <v>325</v>
      </c>
      <c r="K3275" s="207">
        <v>148</v>
      </c>
      <c r="L3275" s="207">
        <v>100</v>
      </c>
      <c r="Q3275" s="207">
        <v>9</v>
      </c>
      <c r="W3275" s="169" t="s">
        <v>9165</v>
      </c>
      <c r="X3275" s="233" t="s">
        <v>9188</v>
      </c>
      <c r="AH3275" s="257" t="s">
        <v>9190</v>
      </c>
    </row>
    <row r="3276" ht="16.5" spans="1:34">
      <c r="A3276" s="143">
        <v>3239</v>
      </c>
      <c r="B3276" s="144">
        <v>46043</v>
      </c>
      <c r="C3276" s="169" t="s">
        <v>3646</v>
      </c>
      <c r="D3276" s="143" t="s">
        <v>41</v>
      </c>
      <c r="E3276" s="145" t="s">
        <v>9160</v>
      </c>
      <c r="F3276" s="233" t="s">
        <v>9191</v>
      </c>
      <c r="G3276" s="169" t="s">
        <v>9162</v>
      </c>
      <c r="H3276" s="143" t="s">
        <v>9192</v>
      </c>
      <c r="I3276" s="143" t="s">
        <v>324</v>
      </c>
      <c r="J3276" s="233" t="s">
        <v>325</v>
      </c>
      <c r="K3276" s="207">
        <v>148</v>
      </c>
      <c r="L3276" s="207">
        <v>72</v>
      </c>
      <c r="Q3276" s="207">
        <v>9.4</v>
      </c>
      <c r="W3276" s="169" t="s">
        <v>9165</v>
      </c>
      <c r="X3276" s="233" t="s">
        <v>9191</v>
      </c>
      <c r="AH3276" s="257" t="s">
        <v>9190</v>
      </c>
    </row>
    <row r="3277" ht="16.5" spans="1:34">
      <c r="A3277" s="143">
        <v>3240</v>
      </c>
      <c r="B3277" s="144">
        <v>46043</v>
      </c>
      <c r="C3277" s="169" t="s">
        <v>3646</v>
      </c>
      <c r="D3277" s="143" t="s">
        <v>41</v>
      </c>
      <c r="E3277" s="145" t="s">
        <v>9160</v>
      </c>
      <c r="F3277" s="233" t="s">
        <v>9193</v>
      </c>
      <c r="G3277" s="169" t="s">
        <v>9162</v>
      </c>
      <c r="H3277" s="143" t="s">
        <v>9194</v>
      </c>
      <c r="I3277" s="143" t="s">
        <v>324</v>
      </c>
      <c r="J3277" s="233" t="s">
        <v>325</v>
      </c>
      <c r="K3277" s="207">
        <v>138</v>
      </c>
      <c r="L3277" s="207">
        <v>96</v>
      </c>
      <c r="Q3277" s="207">
        <v>12.2</v>
      </c>
      <c r="W3277" s="169" t="s">
        <v>9165</v>
      </c>
      <c r="X3277" s="233" t="s">
        <v>9193</v>
      </c>
      <c r="AH3277" s="257" t="s">
        <v>9185</v>
      </c>
    </row>
    <row r="3278" ht="16.5" spans="1:34">
      <c r="A3278" s="143">
        <v>3241</v>
      </c>
      <c r="B3278" s="144">
        <v>46043</v>
      </c>
      <c r="C3278" s="169" t="s">
        <v>3646</v>
      </c>
      <c r="D3278" s="143" t="s">
        <v>41</v>
      </c>
      <c r="E3278" s="145" t="s">
        <v>9160</v>
      </c>
      <c r="F3278" s="233" t="s">
        <v>9195</v>
      </c>
      <c r="G3278" s="169" t="s">
        <v>9162</v>
      </c>
      <c r="H3278" s="143" t="s">
        <v>9196</v>
      </c>
      <c r="I3278" s="143" t="s">
        <v>324</v>
      </c>
      <c r="J3278" s="233" t="s">
        <v>325</v>
      </c>
      <c r="K3278" s="207">
        <v>148</v>
      </c>
      <c r="L3278" s="207">
        <v>58</v>
      </c>
      <c r="Q3278" s="207">
        <v>5.6</v>
      </c>
      <c r="W3278" s="169" t="s">
        <v>9165</v>
      </c>
      <c r="X3278" s="233" t="s">
        <v>9195</v>
      </c>
      <c r="AH3278" s="257" t="s">
        <v>9197</v>
      </c>
    </row>
    <row r="3279" ht="16.5" spans="1:34">
      <c r="A3279" s="143">
        <v>3242</v>
      </c>
      <c r="B3279" s="144">
        <v>46043</v>
      </c>
      <c r="C3279" s="169" t="s">
        <v>3646</v>
      </c>
      <c r="D3279" s="143" t="s">
        <v>41</v>
      </c>
      <c r="E3279" s="145" t="s">
        <v>9160</v>
      </c>
      <c r="F3279" s="233" t="s">
        <v>9198</v>
      </c>
      <c r="G3279" s="169" t="s">
        <v>9162</v>
      </c>
      <c r="H3279" s="143" t="s">
        <v>9199</v>
      </c>
      <c r="I3279" s="143" t="s">
        <v>324</v>
      </c>
      <c r="J3279" s="233" t="s">
        <v>325</v>
      </c>
      <c r="K3279" s="207">
        <v>145</v>
      </c>
      <c r="L3279" s="207">
        <v>68</v>
      </c>
      <c r="Q3279" s="207" t="s">
        <v>9200</v>
      </c>
      <c r="W3279" s="169" t="s">
        <v>9165</v>
      </c>
      <c r="X3279" s="233" t="s">
        <v>9198</v>
      </c>
      <c r="AH3279" s="257" t="s">
        <v>9201</v>
      </c>
    </row>
    <row r="3280" spans="1:34">
      <c r="A3280" s="143">
        <v>3243</v>
      </c>
      <c r="B3280" s="144">
        <v>46043</v>
      </c>
      <c r="C3280" s="169" t="s">
        <v>3277</v>
      </c>
      <c r="D3280" s="143" t="s">
        <v>9156</v>
      </c>
      <c r="E3280" s="145" t="s">
        <v>9202</v>
      </c>
      <c r="F3280" s="143" t="s">
        <v>9203</v>
      </c>
      <c r="G3280" s="169" t="s">
        <v>5377</v>
      </c>
      <c r="H3280" s="143" t="s">
        <v>9204</v>
      </c>
      <c r="I3280" s="143" t="s">
        <v>3280</v>
      </c>
      <c r="J3280" s="143" t="s">
        <v>282</v>
      </c>
      <c r="K3280" s="143">
        <v>125</v>
      </c>
      <c r="W3280" s="169" t="s">
        <v>294</v>
      </c>
      <c r="X3280" s="143" t="s">
        <v>9203</v>
      </c>
      <c r="Y3280" s="169" t="s">
        <v>294</v>
      </c>
      <c r="Z3280" s="143" t="s">
        <v>9203</v>
      </c>
      <c r="AA3280" s="143">
        <v>23.5</v>
      </c>
      <c r="AB3280" s="191">
        <v>46041</v>
      </c>
    </row>
    <row r="3281" spans="1:28">
      <c r="A3281" s="143">
        <v>3244</v>
      </c>
      <c r="B3281" s="144">
        <v>46043</v>
      </c>
      <c r="C3281" s="169" t="s">
        <v>3277</v>
      </c>
      <c r="D3281" s="143" t="s">
        <v>9156</v>
      </c>
      <c r="E3281" s="145" t="s">
        <v>9202</v>
      </c>
      <c r="F3281" s="143" t="s">
        <v>9205</v>
      </c>
      <c r="G3281" s="169" t="s">
        <v>5377</v>
      </c>
      <c r="H3281" s="143" t="s">
        <v>9206</v>
      </c>
      <c r="I3281" s="143" t="s">
        <v>9207</v>
      </c>
      <c r="J3281" s="143" t="s">
        <v>4239</v>
      </c>
      <c r="K3281" s="143">
        <v>125</v>
      </c>
      <c r="W3281" s="169" t="s">
        <v>294</v>
      </c>
      <c r="X3281" s="143" t="s">
        <v>9205</v>
      </c>
      <c r="Y3281" s="169" t="s">
        <v>294</v>
      </c>
      <c r="Z3281" s="143" t="s">
        <v>9205</v>
      </c>
      <c r="AA3281" s="143">
        <v>38</v>
      </c>
      <c r="AB3281" s="191">
        <v>46041</v>
      </c>
    </row>
    <row r="3282" spans="1:28">
      <c r="A3282" s="143">
        <v>3245</v>
      </c>
      <c r="B3282" s="144">
        <v>46043</v>
      </c>
      <c r="C3282" s="169" t="s">
        <v>3277</v>
      </c>
      <c r="D3282" s="143" t="s">
        <v>9156</v>
      </c>
      <c r="E3282" s="145" t="s">
        <v>9202</v>
      </c>
      <c r="F3282" s="143" t="s">
        <v>9208</v>
      </c>
      <c r="G3282" s="169" t="s">
        <v>5377</v>
      </c>
      <c r="H3282" s="143" t="s">
        <v>9209</v>
      </c>
      <c r="I3282" s="143" t="s">
        <v>9207</v>
      </c>
      <c r="J3282" s="143" t="s">
        <v>4239</v>
      </c>
      <c r="K3282" s="143">
        <v>125</v>
      </c>
      <c r="W3282" s="169" t="s">
        <v>294</v>
      </c>
      <c r="X3282" s="143" t="s">
        <v>9208</v>
      </c>
      <c r="Y3282" s="169" t="s">
        <v>294</v>
      </c>
      <c r="Z3282" s="143" t="s">
        <v>9208</v>
      </c>
      <c r="AA3282" s="143">
        <v>38</v>
      </c>
      <c r="AB3282" s="191">
        <v>46041</v>
      </c>
    </row>
    <row r="3283" spans="1:28">
      <c r="A3283" s="143">
        <v>3246</v>
      </c>
      <c r="B3283" s="144">
        <v>46043</v>
      </c>
      <c r="C3283" s="169" t="s">
        <v>3277</v>
      </c>
      <c r="D3283" s="143" t="s">
        <v>9156</v>
      </c>
      <c r="E3283" s="145" t="s">
        <v>9202</v>
      </c>
      <c r="F3283" s="143" t="s">
        <v>9210</v>
      </c>
      <c r="G3283" s="169" t="s">
        <v>5377</v>
      </c>
      <c r="H3283" s="143" t="s">
        <v>9211</v>
      </c>
      <c r="I3283" s="143" t="s">
        <v>9207</v>
      </c>
      <c r="J3283" s="143" t="s">
        <v>4239</v>
      </c>
      <c r="K3283" s="143">
        <v>120</v>
      </c>
      <c r="W3283" s="169" t="s">
        <v>294</v>
      </c>
      <c r="X3283" s="143" t="s">
        <v>9210</v>
      </c>
      <c r="Y3283" s="169" t="s">
        <v>294</v>
      </c>
      <c r="Z3283" s="143" t="s">
        <v>9210</v>
      </c>
      <c r="AA3283" s="143">
        <v>38</v>
      </c>
      <c r="AB3283" s="191">
        <v>46041</v>
      </c>
    </row>
    <row r="3284" spans="1:28">
      <c r="A3284" s="143">
        <v>3247</v>
      </c>
      <c r="B3284" s="144">
        <v>46043</v>
      </c>
      <c r="C3284" s="169" t="s">
        <v>3277</v>
      </c>
      <c r="D3284" s="143" t="s">
        <v>9156</v>
      </c>
      <c r="E3284" s="145" t="s">
        <v>9202</v>
      </c>
      <c r="F3284" s="143" t="s">
        <v>9212</v>
      </c>
      <c r="G3284" s="169" t="s">
        <v>5377</v>
      </c>
      <c r="H3284" s="143" t="s">
        <v>9213</v>
      </c>
      <c r="I3284" s="143" t="s">
        <v>9207</v>
      </c>
      <c r="J3284" s="143" t="s">
        <v>4239</v>
      </c>
      <c r="K3284" s="143">
        <v>125</v>
      </c>
      <c r="W3284" s="169" t="s">
        <v>294</v>
      </c>
      <c r="X3284" s="143" t="s">
        <v>9212</v>
      </c>
      <c r="Y3284" s="169" t="s">
        <v>294</v>
      </c>
      <c r="Z3284" s="143" t="s">
        <v>9212</v>
      </c>
      <c r="AA3284" s="143">
        <v>38</v>
      </c>
      <c r="AB3284" s="191">
        <v>46041</v>
      </c>
    </row>
    <row r="3285" spans="1:28">
      <c r="A3285" s="143">
        <v>3248</v>
      </c>
      <c r="B3285" s="144">
        <v>46043</v>
      </c>
      <c r="C3285" s="169" t="s">
        <v>3277</v>
      </c>
      <c r="D3285" s="143" t="s">
        <v>9156</v>
      </c>
      <c r="E3285" s="145" t="s">
        <v>9202</v>
      </c>
      <c r="F3285" s="143" t="s">
        <v>9214</v>
      </c>
      <c r="G3285" s="169" t="s">
        <v>5377</v>
      </c>
      <c r="H3285" s="143" t="s">
        <v>9215</v>
      </c>
      <c r="I3285" s="143" t="s">
        <v>9207</v>
      </c>
      <c r="J3285" s="143" t="s">
        <v>4239</v>
      </c>
      <c r="K3285" s="143">
        <v>125</v>
      </c>
      <c r="W3285" s="169" t="s">
        <v>294</v>
      </c>
      <c r="X3285" s="143" t="s">
        <v>9214</v>
      </c>
      <c r="Y3285" s="169" t="s">
        <v>294</v>
      </c>
      <c r="Z3285" s="143" t="s">
        <v>9214</v>
      </c>
      <c r="AA3285" s="143">
        <v>38</v>
      </c>
      <c r="AB3285" s="191">
        <v>46041</v>
      </c>
    </row>
    <row r="3286" spans="1:28">
      <c r="A3286" s="143">
        <v>3249</v>
      </c>
      <c r="B3286" s="144">
        <v>46043</v>
      </c>
      <c r="C3286" s="169" t="s">
        <v>3277</v>
      </c>
      <c r="D3286" s="143" t="s">
        <v>9156</v>
      </c>
      <c r="E3286" s="145" t="s">
        <v>9202</v>
      </c>
      <c r="F3286" s="143" t="s">
        <v>9216</v>
      </c>
      <c r="G3286" s="169" t="s">
        <v>5377</v>
      </c>
      <c r="H3286" s="143" t="s">
        <v>9217</v>
      </c>
      <c r="I3286" s="143" t="s">
        <v>9207</v>
      </c>
      <c r="J3286" s="143" t="s">
        <v>4239</v>
      </c>
      <c r="K3286" s="143">
        <v>125</v>
      </c>
      <c r="W3286" s="169" t="s">
        <v>294</v>
      </c>
      <c r="X3286" s="143" t="s">
        <v>9216</v>
      </c>
      <c r="Y3286" s="169" t="s">
        <v>294</v>
      </c>
      <c r="Z3286" s="143" t="s">
        <v>9216</v>
      </c>
      <c r="AA3286" s="143">
        <v>32.5</v>
      </c>
      <c r="AB3286" s="191">
        <v>46041</v>
      </c>
    </row>
    <row r="3287" spans="1:28">
      <c r="A3287" s="143">
        <v>3250</v>
      </c>
      <c r="B3287" s="144">
        <v>46043</v>
      </c>
      <c r="C3287" s="169" t="s">
        <v>3277</v>
      </c>
      <c r="D3287" s="143" t="s">
        <v>9156</v>
      </c>
      <c r="E3287" s="145" t="s">
        <v>9202</v>
      </c>
      <c r="F3287" s="143" t="s">
        <v>9218</v>
      </c>
      <c r="G3287" s="169" t="s">
        <v>5377</v>
      </c>
      <c r="H3287" s="143" t="s">
        <v>9219</v>
      </c>
      <c r="I3287" s="143" t="s">
        <v>9207</v>
      </c>
      <c r="J3287" s="143" t="s">
        <v>4239</v>
      </c>
      <c r="K3287" s="143">
        <v>120</v>
      </c>
      <c r="W3287" s="169" t="s">
        <v>294</v>
      </c>
      <c r="X3287" s="143" t="s">
        <v>9218</v>
      </c>
      <c r="Y3287" s="169" t="s">
        <v>294</v>
      </c>
      <c r="Z3287" s="143" t="s">
        <v>9218</v>
      </c>
      <c r="AA3287" s="143">
        <v>25.5</v>
      </c>
      <c r="AB3287" s="191">
        <v>46041</v>
      </c>
    </row>
    <row r="3288" spans="1:28">
      <c r="A3288" s="143">
        <v>3251</v>
      </c>
      <c r="B3288" s="144">
        <v>46043</v>
      </c>
      <c r="C3288" s="169" t="s">
        <v>3277</v>
      </c>
      <c r="D3288" s="143" t="s">
        <v>9156</v>
      </c>
      <c r="E3288" s="145" t="s">
        <v>9202</v>
      </c>
      <c r="F3288" s="143" t="s">
        <v>9220</v>
      </c>
      <c r="G3288" s="169" t="s">
        <v>5377</v>
      </c>
      <c r="H3288" s="143" t="s">
        <v>9221</v>
      </c>
      <c r="I3288" s="143" t="s">
        <v>9207</v>
      </c>
      <c r="J3288" s="143" t="s">
        <v>4239</v>
      </c>
      <c r="K3288" s="143">
        <v>125</v>
      </c>
      <c r="W3288" s="169" t="s">
        <v>294</v>
      </c>
      <c r="X3288" s="143" t="s">
        <v>9220</v>
      </c>
      <c r="Y3288" s="169" t="s">
        <v>294</v>
      </c>
      <c r="Z3288" s="143" t="s">
        <v>9220</v>
      </c>
      <c r="AA3288" s="143">
        <v>32.5</v>
      </c>
      <c r="AB3288" s="191">
        <v>46041</v>
      </c>
    </row>
    <row r="3289" spans="1:28">
      <c r="A3289" s="143">
        <v>3252</v>
      </c>
      <c r="B3289" s="144">
        <v>46043</v>
      </c>
      <c r="C3289" s="169" t="s">
        <v>3277</v>
      </c>
      <c r="D3289" s="143" t="s">
        <v>9156</v>
      </c>
      <c r="E3289" s="145" t="s">
        <v>9222</v>
      </c>
      <c r="F3289" s="143" t="s">
        <v>9223</v>
      </c>
      <c r="G3289" s="169" t="s">
        <v>5377</v>
      </c>
      <c r="H3289" s="143" t="s">
        <v>9224</v>
      </c>
      <c r="I3289" s="143" t="s">
        <v>9225</v>
      </c>
      <c r="J3289" s="143" t="s">
        <v>1577</v>
      </c>
      <c r="K3289" s="143">
        <v>125</v>
      </c>
      <c r="W3289" s="169" t="s">
        <v>294</v>
      </c>
      <c r="X3289" s="143" t="s">
        <v>9223</v>
      </c>
      <c r="Y3289" s="169" t="s">
        <v>294</v>
      </c>
      <c r="Z3289" s="143" t="s">
        <v>9223</v>
      </c>
      <c r="AA3289" s="143">
        <v>25.5</v>
      </c>
      <c r="AB3289" s="191">
        <v>46041</v>
      </c>
    </row>
    <row r="3290" spans="1:28">
      <c r="A3290" s="143">
        <v>3253</v>
      </c>
      <c r="B3290" s="144">
        <v>46043</v>
      </c>
      <c r="C3290" s="169" t="s">
        <v>3277</v>
      </c>
      <c r="D3290" s="143" t="s">
        <v>9156</v>
      </c>
      <c r="E3290" s="145" t="s">
        <v>9222</v>
      </c>
      <c r="F3290" s="143" t="s">
        <v>9226</v>
      </c>
      <c r="G3290" s="169" t="s">
        <v>5377</v>
      </c>
      <c r="H3290" s="143" t="s">
        <v>9227</v>
      </c>
      <c r="I3290" s="143" t="s">
        <v>9225</v>
      </c>
      <c r="J3290" s="143" t="s">
        <v>1577</v>
      </c>
      <c r="K3290" s="143">
        <v>125</v>
      </c>
      <c r="W3290" s="169" t="s">
        <v>294</v>
      </c>
      <c r="X3290" s="143" t="s">
        <v>9226</v>
      </c>
      <c r="Y3290" s="169" t="s">
        <v>294</v>
      </c>
      <c r="Z3290" s="143" t="s">
        <v>9226</v>
      </c>
      <c r="AA3290" s="143">
        <v>25.5</v>
      </c>
      <c r="AB3290" s="191">
        <v>46041</v>
      </c>
    </row>
    <row r="3291" spans="1:28">
      <c r="A3291" s="143">
        <v>3254</v>
      </c>
      <c r="B3291" s="144">
        <v>46043</v>
      </c>
      <c r="C3291" s="169" t="s">
        <v>3277</v>
      </c>
      <c r="D3291" s="143" t="s">
        <v>9156</v>
      </c>
      <c r="E3291" s="145" t="s">
        <v>9222</v>
      </c>
      <c r="F3291" s="143" t="s">
        <v>9228</v>
      </c>
      <c r="G3291" s="169" t="s">
        <v>5377</v>
      </c>
      <c r="H3291" s="143" t="s">
        <v>9229</v>
      </c>
      <c r="I3291" s="143" t="s">
        <v>9225</v>
      </c>
      <c r="J3291" s="143" t="s">
        <v>1577</v>
      </c>
      <c r="K3291" s="143">
        <v>125</v>
      </c>
      <c r="W3291" s="169" t="s">
        <v>294</v>
      </c>
      <c r="X3291" s="143" t="s">
        <v>9228</v>
      </c>
      <c r="Y3291" s="169" t="s">
        <v>294</v>
      </c>
      <c r="Z3291" s="143" t="s">
        <v>9228</v>
      </c>
      <c r="AA3291" s="143">
        <v>25.5</v>
      </c>
      <c r="AB3291" s="191">
        <v>46041</v>
      </c>
    </row>
    <row r="3292" spans="1:28">
      <c r="A3292" s="143">
        <v>3255</v>
      </c>
      <c r="B3292" s="144">
        <v>46043</v>
      </c>
      <c r="C3292" s="169" t="s">
        <v>3277</v>
      </c>
      <c r="D3292" s="143" t="s">
        <v>9156</v>
      </c>
      <c r="E3292" s="145" t="s">
        <v>9222</v>
      </c>
      <c r="F3292" s="143" t="s">
        <v>9230</v>
      </c>
      <c r="G3292" s="169" t="s">
        <v>5377</v>
      </c>
      <c r="H3292" s="143" t="s">
        <v>9231</v>
      </c>
      <c r="I3292" s="143" t="s">
        <v>9225</v>
      </c>
      <c r="J3292" s="143" t="s">
        <v>1577</v>
      </c>
      <c r="K3292" s="143">
        <v>150</v>
      </c>
      <c r="W3292" s="169" t="s">
        <v>294</v>
      </c>
      <c r="X3292" s="143" t="s">
        <v>9230</v>
      </c>
      <c r="Y3292" s="169" t="s">
        <v>294</v>
      </c>
      <c r="Z3292" s="143" t="s">
        <v>9230</v>
      </c>
      <c r="AA3292" s="143">
        <v>13.5</v>
      </c>
      <c r="AB3292" s="191">
        <v>46041</v>
      </c>
    </row>
    <row r="3293" spans="1:28">
      <c r="A3293" s="143">
        <v>3256</v>
      </c>
      <c r="B3293" s="144">
        <v>46043</v>
      </c>
      <c r="C3293" s="169" t="s">
        <v>3277</v>
      </c>
      <c r="D3293" s="143" t="s">
        <v>9156</v>
      </c>
      <c r="E3293" s="145" t="s">
        <v>9222</v>
      </c>
      <c r="F3293" s="143" t="s">
        <v>9232</v>
      </c>
      <c r="G3293" s="169" t="s">
        <v>5377</v>
      </c>
      <c r="H3293" s="143" t="s">
        <v>9233</v>
      </c>
      <c r="I3293" s="143" t="s">
        <v>9225</v>
      </c>
      <c r="J3293" s="143" t="s">
        <v>1577</v>
      </c>
      <c r="K3293" s="143">
        <v>125</v>
      </c>
      <c r="W3293" s="169" t="s">
        <v>294</v>
      </c>
      <c r="X3293" s="143" t="s">
        <v>9232</v>
      </c>
      <c r="Y3293" s="169" t="s">
        <v>294</v>
      </c>
      <c r="Z3293" s="143" t="s">
        <v>9232</v>
      </c>
      <c r="AA3293" s="143">
        <v>25.5</v>
      </c>
      <c r="AB3293" s="191">
        <v>46041</v>
      </c>
    </row>
    <row r="3294" spans="1:28">
      <c r="A3294" s="143">
        <v>3257</v>
      </c>
      <c r="B3294" s="144">
        <v>46043</v>
      </c>
      <c r="C3294" s="169" t="s">
        <v>3277</v>
      </c>
      <c r="D3294" s="143" t="s">
        <v>9156</v>
      </c>
      <c r="E3294" s="145" t="s">
        <v>9234</v>
      </c>
      <c r="F3294" s="143" t="s">
        <v>9235</v>
      </c>
      <c r="G3294" s="169" t="s">
        <v>5377</v>
      </c>
      <c r="H3294" s="143" t="s">
        <v>9236</v>
      </c>
      <c r="I3294" s="143" t="s">
        <v>9237</v>
      </c>
      <c r="J3294" s="143" t="s">
        <v>2978</v>
      </c>
      <c r="K3294" s="143">
        <v>150</v>
      </c>
      <c r="W3294" s="169" t="s">
        <v>294</v>
      </c>
      <c r="X3294" s="143" t="s">
        <v>9235</v>
      </c>
      <c r="Y3294" s="169" t="s">
        <v>294</v>
      </c>
      <c r="Z3294" s="143" t="s">
        <v>9235</v>
      </c>
      <c r="AA3294" s="143">
        <v>17</v>
      </c>
      <c r="AB3294" s="191">
        <v>46041</v>
      </c>
    </row>
    <row r="3295" spans="1:28">
      <c r="A3295" s="143">
        <v>3258</v>
      </c>
      <c r="B3295" s="144">
        <v>46043</v>
      </c>
      <c r="C3295" s="169" t="s">
        <v>3277</v>
      </c>
      <c r="D3295" s="143" t="s">
        <v>9156</v>
      </c>
      <c r="E3295" s="145" t="s">
        <v>9238</v>
      </c>
      <c r="F3295" s="143" t="s">
        <v>9239</v>
      </c>
      <c r="G3295" s="169" t="s">
        <v>9240</v>
      </c>
      <c r="H3295" s="143" t="s">
        <v>9241</v>
      </c>
      <c r="I3295" s="143" t="s">
        <v>9225</v>
      </c>
      <c r="J3295" s="143" t="s">
        <v>1577</v>
      </c>
      <c r="K3295" s="143">
        <v>130</v>
      </c>
      <c r="W3295" s="169" t="s">
        <v>294</v>
      </c>
      <c r="X3295" s="143" t="s">
        <v>9239</v>
      </c>
      <c r="Y3295" s="169" t="s">
        <v>294</v>
      </c>
      <c r="Z3295" s="143" t="s">
        <v>9239</v>
      </c>
      <c r="AA3295" s="143">
        <v>14</v>
      </c>
      <c r="AB3295" s="191">
        <v>46041</v>
      </c>
    </row>
    <row r="3296" spans="1:28">
      <c r="A3296" s="143">
        <v>3259</v>
      </c>
      <c r="B3296" s="144">
        <v>46043</v>
      </c>
      <c r="C3296" s="169" t="s">
        <v>3277</v>
      </c>
      <c r="D3296" s="143" t="s">
        <v>9156</v>
      </c>
      <c r="E3296" s="145" t="s">
        <v>9242</v>
      </c>
      <c r="F3296" s="143" t="s">
        <v>9243</v>
      </c>
      <c r="G3296" s="169" t="s">
        <v>9240</v>
      </c>
      <c r="H3296" s="143" t="s">
        <v>9244</v>
      </c>
      <c r="I3296" s="143" t="s">
        <v>3157</v>
      </c>
      <c r="J3296" s="143" t="s">
        <v>3684</v>
      </c>
      <c r="K3296" s="143">
        <v>125</v>
      </c>
      <c r="W3296" s="169" t="s">
        <v>294</v>
      </c>
      <c r="X3296" s="143" t="s">
        <v>9243</v>
      </c>
      <c r="Y3296" s="169" t="s">
        <v>294</v>
      </c>
      <c r="Z3296" s="143" t="s">
        <v>9243</v>
      </c>
      <c r="AA3296" s="143">
        <v>48</v>
      </c>
      <c r="AB3296" s="191">
        <v>46041</v>
      </c>
    </row>
    <row r="3297" spans="1:28">
      <c r="A3297" s="143">
        <v>3260</v>
      </c>
      <c r="B3297" s="144">
        <v>46043</v>
      </c>
      <c r="C3297" s="169" t="s">
        <v>3277</v>
      </c>
      <c r="D3297" s="143" t="s">
        <v>9156</v>
      </c>
      <c r="E3297" s="145" t="s">
        <v>9242</v>
      </c>
      <c r="F3297" s="143" t="s">
        <v>9245</v>
      </c>
      <c r="G3297" s="169" t="s">
        <v>9240</v>
      </c>
      <c r="H3297" s="143" t="s">
        <v>9246</v>
      </c>
      <c r="I3297" s="143" t="s">
        <v>3157</v>
      </c>
      <c r="J3297" s="143" t="s">
        <v>3684</v>
      </c>
      <c r="K3297" s="143">
        <v>125</v>
      </c>
      <c r="W3297" s="169" t="s">
        <v>294</v>
      </c>
      <c r="X3297" s="143" t="s">
        <v>9245</v>
      </c>
      <c r="Y3297" s="169" t="s">
        <v>294</v>
      </c>
      <c r="Z3297" s="143" t="s">
        <v>9245</v>
      </c>
      <c r="AA3297" s="143">
        <v>51</v>
      </c>
      <c r="AB3297" s="191">
        <v>46041</v>
      </c>
    </row>
    <row r="3298" spans="1:28">
      <c r="A3298" s="143">
        <v>3261</v>
      </c>
      <c r="B3298" s="144">
        <v>46043</v>
      </c>
      <c r="C3298" s="169" t="s">
        <v>3277</v>
      </c>
      <c r="D3298" s="143" t="s">
        <v>9156</v>
      </c>
      <c r="E3298" s="145" t="s">
        <v>9242</v>
      </c>
      <c r="F3298" s="143" t="s">
        <v>9247</v>
      </c>
      <c r="G3298" s="169" t="s">
        <v>9240</v>
      </c>
      <c r="H3298" s="143" t="s">
        <v>9248</v>
      </c>
      <c r="I3298" s="143" t="s">
        <v>3224</v>
      </c>
      <c r="J3298" s="143" t="s">
        <v>1577</v>
      </c>
      <c r="K3298" s="143">
        <v>130</v>
      </c>
      <c r="W3298" s="169" t="s">
        <v>294</v>
      </c>
      <c r="X3298" s="143" t="s">
        <v>9247</v>
      </c>
      <c r="Y3298" s="169" t="s">
        <v>294</v>
      </c>
      <c r="Z3298" s="143" t="s">
        <v>9247</v>
      </c>
      <c r="AA3298" s="143">
        <v>33</v>
      </c>
      <c r="AB3298" s="191">
        <v>46041</v>
      </c>
    </row>
    <row r="3299" spans="1:28">
      <c r="A3299" s="143">
        <v>3262</v>
      </c>
      <c r="B3299" s="144">
        <v>46043</v>
      </c>
      <c r="C3299" s="169" t="s">
        <v>3277</v>
      </c>
      <c r="D3299" s="143" t="s">
        <v>9156</v>
      </c>
      <c r="E3299" s="145" t="s">
        <v>9249</v>
      </c>
      <c r="F3299" s="143" t="s">
        <v>6507</v>
      </c>
      <c r="G3299" s="169" t="s">
        <v>9240</v>
      </c>
      <c r="H3299" s="143" t="s">
        <v>9250</v>
      </c>
      <c r="I3299" s="143" t="s">
        <v>3157</v>
      </c>
      <c r="J3299" s="143" t="s">
        <v>3684</v>
      </c>
      <c r="K3299" s="143">
        <v>125</v>
      </c>
      <c r="W3299" s="169" t="s">
        <v>294</v>
      </c>
      <c r="X3299" s="143" t="s">
        <v>6507</v>
      </c>
      <c r="Y3299" s="169" t="s">
        <v>294</v>
      </c>
      <c r="Z3299" s="143" t="s">
        <v>6507</v>
      </c>
      <c r="AA3299" s="143">
        <v>47</v>
      </c>
      <c r="AB3299" s="191">
        <v>46041</v>
      </c>
    </row>
    <row r="3300" spans="1:28">
      <c r="A3300" s="143">
        <v>3263</v>
      </c>
      <c r="B3300" s="144">
        <v>46043</v>
      </c>
      <c r="C3300" s="169" t="s">
        <v>3277</v>
      </c>
      <c r="D3300" s="143" t="s">
        <v>9156</v>
      </c>
      <c r="E3300" s="145" t="s">
        <v>9242</v>
      </c>
      <c r="F3300" s="143" t="s">
        <v>9251</v>
      </c>
      <c r="G3300" s="169" t="s">
        <v>9240</v>
      </c>
      <c r="H3300" s="143" t="s">
        <v>9252</v>
      </c>
      <c r="I3300" s="143" t="s">
        <v>3157</v>
      </c>
      <c r="J3300" s="143" t="s">
        <v>3684</v>
      </c>
      <c r="K3300" s="143">
        <v>125</v>
      </c>
      <c r="W3300" s="169" t="s">
        <v>294</v>
      </c>
      <c r="X3300" s="143" t="s">
        <v>9251</v>
      </c>
      <c r="Y3300" s="169" t="s">
        <v>294</v>
      </c>
      <c r="Z3300" s="143" t="s">
        <v>9251</v>
      </c>
      <c r="AA3300" s="143">
        <v>51</v>
      </c>
      <c r="AB3300" s="191">
        <v>46041</v>
      </c>
    </row>
    <row r="3301" spans="1:28">
      <c r="A3301" s="143">
        <v>3264</v>
      </c>
      <c r="B3301" s="144">
        <v>46043</v>
      </c>
      <c r="C3301" s="169" t="s">
        <v>3277</v>
      </c>
      <c r="D3301" s="143" t="s">
        <v>9156</v>
      </c>
      <c r="E3301" s="145" t="s">
        <v>9253</v>
      </c>
      <c r="F3301" s="143" t="s">
        <v>9254</v>
      </c>
      <c r="G3301" s="169" t="s">
        <v>9255</v>
      </c>
      <c r="H3301" s="143" t="s">
        <v>9256</v>
      </c>
      <c r="I3301" s="143" t="s">
        <v>3224</v>
      </c>
      <c r="J3301" s="143" t="s">
        <v>1577</v>
      </c>
      <c r="K3301" s="143">
        <v>170</v>
      </c>
      <c r="W3301" s="169" t="s">
        <v>294</v>
      </c>
      <c r="X3301" s="143" t="s">
        <v>9254</v>
      </c>
      <c r="Y3301" s="169" t="s">
        <v>294</v>
      </c>
      <c r="Z3301" s="143" t="s">
        <v>9254</v>
      </c>
      <c r="AA3301" s="143">
        <v>15.5</v>
      </c>
      <c r="AB3301" s="191">
        <v>46041</v>
      </c>
    </row>
    <row r="3302" spans="1:28">
      <c r="A3302" s="143">
        <v>3265</v>
      </c>
      <c r="B3302" s="144">
        <v>46043</v>
      </c>
      <c r="C3302" s="169" t="s">
        <v>3277</v>
      </c>
      <c r="D3302" s="143" t="s">
        <v>9156</v>
      </c>
      <c r="E3302" s="145" t="s">
        <v>9253</v>
      </c>
      <c r="F3302" s="143" t="s">
        <v>9257</v>
      </c>
      <c r="G3302" s="169" t="s">
        <v>5377</v>
      </c>
      <c r="H3302" s="143" t="s">
        <v>9258</v>
      </c>
      <c r="I3302" s="143" t="s">
        <v>3224</v>
      </c>
      <c r="J3302" s="143" t="s">
        <v>1577</v>
      </c>
      <c r="K3302" s="143">
        <v>150</v>
      </c>
      <c r="W3302" s="169" t="s">
        <v>294</v>
      </c>
      <c r="X3302" s="143" t="s">
        <v>9257</v>
      </c>
      <c r="Y3302" s="169" t="s">
        <v>294</v>
      </c>
      <c r="Z3302" s="143" t="s">
        <v>9257</v>
      </c>
      <c r="AA3302" s="143">
        <v>6.5</v>
      </c>
      <c r="AB3302" s="191">
        <v>46041</v>
      </c>
    </row>
    <row r="3303" spans="1:28">
      <c r="A3303" s="143">
        <v>3266</v>
      </c>
      <c r="B3303" s="144">
        <v>46043</v>
      </c>
      <c r="C3303" s="169" t="s">
        <v>3277</v>
      </c>
      <c r="D3303" s="143" t="s">
        <v>9156</v>
      </c>
      <c r="E3303" s="145" t="s">
        <v>9253</v>
      </c>
      <c r="F3303" s="143" t="s">
        <v>9259</v>
      </c>
      <c r="G3303" s="169" t="s">
        <v>5377</v>
      </c>
      <c r="H3303" s="143" t="s">
        <v>9260</v>
      </c>
      <c r="I3303" s="143" t="s">
        <v>3224</v>
      </c>
      <c r="J3303" s="143" t="s">
        <v>1577</v>
      </c>
      <c r="K3303" s="143">
        <v>158</v>
      </c>
      <c r="W3303" s="169" t="s">
        <v>294</v>
      </c>
      <c r="X3303" s="143" t="s">
        <v>9259</v>
      </c>
      <c r="Y3303" s="169" t="s">
        <v>294</v>
      </c>
      <c r="Z3303" s="143" t="s">
        <v>9259</v>
      </c>
      <c r="AA3303" s="143">
        <v>5.5</v>
      </c>
      <c r="AB3303" s="191">
        <v>46041</v>
      </c>
    </row>
    <row r="3304" spans="1:28">
      <c r="A3304" s="143">
        <v>3267</v>
      </c>
      <c r="B3304" s="144">
        <v>46043</v>
      </c>
      <c r="C3304" s="169" t="s">
        <v>3277</v>
      </c>
      <c r="D3304" s="143" t="s">
        <v>9156</v>
      </c>
      <c r="E3304" s="145" t="s">
        <v>9261</v>
      </c>
      <c r="F3304" s="143" t="s">
        <v>9262</v>
      </c>
      <c r="G3304" s="169" t="s">
        <v>9263</v>
      </c>
      <c r="H3304" s="143" t="s">
        <v>9264</v>
      </c>
      <c r="I3304" s="143" t="s">
        <v>3224</v>
      </c>
      <c r="J3304" s="143" t="s">
        <v>1577</v>
      </c>
      <c r="K3304" s="143">
        <v>150</v>
      </c>
      <c r="W3304" s="169" t="s">
        <v>294</v>
      </c>
      <c r="X3304" s="143" t="s">
        <v>9262</v>
      </c>
      <c r="Y3304" s="169" t="s">
        <v>294</v>
      </c>
      <c r="Z3304" s="143" t="s">
        <v>9262</v>
      </c>
      <c r="AA3304" s="143">
        <v>6</v>
      </c>
      <c r="AB3304" s="191">
        <v>46041</v>
      </c>
    </row>
    <row r="3305" spans="1:28">
      <c r="A3305" s="143">
        <v>3268</v>
      </c>
      <c r="B3305" s="144">
        <v>46043</v>
      </c>
      <c r="C3305" s="169" t="s">
        <v>3277</v>
      </c>
      <c r="D3305" s="143" t="s">
        <v>9156</v>
      </c>
      <c r="E3305" s="145" t="s">
        <v>9265</v>
      </c>
      <c r="F3305" s="143" t="s">
        <v>9266</v>
      </c>
      <c r="G3305" s="169" t="s">
        <v>5377</v>
      </c>
      <c r="H3305" s="143" t="s">
        <v>9267</v>
      </c>
      <c r="I3305" s="143" t="s">
        <v>9268</v>
      </c>
      <c r="J3305" s="143" t="s">
        <v>880</v>
      </c>
      <c r="K3305" s="143">
        <v>150</v>
      </c>
      <c r="L3305" s="143">
        <v>110</v>
      </c>
      <c r="W3305" s="169" t="s">
        <v>294</v>
      </c>
      <c r="X3305" s="143" t="s">
        <v>9266</v>
      </c>
      <c r="Y3305" s="169" t="s">
        <v>294</v>
      </c>
      <c r="Z3305" s="143" t="s">
        <v>9266</v>
      </c>
      <c r="AA3305" s="143">
        <v>8.5</v>
      </c>
      <c r="AB3305" s="191">
        <v>46041</v>
      </c>
    </row>
    <row r="3306" spans="1:28">
      <c r="A3306" s="143">
        <v>3269</v>
      </c>
      <c r="B3306" s="144">
        <v>46045</v>
      </c>
      <c r="C3306" s="169" t="s">
        <v>3277</v>
      </c>
      <c r="D3306" s="143" t="s">
        <v>9156</v>
      </c>
      <c r="E3306" s="145" t="s">
        <v>9265</v>
      </c>
      <c r="F3306" s="143" t="s">
        <v>9269</v>
      </c>
      <c r="G3306" s="169" t="s">
        <v>5377</v>
      </c>
      <c r="H3306" s="143" t="s">
        <v>9270</v>
      </c>
      <c r="I3306" s="143" t="s">
        <v>3224</v>
      </c>
      <c r="J3306" s="143" t="s">
        <v>1577</v>
      </c>
      <c r="K3306" s="143">
        <v>150</v>
      </c>
      <c r="L3306" s="143">
        <v>170</v>
      </c>
      <c r="W3306" s="169" t="s">
        <v>294</v>
      </c>
      <c r="X3306" s="143" t="s">
        <v>9269</v>
      </c>
      <c r="Y3306" s="169" t="s">
        <v>294</v>
      </c>
      <c r="Z3306" s="143" t="s">
        <v>9269</v>
      </c>
      <c r="AA3306" s="143">
        <v>11</v>
      </c>
      <c r="AB3306" s="191">
        <v>46041</v>
      </c>
    </row>
    <row r="3307" spans="1:28">
      <c r="A3307" s="143">
        <v>3270</v>
      </c>
      <c r="B3307" s="144">
        <v>46045</v>
      </c>
      <c r="C3307" s="169" t="s">
        <v>3277</v>
      </c>
      <c r="D3307" s="143" t="s">
        <v>41</v>
      </c>
      <c r="E3307" s="196" t="s">
        <v>9271</v>
      </c>
      <c r="F3307" s="143" t="s">
        <v>9272</v>
      </c>
      <c r="G3307" s="169" t="s">
        <v>1185</v>
      </c>
      <c r="H3307" s="143" t="s">
        <v>9273</v>
      </c>
      <c r="I3307" s="143" t="s">
        <v>9274</v>
      </c>
      <c r="J3307" s="143" t="s">
        <v>9275</v>
      </c>
      <c r="K3307" s="143">
        <v>145</v>
      </c>
      <c r="L3307" s="143">
        <v>260</v>
      </c>
      <c r="W3307" s="169" t="s">
        <v>294</v>
      </c>
      <c r="X3307" s="143" t="s">
        <v>9272</v>
      </c>
      <c r="Y3307" s="169" t="s">
        <v>294</v>
      </c>
      <c r="Z3307" s="143" t="s">
        <v>9272</v>
      </c>
      <c r="AA3307" s="143">
        <v>19.5</v>
      </c>
      <c r="AB3307" s="191">
        <v>46044</v>
      </c>
    </row>
    <row r="3308" spans="1:28">
      <c r="A3308" s="143">
        <v>3271</v>
      </c>
      <c r="B3308" s="144">
        <v>46045</v>
      </c>
      <c r="C3308" s="169" t="s">
        <v>3277</v>
      </c>
      <c r="D3308" s="143" t="s">
        <v>41</v>
      </c>
      <c r="E3308" s="196" t="s">
        <v>9276</v>
      </c>
      <c r="F3308" s="169" t="s">
        <v>9277</v>
      </c>
      <c r="G3308" s="169" t="s">
        <v>1185</v>
      </c>
      <c r="H3308" s="143" t="s">
        <v>9278</v>
      </c>
      <c r="I3308" s="143" t="s">
        <v>5653</v>
      </c>
      <c r="J3308" s="143" t="s">
        <v>5138</v>
      </c>
      <c r="K3308" s="143">
        <v>150</v>
      </c>
      <c r="L3308" s="143">
        <v>270</v>
      </c>
      <c r="W3308" s="169" t="s">
        <v>294</v>
      </c>
      <c r="X3308" s="169" t="s">
        <v>9277</v>
      </c>
      <c r="Y3308" s="169" t="s">
        <v>294</v>
      </c>
      <c r="Z3308" s="169" t="s">
        <v>9277</v>
      </c>
      <c r="AA3308" s="143">
        <v>13</v>
      </c>
      <c r="AB3308" s="191">
        <v>46044</v>
      </c>
    </row>
    <row r="3309" spans="1:28">
      <c r="A3309" s="143">
        <v>3272</v>
      </c>
      <c r="B3309" s="144">
        <v>46045</v>
      </c>
      <c r="C3309" s="169" t="s">
        <v>3277</v>
      </c>
      <c r="D3309" s="143" t="s">
        <v>41</v>
      </c>
      <c r="E3309" s="196" t="s">
        <v>9279</v>
      </c>
      <c r="F3309" s="143" t="s">
        <v>9280</v>
      </c>
      <c r="G3309" s="169" t="s">
        <v>1185</v>
      </c>
      <c r="H3309" s="143" t="s">
        <v>9281</v>
      </c>
      <c r="I3309" s="143" t="s">
        <v>9282</v>
      </c>
      <c r="J3309" s="143" t="s">
        <v>9283</v>
      </c>
      <c r="K3309" s="143">
        <v>150</v>
      </c>
      <c r="L3309" s="143">
        <v>160</v>
      </c>
      <c r="W3309" s="169" t="s">
        <v>294</v>
      </c>
      <c r="X3309" s="143" t="s">
        <v>9280</v>
      </c>
      <c r="Y3309" s="169" t="s">
        <v>294</v>
      </c>
      <c r="Z3309" s="143" t="s">
        <v>9280</v>
      </c>
      <c r="AA3309" s="143">
        <v>13</v>
      </c>
      <c r="AB3309" s="191">
        <v>46044</v>
      </c>
    </row>
    <row r="3310" spans="1:28">
      <c r="A3310" s="143">
        <v>3273</v>
      </c>
      <c r="B3310" s="144">
        <v>46045</v>
      </c>
      <c r="C3310" s="169" t="s">
        <v>3277</v>
      </c>
      <c r="D3310" s="143" t="s">
        <v>41</v>
      </c>
      <c r="E3310" s="196" t="s">
        <v>9284</v>
      </c>
      <c r="F3310" s="143" t="s">
        <v>9285</v>
      </c>
      <c r="G3310" s="169" t="s">
        <v>1185</v>
      </c>
      <c r="H3310" s="143" t="s">
        <v>9286</v>
      </c>
      <c r="I3310" s="143" t="s">
        <v>9287</v>
      </c>
      <c r="J3310" s="143" t="s">
        <v>1478</v>
      </c>
      <c r="K3310" s="143">
        <v>150</v>
      </c>
      <c r="L3310" s="143">
        <v>100</v>
      </c>
      <c r="W3310" s="169" t="s">
        <v>294</v>
      </c>
      <c r="X3310" s="143" t="s">
        <v>9285</v>
      </c>
      <c r="Y3310" s="169" t="s">
        <v>294</v>
      </c>
      <c r="Z3310" s="143" t="s">
        <v>9285</v>
      </c>
      <c r="AA3310" s="143">
        <v>16.5</v>
      </c>
      <c r="AB3310" s="191">
        <v>46044</v>
      </c>
    </row>
    <row r="3311" spans="1:28">
      <c r="A3311" s="143">
        <v>3274</v>
      </c>
      <c r="B3311" s="144">
        <v>46045</v>
      </c>
      <c r="C3311" s="169" t="s">
        <v>3277</v>
      </c>
      <c r="D3311" s="143" t="s">
        <v>41</v>
      </c>
      <c r="E3311" s="196" t="s">
        <v>9288</v>
      </c>
      <c r="F3311" s="169" t="s">
        <v>9289</v>
      </c>
      <c r="G3311" s="169" t="s">
        <v>7422</v>
      </c>
      <c r="H3311" s="143" t="s">
        <v>9290</v>
      </c>
      <c r="I3311" s="143" t="s">
        <v>3390</v>
      </c>
      <c r="J3311" s="143" t="s">
        <v>4144</v>
      </c>
      <c r="K3311" s="143">
        <v>155</v>
      </c>
      <c r="L3311" s="143">
        <v>145</v>
      </c>
      <c r="Q3311" s="143" t="s">
        <v>7876</v>
      </c>
      <c r="W3311" s="169" t="s">
        <v>294</v>
      </c>
      <c r="X3311" s="169" t="s">
        <v>9289</v>
      </c>
      <c r="Y3311" s="169" t="s">
        <v>294</v>
      </c>
      <c r="Z3311" s="169" t="s">
        <v>9289</v>
      </c>
      <c r="AB3311" s="191"/>
    </row>
    <row r="3312" spans="1:28">
      <c r="A3312" s="143">
        <v>3275</v>
      </c>
      <c r="B3312" s="144">
        <v>46045</v>
      </c>
      <c r="C3312" s="169" t="s">
        <v>3277</v>
      </c>
      <c r="D3312" s="143" t="s">
        <v>41</v>
      </c>
      <c r="E3312" s="196" t="s">
        <v>9291</v>
      </c>
      <c r="F3312" s="143" t="s">
        <v>9292</v>
      </c>
      <c r="G3312" s="169" t="s">
        <v>1185</v>
      </c>
      <c r="H3312" s="143" t="s">
        <v>9293</v>
      </c>
      <c r="I3312" s="143" t="s">
        <v>3157</v>
      </c>
      <c r="J3312" s="143" t="s">
        <v>3684</v>
      </c>
      <c r="K3312" s="143">
        <v>145</v>
      </c>
      <c r="L3312" s="143">
        <v>240</v>
      </c>
      <c r="W3312" s="169" t="s">
        <v>294</v>
      </c>
      <c r="X3312" s="143" t="s">
        <v>9292</v>
      </c>
      <c r="Y3312" s="169" t="s">
        <v>294</v>
      </c>
      <c r="Z3312" s="143" t="s">
        <v>9292</v>
      </c>
      <c r="AA3312" s="143">
        <v>18</v>
      </c>
      <c r="AB3312" s="191">
        <v>46044</v>
      </c>
    </row>
    <row r="3313" spans="1:28">
      <c r="A3313" s="143">
        <v>3276</v>
      </c>
      <c r="B3313" s="144">
        <v>46045</v>
      </c>
      <c r="C3313" s="169" t="s">
        <v>3277</v>
      </c>
      <c r="D3313" s="143" t="s">
        <v>41</v>
      </c>
      <c r="E3313" s="196" t="s">
        <v>9294</v>
      </c>
      <c r="F3313" s="169" t="s">
        <v>9295</v>
      </c>
      <c r="G3313" s="169" t="s">
        <v>1185</v>
      </c>
      <c r="H3313" s="143" t="s">
        <v>9296</v>
      </c>
      <c r="I3313" s="143" t="s">
        <v>3218</v>
      </c>
      <c r="J3313" s="143" t="s">
        <v>1577</v>
      </c>
      <c r="K3313" s="143">
        <v>150</v>
      </c>
      <c r="L3313" s="143">
        <v>240</v>
      </c>
      <c r="W3313" s="169" t="s">
        <v>294</v>
      </c>
      <c r="X3313" s="169" t="s">
        <v>9295</v>
      </c>
      <c r="Y3313" s="169" t="s">
        <v>294</v>
      </c>
      <c r="Z3313" s="169" t="s">
        <v>9295</v>
      </c>
      <c r="AA3313" s="143">
        <v>15</v>
      </c>
      <c r="AB3313" s="191">
        <v>46044</v>
      </c>
    </row>
    <row r="3314" spans="1:28">
      <c r="A3314" s="143">
        <v>3277</v>
      </c>
      <c r="B3314" s="144">
        <v>46045</v>
      </c>
      <c r="C3314" s="169" t="s">
        <v>3277</v>
      </c>
      <c r="D3314" s="143" t="s">
        <v>41</v>
      </c>
      <c r="E3314" s="196" t="s">
        <v>9297</v>
      </c>
      <c r="F3314" s="143" t="s">
        <v>9298</v>
      </c>
      <c r="G3314" s="169" t="s">
        <v>1185</v>
      </c>
      <c r="H3314" s="143" t="s">
        <v>9299</v>
      </c>
      <c r="I3314" s="143" t="s">
        <v>4491</v>
      </c>
      <c r="J3314" s="143" t="s">
        <v>9300</v>
      </c>
      <c r="K3314" s="143">
        <v>150</v>
      </c>
      <c r="L3314" s="143">
        <v>75</v>
      </c>
      <c r="W3314" s="169" t="s">
        <v>294</v>
      </c>
      <c r="X3314" s="143" t="s">
        <v>9301</v>
      </c>
      <c r="Y3314" s="169" t="s">
        <v>294</v>
      </c>
      <c r="Z3314" s="143" t="s">
        <v>9301</v>
      </c>
      <c r="AA3314" s="143">
        <v>6.8</v>
      </c>
      <c r="AB3314" s="191">
        <v>46044</v>
      </c>
    </row>
    <row r="3315" spans="1:28">
      <c r="A3315" s="143">
        <v>3278</v>
      </c>
      <c r="B3315" s="144">
        <v>46056</v>
      </c>
      <c r="C3315" s="169" t="s">
        <v>3148</v>
      </c>
      <c r="D3315" s="143" t="s">
        <v>9302</v>
      </c>
      <c r="F3315" s="143" t="s">
        <v>9303</v>
      </c>
      <c r="G3315" s="169" t="s">
        <v>1185</v>
      </c>
      <c r="H3315" s="143" t="s">
        <v>9304</v>
      </c>
      <c r="I3315" s="143" t="s">
        <v>3218</v>
      </c>
      <c r="J3315" s="143" t="s">
        <v>1577</v>
      </c>
      <c r="K3315" s="143">
        <v>146</v>
      </c>
      <c r="L3315" s="143">
        <v>213</v>
      </c>
      <c r="W3315" s="169" t="s">
        <v>9305</v>
      </c>
      <c r="X3315" s="143" t="s">
        <v>9303</v>
      </c>
      <c r="Y3315" s="169" t="s">
        <v>9305</v>
      </c>
      <c r="Z3315" s="143" t="s">
        <v>9303</v>
      </c>
      <c r="AA3315" s="143">
        <v>8.5</v>
      </c>
      <c r="AB3315" s="191">
        <v>46056</v>
      </c>
    </row>
    <row r="3316" spans="1:28">
      <c r="A3316" s="143">
        <v>3279</v>
      </c>
      <c r="B3316" s="144">
        <v>46056</v>
      </c>
      <c r="C3316" s="169" t="s">
        <v>3148</v>
      </c>
      <c r="D3316" s="143" t="s">
        <v>9302</v>
      </c>
      <c r="F3316" s="143" t="s">
        <v>9306</v>
      </c>
      <c r="H3316" s="143" t="s">
        <v>9307</v>
      </c>
      <c r="I3316" s="143" t="s">
        <v>3218</v>
      </c>
      <c r="J3316" s="143" t="s">
        <v>1577</v>
      </c>
      <c r="K3316" s="143">
        <v>146</v>
      </c>
      <c r="L3316" s="143">
        <v>206</v>
      </c>
      <c r="W3316" s="169" t="s">
        <v>9305</v>
      </c>
      <c r="X3316" s="143" t="s">
        <v>9306</v>
      </c>
      <c r="Y3316" s="169" t="s">
        <v>9305</v>
      </c>
      <c r="Z3316" s="143" t="s">
        <v>9306</v>
      </c>
      <c r="AA3316" s="143">
        <v>8.5</v>
      </c>
      <c r="AB3316" s="191">
        <v>46057</v>
      </c>
    </row>
    <row r="3317" spans="1:28">
      <c r="A3317" s="143">
        <v>3280</v>
      </c>
      <c r="B3317" s="144">
        <v>46057</v>
      </c>
      <c r="C3317" s="169" t="s">
        <v>3148</v>
      </c>
      <c r="D3317" s="169" t="s">
        <v>9308</v>
      </c>
      <c r="F3317" s="143" t="s">
        <v>9309</v>
      </c>
      <c r="G3317" s="169" t="s">
        <v>1185</v>
      </c>
      <c r="H3317" s="143" t="s">
        <v>9310</v>
      </c>
      <c r="I3317" s="143" t="s">
        <v>3390</v>
      </c>
      <c r="K3317" s="143">
        <v>150</v>
      </c>
      <c r="W3317" s="143" t="s">
        <v>3147</v>
      </c>
      <c r="X3317" s="143" t="s">
        <v>9309</v>
      </c>
      <c r="Y3317" s="169" t="s">
        <v>9311</v>
      </c>
      <c r="Z3317" s="143" t="s">
        <v>9309</v>
      </c>
    </row>
    <row r="3318" spans="1:28">
      <c r="A3318" s="143">
        <v>3281</v>
      </c>
      <c r="B3318" s="144">
        <v>46078</v>
      </c>
      <c r="C3318" s="169" t="s">
        <v>3148</v>
      </c>
      <c r="D3318" s="169" t="s">
        <v>9312</v>
      </c>
      <c r="F3318" s="169" t="s">
        <v>9313</v>
      </c>
      <c r="G3318" s="169" t="s">
        <v>1185</v>
      </c>
      <c r="H3318" s="143" t="s">
        <v>9314</v>
      </c>
      <c r="I3318" s="143" t="s">
        <v>3218</v>
      </c>
      <c r="K3318" s="143">
        <v>150</v>
      </c>
      <c r="L3318" s="143">
        <v>81</v>
      </c>
      <c r="W3318" s="143" t="s">
        <v>3147</v>
      </c>
      <c r="X3318" s="169" t="s">
        <v>9313</v>
      </c>
      <c r="Y3318" s="143" t="s">
        <v>3147</v>
      </c>
      <c r="Z3318" s="169" t="s">
        <v>9313</v>
      </c>
      <c r="AA3318" s="143">
        <v>3.2</v>
      </c>
      <c r="AB3318" s="191">
        <v>46078</v>
      </c>
    </row>
    <row r="3319" spans="1:28">
      <c r="A3319" s="143">
        <v>3282</v>
      </c>
      <c r="B3319" s="144">
        <v>45714</v>
      </c>
      <c r="C3319" s="169" t="s">
        <v>3646</v>
      </c>
      <c r="D3319" s="169" t="s">
        <v>9315</v>
      </c>
      <c r="F3319" s="169" t="s">
        <v>9316</v>
      </c>
      <c r="G3319" s="169" t="s">
        <v>1185</v>
      </c>
      <c r="H3319" s="143" t="s">
        <v>9317</v>
      </c>
      <c r="I3319" s="143" t="s">
        <v>9318</v>
      </c>
      <c r="K3319" s="143">
        <v>150</v>
      </c>
      <c r="L3319" s="143">
        <v>250</v>
      </c>
      <c r="W3319" s="169" t="s">
        <v>294</v>
      </c>
      <c r="X3319" s="169" t="s">
        <v>9319</v>
      </c>
      <c r="AA3319" s="143" t="s">
        <v>9320</v>
      </c>
    </row>
    <row r="3320" spans="1:28">
      <c r="A3320" s="143">
        <v>3283</v>
      </c>
      <c r="B3320" s="144">
        <v>45714</v>
      </c>
      <c r="C3320" s="169" t="s">
        <v>3646</v>
      </c>
      <c r="D3320" s="169" t="s">
        <v>9315</v>
      </c>
      <c r="F3320" s="169" t="s">
        <v>9321</v>
      </c>
      <c r="G3320" s="169" t="s">
        <v>1185</v>
      </c>
      <c r="H3320" s="143" t="s">
        <v>9322</v>
      </c>
      <c r="I3320" s="143" t="s">
        <v>9318</v>
      </c>
      <c r="K3320" s="143">
        <v>150</v>
      </c>
      <c r="L3320" s="143">
        <v>250</v>
      </c>
      <c r="W3320" s="169" t="s">
        <v>294</v>
      </c>
      <c r="X3320" s="169" t="s">
        <v>9323</v>
      </c>
      <c r="Y3320" s="169"/>
      <c r="AA3320" s="143" t="s">
        <v>9324</v>
      </c>
    </row>
    <row r="3321" spans="1:28">
      <c r="A3321" s="143">
        <v>3284</v>
      </c>
      <c r="B3321" s="144">
        <v>45714</v>
      </c>
      <c r="C3321" s="169" t="s">
        <v>3646</v>
      </c>
      <c r="D3321" s="169" t="s">
        <v>9315</v>
      </c>
      <c r="F3321" s="169" t="s">
        <v>9325</v>
      </c>
      <c r="G3321" s="169" t="s">
        <v>1185</v>
      </c>
      <c r="H3321" s="143" t="s">
        <v>9326</v>
      </c>
      <c r="I3321" s="143" t="s">
        <v>9318</v>
      </c>
      <c r="K3321" s="143">
        <v>150</v>
      </c>
      <c r="L3321" s="143">
        <v>240</v>
      </c>
      <c r="W3321" s="169" t="s">
        <v>294</v>
      </c>
      <c r="X3321" s="169" t="s">
        <v>9327</v>
      </c>
      <c r="AA3321" s="143" t="s">
        <v>9328</v>
      </c>
    </row>
    <row r="3322" spans="1:28">
      <c r="A3322" s="143">
        <v>3285</v>
      </c>
      <c r="B3322" s="144">
        <v>45718</v>
      </c>
      <c r="C3322" s="169" t="s">
        <v>3148</v>
      </c>
      <c r="D3322" s="143" t="s">
        <v>9312</v>
      </c>
      <c r="F3322" s="143" t="s">
        <v>9329</v>
      </c>
      <c r="G3322" s="169" t="s">
        <v>1185</v>
      </c>
      <c r="H3322" s="143" t="s">
        <v>9330</v>
      </c>
      <c r="I3322" s="143" t="s">
        <v>281</v>
      </c>
      <c r="K3322" s="143">
        <v>150</v>
      </c>
      <c r="L3322" s="143">
        <v>32</v>
      </c>
      <c r="W3322" s="143" t="s">
        <v>3147</v>
      </c>
      <c r="X3322" s="143" t="s">
        <v>9329</v>
      </c>
      <c r="Y3322" s="143" t="s">
        <v>3147</v>
      </c>
      <c r="Z3322" s="143" t="s">
        <v>9329</v>
      </c>
      <c r="AA3322" s="143">
        <v>5.5</v>
      </c>
    </row>
    <row r="3323" spans="1:28">
      <c r="A3323" s="143">
        <v>3286</v>
      </c>
      <c r="B3323" s="144">
        <v>45719</v>
      </c>
      <c r="C3323" s="169" t="s">
        <v>3646</v>
      </c>
      <c r="D3323" s="169" t="s">
        <v>9331</v>
      </c>
      <c r="F3323" s="169" t="s">
        <v>9332</v>
      </c>
      <c r="G3323" s="169" t="s">
        <v>1185</v>
      </c>
      <c r="H3323" s="143" t="s">
        <v>9333</v>
      </c>
      <c r="I3323" s="143" t="s">
        <v>3218</v>
      </c>
      <c r="K3323" s="143">
        <v>145</v>
      </c>
      <c r="L3323" s="143">
        <v>235</v>
      </c>
      <c r="W3323" s="169" t="s">
        <v>3402</v>
      </c>
    </row>
    <row r="3324" ht="16.5" spans="1:28">
      <c r="A3324" s="143">
        <v>3287</v>
      </c>
      <c r="B3324" s="144">
        <v>45720</v>
      </c>
      <c r="C3324" s="169" t="s">
        <v>3646</v>
      </c>
      <c r="D3324" s="169" t="s">
        <v>9315</v>
      </c>
      <c r="F3324" s="143" t="s">
        <v>9334</v>
      </c>
      <c r="G3324" s="169" t="s">
        <v>1185</v>
      </c>
      <c r="H3324" s="152" t="s">
        <v>9335</v>
      </c>
      <c r="I3324" s="143" t="s">
        <v>9336</v>
      </c>
      <c r="K3324" s="143">
        <v>150</v>
      </c>
      <c r="L3324" s="143">
        <v>150</v>
      </c>
      <c r="W3324" s="169" t="s">
        <v>294</v>
      </c>
      <c r="X3324" s="143" t="s">
        <v>9334</v>
      </c>
      <c r="AA3324" s="143" t="s">
        <v>9337</v>
      </c>
    </row>
    <row r="3325" ht="25.5" spans="1:28">
      <c r="A3325" s="143">
        <v>3288</v>
      </c>
      <c r="B3325" s="144">
        <v>45720</v>
      </c>
      <c r="C3325" s="169" t="s">
        <v>3646</v>
      </c>
      <c r="D3325" s="169" t="s">
        <v>9315</v>
      </c>
      <c r="F3325" s="143" t="s">
        <v>9338</v>
      </c>
      <c r="G3325" s="169" t="s">
        <v>1185</v>
      </c>
      <c r="H3325" s="152" t="s">
        <v>9339</v>
      </c>
      <c r="I3325" s="143" t="s">
        <v>3218</v>
      </c>
      <c r="K3325" s="143">
        <v>150</v>
      </c>
      <c r="L3325" s="143">
        <v>280</v>
      </c>
      <c r="W3325" s="169" t="s">
        <v>294</v>
      </c>
      <c r="X3325" s="143" t="s">
        <v>9338</v>
      </c>
      <c r="AA3325" s="143" t="s">
        <v>9340</v>
      </c>
    </row>
    <row r="3326" ht="16.5" spans="1:28">
      <c r="A3326" s="143">
        <v>3289</v>
      </c>
      <c r="B3326" s="144">
        <v>45720</v>
      </c>
      <c r="C3326" s="169" t="s">
        <v>3646</v>
      </c>
      <c r="D3326" s="169" t="s">
        <v>9315</v>
      </c>
      <c r="F3326" s="143" t="s">
        <v>9341</v>
      </c>
      <c r="G3326" s="169" t="s">
        <v>1185</v>
      </c>
      <c r="H3326" s="152" t="s">
        <v>9342</v>
      </c>
      <c r="I3326" s="143" t="s">
        <v>9119</v>
      </c>
      <c r="K3326" s="143">
        <v>150</v>
      </c>
      <c r="L3326" s="143">
        <v>240</v>
      </c>
      <c r="W3326" s="169" t="s">
        <v>294</v>
      </c>
      <c r="X3326" s="143" t="s">
        <v>9341</v>
      </c>
      <c r="AA3326" s="143" t="s">
        <v>9328</v>
      </c>
    </row>
    <row r="3327" spans="1:28">
      <c r="B3327" s="144">
        <v>46092</v>
      </c>
      <c r="C3327" s="169" t="s">
        <v>3277</v>
      </c>
      <c r="D3327" s="143" t="s">
        <v>41</v>
      </c>
      <c r="E3327" s="143" t="s">
        <v>9343</v>
      </c>
      <c r="F3327" s="143" t="s">
        <v>9344</v>
      </c>
      <c r="G3327" s="169" t="s">
        <v>7422</v>
      </c>
      <c r="H3327" s="143" t="s">
        <v>9345</v>
      </c>
      <c r="I3327" s="143" t="s">
        <v>3390</v>
      </c>
      <c r="K3327" s="143">
        <v>175</v>
      </c>
      <c r="L3327" s="143">
        <v>190</v>
      </c>
      <c r="Q3327" s="143">
        <v>3</v>
      </c>
      <c r="W3327" s="143" t="s">
        <v>3147</v>
      </c>
      <c r="X3327" s="143" t="s">
        <v>9344</v>
      </c>
      <c r="Y3327" s="143" t="s">
        <v>6019</v>
      </c>
      <c r="Z3327" s="143" t="s">
        <v>9344</v>
      </c>
      <c r="AA3327" s="143">
        <v>45.5</v>
      </c>
    </row>
    <row r="3328" spans="1:28">
      <c r="A3328" s="143">
        <v>3291</v>
      </c>
      <c r="B3328" s="144">
        <v>46092</v>
      </c>
      <c r="C3328" s="169" t="s">
        <v>3277</v>
      </c>
      <c r="D3328" s="143" t="s">
        <v>41</v>
      </c>
      <c r="E3328" s="143" t="s">
        <v>9343</v>
      </c>
      <c r="F3328" s="258" t="s">
        <v>9346</v>
      </c>
      <c r="G3328" s="169" t="s">
        <v>7422</v>
      </c>
      <c r="H3328" s="143" t="s">
        <v>9347</v>
      </c>
      <c r="I3328" s="143" t="s">
        <v>3390</v>
      </c>
      <c r="K3328" s="143">
        <v>175</v>
      </c>
      <c r="L3328" s="143">
        <v>190</v>
      </c>
      <c r="Q3328" s="143">
        <v>3</v>
      </c>
      <c r="W3328" s="143" t="s">
        <v>3147</v>
      </c>
      <c r="X3328" s="258" t="s">
        <v>9346</v>
      </c>
      <c r="Y3328" s="143" t="s">
        <v>6019</v>
      </c>
      <c r="Z3328" s="258" t="s">
        <v>9346</v>
      </c>
      <c r="AA3328" s="143">
        <v>45.5</v>
      </c>
    </row>
    <row r="3329" spans="1:28">
      <c r="A3329" s="143">
        <v>3292</v>
      </c>
      <c r="B3329" s="144">
        <v>46098</v>
      </c>
      <c r="C3329" s="169" t="s">
        <v>3148</v>
      </c>
      <c r="D3329" s="143" t="s">
        <v>41</v>
      </c>
      <c r="F3329" s="143" t="s">
        <v>9348</v>
      </c>
      <c r="G3329" s="169" t="s">
        <v>1185</v>
      </c>
      <c r="H3329" s="143" t="s">
        <v>9349</v>
      </c>
      <c r="I3329" s="143" t="s">
        <v>9350</v>
      </c>
      <c r="J3329" s="143" t="s">
        <v>9351</v>
      </c>
      <c r="K3329" s="143">
        <v>138</v>
      </c>
      <c r="L3329" s="143">
        <v>220</v>
      </c>
      <c r="W3329" s="143" t="s">
        <v>3147</v>
      </c>
      <c r="X3329" s="143" t="s">
        <v>9348</v>
      </c>
      <c r="Y3329" s="169" t="s">
        <v>9352</v>
      </c>
      <c r="Z3329" s="143" t="s">
        <v>9348</v>
      </c>
      <c r="AA3329" s="143">
        <v>11.2</v>
      </c>
      <c r="AB3329" s="144">
        <v>46105</v>
      </c>
    </row>
    <row r="3330" spans="1:28">
      <c r="A3330" s="143">
        <v>3293</v>
      </c>
      <c r="B3330" s="144">
        <v>46098</v>
      </c>
      <c r="C3330" s="169" t="s">
        <v>3148</v>
      </c>
      <c r="D3330" s="143" t="s">
        <v>41</v>
      </c>
      <c r="F3330" s="143" t="s">
        <v>9353</v>
      </c>
      <c r="G3330" s="169" t="s">
        <v>1185</v>
      </c>
      <c r="H3330" s="143" t="s">
        <v>9354</v>
      </c>
      <c r="I3330" s="143" t="s">
        <v>9355</v>
      </c>
      <c r="J3330" s="143" t="s">
        <v>9356</v>
      </c>
      <c r="K3330" s="143">
        <v>145</v>
      </c>
      <c r="L3330" s="143">
        <v>160</v>
      </c>
      <c r="W3330" s="143" t="s">
        <v>3147</v>
      </c>
      <c r="X3330" s="143" t="s">
        <v>9353</v>
      </c>
      <c r="Y3330" s="169" t="s">
        <v>4386</v>
      </c>
      <c r="Z3330" s="143" t="s">
        <v>9353</v>
      </c>
      <c r="AA3330" s="143">
        <v>18.5</v>
      </c>
      <c r="AB3330" s="144">
        <v>46105</v>
      </c>
    </row>
    <row r="3331" spans="1:28">
      <c r="A3331" s="143">
        <v>3294</v>
      </c>
      <c r="B3331" s="144">
        <v>46098</v>
      </c>
      <c r="C3331" s="169" t="s">
        <v>3148</v>
      </c>
      <c r="D3331" s="143" t="s">
        <v>41</v>
      </c>
      <c r="F3331" s="143">
        <v>4256</v>
      </c>
      <c r="G3331" s="169" t="s">
        <v>1185</v>
      </c>
      <c r="H3331" s="143" t="s">
        <v>9357</v>
      </c>
      <c r="I3331" s="143" t="s">
        <v>9358</v>
      </c>
      <c r="J3331" s="143" t="s">
        <v>3104</v>
      </c>
      <c r="K3331" s="143">
        <v>145</v>
      </c>
      <c r="L3331" s="143">
        <v>175</v>
      </c>
      <c r="W3331" s="143" t="s">
        <v>3147</v>
      </c>
      <c r="X3331" s="143">
        <v>4256</v>
      </c>
      <c r="Y3331" s="169" t="s">
        <v>4386</v>
      </c>
      <c r="Z3331" s="143">
        <v>4256</v>
      </c>
      <c r="AA3331" s="143">
        <v>20.8</v>
      </c>
      <c r="AB3331" s="144">
        <v>46105</v>
      </c>
    </row>
    <row r="3332" spans="1:28">
      <c r="A3332" s="143">
        <v>3295</v>
      </c>
      <c r="B3332" s="144">
        <v>46098</v>
      </c>
      <c r="C3332" s="169" t="s">
        <v>3148</v>
      </c>
      <c r="D3332" s="143" t="s">
        <v>41</v>
      </c>
      <c r="F3332" s="143" t="s">
        <v>9359</v>
      </c>
      <c r="G3332" s="169" t="s">
        <v>1185</v>
      </c>
      <c r="H3332" s="143" t="s">
        <v>9360</v>
      </c>
      <c r="I3332" s="143" t="s">
        <v>9361</v>
      </c>
      <c r="J3332" s="143" t="s">
        <v>2351</v>
      </c>
      <c r="K3332" s="143">
        <v>135</v>
      </c>
      <c r="L3332" s="143">
        <v>110</v>
      </c>
      <c r="W3332" s="143" t="s">
        <v>3147</v>
      </c>
      <c r="X3332" s="143" t="s">
        <v>9359</v>
      </c>
      <c r="Y3332" s="169" t="s">
        <v>9362</v>
      </c>
      <c r="Z3332" s="143" t="s">
        <v>9359</v>
      </c>
      <c r="AA3332" s="143">
        <v>15</v>
      </c>
      <c r="AB3332" s="144">
        <v>46105</v>
      </c>
    </row>
    <row r="3333" spans="1:28">
      <c r="A3333" s="143">
        <v>3296</v>
      </c>
      <c r="B3333" s="144">
        <v>46098</v>
      </c>
      <c r="C3333" s="169" t="s">
        <v>3148</v>
      </c>
      <c r="D3333" s="143" t="s">
        <v>41</v>
      </c>
      <c r="F3333" s="143" t="s">
        <v>9363</v>
      </c>
      <c r="G3333" s="169" t="s">
        <v>1185</v>
      </c>
      <c r="H3333" s="143" t="s">
        <v>9364</v>
      </c>
      <c r="I3333" s="143" t="s">
        <v>9365</v>
      </c>
      <c r="J3333" s="143" t="s">
        <v>9366</v>
      </c>
      <c r="K3333" s="143">
        <v>150</v>
      </c>
      <c r="L3333" s="143">
        <v>160</v>
      </c>
      <c r="W3333" s="143" t="s">
        <v>3147</v>
      </c>
      <c r="X3333" s="143" t="s">
        <v>9363</v>
      </c>
      <c r="Y3333" s="169" t="s">
        <v>9367</v>
      </c>
      <c r="Z3333" s="143" t="s">
        <v>9363</v>
      </c>
      <c r="AA3333" s="143">
        <v>11.6</v>
      </c>
      <c r="AB3333" s="144">
        <v>46105</v>
      </c>
    </row>
    <row r="3334" spans="1:28">
      <c r="A3334" s="143">
        <v>3297</v>
      </c>
      <c r="B3334" s="144">
        <v>46098</v>
      </c>
      <c r="C3334" s="169" t="s">
        <v>3148</v>
      </c>
      <c r="D3334" s="143" t="s">
        <v>41</v>
      </c>
      <c r="F3334" s="143" t="s">
        <v>9368</v>
      </c>
      <c r="H3334" s="143" t="s">
        <v>9369</v>
      </c>
      <c r="I3334" s="143" t="s">
        <v>6605</v>
      </c>
      <c r="J3334" s="143" t="s">
        <v>1030</v>
      </c>
      <c r="K3334" s="143">
        <v>145</v>
      </c>
      <c r="L3334" s="143">
        <v>140</v>
      </c>
      <c r="W3334" s="143" t="s">
        <v>3147</v>
      </c>
      <c r="X3334" s="143" t="s">
        <v>9368</v>
      </c>
      <c r="Y3334" s="169" t="s">
        <v>9370</v>
      </c>
      <c r="Z3334" s="143" t="s">
        <v>9368</v>
      </c>
    </row>
    <row r="3335" spans="1:28">
      <c r="A3335" s="143">
        <v>3298</v>
      </c>
      <c r="B3335" s="144">
        <v>46098</v>
      </c>
      <c r="C3335" s="169" t="s">
        <v>3148</v>
      </c>
      <c r="D3335" s="143" t="s">
        <v>41</v>
      </c>
      <c r="F3335" s="143" t="s">
        <v>9371</v>
      </c>
      <c r="H3335" s="143" t="s">
        <v>9372</v>
      </c>
      <c r="I3335" s="143" t="s">
        <v>9373</v>
      </c>
      <c r="J3335" s="143" t="s">
        <v>9374</v>
      </c>
      <c r="K3335" s="143">
        <v>145</v>
      </c>
      <c r="L3335" s="143">
        <v>65</v>
      </c>
      <c r="W3335" s="143" t="s">
        <v>3147</v>
      </c>
      <c r="X3335" s="143" t="s">
        <v>9371</v>
      </c>
      <c r="Y3335" s="169" t="s">
        <v>9370</v>
      </c>
      <c r="Z3335" s="143" t="s">
        <v>9371</v>
      </c>
    </row>
    <row r="3336" spans="1:28">
      <c r="A3336" s="143">
        <v>3299</v>
      </c>
      <c r="B3336" s="144">
        <v>46098</v>
      </c>
      <c r="C3336" s="169" t="s">
        <v>3148</v>
      </c>
      <c r="D3336" s="143" t="s">
        <v>41</v>
      </c>
      <c r="F3336" s="143" t="s">
        <v>9375</v>
      </c>
      <c r="H3336" s="143" t="s">
        <v>9376</v>
      </c>
      <c r="I3336" s="143" t="s">
        <v>4503</v>
      </c>
      <c r="J3336" s="143" t="s">
        <v>7535</v>
      </c>
      <c r="K3336" s="143">
        <v>135</v>
      </c>
      <c r="L3336" s="143">
        <v>220</v>
      </c>
      <c r="W3336" s="143" t="s">
        <v>3147</v>
      </c>
      <c r="X3336" s="143" t="s">
        <v>9375</v>
      </c>
      <c r="Y3336" s="169" t="s">
        <v>9377</v>
      </c>
      <c r="Z3336" s="143" t="s">
        <v>9375</v>
      </c>
    </row>
    <row r="3337" spans="1:28">
      <c r="A3337" s="143">
        <v>3300</v>
      </c>
      <c r="B3337" s="144">
        <v>46098</v>
      </c>
      <c r="C3337" s="169" t="s">
        <v>3148</v>
      </c>
      <c r="D3337" s="143" t="s">
        <v>41</v>
      </c>
      <c r="F3337" s="143" t="s">
        <v>9378</v>
      </c>
      <c r="H3337" s="143" t="s">
        <v>9379</v>
      </c>
      <c r="I3337" s="143" t="s">
        <v>9380</v>
      </c>
      <c r="J3337" s="143" t="s">
        <v>9381</v>
      </c>
      <c r="K3337" s="143">
        <v>180</v>
      </c>
      <c r="L3337" s="143">
        <v>160</v>
      </c>
      <c r="W3337" s="143" t="s">
        <v>3147</v>
      </c>
      <c r="X3337" s="143" t="s">
        <v>9378</v>
      </c>
      <c r="Y3337" s="169" t="s">
        <v>9377</v>
      </c>
      <c r="Z3337" s="143" t="s">
        <v>9378</v>
      </c>
    </row>
    <row r="3338" spans="1:28">
      <c r="A3338" s="143">
        <v>3301</v>
      </c>
      <c r="B3338" s="144">
        <v>46098</v>
      </c>
      <c r="C3338" s="169" t="s">
        <v>3148</v>
      </c>
      <c r="D3338" s="143" t="s">
        <v>41</v>
      </c>
      <c r="F3338" s="143" t="s">
        <v>9382</v>
      </c>
      <c r="H3338" s="143" t="s">
        <v>9383</v>
      </c>
      <c r="I3338" s="143" t="s">
        <v>9384</v>
      </c>
      <c r="J3338" s="143" t="s">
        <v>9385</v>
      </c>
      <c r="K3338" s="143">
        <v>150</v>
      </c>
      <c r="W3338" s="143" t="s">
        <v>3147</v>
      </c>
      <c r="X3338" s="143" t="s">
        <v>9382</v>
      </c>
      <c r="Y3338" s="169" t="s">
        <v>9386</v>
      </c>
      <c r="Z3338" s="143" t="s">
        <v>9382</v>
      </c>
    </row>
    <row r="3339" spans="1:28">
      <c r="A3339" s="143">
        <v>3302</v>
      </c>
      <c r="B3339" s="144">
        <v>46098</v>
      </c>
      <c r="C3339" s="169" t="s">
        <v>3148</v>
      </c>
      <c r="D3339" s="143" t="s">
        <v>41</v>
      </c>
      <c r="F3339" s="143" t="s">
        <v>9387</v>
      </c>
      <c r="H3339" s="143" t="s">
        <v>9388</v>
      </c>
      <c r="I3339" s="143" t="s">
        <v>9389</v>
      </c>
      <c r="J3339" s="143" t="s">
        <v>9390</v>
      </c>
      <c r="K3339" s="143">
        <v>150</v>
      </c>
      <c r="L3339" s="143">
        <v>85</v>
      </c>
      <c r="W3339" s="143" t="s">
        <v>3147</v>
      </c>
      <c r="X3339" s="143" t="s">
        <v>9387</v>
      </c>
      <c r="Y3339" s="169" t="s">
        <v>9386</v>
      </c>
      <c r="Z3339" s="143" t="s">
        <v>9387</v>
      </c>
    </row>
    <row r="3340" spans="1:28">
      <c r="A3340" s="143">
        <v>3303</v>
      </c>
      <c r="B3340" s="144">
        <v>46098</v>
      </c>
      <c r="C3340" s="169" t="s">
        <v>3148</v>
      </c>
      <c r="D3340" s="143" t="s">
        <v>41</v>
      </c>
      <c r="F3340" s="143" t="s">
        <v>9391</v>
      </c>
      <c r="H3340" s="143" t="s">
        <v>9392</v>
      </c>
      <c r="I3340" s="143" t="s">
        <v>9393</v>
      </c>
      <c r="J3340" s="143" t="s">
        <v>9394</v>
      </c>
      <c r="K3340" s="143">
        <v>150</v>
      </c>
      <c r="L3340" s="143">
        <v>70</v>
      </c>
      <c r="W3340" s="143" t="s">
        <v>3147</v>
      </c>
      <c r="X3340" s="143" t="s">
        <v>9391</v>
      </c>
      <c r="Y3340" s="169" t="s">
        <v>9395</v>
      </c>
      <c r="Z3340" s="143" t="s">
        <v>9391</v>
      </c>
    </row>
    <row r="3341" spans="1:28">
      <c r="A3341" s="143">
        <v>3304</v>
      </c>
      <c r="B3341" s="144">
        <v>46098</v>
      </c>
      <c r="C3341" s="169" t="s">
        <v>3148</v>
      </c>
      <c r="D3341" s="143" t="s">
        <v>41</v>
      </c>
      <c r="F3341" s="143" t="s">
        <v>9396</v>
      </c>
      <c r="H3341" s="143" t="s">
        <v>9397</v>
      </c>
      <c r="I3341" s="143" t="s">
        <v>45</v>
      </c>
      <c r="J3341" s="143" t="s">
        <v>3684</v>
      </c>
      <c r="K3341" s="143">
        <v>142</v>
      </c>
      <c r="L3341" s="143">
        <v>60</v>
      </c>
      <c r="W3341" s="143" t="s">
        <v>3147</v>
      </c>
      <c r="X3341" s="143" t="s">
        <v>9396</v>
      </c>
      <c r="Y3341" s="169" t="s">
        <v>3174</v>
      </c>
      <c r="Z3341" s="143" t="s">
        <v>9396</v>
      </c>
    </row>
    <row r="3342" spans="1:28">
      <c r="A3342" s="143">
        <v>3305</v>
      </c>
      <c r="B3342" s="144">
        <v>46098</v>
      </c>
      <c r="C3342" s="169" t="s">
        <v>3148</v>
      </c>
      <c r="D3342" s="143" t="s">
        <v>41</v>
      </c>
      <c r="F3342" s="143" t="s">
        <v>9398</v>
      </c>
      <c r="H3342" s="143" t="s">
        <v>9399</v>
      </c>
      <c r="K3342" s="143">
        <v>160</v>
      </c>
      <c r="L3342" s="143">
        <v>210</v>
      </c>
      <c r="W3342" s="143" t="s">
        <v>3147</v>
      </c>
      <c r="X3342" s="143" t="s">
        <v>9398</v>
      </c>
      <c r="Y3342" s="143" t="s">
        <v>9400</v>
      </c>
      <c r="Z3342" s="143" t="s">
        <v>9398</v>
      </c>
    </row>
    <row r="3343" spans="1:28">
      <c r="A3343" s="143">
        <v>3306</v>
      </c>
      <c r="B3343" s="144">
        <v>46098</v>
      </c>
      <c r="C3343" s="169" t="s">
        <v>3148</v>
      </c>
      <c r="D3343" s="143" t="s">
        <v>41</v>
      </c>
      <c r="F3343" s="143" t="s">
        <v>9401</v>
      </c>
      <c r="H3343" s="143" t="s">
        <v>9402</v>
      </c>
      <c r="I3343" s="143" t="s">
        <v>3157</v>
      </c>
      <c r="J3343" s="143" t="s">
        <v>3684</v>
      </c>
      <c r="K3343" s="143">
        <v>145</v>
      </c>
      <c r="L3343" s="143">
        <v>140</v>
      </c>
      <c r="W3343" s="143" t="s">
        <v>3147</v>
      </c>
      <c r="X3343" s="143" t="s">
        <v>9401</v>
      </c>
      <c r="Y3343" s="169" t="s">
        <v>9403</v>
      </c>
      <c r="Z3343" s="143" t="s">
        <v>9401</v>
      </c>
    </row>
    <row r="3344" spans="1:28">
      <c r="A3344" s="143">
        <v>3307</v>
      </c>
      <c r="B3344" s="144">
        <v>46098</v>
      </c>
      <c r="C3344" s="169" t="s">
        <v>3148</v>
      </c>
      <c r="D3344" s="143" t="s">
        <v>41</v>
      </c>
      <c r="F3344" s="143" t="s">
        <v>9404</v>
      </c>
      <c r="H3344" s="143" t="s">
        <v>9405</v>
      </c>
      <c r="I3344" s="143" t="s">
        <v>9406</v>
      </c>
      <c r="J3344" s="143" t="s">
        <v>9407</v>
      </c>
      <c r="K3344" s="143">
        <v>148</v>
      </c>
      <c r="L3344" s="143">
        <v>175</v>
      </c>
      <c r="W3344" s="143" t="s">
        <v>3147</v>
      </c>
      <c r="X3344" s="143" t="s">
        <v>9404</v>
      </c>
      <c r="Y3344" s="169" t="s">
        <v>9403</v>
      </c>
      <c r="Z3344" s="143" t="s">
        <v>9404</v>
      </c>
    </row>
    <row r="3345" spans="1:26">
      <c r="A3345" s="143">
        <v>3308</v>
      </c>
      <c r="B3345" s="144">
        <v>46098</v>
      </c>
      <c r="C3345" s="169" t="s">
        <v>3148</v>
      </c>
      <c r="D3345" s="143" t="s">
        <v>41</v>
      </c>
      <c r="F3345" s="143">
        <v>5429</v>
      </c>
      <c r="H3345" s="143" t="s">
        <v>9408</v>
      </c>
      <c r="I3345" s="143" t="s">
        <v>3157</v>
      </c>
      <c r="J3345" s="143" t="s">
        <v>3684</v>
      </c>
      <c r="K3345" s="143">
        <v>145</v>
      </c>
      <c r="L3345" s="143">
        <v>138</v>
      </c>
      <c r="W3345" s="143" t="s">
        <v>3147</v>
      </c>
      <c r="X3345" s="143">
        <v>5429</v>
      </c>
      <c r="Y3345" s="169" t="s">
        <v>4386</v>
      </c>
      <c r="Z3345" s="143">
        <v>5429</v>
      </c>
    </row>
    <row r="3346" spans="1:26">
      <c r="A3346" s="143">
        <v>3309</v>
      </c>
      <c r="B3346" s="144">
        <v>46098</v>
      </c>
      <c r="C3346" s="169" t="s">
        <v>3148</v>
      </c>
      <c r="D3346" s="143" t="s">
        <v>41</v>
      </c>
      <c r="F3346" s="143">
        <v>5114</v>
      </c>
      <c r="H3346" s="143" t="s">
        <v>9409</v>
      </c>
      <c r="I3346" s="143" t="s">
        <v>9410</v>
      </c>
      <c r="J3346" s="143" t="s">
        <v>5717</v>
      </c>
      <c r="K3346" s="143">
        <v>145</v>
      </c>
      <c r="L3346" s="143">
        <v>170</v>
      </c>
      <c r="W3346" s="143" t="s">
        <v>3147</v>
      </c>
      <c r="X3346" s="143">
        <v>5114</v>
      </c>
      <c r="Y3346" s="169" t="s">
        <v>4386</v>
      </c>
      <c r="Z3346" s="143">
        <v>5114</v>
      </c>
    </row>
    <row r="3347" spans="1:26">
      <c r="A3347" s="143">
        <v>3310</v>
      </c>
      <c r="B3347" s="144">
        <v>46098</v>
      </c>
      <c r="C3347" s="169" t="s">
        <v>3148</v>
      </c>
      <c r="D3347" s="143" t="s">
        <v>41</v>
      </c>
      <c r="F3347" s="143">
        <v>5070</v>
      </c>
      <c r="H3347" s="143" t="s">
        <v>9411</v>
      </c>
      <c r="I3347" s="143" t="s">
        <v>4535</v>
      </c>
      <c r="J3347" s="143" t="s">
        <v>3111</v>
      </c>
      <c r="K3347" s="143">
        <v>145</v>
      </c>
      <c r="L3347" s="143">
        <v>160</v>
      </c>
      <c r="W3347" s="143" t="s">
        <v>3147</v>
      </c>
      <c r="X3347" s="143">
        <v>5070</v>
      </c>
      <c r="Y3347" s="143" t="s">
        <v>4386</v>
      </c>
      <c r="Z3347" s="143">
        <v>5070</v>
      </c>
    </row>
    <row r="3348" spans="1:26">
      <c r="A3348" s="143">
        <v>3311</v>
      </c>
      <c r="B3348" s="144">
        <v>46098</v>
      </c>
      <c r="C3348" s="169" t="s">
        <v>3148</v>
      </c>
      <c r="D3348" s="143" t="s">
        <v>41</v>
      </c>
      <c r="F3348" s="143">
        <v>5150</v>
      </c>
      <c r="H3348" s="143" t="s">
        <v>9412</v>
      </c>
      <c r="I3348" s="143" t="s">
        <v>9410</v>
      </c>
      <c r="J3348" s="143" t="s">
        <v>5717</v>
      </c>
      <c r="K3348" s="143">
        <v>145</v>
      </c>
      <c r="L3348" s="143">
        <v>178</v>
      </c>
      <c r="W3348" s="143" t="s">
        <v>3147</v>
      </c>
      <c r="X3348" s="143">
        <v>5150</v>
      </c>
      <c r="Y3348" s="143" t="s">
        <v>4386</v>
      </c>
      <c r="Z3348" s="143">
        <v>5150</v>
      </c>
    </row>
    <row r="3349" spans="1:26">
      <c r="A3349" s="143">
        <v>3312</v>
      </c>
      <c r="B3349" s="144">
        <v>46098</v>
      </c>
      <c r="C3349" s="169" t="s">
        <v>3148</v>
      </c>
      <c r="D3349" s="143" t="s">
        <v>41</v>
      </c>
      <c r="F3349" s="143">
        <v>5095</v>
      </c>
      <c r="H3349" s="143" t="s">
        <v>9413</v>
      </c>
      <c r="I3349" s="143" t="s">
        <v>4535</v>
      </c>
      <c r="J3349" s="143" t="s">
        <v>3111</v>
      </c>
      <c r="K3349" s="143">
        <v>145</v>
      </c>
      <c r="L3349" s="143">
        <v>170</v>
      </c>
      <c r="W3349" s="143" t="s">
        <v>3147</v>
      </c>
      <c r="X3349" s="143">
        <v>5095</v>
      </c>
      <c r="Y3349" s="143" t="s">
        <v>4386</v>
      </c>
      <c r="Z3349" s="143">
        <v>5095</v>
      </c>
    </row>
    <row r="3350" spans="1:26">
      <c r="A3350" s="143">
        <v>3313</v>
      </c>
      <c r="B3350" s="144">
        <v>46099</v>
      </c>
      <c r="C3350" s="169" t="s">
        <v>3148</v>
      </c>
      <c r="F3350" s="143" t="s">
        <v>9414</v>
      </c>
      <c r="H3350" s="143" t="s">
        <v>9415</v>
      </c>
      <c r="I3350" s="143" t="s">
        <v>3280</v>
      </c>
      <c r="J3350" s="143" t="s">
        <v>282</v>
      </c>
      <c r="K3350" s="143">
        <v>147</v>
      </c>
      <c r="L3350" s="143">
        <v>120</v>
      </c>
      <c r="W3350" s="169" t="s">
        <v>9416</v>
      </c>
      <c r="X3350" s="143" t="s">
        <v>9414</v>
      </c>
      <c r="Y3350" s="169" t="s">
        <v>9416</v>
      </c>
      <c r="Z3350" s="143" t="s">
        <v>9414</v>
      </c>
    </row>
    <row r="3351" spans="1:26">
      <c r="A3351" s="143">
        <v>3314</v>
      </c>
      <c r="B3351" s="144">
        <v>46099</v>
      </c>
      <c r="C3351" s="169" t="s">
        <v>3148</v>
      </c>
      <c r="F3351" s="143" t="s">
        <v>9417</v>
      </c>
      <c r="H3351" s="143" t="s">
        <v>9418</v>
      </c>
      <c r="I3351" s="143" t="s">
        <v>3280</v>
      </c>
      <c r="J3351" s="143" t="s">
        <v>282</v>
      </c>
      <c r="K3351" s="143">
        <v>147</v>
      </c>
      <c r="L3351" s="143">
        <v>115</v>
      </c>
      <c r="W3351" s="169" t="s">
        <v>9416</v>
      </c>
      <c r="X3351" s="143" t="s">
        <v>9417</v>
      </c>
      <c r="Y3351" s="169" t="s">
        <v>9416</v>
      </c>
      <c r="Z3351" s="143" t="s">
        <v>9417</v>
      </c>
    </row>
    <row r="3352" spans="1:26">
      <c r="A3352" s="143">
        <v>3315</v>
      </c>
      <c r="B3352" s="144">
        <v>46099</v>
      </c>
      <c r="C3352" s="169" t="s">
        <v>3148</v>
      </c>
      <c r="F3352" s="143" t="s">
        <v>9419</v>
      </c>
      <c r="H3352" s="143" t="s">
        <v>9420</v>
      </c>
      <c r="I3352" s="143" t="s">
        <v>281</v>
      </c>
      <c r="J3352" s="143" t="s">
        <v>282</v>
      </c>
      <c r="K3352" s="143">
        <v>147</v>
      </c>
      <c r="L3352" s="143">
        <v>95</v>
      </c>
      <c r="W3352" s="169" t="s">
        <v>9416</v>
      </c>
      <c r="X3352" s="143" t="s">
        <v>9419</v>
      </c>
      <c r="Y3352" s="169" t="s">
        <v>9416</v>
      </c>
      <c r="Z3352" s="143" t="s">
        <v>9419</v>
      </c>
    </row>
    <row r="3353" spans="1:26">
      <c r="A3353" s="143">
        <v>3316</v>
      </c>
      <c r="B3353" s="144">
        <v>46099</v>
      </c>
      <c r="C3353" s="169" t="s">
        <v>3148</v>
      </c>
      <c r="F3353" s="143" t="s">
        <v>9421</v>
      </c>
      <c r="H3353" s="143" t="s">
        <v>9422</v>
      </c>
      <c r="I3353" s="143" t="s">
        <v>281</v>
      </c>
      <c r="J3353" s="143" t="s">
        <v>282</v>
      </c>
      <c r="K3353" s="143">
        <v>147</v>
      </c>
      <c r="L3353" s="143">
        <v>125</v>
      </c>
      <c r="W3353" s="169" t="s">
        <v>9416</v>
      </c>
      <c r="X3353" s="143" t="s">
        <v>9421</v>
      </c>
      <c r="Y3353" s="169" t="s">
        <v>9416</v>
      </c>
      <c r="Z3353" s="143" t="s">
        <v>9421</v>
      </c>
    </row>
    <row r="3354" spans="1:26">
      <c r="A3354" s="143">
        <v>3317</v>
      </c>
      <c r="B3354" s="144">
        <v>46099</v>
      </c>
      <c r="C3354" s="169" t="s">
        <v>3148</v>
      </c>
      <c r="F3354" s="143" t="s">
        <v>9423</v>
      </c>
      <c r="H3354" s="143" t="s">
        <v>9424</v>
      </c>
      <c r="I3354" s="143" t="s">
        <v>281</v>
      </c>
      <c r="J3354" s="143" t="s">
        <v>282</v>
      </c>
      <c r="K3354" s="143">
        <v>147</v>
      </c>
      <c r="L3354" s="143">
        <v>95</v>
      </c>
      <c r="W3354" s="169" t="s">
        <v>9416</v>
      </c>
      <c r="X3354" s="143" t="s">
        <v>9423</v>
      </c>
      <c r="Y3354" s="169" t="s">
        <v>9416</v>
      </c>
      <c r="Z3354" s="143" t="s">
        <v>9423</v>
      </c>
    </row>
    <row r="3355" spans="1:26">
      <c r="A3355" s="143">
        <v>3318</v>
      </c>
      <c r="B3355" s="144">
        <v>46099</v>
      </c>
      <c r="C3355" s="169" t="s">
        <v>3148</v>
      </c>
      <c r="F3355" s="143" t="s">
        <v>9425</v>
      </c>
      <c r="H3355" s="143" t="s">
        <v>9426</v>
      </c>
      <c r="I3355" s="143" t="s">
        <v>281</v>
      </c>
      <c r="J3355" s="143" t="s">
        <v>282</v>
      </c>
      <c r="K3355" s="143">
        <v>147</v>
      </c>
      <c r="L3355" s="143">
        <v>230</v>
      </c>
      <c r="W3355" s="169" t="s">
        <v>9416</v>
      </c>
      <c r="X3355" s="143" t="s">
        <v>9425</v>
      </c>
      <c r="Y3355" s="169" t="s">
        <v>9416</v>
      </c>
      <c r="Z3355" s="143" t="s">
        <v>9425</v>
      </c>
    </row>
    <row r="3356" spans="1:26">
      <c r="A3356" s="143">
        <v>3319</v>
      </c>
      <c r="B3356" s="144">
        <v>46099</v>
      </c>
      <c r="C3356" s="169" t="s">
        <v>3148</v>
      </c>
      <c r="F3356" s="143" t="s">
        <v>9427</v>
      </c>
      <c r="H3356" s="143" t="s">
        <v>9428</v>
      </c>
      <c r="I3356" s="143" t="s">
        <v>281</v>
      </c>
      <c r="J3356" s="143" t="s">
        <v>282</v>
      </c>
      <c r="K3356" s="143">
        <v>147</v>
      </c>
      <c r="L3356" s="143">
        <v>245</v>
      </c>
      <c r="W3356" s="169" t="s">
        <v>9416</v>
      </c>
      <c r="X3356" s="143" t="s">
        <v>9427</v>
      </c>
      <c r="Y3356" s="169" t="s">
        <v>9416</v>
      </c>
      <c r="Z3356" s="143" t="s">
        <v>9427</v>
      </c>
    </row>
    <row r="3357" spans="1:26">
      <c r="A3357" s="143">
        <v>3320</v>
      </c>
      <c r="B3357" s="144">
        <v>46099</v>
      </c>
      <c r="C3357" s="169" t="s">
        <v>3148</v>
      </c>
      <c r="F3357" s="143" t="s">
        <v>9429</v>
      </c>
      <c r="H3357" s="143" t="s">
        <v>9430</v>
      </c>
      <c r="I3357" s="143" t="s">
        <v>281</v>
      </c>
      <c r="J3357" s="143" t="s">
        <v>282</v>
      </c>
      <c r="K3357" s="143">
        <v>147</v>
      </c>
      <c r="L3357" s="143">
        <v>340</v>
      </c>
      <c r="W3357" s="169" t="s">
        <v>9416</v>
      </c>
      <c r="X3357" s="143" t="s">
        <v>9429</v>
      </c>
      <c r="Y3357" s="169" t="s">
        <v>9416</v>
      </c>
      <c r="Z3357" s="143" t="s">
        <v>9429</v>
      </c>
    </row>
    <row r="3358" spans="1:26">
      <c r="A3358" s="143">
        <v>3321</v>
      </c>
      <c r="B3358" s="144">
        <v>46099</v>
      </c>
      <c r="C3358" s="169" t="s">
        <v>3148</v>
      </c>
      <c r="F3358" s="143" t="s">
        <v>9431</v>
      </c>
      <c r="H3358" s="143" t="s">
        <v>9432</v>
      </c>
      <c r="I3358" s="143" t="s">
        <v>281</v>
      </c>
      <c r="J3358" s="143" t="s">
        <v>282</v>
      </c>
      <c r="K3358" s="143">
        <v>147</v>
      </c>
      <c r="L3358" s="143">
        <v>230</v>
      </c>
      <c r="W3358" s="169" t="s">
        <v>9416</v>
      </c>
      <c r="X3358" s="143" t="s">
        <v>9431</v>
      </c>
      <c r="Y3358" s="169" t="s">
        <v>9416</v>
      </c>
      <c r="Z3358" s="143" t="s">
        <v>9431</v>
      </c>
    </row>
    <row r="3359" spans="1:26">
      <c r="A3359" s="143">
        <v>3322</v>
      </c>
      <c r="B3359" s="144">
        <v>46099</v>
      </c>
      <c r="C3359" s="169" t="s">
        <v>3148</v>
      </c>
      <c r="F3359" s="143" t="s">
        <v>9433</v>
      </c>
      <c r="H3359" s="143" t="s">
        <v>9434</v>
      </c>
      <c r="I3359" s="143" t="s">
        <v>281</v>
      </c>
      <c r="J3359" s="143" t="s">
        <v>282</v>
      </c>
      <c r="K3359" s="143">
        <v>147</v>
      </c>
      <c r="L3359" s="143">
        <v>320</v>
      </c>
      <c r="W3359" s="169" t="s">
        <v>9416</v>
      </c>
      <c r="X3359" s="143" t="s">
        <v>9433</v>
      </c>
      <c r="Y3359" s="169" t="s">
        <v>9416</v>
      </c>
      <c r="Z3359" s="143" t="s">
        <v>9433</v>
      </c>
    </row>
    <row r="3360" spans="1:26">
      <c r="A3360" s="143">
        <v>3323</v>
      </c>
      <c r="B3360" s="144">
        <v>46099</v>
      </c>
      <c r="C3360" s="169" t="s">
        <v>3148</v>
      </c>
      <c r="F3360" s="143" t="s">
        <v>9435</v>
      </c>
      <c r="H3360" s="143" t="s">
        <v>9436</v>
      </c>
      <c r="I3360" s="143" t="s">
        <v>281</v>
      </c>
      <c r="J3360" s="143" t="s">
        <v>282</v>
      </c>
      <c r="K3360" s="143">
        <v>147</v>
      </c>
      <c r="L3360" s="143">
        <v>210</v>
      </c>
      <c r="W3360" s="169" t="s">
        <v>9416</v>
      </c>
      <c r="X3360" s="143" t="s">
        <v>9435</v>
      </c>
      <c r="Y3360" s="169" t="s">
        <v>9416</v>
      </c>
      <c r="Z3360" s="143" t="s">
        <v>9435</v>
      </c>
    </row>
    <row r="3361" spans="1:34">
      <c r="A3361" s="143">
        <v>3324</v>
      </c>
      <c r="B3361" s="144">
        <v>46099</v>
      </c>
      <c r="C3361" s="169" t="s">
        <v>3148</v>
      </c>
      <c r="F3361" s="143" t="s">
        <v>9437</v>
      </c>
      <c r="H3361" s="143" t="s">
        <v>9438</v>
      </c>
      <c r="I3361" s="143" t="s">
        <v>281</v>
      </c>
      <c r="J3361" s="143" t="s">
        <v>282</v>
      </c>
      <c r="K3361" s="143">
        <v>147</v>
      </c>
      <c r="L3361" s="143">
        <v>185</v>
      </c>
      <c r="W3361" s="169" t="s">
        <v>9416</v>
      </c>
      <c r="X3361" s="143" t="s">
        <v>9437</v>
      </c>
      <c r="Y3361" s="169" t="s">
        <v>9416</v>
      </c>
      <c r="Z3361" s="143" t="s">
        <v>9437</v>
      </c>
    </row>
    <row r="3362" spans="1:34">
      <c r="A3362" s="143">
        <v>3325</v>
      </c>
      <c r="B3362" s="144">
        <v>46099</v>
      </c>
      <c r="C3362" s="169" t="s">
        <v>3148</v>
      </c>
      <c r="F3362" s="143" t="s">
        <v>9421</v>
      </c>
      <c r="H3362" s="143" t="s">
        <v>9439</v>
      </c>
      <c r="I3362" s="143" t="s">
        <v>281</v>
      </c>
      <c r="J3362" s="143" t="s">
        <v>282</v>
      </c>
      <c r="K3362" s="143">
        <v>147</v>
      </c>
      <c r="L3362" s="143">
        <v>290</v>
      </c>
      <c r="W3362" s="169" t="s">
        <v>9416</v>
      </c>
      <c r="X3362" s="143" t="s">
        <v>9421</v>
      </c>
      <c r="Y3362" s="169" t="s">
        <v>9416</v>
      </c>
      <c r="Z3362" s="143" t="s">
        <v>9421</v>
      </c>
    </row>
    <row r="3363" spans="1:34">
      <c r="A3363" s="143">
        <v>3326</v>
      </c>
      <c r="B3363" s="144">
        <v>46099</v>
      </c>
      <c r="C3363" s="169" t="s">
        <v>3148</v>
      </c>
      <c r="F3363" s="143" t="s">
        <v>9440</v>
      </c>
      <c r="H3363" s="143" t="s">
        <v>9441</v>
      </c>
      <c r="I3363" s="143" t="s">
        <v>281</v>
      </c>
      <c r="J3363" s="143" t="s">
        <v>282</v>
      </c>
      <c r="K3363" s="143">
        <v>147</v>
      </c>
      <c r="L3363" s="143">
        <v>280</v>
      </c>
      <c r="W3363" s="169" t="s">
        <v>9416</v>
      </c>
      <c r="X3363" s="143" t="s">
        <v>9440</v>
      </c>
      <c r="Y3363" s="169" t="s">
        <v>9416</v>
      </c>
      <c r="Z3363" s="143" t="s">
        <v>9440</v>
      </c>
    </row>
    <row r="3364" spans="1:34">
      <c r="A3364" s="143">
        <v>3327</v>
      </c>
      <c r="B3364" s="144">
        <v>46099</v>
      </c>
      <c r="C3364" s="169" t="s">
        <v>3148</v>
      </c>
      <c r="F3364" s="143" t="s">
        <v>9442</v>
      </c>
      <c r="H3364" s="143" t="s">
        <v>9443</v>
      </c>
      <c r="I3364" s="143" t="s">
        <v>281</v>
      </c>
      <c r="J3364" s="143" t="s">
        <v>282</v>
      </c>
      <c r="K3364" s="143">
        <v>147</v>
      </c>
      <c r="L3364" s="143">
        <v>160</v>
      </c>
      <c r="W3364" s="169" t="s">
        <v>9416</v>
      </c>
      <c r="X3364" s="143" t="s">
        <v>9442</v>
      </c>
      <c r="Y3364" s="169" t="s">
        <v>9416</v>
      </c>
      <c r="Z3364" s="143" t="s">
        <v>9442</v>
      </c>
    </row>
    <row r="3365" ht="15" spans="1:34">
      <c r="A3365" s="143">
        <v>3328</v>
      </c>
      <c r="B3365" s="144">
        <v>46101</v>
      </c>
      <c r="C3365" s="169" t="s">
        <v>3277</v>
      </c>
      <c r="D3365" s="143" t="s">
        <v>41</v>
      </c>
      <c r="E3365" s="272" t="s">
        <v>9444</v>
      </c>
      <c r="F3365" s="143" t="s">
        <v>9445</v>
      </c>
      <c r="H3365" s="259" t="s">
        <v>9446</v>
      </c>
      <c r="I3365" s="143" t="s">
        <v>3157</v>
      </c>
      <c r="J3365" s="143" t="s">
        <v>3684</v>
      </c>
      <c r="K3365" s="143">
        <v>142</v>
      </c>
      <c r="L3365" s="143">
        <v>90</v>
      </c>
      <c r="W3365" s="143" t="s">
        <v>3147</v>
      </c>
      <c r="X3365" s="143" t="s">
        <v>9445</v>
      </c>
      <c r="Y3365" s="169" t="s">
        <v>9447</v>
      </c>
      <c r="Z3365" s="143" t="s">
        <v>9445</v>
      </c>
      <c r="AA3365" s="173">
        <v>12</v>
      </c>
      <c r="AB3365" s="144">
        <v>46136</v>
      </c>
    </row>
    <row r="3366" ht="15" spans="1:34">
      <c r="A3366" s="143">
        <v>3329</v>
      </c>
      <c r="B3366" s="144">
        <v>46101</v>
      </c>
      <c r="C3366" s="169" t="s">
        <v>3277</v>
      </c>
      <c r="D3366" s="143" t="s">
        <v>41</v>
      </c>
      <c r="E3366" s="272" t="s">
        <v>9444</v>
      </c>
      <c r="F3366" s="143" t="s">
        <v>9448</v>
      </c>
      <c r="H3366" s="259" t="s">
        <v>9449</v>
      </c>
      <c r="I3366" s="143" t="s">
        <v>3157</v>
      </c>
      <c r="J3366" s="143" t="s">
        <v>3684</v>
      </c>
      <c r="K3366" s="143">
        <v>145</v>
      </c>
      <c r="L3366" s="143">
        <v>94</v>
      </c>
      <c r="W3366" s="143" t="s">
        <v>3147</v>
      </c>
      <c r="X3366" s="143" t="s">
        <v>9448</v>
      </c>
      <c r="Y3366" s="169" t="s">
        <v>9447</v>
      </c>
      <c r="Z3366" s="143" t="s">
        <v>9448</v>
      </c>
      <c r="AA3366" s="173">
        <v>13.1</v>
      </c>
      <c r="AB3366" s="144">
        <v>46136</v>
      </c>
    </row>
    <row r="3367" ht="15" spans="1:34">
      <c r="A3367" s="143">
        <v>3330</v>
      </c>
      <c r="B3367" s="144">
        <v>46101</v>
      </c>
      <c r="C3367" s="169" t="s">
        <v>3277</v>
      </c>
      <c r="D3367" s="143" t="s">
        <v>41</v>
      </c>
      <c r="E3367" s="272" t="s">
        <v>9444</v>
      </c>
      <c r="F3367" s="143" t="s">
        <v>9450</v>
      </c>
      <c r="H3367" s="259" t="s">
        <v>9451</v>
      </c>
      <c r="I3367" s="143" t="s">
        <v>3157</v>
      </c>
      <c r="J3367" s="143" t="s">
        <v>3684</v>
      </c>
      <c r="K3367" s="143">
        <v>140</v>
      </c>
      <c r="L3367" s="143">
        <v>82</v>
      </c>
      <c r="W3367" s="143" t="s">
        <v>3147</v>
      </c>
      <c r="X3367" s="143" t="s">
        <v>9450</v>
      </c>
      <c r="Y3367" s="169" t="s">
        <v>9447</v>
      </c>
      <c r="Z3367" s="143" t="s">
        <v>9450</v>
      </c>
      <c r="AA3367" s="173">
        <v>12.8</v>
      </c>
      <c r="AB3367" s="144">
        <v>46136</v>
      </c>
    </row>
    <row r="3368" ht="15" spans="1:34">
      <c r="A3368" s="143">
        <v>3331</v>
      </c>
      <c r="B3368" s="144">
        <v>46101</v>
      </c>
      <c r="C3368" s="169" t="s">
        <v>3277</v>
      </c>
      <c r="D3368" s="143" t="s">
        <v>41</v>
      </c>
      <c r="E3368" s="272" t="s">
        <v>9444</v>
      </c>
      <c r="F3368" s="143" t="s">
        <v>9452</v>
      </c>
      <c r="H3368" s="259" t="s">
        <v>9453</v>
      </c>
      <c r="I3368" s="143" t="s">
        <v>3157</v>
      </c>
      <c r="J3368" s="143" t="s">
        <v>3684</v>
      </c>
      <c r="K3368" s="143">
        <v>140</v>
      </c>
      <c r="L3368" s="143">
        <v>107</v>
      </c>
      <c r="W3368" s="143" t="s">
        <v>3147</v>
      </c>
      <c r="X3368" s="143" t="s">
        <v>9452</v>
      </c>
      <c r="Y3368" s="169" t="s">
        <v>9447</v>
      </c>
      <c r="Z3368" s="143" t="s">
        <v>9452</v>
      </c>
      <c r="AA3368" s="173">
        <v>13.5</v>
      </c>
      <c r="AB3368" s="144">
        <v>46136</v>
      </c>
    </row>
    <row r="3369" ht="15" spans="1:34">
      <c r="A3369" s="143">
        <v>3332</v>
      </c>
      <c r="B3369" s="144">
        <v>46101</v>
      </c>
      <c r="C3369" s="169" t="s">
        <v>3277</v>
      </c>
      <c r="D3369" s="143" t="s">
        <v>41</v>
      </c>
      <c r="E3369" s="272" t="s">
        <v>9444</v>
      </c>
      <c r="F3369" s="143" t="s">
        <v>9454</v>
      </c>
      <c r="H3369" s="259" t="s">
        <v>9455</v>
      </c>
      <c r="I3369" s="143" t="s">
        <v>3157</v>
      </c>
      <c r="J3369" s="143" t="s">
        <v>3684</v>
      </c>
      <c r="K3369" s="143">
        <v>140</v>
      </c>
      <c r="L3369" s="143">
        <v>109</v>
      </c>
      <c r="W3369" s="143" t="s">
        <v>3147</v>
      </c>
      <c r="X3369" s="143" t="s">
        <v>9454</v>
      </c>
      <c r="Y3369" s="169" t="s">
        <v>9447</v>
      </c>
      <c r="Z3369" s="143" t="s">
        <v>9454</v>
      </c>
      <c r="AA3369" s="173">
        <v>14</v>
      </c>
      <c r="AB3369" s="144">
        <v>46136</v>
      </c>
    </row>
    <row r="3370" ht="15" spans="1:34">
      <c r="A3370" s="143">
        <v>3333</v>
      </c>
      <c r="B3370" s="144">
        <v>46101</v>
      </c>
      <c r="C3370" s="169" t="s">
        <v>3277</v>
      </c>
      <c r="D3370" s="143" t="s">
        <v>41</v>
      </c>
      <c r="E3370" s="272" t="s">
        <v>9444</v>
      </c>
      <c r="F3370" s="143" t="s">
        <v>9456</v>
      </c>
      <c r="H3370" s="259" t="s">
        <v>9457</v>
      </c>
      <c r="I3370" s="143" t="s">
        <v>3157</v>
      </c>
      <c r="J3370" s="143" t="s">
        <v>3684</v>
      </c>
      <c r="K3370" s="143">
        <v>142</v>
      </c>
      <c r="L3370" s="143">
        <v>100</v>
      </c>
      <c r="W3370" s="143" t="s">
        <v>3147</v>
      </c>
      <c r="X3370" s="143" t="s">
        <v>9456</v>
      </c>
      <c r="Y3370" s="169" t="s">
        <v>9447</v>
      </c>
      <c r="Z3370" s="143" t="s">
        <v>9456</v>
      </c>
      <c r="AA3370" s="173">
        <v>14.5</v>
      </c>
      <c r="AB3370" s="144">
        <v>46136</v>
      </c>
    </row>
    <row r="3371" ht="15" spans="1:34">
      <c r="A3371" s="143">
        <v>3334</v>
      </c>
      <c r="B3371" s="144">
        <v>46101</v>
      </c>
      <c r="C3371" s="169" t="s">
        <v>3277</v>
      </c>
      <c r="D3371" s="143" t="s">
        <v>41</v>
      </c>
      <c r="E3371" s="272" t="s">
        <v>9444</v>
      </c>
      <c r="F3371" s="143" t="s">
        <v>9458</v>
      </c>
      <c r="H3371" s="259" t="s">
        <v>9459</v>
      </c>
      <c r="I3371" s="143" t="s">
        <v>3157</v>
      </c>
      <c r="J3371" s="143" t="s">
        <v>3684</v>
      </c>
      <c r="K3371" s="143">
        <v>140</v>
      </c>
      <c r="L3371" s="143">
        <v>138</v>
      </c>
      <c r="W3371" s="143" t="s">
        <v>3147</v>
      </c>
      <c r="X3371" s="143" t="s">
        <v>9458</v>
      </c>
      <c r="Y3371" s="169" t="s">
        <v>9447</v>
      </c>
      <c r="Z3371" s="143" t="s">
        <v>9458</v>
      </c>
      <c r="AA3371" s="173">
        <v>14.1</v>
      </c>
      <c r="AB3371" s="144">
        <v>46136</v>
      </c>
    </row>
    <row r="3372" ht="15" spans="1:34">
      <c r="A3372" s="143">
        <v>3335</v>
      </c>
      <c r="B3372" s="144">
        <v>46101</v>
      </c>
      <c r="C3372" s="169" t="s">
        <v>3277</v>
      </c>
      <c r="D3372" s="143" t="s">
        <v>41</v>
      </c>
      <c r="E3372" s="272" t="s">
        <v>9444</v>
      </c>
      <c r="F3372" s="143" t="s">
        <v>9460</v>
      </c>
      <c r="H3372" s="259" t="s">
        <v>9461</v>
      </c>
      <c r="I3372" s="143" t="s">
        <v>3157</v>
      </c>
      <c r="J3372" s="143" t="s">
        <v>3684</v>
      </c>
      <c r="K3372" s="143">
        <v>142</v>
      </c>
      <c r="L3372" s="143">
        <v>107</v>
      </c>
      <c r="W3372" s="143" t="s">
        <v>3147</v>
      </c>
      <c r="X3372" s="143" t="s">
        <v>9460</v>
      </c>
      <c r="Y3372" s="169" t="s">
        <v>9447</v>
      </c>
      <c r="Z3372" s="143" t="s">
        <v>9460</v>
      </c>
      <c r="AA3372" s="173">
        <v>14.2</v>
      </c>
      <c r="AB3372" s="144">
        <v>46136</v>
      </c>
    </row>
    <row r="3373" ht="13.5" spans="1:34">
      <c r="A3373" s="143">
        <v>3336</v>
      </c>
      <c r="B3373" s="144">
        <v>46101</v>
      </c>
      <c r="C3373" s="169" t="s">
        <v>3148</v>
      </c>
      <c r="F3373" s="143" t="s">
        <v>9462</v>
      </c>
      <c r="G3373" s="169" t="s">
        <v>3857</v>
      </c>
      <c r="H3373" s="143" t="s">
        <v>9463</v>
      </c>
      <c r="I3373" s="143" t="s">
        <v>9464</v>
      </c>
      <c r="J3373" s="143" t="s">
        <v>9465</v>
      </c>
      <c r="K3373" s="143">
        <v>127</v>
      </c>
      <c r="M3373" s="143" t="s">
        <v>9466</v>
      </c>
      <c r="W3373" s="169" t="s">
        <v>9467</v>
      </c>
      <c r="X3373" s="143" t="s">
        <v>9462</v>
      </c>
      <c r="Y3373" s="169" t="s">
        <v>9467</v>
      </c>
      <c r="Z3373" s="143" t="s">
        <v>9462</v>
      </c>
      <c r="AA3373" s="260" t="s">
        <v>9468</v>
      </c>
      <c r="AB3373" s="170">
        <v>46105</v>
      </c>
      <c r="AH3373" s="206" t="s">
        <v>9469</v>
      </c>
    </row>
    <row r="3374" ht="13.5" spans="1:34">
      <c r="A3374" s="143">
        <v>3337</v>
      </c>
      <c r="B3374" s="144">
        <v>46101</v>
      </c>
      <c r="C3374" s="169" t="s">
        <v>3148</v>
      </c>
      <c r="F3374" s="143" t="s">
        <v>9470</v>
      </c>
      <c r="H3374" s="143" t="s">
        <v>9471</v>
      </c>
      <c r="I3374" s="143" t="s">
        <v>9464</v>
      </c>
      <c r="J3374" s="143" t="s">
        <v>9465</v>
      </c>
      <c r="K3374" s="143">
        <v>132</v>
      </c>
      <c r="M3374" s="143" t="s">
        <v>9466</v>
      </c>
      <c r="W3374" s="169" t="s">
        <v>9467</v>
      </c>
      <c r="X3374" s="143" t="s">
        <v>9470</v>
      </c>
      <c r="Y3374" s="169" t="s">
        <v>9467</v>
      </c>
      <c r="Z3374" s="143" t="s">
        <v>9470</v>
      </c>
      <c r="AA3374" s="260" t="s">
        <v>9472</v>
      </c>
      <c r="AB3374" s="170">
        <v>46105</v>
      </c>
      <c r="AH3374" s="206" t="s">
        <v>9473</v>
      </c>
    </row>
    <row r="3375" ht="13.5" spans="1:34">
      <c r="A3375" s="143">
        <v>3338</v>
      </c>
      <c r="B3375" s="144">
        <v>46101</v>
      </c>
      <c r="C3375" s="169" t="s">
        <v>3148</v>
      </c>
      <c r="F3375" s="143" t="s">
        <v>9474</v>
      </c>
      <c r="H3375" s="143" t="s">
        <v>9475</v>
      </c>
      <c r="I3375" s="143" t="s">
        <v>9464</v>
      </c>
      <c r="J3375" s="143" t="s">
        <v>9465</v>
      </c>
      <c r="K3375" s="143">
        <v>132</v>
      </c>
      <c r="M3375" s="143" t="s">
        <v>9476</v>
      </c>
      <c r="W3375" s="169" t="s">
        <v>9467</v>
      </c>
      <c r="X3375" s="143" t="s">
        <v>9474</v>
      </c>
      <c r="Y3375" s="169" t="s">
        <v>9467</v>
      </c>
      <c r="Z3375" s="143" t="s">
        <v>9474</v>
      </c>
      <c r="AA3375" s="260" t="s">
        <v>9477</v>
      </c>
      <c r="AB3375" s="170">
        <v>46105</v>
      </c>
      <c r="AH3375" s="206" t="s">
        <v>9478</v>
      </c>
    </row>
    <row r="3376" ht="13.5" spans="1:34">
      <c r="A3376" s="143">
        <v>3339</v>
      </c>
      <c r="B3376" s="144">
        <v>46101</v>
      </c>
      <c r="C3376" s="169" t="s">
        <v>3148</v>
      </c>
      <c r="F3376" s="143" t="s">
        <v>9479</v>
      </c>
      <c r="H3376" s="143" t="s">
        <v>9480</v>
      </c>
      <c r="I3376" s="143" t="s">
        <v>9464</v>
      </c>
      <c r="J3376" s="143" t="s">
        <v>9465</v>
      </c>
      <c r="K3376" s="143">
        <v>132</v>
      </c>
      <c r="M3376" s="143" t="s">
        <v>9481</v>
      </c>
      <c r="W3376" s="169" t="s">
        <v>9467</v>
      </c>
      <c r="X3376" s="143" t="s">
        <v>9479</v>
      </c>
      <c r="Y3376" s="169" t="s">
        <v>9467</v>
      </c>
      <c r="Z3376" s="143" t="s">
        <v>9479</v>
      </c>
      <c r="AA3376" s="260" t="s">
        <v>9472</v>
      </c>
      <c r="AB3376" s="170">
        <v>46105</v>
      </c>
      <c r="AH3376" s="206" t="s">
        <v>9469</v>
      </c>
    </row>
    <row r="3377" ht="13.5" spans="1:34">
      <c r="A3377" s="143">
        <v>3340</v>
      </c>
      <c r="B3377" s="144">
        <v>46101</v>
      </c>
      <c r="C3377" s="169" t="s">
        <v>3148</v>
      </c>
      <c r="F3377" s="143" t="s">
        <v>9482</v>
      </c>
      <c r="H3377" s="143" t="s">
        <v>9483</v>
      </c>
      <c r="I3377" s="143" t="s">
        <v>9464</v>
      </c>
      <c r="J3377" s="143" t="s">
        <v>9465</v>
      </c>
      <c r="K3377" s="143">
        <v>132</v>
      </c>
      <c r="M3377" s="143" t="s">
        <v>9484</v>
      </c>
      <c r="W3377" s="169" t="s">
        <v>9467</v>
      </c>
      <c r="X3377" s="143" t="s">
        <v>9482</v>
      </c>
      <c r="Y3377" s="169" t="s">
        <v>9467</v>
      </c>
      <c r="Z3377" s="143" t="s">
        <v>9482</v>
      </c>
      <c r="AA3377" s="260" t="s">
        <v>9485</v>
      </c>
      <c r="AB3377" s="170">
        <v>46105</v>
      </c>
      <c r="AH3377" s="206" t="s">
        <v>9473</v>
      </c>
    </row>
    <row r="3378" ht="13.5" spans="1:34">
      <c r="A3378" s="143">
        <v>3341</v>
      </c>
      <c r="B3378" s="144">
        <v>46101</v>
      </c>
      <c r="C3378" s="169" t="s">
        <v>3148</v>
      </c>
      <c r="F3378" s="143" t="s">
        <v>9486</v>
      </c>
      <c r="H3378" s="143" t="s">
        <v>9487</v>
      </c>
      <c r="I3378" s="143" t="s">
        <v>9464</v>
      </c>
      <c r="J3378" s="143" t="s">
        <v>9465</v>
      </c>
      <c r="K3378" s="143">
        <v>132</v>
      </c>
      <c r="M3378" s="143" t="s">
        <v>9488</v>
      </c>
      <c r="W3378" s="169" t="s">
        <v>9467</v>
      </c>
      <c r="X3378" s="143" t="s">
        <v>9486</v>
      </c>
      <c r="Y3378" s="169" t="s">
        <v>9467</v>
      </c>
      <c r="Z3378" s="143" t="s">
        <v>9486</v>
      </c>
      <c r="AA3378" s="260" t="s">
        <v>9489</v>
      </c>
      <c r="AB3378" s="170">
        <v>46105</v>
      </c>
      <c r="AH3378" s="206" t="s">
        <v>9473</v>
      </c>
    </row>
    <row r="3379" ht="13.5" spans="1:34">
      <c r="A3379" s="143">
        <v>3342</v>
      </c>
      <c r="B3379" s="144">
        <v>46101</v>
      </c>
      <c r="C3379" s="169" t="s">
        <v>3148</v>
      </c>
      <c r="F3379" s="143" t="s">
        <v>9490</v>
      </c>
      <c r="H3379" s="143" t="s">
        <v>9491</v>
      </c>
      <c r="I3379" s="143" t="s">
        <v>9464</v>
      </c>
      <c r="J3379" s="143" t="s">
        <v>9465</v>
      </c>
      <c r="K3379" s="143">
        <v>132</v>
      </c>
      <c r="M3379" s="143" t="s">
        <v>9492</v>
      </c>
      <c r="W3379" s="169" t="s">
        <v>9467</v>
      </c>
      <c r="X3379" s="143" t="s">
        <v>9490</v>
      </c>
      <c r="Y3379" s="169" t="s">
        <v>9467</v>
      </c>
      <c r="Z3379" s="143" t="s">
        <v>9490</v>
      </c>
      <c r="AA3379" s="260" t="s">
        <v>9493</v>
      </c>
      <c r="AB3379" s="170">
        <v>46105</v>
      </c>
      <c r="AH3379" s="206" t="s">
        <v>9469</v>
      </c>
    </row>
    <row r="3380" ht="13.5" spans="1:34">
      <c r="A3380" s="143">
        <v>3343</v>
      </c>
      <c r="B3380" s="144">
        <v>46101</v>
      </c>
      <c r="C3380" s="169" t="s">
        <v>3148</v>
      </c>
      <c r="F3380" s="143" t="s">
        <v>9494</v>
      </c>
      <c r="H3380" s="143" t="s">
        <v>9495</v>
      </c>
      <c r="I3380" s="143" t="s">
        <v>9464</v>
      </c>
      <c r="J3380" s="143" t="s">
        <v>9465</v>
      </c>
      <c r="K3380" s="143">
        <v>132</v>
      </c>
      <c r="M3380" s="143" t="s">
        <v>9466</v>
      </c>
      <c r="W3380" s="169" t="s">
        <v>9467</v>
      </c>
      <c r="X3380" s="143" t="s">
        <v>9494</v>
      </c>
      <c r="Y3380" s="169" t="s">
        <v>9467</v>
      </c>
      <c r="Z3380" s="143" t="s">
        <v>9494</v>
      </c>
      <c r="AA3380" s="260" t="s">
        <v>9496</v>
      </c>
      <c r="AB3380" s="170">
        <v>46105</v>
      </c>
      <c r="AH3380" s="206" t="s">
        <v>9473</v>
      </c>
    </row>
    <row r="3381" ht="13.5" spans="1:34">
      <c r="A3381" s="143">
        <v>3344</v>
      </c>
      <c r="B3381" s="144">
        <v>46101</v>
      </c>
      <c r="C3381" s="169" t="s">
        <v>3148</v>
      </c>
      <c r="F3381" s="143" t="s">
        <v>9497</v>
      </c>
      <c r="H3381" s="143" t="s">
        <v>9498</v>
      </c>
      <c r="I3381" s="143" t="s">
        <v>9464</v>
      </c>
      <c r="J3381" s="143" t="s">
        <v>9465</v>
      </c>
      <c r="K3381" s="143">
        <v>132</v>
      </c>
      <c r="M3381" s="145" t="s">
        <v>9492</v>
      </c>
      <c r="W3381" s="169" t="s">
        <v>9467</v>
      </c>
      <c r="X3381" s="143" t="s">
        <v>9497</v>
      </c>
      <c r="Y3381" s="169" t="s">
        <v>9467</v>
      </c>
      <c r="Z3381" s="143" t="s">
        <v>9497</v>
      </c>
      <c r="AA3381" s="260" t="s">
        <v>9499</v>
      </c>
      <c r="AB3381" s="170">
        <v>46105</v>
      </c>
      <c r="AH3381" s="206" t="s">
        <v>9473</v>
      </c>
    </row>
    <row r="3382" ht="13.5" spans="1:34">
      <c r="A3382" s="143">
        <v>3345</v>
      </c>
      <c r="B3382" s="144">
        <v>46101</v>
      </c>
      <c r="C3382" s="169" t="s">
        <v>3148</v>
      </c>
      <c r="F3382" s="143" t="s">
        <v>9500</v>
      </c>
      <c r="H3382" s="143" t="s">
        <v>9501</v>
      </c>
      <c r="I3382" s="143" t="s">
        <v>9464</v>
      </c>
      <c r="J3382" s="143" t="s">
        <v>9465</v>
      </c>
      <c r="K3382" s="143">
        <v>132</v>
      </c>
      <c r="M3382" s="143" t="s">
        <v>9492</v>
      </c>
      <c r="W3382" s="169" t="s">
        <v>9467</v>
      </c>
      <c r="X3382" s="143" t="s">
        <v>9500</v>
      </c>
      <c r="Y3382" s="169" t="s">
        <v>9467</v>
      </c>
      <c r="Z3382" s="143" t="s">
        <v>9500</v>
      </c>
      <c r="AA3382" s="260" t="s">
        <v>9493</v>
      </c>
      <c r="AB3382" s="170">
        <v>46105</v>
      </c>
      <c r="AH3382" s="206" t="s">
        <v>9473</v>
      </c>
    </row>
    <row r="3383" ht="13.5" spans="1:34">
      <c r="A3383" s="143">
        <v>3346</v>
      </c>
      <c r="B3383" s="144">
        <v>46101</v>
      </c>
      <c r="C3383" s="169" t="s">
        <v>3148</v>
      </c>
      <c r="F3383" s="143" t="s">
        <v>9502</v>
      </c>
      <c r="H3383" s="143" t="s">
        <v>9503</v>
      </c>
      <c r="I3383" s="143" t="s">
        <v>9464</v>
      </c>
      <c r="J3383" s="143" t="s">
        <v>9465</v>
      </c>
      <c r="K3383" s="143">
        <v>132</v>
      </c>
      <c r="M3383" s="143" t="s">
        <v>9492</v>
      </c>
      <c r="W3383" s="169" t="s">
        <v>9467</v>
      </c>
      <c r="X3383" s="143" t="s">
        <v>9502</v>
      </c>
      <c r="Y3383" s="169" t="s">
        <v>9467</v>
      </c>
      <c r="Z3383" s="143" t="s">
        <v>9502</v>
      </c>
      <c r="AA3383" s="260" t="s">
        <v>9504</v>
      </c>
      <c r="AB3383" s="170">
        <v>46105</v>
      </c>
      <c r="AH3383" s="206" t="s">
        <v>9473</v>
      </c>
    </row>
    <row r="3384" ht="13.5" spans="1:34">
      <c r="A3384" s="143">
        <v>3347</v>
      </c>
      <c r="B3384" s="144">
        <v>46101</v>
      </c>
      <c r="C3384" s="169" t="s">
        <v>3148</v>
      </c>
      <c r="F3384" s="143" t="s">
        <v>9505</v>
      </c>
      <c r="H3384" s="143" t="s">
        <v>9506</v>
      </c>
      <c r="I3384" s="143" t="s">
        <v>9464</v>
      </c>
      <c r="J3384" s="143" t="s">
        <v>9465</v>
      </c>
      <c r="K3384" s="143">
        <v>132</v>
      </c>
      <c r="M3384" s="143" t="s">
        <v>9492</v>
      </c>
      <c r="W3384" s="169" t="s">
        <v>9467</v>
      </c>
      <c r="X3384" s="143" t="s">
        <v>9505</v>
      </c>
      <c r="Y3384" s="169" t="s">
        <v>9467</v>
      </c>
      <c r="Z3384" s="143" t="s">
        <v>9505</v>
      </c>
      <c r="AA3384" s="260" t="s">
        <v>9499</v>
      </c>
      <c r="AB3384" s="170">
        <v>46105</v>
      </c>
      <c r="AH3384" s="206" t="s">
        <v>9473</v>
      </c>
    </row>
    <row r="3385" ht="13.5" spans="1:34">
      <c r="A3385" s="143">
        <v>3348</v>
      </c>
      <c r="B3385" s="144">
        <v>46101</v>
      </c>
      <c r="C3385" s="169" t="s">
        <v>3148</v>
      </c>
      <c r="F3385" s="143" t="s">
        <v>9507</v>
      </c>
      <c r="H3385" s="143" t="s">
        <v>9508</v>
      </c>
      <c r="I3385" s="143" t="s">
        <v>9464</v>
      </c>
      <c r="J3385" s="143" t="s">
        <v>9465</v>
      </c>
      <c r="K3385" s="143">
        <v>132</v>
      </c>
      <c r="M3385" s="143" t="s">
        <v>9484</v>
      </c>
      <c r="W3385" s="169" t="s">
        <v>9467</v>
      </c>
      <c r="X3385" s="143" t="s">
        <v>9507</v>
      </c>
      <c r="Y3385" s="169" t="s">
        <v>9467</v>
      </c>
      <c r="Z3385" s="143" t="s">
        <v>9507</v>
      </c>
      <c r="AA3385" s="206" t="s">
        <v>9509</v>
      </c>
      <c r="AB3385" s="170">
        <v>46105</v>
      </c>
      <c r="AH3385" s="206" t="s">
        <v>9473</v>
      </c>
    </row>
    <row r="3386" ht="13.5" spans="1:34">
      <c r="A3386" s="143">
        <v>3349</v>
      </c>
      <c r="B3386" s="144">
        <v>46101</v>
      </c>
      <c r="C3386" s="169" t="s">
        <v>3148</v>
      </c>
      <c r="F3386" s="143" t="s">
        <v>9510</v>
      </c>
      <c r="H3386" s="143" t="s">
        <v>9511</v>
      </c>
      <c r="I3386" s="143" t="s">
        <v>9464</v>
      </c>
      <c r="J3386" s="143" t="s">
        <v>9465</v>
      </c>
      <c r="K3386" s="143">
        <v>132</v>
      </c>
      <c r="M3386" s="143" t="s">
        <v>9492</v>
      </c>
      <c r="W3386" s="169" t="s">
        <v>9467</v>
      </c>
      <c r="X3386" s="143" t="s">
        <v>9510</v>
      </c>
      <c r="Y3386" s="169" t="s">
        <v>9467</v>
      </c>
      <c r="Z3386" s="143" t="s">
        <v>9510</v>
      </c>
      <c r="AA3386" s="260" t="s">
        <v>9493</v>
      </c>
      <c r="AB3386" s="170">
        <v>46105</v>
      </c>
      <c r="AH3386" s="206" t="s">
        <v>9473</v>
      </c>
    </row>
    <row r="3387" ht="13.5" spans="1:34">
      <c r="A3387" s="143">
        <v>3350</v>
      </c>
      <c r="B3387" s="144">
        <v>46101</v>
      </c>
      <c r="C3387" s="169" t="s">
        <v>3148</v>
      </c>
      <c r="F3387" s="143" t="s">
        <v>9512</v>
      </c>
      <c r="H3387" s="143" t="s">
        <v>9513</v>
      </c>
      <c r="I3387" s="143" t="s">
        <v>9464</v>
      </c>
      <c r="J3387" s="143" t="s">
        <v>9465</v>
      </c>
      <c r="K3387" s="143">
        <v>132</v>
      </c>
      <c r="M3387" s="143" t="s">
        <v>9492</v>
      </c>
      <c r="W3387" s="169" t="s">
        <v>9467</v>
      </c>
      <c r="X3387" s="143" t="s">
        <v>9512</v>
      </c>
      <c r="Y3387" s="169" t="s">
        <v>9467</v>
      </c>
      <c r="Z3387" s="143" t="s">
        <v>9512</v>
      </c>
      <c r="AA3387" s="206" t="s">
        <v>9514</v>
      </c>
      <c r="AB3387" s="170">
        <v>46105</v>
      </c>
      <c r="AH3387" s="206" t="s">
        <v>9473</v>
      </c>
    </row>
    <row r="3388" ht="13.5" spans="1:34">
      <c r="A3388" s="143">
        <v>3351</v>
      </c>
      <c r="B3388" s="144">
        <v>46101</v>
      </c>
      <c r="C3388" s="169" t="s">
        <v>3148</v>
      </c>
      <c r="F3388" s="143" t="s">
        <v>9515</v>
      </c>
      <c r="H3388" s="143" t="s">
        <v>9516</v>
      </c>
      <c r="I3388" s="143" t="s">
        <v>9464</v>
      </c>
      <c r="J3388" s="143" t="s">
        <v>9465</v>
      </c>
      <c r="K3388" s="143">
        <v>132</v>
      </c>
      <c r="M3388" s="143" t="s">
        <v>9517</v>
      </c>
      <c r="W3388" s="169" t="s">
        <v>9467</v>
      </c>
      <c r="X3388" s="143" t="s">
        <v>9515</v>
      </c>
      <c r="Y3388" s="169" t="s">
        <v>9467</v>
      </c>
      <c r="Z3388" s="143" t="s">
        <v>9515</v>
      </c>
      <c r="AA3388" s="206" t="s">
        <v>9518</v>
      </c>
      <c r="AB3388" s="170">
        <v>46105</v>
      </c>
      <c r="AH3388" s="206" t="s">
        <v>9519</v>
      </c>
    </row>
    <row r="3389" ht="13.5" spans="1:34">
      <c r="A3389" s="143">
        <v>3352</v>
      </c>
      <c r="B3389" s="144">
        <v>46101</v>
      </c>
      <c r="C3389" s="169" t="s">
        <v>3148</v>
      </c>
      <c r="F3389" s="143" t="s">
        <v>9520</v>
      </c>
      <c r="H3389" s="143" t="s">
        <v>9521</v>
      </c>
      <c r="I3389" s="143" t="s">
        <v>9464</v>
      </c>
      <c r="J3389" s="143" t="s">
        <v>9465</v>
      </c>
      <c r="K3389" s="143">
        <v>132</v>
      </c>
      <c r="M3389" s="143" t="s">
        <v>9492</v>
      </c>
      <c r="W3389" s="169" t="s">
        <v>9467</v>
      </c>
      <c r="X3389" s="143" t="s">
        <v>9520</v>
      </c>
      <c r="Y3389" s="169" t="s">
        <v>9467</v>
      </c>
      <c r="Z3389" s="143" t="s">
        <v>9520</v>
      </c>
      <c r="AA3389" s="206" t="s">
        <v>9522</v>
      </c>
      <c r="AB3389" s="170">
        <v>46105</v>
      </c>
      <c r="AH3389" s="206" t="s">
        <v>9469</v>
      </c>
    </row>
    <row r="3390" ht="13.5" spans="1:34">
      <c r="A3390" s="143">
        <v>3353</v>
      </c>
      <c r="B3390" s="144">
        <v>46101</v>
      </c>
      <c r="C3390" s="169" t="s">
        <v>3148</v>
      </c>
      <c r="F3390" s="143" t="s">
        <v>9523</v>
      </c>
      <c r="H3390" s="143" t="s">
        <v>9524</v>
      </c>
      <c r="I3390" s="143" t="s">
        <v>9464</v>
      </c>
      <c r="J3390" s="143" t="s">
        <v>9465</v>
      </c>
      <c r="K3390" s="143">
        <v>132</v>
      </c>
      <c r="M3390" s="143" t="s">
        <v>9466</v>
      </c>
      <c r="W3390" s="169" t="s">
        <v>9467</v>
      </c>
      <c r="X3390" s="143" t="s">
        <v>9523</v>
      </c>
      <c r="Y3390" s="169" t="s">
        <v>9467</v>
      </c>
      <c r="Z3390" s="143" t="s">
        <v>9523</v>
      </c>
      <c r="AA3390" s="206" t="s">
        <v>9518</v>
      </c>
      <c r="AB3390" s="170">
        <v>46105</v>
      </c>
      <c r="AH3390" s="206" t="s">
        <v>9469</v>
      </c>
    </row>
    <row r="3391" ht="13.5" spans="1:34">
      <c r="A3391" s="143">
        <v>3354</v>
      </c>
      <c r="B3391" s="144">
        <v>46101</v>
      </c>
      <c r="C3391" s="169" t="s">
        <v>3148</v>
      </c>
      <c r="F3391" s="143" t="s">
        <v>9525</v>
      </c>
      <c r="H3391" s="143" t="s">
        <v>9526</v>
      </c>
      <c r="I3391" s="143" t="s">
        <v>9464</v>
      </c>
      <c r="J3391" s="143" t="s">
        <v>9465</v>
      </c>
      <c r="K3391" s="143">
        <v>132</v>
      </c>
      <c r="M3391" s="143" t="s">
        <v>9476</v>
      </c>
      <c r="W3391" s="169" t="s">
        <v>9467</v>
      </c>
      <c r="X3391" s="143" t="s">
        <v>9525</v>
      </c>
      <c r="Y3391" s="169" t="s">
        <v>9467</v>
      </c>
      <c r="Z3391" s="143" t="s">
        <v>9525</v>
      </c>
      <c r="AA3391" s="260" t="s">
        <v>9527</v>
      </c>
      <c r="AB3391" s="170">
        <v>46105</v>
      </c>
      <c r="AH3391" s="206" t="s">
        <v>9469</v>
      </c>
    </row>
    <row r="3392" ht="13.5" spans="1:34">
      <c r="A3392" s="143">
        <v>3355</v>
      </c>
      <c r="B3392" s="144">
        <v>46101</v>
      </c>
      <c r="C3392" s="169" t="s">
        <v>3148</v>
      </c>
      <c r="F3392" s="143" t="s">
        <v>9528</v>
      </c>
      <c r="H3392" s="143" t="s">
        <v>9529</v>
      </c>
      <c r="I3392" s="143" t="s">
        <v>9464</v>
      </c>
      <c r="J3392" s="143" t="s">
        <v>9465</v>
      </c>
      <c r="K3392" s="143">
        <v>132</v>
      </c>
      <c r="M3392" s="143" t="s">
        <v>9481</v>
      </c>
      <c r="W3392" s="169" t="s">
        <v>9467</v>
      </c>
      <c r="X3392" s="143" t="s">
        <v>9528</v>
      </c>
      <c r="Y3392" s="169" t="s">
        <v>9467</v>
      </c>
      <c r="Z3392" s="143" t="s">
        <v>9528</v>
      </c>
      <c r="AA3392" s="206" t="s">
        <v>9530</v>
      </c>
      <c r="AB3392" s="170">
        <v>46105</v>
      </c>
      <c r="AH3392" s="206" t="s">
        <v>9519</v>
      </c>
    </row>
    <row r="3393" ht="13.5" spans="1:34">
      <c r="A3393" s="143">
        <v>3356</v>
      </c>
      <c r="B3393" s="144">
        <v>46101</v>
      </c>
      <c r="C3393" s="169" t="s">
        <v>3148</v>
      </c>
      <c r="F3393" s="143" t="s">
        <v>9531</v>
      </c>
      <c r="H3393" s="143" t="s">
        <v>9532</v>
      </c>
      <c r="I3393" s="143" t="s">
        <v>9464</v>
      </c>
      <c r="J3393" s="143" t="s">
        <v>9465</v>
      </c>
      <c r="K3393" s="143">
        <v>132</v>
      </c>
      <c r="M3393" s="143" t="s">
        <v>9481</v>
      </c>
      <c r="W3393" s="169" t="s">
        <v>9467</v>
      </c>
      <c r="X3393" s="143" t="s">
        <v>9531</v>
      </c>
      <c r="Y3393" s="169" t="s">
        <v>9467</v>
      </c>
      <c r="Z3393" s="143" t="s">
        <v>9531</v>
      </c>
      <c r="AA3393" s="206" t="s">
        <v>9530</v>
      </c>
      <c r="AB3393" s="170">
        <v>46105</v>
      </c>
      <c r="AH3393" s="206" t="s">
        <v>9519</v>
      </c>
    </row>
    <row r="3394" ht="13.5" spans="1:34">
      <c r="A3394" s="143">
        <v>3357</v>
      </c>
      <c r="B3394" s="144">
        <v>46101</v>
      </c>
      <c r="C3394" s="169" t="s">
        <v>3148</v>
      </c>
      <c r="F3394" s="169" t="s">
        <v>9533</v>
      </c>
      <c r="H3394" s="143" t="s">
        <v>9534</v>
      </c>
      <c r="I3394" s="143" t="s">
        <v>9464</v>
      </c>
      <c r="J3394" s="143" t="s">
        <v>9465</v>
      </c>
      <c r="K3394" s="143">
        <v>132</v>
      </c>
      <c r="M3394" s="143" t="s">
        <v>9466</v>
      </c>
      <c r="W3394" s="169" t="s">
        <v>9467</v>
      </c>
      <c r="X3394" s="169" t="s">
        <v>9535</v>
      </c>
      <c r="Y3394" s="169" t="s">
        <v>9467</v>
      </c>
      <c r="Z3394" s="169" t="s">
        <v>9533</v>
      </c>
      <c r="AA3394" s="206" t="s">
        <v>9518</v>
      </c>
      <c r="AB3394" s="170">
        <v>46105</v>
      </c>
      <c r="AH3394" s="206" t="s">
        <v>9469</v>
      </c>
    </row>
    <row r="3395" ht="13.5" spans="1:34">
      <c r="A3395" s="143">
        <v>3358</v>
      </c>
      <c r="B3395" s="144">
        <v>46101</v>
      </c>
      <c r="C3395" s="169" t="s">
        <v>3148</v>
      </c>
      <c r="F3395" s="143" t="s">
        <v>9536</v>
      </c>
      <c r="H3395" s="143" t="s">
        <v>9537</v>
      </c>
      <c r="I3395" s="143" t="s">
        <v>9464</v>
      </c>
      <c r="J3395" s="143" t="s">
        <v>9465</v>
      </c>
      <c r="K3395" s="143">
        <v>132</v>
      </c>
      <c r="M3395" s="143" t="s">
        <v>9484</v>
      </c>
      <c r="W3395" s="169" t="s">
        <v>9467</v>
      </c>
      <c r="X3395" s="143" t="s">
        <v>9536</v>
      </c>
      <c r="Y3395" s="169" t="s">
        <v>9467</v>
      </c>
      <c r="Z3395" s="143" t="s">
        <v>9536</v>
      </c>
      <c r="AA3395" s="206" t="s">
        <v>9538</v>
      </c>
      <c r="AB3395" s="170">
        <v>46105</v>
      </c>
      <c r="AH3395" s="206" t="s">
        <v>9469</v>
      </c>
    </row>
    <row r="3396" ht="13.5" spans="1:34">
      <c r="A3396" s="143">
        <v>3359</v>
      </c>
      <c r="B3396" s="144">
        <v>46101</v>
      </c>
      <c r="C3396" s="169" t="s">
        <v>3148</v>
      </c>
      <c r="F3396" s="143" t="s">
        <v>9539</v>
      </c>
      <c r="H3396" s="143" t="s">
        <v>9540</v>
      </c>
      <c r="I3396" s="143" t="s">
        <v>9464</v>
      </c>
      <c r="J3396" s="143" t="s">
        <v>9465</v>
      </c>
      <c r="K3396" s="143">
        <v>132</v>
      </c>
      <c r="M3396" s="143" t="s">
        <v>9476</v>
      </c>
      <c r="W3396" s="169" t="s">
        <v>9467</v>
      </c>
      <c r="X3396" s="143" t="s">
        <v>9539</v>
      </c>
      <c r="Y3396" s="169" t="s">
        <v>9467</v>
      </c>
      <c r="Z3396" s="261" t="s">
        <v>9541</v>
      </c>
      <c r="AA3396" s="260" t="s">
        <v>9542</v>
      </c>
      <c r="AB3396" s="170">
        <v>46105</v>
      </c>
      <c r="AH3396" s="206" t="s">
        <v>9473</v>
      </c>
    </row>
    <row r="3397" ht="13.5" spans="1:34">
      <c r="A3397" s="143">
        <v>3360</v>
      </c>
      <c r="B3397" s="144">
        <v>46101</v>
      </c>
      <c r="C3397" s="169" t="s">
        <v>3148</v>
      </c>
      <c r="F3397" s="143" t="s">
        <v>9543</v>
      </c>
      <c r="H3397" s="143" t="s">
        <v>9544</v>
      </c>
      <c r="I3397" s="143" t="s">
        <v>9464</v>
      </c>
      <c r="J3397" s="143" t="s">
        <v>9465</v>
      </c>
      <c r="K3397" s="143">
        <v>132</v>
      </c>
      <c r="M3397" s="143" t="s">
        <v>9488</v>
      </c>
      <c r="W3397" s="169" t="s">
        <v>9467</v>
      </c>
      <c r="X3397" s="143" t="s">
        <v>9543</v>
      </c>
      <c r="Y3397" s="169" t="s">
        <v>9467</v>
      </c>
      <c r="Z3397" s="143" t="s">
        <v>9543</v>
      </c>
      <c r="AA3397" s="206" t="s">
        <v>9496</v>
      </c>
      <c r="AB3397" s="170">
        <v>46105</v>
      </c>
      <c r="AH3397" s="206" t="s">
        <v>9473</v>
      </c>
    </row>
    <row r="3398" ht="13.5" spans="1:34">
      <c r="A3398" s="143">
        <v>3361</v>
      </c>
      <c r="B3398" s="144">
        <v>46101</v>
      </c>
      <c r="C3398" s="169" t="s">
        <v>3148</v>
      </c>
      <c r="F3398" s="143" t="s">
        <v>9545</v>
      </c>
      <c r="H3398" s="143" t="s">
        <v>9546</v>
      </c>
      <c r="I3398" s="143" t="s">
        <v>9464</v>
      </c>
      <c r="J3398" s="143" t="s">
        <v>9465</v>
      </c>
      <c r="K3398" s="143">
        <v>132</v>
      </c>
      <c r="M3398" s="145" t="s">
        <v>9547</v>
      </c>
      <c r="W3398" s="169" t="s">
        <v>9467</v>
      </c>
      <c r="X3398" s="143" t="s">
        <v>9545</v>
      </c>
      <c r="Y3398" s="169" t="s">
        <v>9467</v>
      </c>
      <c r="Z3398" s="143" t="s">
        <v>9545</v>
      </c>
      <c r="AA3398" s="260" t="s">
        <v>9548</v>
      </c>
      <c r="AB3398" s="170">
        <v>46105</v>
      </c>
      <c r="AH3398" s="206" t="s">
        <v>9549</v>
      </c>
    </row>
    <row r="3399" ht="13.5" spans="1:34">
      <c r="A3399" s="143">
        <v>3362</v>
      </c>
      <c r="B3399" s="144">
        <v>46101</v>
      </c>
      <c r="C3399" s="169" t="s">
        <v>3148</v>
      </c>
      <c r="F3399" s="143" t="s">
        <v>9550</v>
      </c>
      <c r="H3399" s="143" t="s">
        <v>9551</v>
      </c>
      <c r="I3399" s="143" t="s">
        <v>9464</v>
      </c>
      <c r="J3399" s="143" t="s">
        <v>9465</v>
      </c>
      <c r="K3399" s="143">
        <v>132</v>
      </c>
      <c r="M3399" s="145" t="s">
        <v>9484</v>
      </c>
      <c r="W3399" s="169" t="s">
        <v>9467</v>
      </c>
      <c r="X3399" s="143" t="s">
        <v>9550</v>
      </c>
      <c r="Y3399" s="169" t="s">
        <v>9467</v>
      </c>
      <c r="Z3399" s="143" t="s">
        <v>9550</v>
      </c>
      <c r="AA3399" s="206" t="s">
        <v>9552</v>
      </c>
      <c r="AB3399" s="170">
        <v>46105</v>
      </c>
      <c r="AH3399" s="206" t="s">
        <v>9473</v>
      </c>
    </row>
    <row r="3400" ht="13.5" spans="1:34">
      <c r="A3400" s="143">
        <v>3363</v>
      </c>
      <c r="B3400" s="144">
        <v>46101</v>
      </c>
      <c r="C3400" s="169" t="s">
        <v>3148</v>
      </c>
      <c r="F3400" s="143" t="s">
        <v>9553</v>
      </c>
      <c r="H3400" s="143" t="s">
        <v>9554</v>
      </c>
      <c r="I3400" s="143" t="s">
        <v>9464</v>
      </c>
      <c r="J3400" s="143" t="s">
        <v>9465</v>
      </c>
      <c r="K3400" s="143">
        <v>132</v>
      </c>
      <c r="M3400" s="143" t="s">
        <v>9492</v>
      </c>
      <c r="W3400" s="169" t="s">
        <v>9467</v>
      </c>
      <c r="X3400" s="143" t="s">
        <v>9553</v>
      </c>
      <c r="Y3400" s="169" t="s">
        <v>9467</v>
      </c>
      <c r="Z3400" s="143" t="s">
        <v>9553</v>
      </c>
      <c r="AA3400" s="206" t="s">
        <v>9522</v>
      </c>
      <c r="AB3400" s="170">
        <v>46105</v>
      </c>
      <c r="AH3400" s="206" t="s">
        <v>9473</v>
      </c>
    </row>
    <row r="3401" ht="13.5" spans="1:34">
      <c r="A3401" s="143">
        <v>3364</v>
      </c>
      <c r="B3401" s="144">
        <v>46101</v>
      </c>
      <c r="C3401" s="169" t="s">
        <v>3148</v>
      </c>
      <c r="F3401" s="143" t="s">
        <v>9555</v>
      </c>
      <c r="H3401" s="143" t="s">
        <v>9556</v>
      </c>
      <c r="I3401" s="143" t="s">
        <v>9464</v>
      </c>
      <c r="J3401" s="143" t="s">
        <v>9465</v>
      </c>
      <c r="K3401" s="143">
        <v>132</v>
      </c>
      <c r="M3401" s="143" t="s">
        <v>9484</v>
      </c>
      <c r="W3401" s="169" t="s">
        <v>9467</v>
      </c>
      <c r="X3401" s="143" t="s">
        <v>9555</v>
      </c>
      <c r="Y3401" s="169" t="s">
        <v>9467</v>
      </c>
      <c r="Z3401" s="143" t="s">
        <v>9555</v>
      </c>
      <c r="AA3401" s="260" t="s">
        <v>9557</v>
      </c>
      <c r="AB3401" s="170">
        <v>46105</v>
      </c>
      <c r="AH3401" s="206" t="s">
        <v>9473</v>
      </c>
    </row>
    <row r="3402" spans="1:34">
      <c r="A3402" s="143">
        <v>3365</v>
      </c>
      <c r="B3402" s="144">
        <v>46101</v>
      </c>
      <c r="C3402" s="169" t="s">
        <v>3646</v>
      </c>
      <c r="F3402" s="143" t="s">
        <v>9558</v>
      </c>
      <c r="H3402" s="143" t="s">
        <v>9559</v>
      </c>
      <c r="I3402" s="143" t="s">
        <v>281</v>
      </c>
      <c r="J3402" s="143" t="s">
        <v>282</v>
      </c>
      <c r="K3402" s="143">
        <v>150</v>
      </c>
      <c r="L3402" s="143" t="s">
        <v>9560</v>
      </c>
      <c r="M3402" s="143" t="s">
        <v>48</v>
      </c>
      <c r="W3402" s="169" t="s">
        <v>9561</v>
      </c>
      <c r="X3402" s="143" t="s">
        <v>9558</v>
      </c>
      <c r="AA3402" s="143" t="s">
        <v>9562</v>
      </c>
      <c r="AB3402" s="170">
        <v>46099</v>
      </c>
    </row>
    <row r="3403" spans="1:34">
      <c r="A3403" s="143">
        <v>3366</v>
      </c>
      <c r="B3403" s="144">
        <v>46101</v>
      </c>
      <c r="C3403" s="169" t="s">
        <v>3277</v>
      </c>
      <c r="F3403" s="169" t="s">
        <v>9563</v>
      </c>
      <c r="H3403" s="143" t="s">
        <v>9564</v>
      </c>
      <c r="I3403" s="143" t="s">
        <v>3218</v>
      </c>
      <c r="J3403" s="143" t="s">
        <v>1577</v>
      </c>
      <c r="K3403" s="143">
        <v>145</v>
      </c>
      <c r="L3403" s="143">
        <v>75</v>
      </c>
      <c r="W3403" s="169" t="s">
        <v>9565</v>
      </c>
      <c r="X3403" s="169" t="s">
        <v>9563</v>
      </c>
      <c r="Y3403" s="169" t="s">
        <v>9565</v>
      </c>
      <c r="Z3403" s="169" t="s">
        <v>9563</v>
      </c>
      <c r="AA3403" s="143">
        <v>8.3</v>
      </c>
      <c r="AB3403" s="191">
        <v>46100</v>
      </c>
      <c r="AH3403" s="169" t="s">
        <v>9566</v>
      </c>
    </row>
    <row r="3404" spans="1:34">
      <c r="A3404" s="143">
        <v>3367</v>
      </c>
      <c r="B3404" s="144">
        <v>46102</v>
      </c>
      <c r="C3404" s="169" t="s">
        <v>3646</v>
      </c>
      <c r="F3404" s="145"/>
      <c r="H3404" s="143" t="s">
        <v>9567</v>
      </c>
      <c r="I3404" s="145"/>
      <c r="J3404" s="145"/>
      <c r="K3404" s="145"/>
      <c r="M3404" s="145"/>
      <c r="W3404" s="145"/>
      <c r="X3404" s="145"/>
      <c r="AA3404" s="145"/>
      <c r="AB3404" s="145"/>
    </row>
    <row r="3405" spans="1:34">
      <c r="A3405" s="143">
        <v>3368</v>
      </c>
      <c r="B3405" s="144">
        <v>46102</v>
      </c>
      <c r="C3405" s="169" t="s">
        <v>3277</v>
      </c>
      <c r="D3405" s="169" t="s">
        <v>9568</v>
      </c>
      <c r="F3405" s="169" t="s">
        <v>9569</v>
      </c>
      <c r="G3405" s="143" t="s">
        <v>9570</v>
      </c>
      <c r="H3405" s="143" t="s">
        <v>9571</v>
      </c>
      <c r="I3405" s="143" t="s">
        <v>3157</v>
      </c>
      <c r="J3405" s="143" t="s">
        <v>3684</v>
      </c>
      <c r="K3405" s="143">
        <v>145</v>
      </c>
      <c r="W3405" s="143" t="s">
        <v>3147</v>
      </c>
      <c r="X3405" s="143" t="s">
        <v>9570</v>
      </c>
      <c r="Y3405" s="169" t="s">
        <v>9572</v>
      </c>
      <c r="Z3405" s="143" t="s">
        <v>9570</v>
      </c>
    </row>
    <row r="3406" spans="1:34">
      <c r="A3406" s="143">
        <v>3369</v>
      </c>
      <c r="B3406" s="144">
        <v>46102</v>
      </c>
      <c r="C3406" s="169" t="s">
        <v>3277</v>
      </c>
      <c r="D3406" s="169" t="s">
        <v>9568</v>
      </c>
      <c r="F3406" s="169" t="s">
        <v>9569</v>
      </c>
      <c r="G3406" s="143" t="s">
        <v>9573</v>
      </c>
      <c r="H3406" s="143" t="s">
        <v>9574</v>
      </c>
      <c r="I3406" s="169" t="s">
        <v>9575</v>
      </c>
      <c r="K3406" s="143">
        <v>145</v>
      </c>
      <c r="W3406" s="143" t="s">
        <v>3147</v>
      </c>
      <c r="X3406" s="143" t="s">
        <v>9573</v>
      </c>
      <c r="Y3406" s="169" t="s">
        <v>9572</v>
      </c>
      <c r="Z3406" s="143" t="s">
        <v>9573</v>
      </c>
    </row>
    <row r="3407" spans="1:34">
      <c r="A3407" s="143">
        <v>3370</v>
      </c>
      <c r="B3407" s="144">
        <v>46102</v>
      </c>
      <c r="C3407" s="169" t="s">
        <v>3277</v>
      </c>
      <c r="D3407" s="169" t="s">
        <v>9568</v>
      </c>
      <c r="F3407" s="169" t="s">
        <v>9569</v>
      </c>
      <c r="G3407" s="143" t="s">
        <v>9576</v>
      </c>
      <c r="H3407" s="143" t="s">
        <v>9577</v>
      </c>
      <c r="I3407" s="143" t="s">
        <v>9578</v>
      </c>
      <c r="K3407" s="143">
        <v>145</v>
      </c>
      <c r="W3407" s="143" t="s">
        <v>3147</v>
      </c>
      <c r="X3407" s="143" t="s">
        <v>9576</v>
      </c>
      <c r="Y3407" s="169" t="s">
        <v>9572</v>
      </c>
      <c r="Z3407" s="143" t="s">
        <v>9576</v>
      </c>
    </row>
    <row r="3408" spans="1:34">
      <c r="A3408" s="143">
        <v>3371</v>
      </c>
      <c r="B3408" s="144">
        <v>46102</v>
      </c>
      <c r="C3408" s="169" t="s">
        <v>3277</v>
      </c>
      <c r="D3408" s="169" t="s">
        <v>9568</v>
      </c>
      <c r="F3408" s="169" t="s">
        <v>9569</v>
      </c>
      <c r="G3408" s="143" t="s">
        <v>9579</v>
      </c>
      <c r="H3408" s="143" t="s">
        <v>9580</v>
      </c>
      <c r="I3408" s="169" t="s">
        <v>9575</v>
      </c>
      <c r="K3408" s="143">
        <v>145</v>
      </c>
      <c r="W3408" s="143" t="s">
        <v>3147</v>
      </c>
      <c r="X3408" s="143" t="s">
        <v>9579</v>
      </c>
      <c r="Y3408" s="169" t="s">
        <v>9572</v>
      </c>
      <c r="Z3408" s="143" t="s">
        <v>9579</v>
      </c>
    </row>
    <row r="3409" spans="1:26">
      <c r="A3409" s="143">
        <v>3372</v>
      </c>
      <c r="B3409" s="144">
        <v>46102</v>
      </c>
      <c r="C3409" s="169" t="s">
        <v>3277</v>
      </c>
      <c r="D3409" s="169" t="s">
        <v>9568</v>
      </c>
      <c r="F3409" s="169" t="s">
        <v>9569</v>
      </c>
      <c r="G3409" s="143" t="s">
        <v>9581</v>
      </c>
      <c r="H3409" s="143" t="s">
        <v>9582</v>
      </c>
      <c r="I3409" s="169" t="s">
        <v>9575</v>
      </c>
      <c r="K3409" s="143">
        <v>145</v>
      </c>
      <c r="W3409" s="143" t="s">
        <v>3147</v>
      </c>
      <c r="X3409" s="143" t="s">
        <v>9581</v>
      </c>
      <c r="Y3409" s="169" t="s">
        <v>9572</v>
      </c>
      <c r="Z3409" s="143" t="s">
        <v>9581</v>
      </c>
    </row>
    <row r="3410" spans="1:26">
      <c r="A3410" s="143">
        <v>3373</v>
      </c>
      <c r="B3410" s="144">
        <v>46102</v>
      </c>
      <c r="C3410" s="169" t="s">
        <v>3277</v>
      </c>
      <c r="D3410" s="169" t="s">
        <v>9568</v>
      </c>
      <c r="F3410" s="169" t="s">
        <v>9569</v>
      </c>
      <c r="G3410" s="143" t="s">
        <v>9583</v>
      </c>
      <c r="H3410" s="143" t="s">
        <v>9584</v>
      </c>
      <c r="I3410" s="169" t="s">
        <v>9575</v>
      </c>
      <c r="K3410" s="143">
        <v>145</v>
      </c>
      <c r="W3410" s="143" t="s">
        <v>3147</v>
      </c>
      <c r="X3410" s="143" t="s">
        <v>9583</v>
      </c>
      <c r="Y3410" s="169" t="s">
        <v>9585</v>
      </c>
      <c r="Z3410" s="143" t="s">
        <v>9583</v>
      </c>
    </row>
    <row r="3411" spans="1:26">
      <c r="A3411" s="143">
        <v>3374</v>
      </c>
      <c r="B3411" s="144">
        <v>46102</v>
      </c>
      <c r="C3411" s="169" t="s">
        <v>3277</v>
      </c>
      <c r="D3411" s="169" t="s">
        <v>9568</v>
      </c>
      <c r="F3411" s="169" t="s">
        <v>9569</v>
      </c>
      <c r="G3411" s="143" t="s">
        <v>9586</v>
      </c>
      <c r="H3411" s="143" t="s">
        <v>9587</v>
      </c>
      <c r="I3411" s="169" t="s">
        <v>9575</v>
      </c>
      <c r="K3411" s="143">
        <v>145</v>
      </c>
      <c r="W3411" s="143" t="s">
        <v>3147</v>
      </c>
      <c r="X3411" s="143" t="s">
        <v>9586</v>
      </c>
      <c r="Y3411" s="169" t="s">
        <v>9585</v>
      </c>
      <c r="Z3411" s="143" t="s">
        <v>9586</v>
      </c>
    </row>
    <row r="3412" spans="1:26">
      <c r="A3412" s="143">
        <v>3375</v>
      </c>
      <c r="B3412" s="144">
        <v>46102</v>
      </c>
      <c r="C3412" s="169" t="s">
        <v>3277</v>
      </c>
      <c r="D3412" s="169" t="s">
        <v>9568</v>
      </c>
      <c r="F3412" s="169" t="s">
        <v>9569</v>
      </c>
      <c r="G3412" s="143" t="s">
        <v>9588</v>
      </c>
      <c r="H3412" s="143" t="s">
        <v>9589</v>
      </c>
      <c r="I3412" s="143" t="s">
        <v>7073</v>
      </c>
      <c r="K3412" s="143">
        <v>145</v>
      </c>
      <c r="W3412" s="143" t="s">
        <v>3147</v>
      </c>
      <c r="X3412" s="143" t="s">
        <v>9588</v>
      </c>
      <c r="Y3412" s="169" t="s">
        <v>9590</v>
      </c>
      <c r="Z3412" s="143" t="s">
        <v>9588</v>
      </c>
    </row>
    <row r="3413" spans="1:26">
      <c r="A3413" s="143">
        <v>3376</v>
      </c>
      <c r="B3413" s="144">
        <v>46102</v>
      </c>
      <c r="C3413" s="169" t="s">
        <v>3277</v>
      </c>
      <c r="D3413" s="169" t="s">
        <v>9568</v>
      </c>
      <c r="F3413" s="169" t="s">
        <v>9569</v>
      </c>
      <c r="G3413" s="143">
        <v>8007</v>
      </c>
      <c r="H3413" s="143" t="s">
        <v>9591</v>
      </c>
      <c r="K3413" s="143">
        <v>150</v>
      </c>
      <c r="W3413" s="143" t="s">
        <v>3147</v>
      </c>
      <c r="X3413" s="143">
        <v>8007</v>
      </c>
      <c r="Y3413" s="169" t="s">
        <v>9592</v>
      </c>
      <c r="Z3413" s="143">
        <v>8007</v>
      </c>
    </row>
    <row r="3414" spans="1:26">
      <c r="A3414" s="143">
        <v>3377</v>
      </c>
      <c r="B3414" s="144">
        <v>46102</v>
      </c>
      <c r="C3414" s="169" t="s">
        <v>3277</v>
      </c>
      <c r="D3414" s="169" t="s">
        <v>9568</v>
      </c>
      <c r="F3414" s="169" t="s">
        <v>9569</v>
      </c>
      <c r="G3414" s="143" t="s">
        <v>9593</v>
      </c>
      <c r="H3414" s="143" t="s">
        <v>9594</v>
      </c>
      <c r="I3414" s="143" t="s">
        <v>7073</v>
      </c>
      <c r="K3414" s="143">
        <v>145</v>
      </c>
      <c r="W3414" s="143" t="s">
        <v>3147</v>
      </c>
      <c r="X3414" s="143" t="s">
        <v>9593</v>
      </c>
      <c r="Y3414" s="169" t="s">
        <v>9595</v>
      </c>
      <c r="Z3414" s="143" t="s">
        <v>9593</v>
      </c>
    </row>
    <row r="3415" spans="1:26">
      <c r="A3415" s="143">
        <v>3378</v>
      </c>
      <c r="B3415" s="144">
        <v>46102</v>
      </c>
      <c r="C3415" s="169" t="s">
        <v>3277</v>
      </c>
      <c r="D3415" s="169" t="s">
        <v>9568</v>
      </c>
      <c r="F3415" s="169" t="s">
        <v>9569</v>
      </c>
      <c r="G3415" s="143" t="s">
        <v>9596</v>
      </c>
      <c r="H3415" s="143" t="s">
        <v>9597</v>
      </c>
      <c r="I3415" s="143" t="s">
        <v>9598</v>
      </c>
      <c r="K3415" s="143">
        <v>145</v>
      </c>
      <c r="W3415" s="143" t="s">
        <v>3147</v>
      </c>
      <c r="X3415" s="143" t="s">
        <v>9596</v>
      </c>
      <c r="Y3415" s="169" t="s">
        <v>9595</v>
      </c>
      <c r="Z3415" s="143" t="s">
        <v>9596</v>
      </c>
    </row>
    <row r="3416" spans="1:26">
      <c r="A3416" s="143">
        <v>3379</v>
      </c>
      <c r="B3416" s="144">
        <v>46102</v>
      </c>
      <c r="C3416" s="169" t="s">
        <v>3277</v>
      </c>
      <c r="D3416" s="169" t="s">
        <v>9568</v>
      </c>
      <c r="F3416" s="169" t="s">
        <v>9569</v>
      </c>
      <c r="G3416" s="143" t="s">
        <v>9599</v>
      </c>
      <c r="H3416" s="143" t="s">
        <v>9600</v>
      </c>
      <c r="I3416" s="143" t="s">
        <v>7073</v>
      </c>
      <c r="K3416" s="143">
        <v>145</v>
      </c>
      <c r="W3416" s="143" t="s">
        <v>3147</v>
      </c>
      <c r="X3416" s="143" t="s">
        <v>9599</v>
      </c>
      <c r="Y3416" s="169" t="s">
        <v>9595</v>
      </c>
      <c r="Z3416" s="143" t="s">
        <v>9599</v>
      </c>
    </row>
    <row r="3417" spans="1:26">
      <c r="A3417" s="143">
        <v>3380</v>
      </c>
      <c r="B3417" s="144">
        <v>46102</v>
      </c>
      <c r="C3417" s="169" t="s">
        <v>3277</v>
      </c>
      <c r="D3417" s="169" t="s">
        <v>9568</v>
      </c>
      <c r="F3417" s="169" t="s">
        <v>9569</v>
      </c>
      <c r="G3417" s="143" t="s">
        <v>9601</v>
      </c>
      <c r="H3417" s="143" t="s">
        <v>9602</v>
      </c>
      <c r="I3417" s="143" t="s">
        <v>9598</v>
      </c>
      <c r="K3417" s="143">
        <v>145</v>
      </c>
      <c r="W3417" s="143" t="s">
        <v>3147</v>
      </c>
      <c r="X3417" s="143" t="s">
        <v>9601</v>
      </c>
      <c r="Y3417" s="169" t="s">
        <v>9595</v>
      </c>
      <c r="Z3417" s="143" t="s">
        <v>9601</v>
      </c>
    </row>
    <row r="3418" spans="1:26">
      <c r="A3418" s="143">
        <v>3381</v>
      </c>
      <c r="B3418" s="144">
        <v>46105</v>
      </c>
      <c r="C3418" s="169" t="s">
        <v>9603</v>
      </c>
      <c r="D3418" s="169" t="s">
        <v>9604</v>
      </c>
      <c r="F3418" s="143" t="s">
        <v>9605</v>
      </c>
      <c r="G3418" s="169" t="s">
        <v>9606</v>
      </c>
      <c r="H3418" s="143" t="s">
        <v>9607</v>
      </c>
      <c r="I3418" s="143" t="s">
        <v>4322</v>
      </c>
      <c r="J3418" s="143" t="s">
        <v>9608</v>
      </c>
      <c r="K3418" s="143">
        <v>152</v>
      </c>
      <c r="L3418" s="143">
        <v>300</v>
      </c>
      <c r="W3418" s="169" t="s">
        <v>9609</v>
      </c>
    </row>
    <row r="3419" spans="1:26">
      <c r="A3419" s="143">
        <v>3382</v>
      </c>
      <c r="B3419" s="144">
        <v>46105</v>
      </c>
      <c r="C3419" s="169" t="s">
        <v>9603</v>
      </c>
      <c r="D3419" s="169" t="s">
        <v>9604</v>
      </c>
      <c r="F3419" s="143" t="s">
        <v>9610</v>
      </c>
      <c r="G3419" s="169" t="s">
        <v>9611</v>
      </c>
      <c r="H3419" s="143" t="s">
        <v>9612</v>
      </c>
      <c r="I3419" s="143" t="s">
        <v>9613</v>
      </c>
      <c r="J3419" s="143" t="s">
        <v>9614</v>
      </c>
      <c r="K3419" s="143">
        <v>149</v>
      </c>
      <c r="L3419" s="143">
        <v>245</v>
      </c>
      <c r="W3419" s="169" t="s">
        <v>9615</v>
      </c>
    </row>
    <row r="3420" spans="1:26">
      <c r="A3420" s="143">
        <v>3383</v>
      </c>
      <c r="B3420" s="144">
        <v>46105</v>
      </c>
      <c r="C3420" s="169" t="s">
        <v>9603</v>
      </c>
      <c r="D3420" s="169" t="s">
        <v>9604</v>
      </c>
      <c r="F3420" s="143" t="s">
        <v>9616</v>
      </c>
      <c r="G3420" s="169" t="s">
        <v>9617</v>
      </c>
      <c r="H3420" s="143" t="s">
        <v>9618</v>
      </c>
      <c r="I3420" s="143" t="s">
        <v>9619</v>
      </c>
      <c r="J3420" s="143" t="s">
        <v>9620</v>
      </c>
      <c r="K3420" s="143">
        <v>152</v>
      </c>
      <c r="L3420" s="143">
        <v>220</v>
      </c>
      <c r="W3420" s="169" t="s">
        <v>9615</v>
      </c>
    </row>
    <row r="3421" spans="1:26">
      <c r="A3421" s="143">
        <v>3384</v>
      </c>
      <c r="B3421" s="144">
        <v>46105</v>
      </c>
      <c r="C3421" s="169" t="s">
        <v>9603</v>
      </c>
      <c r="D3421" s="169" t="s">
        <v>9604</v>
      </c>
      <c r="F3421" s="143" t="s">
        <v>9621</v>
      </c>
      <c r="G3421" s="169" t="s">
        <v>9617</v>
      </c>
      <c r="H3421" s="143" t="s">
        <v>9622</v>
      </c>
      <c r="I3421" s="143" t="s">
        <v>9623</v>
      </c>
      <c r="J3421" s="143" t="s">
        <v>9624</v>
      </c>
      <c r="K3421" s="143">
        <v>149</v>
      </c>
      <c r="L3421" s="143">
        <v>240</v>
      </c>
      <c r="W3421" s="169" t="s">
        <v>9615</v>
      </c>
    </row>
    <row r="3422" spans="1:26">
      <c r="A3422" s="143">
        <v>3385</v>
      </c>
      <c r="B3422" s="144">
        <v>46105</v>
      </c>
      <c r="C3422" s="169" t="s">
        <v>9603</v>
      </c>
      <c r="D3422" s="169" t="s">
        <v>9604</v>
      </c>
      <c r="F3422" s="143" t="s">
        <v>9625</v>
      </c>
      <c r="G3422" s="169" t="s">
        <v>9617</v>
      </c>
      <c r="H3422" s="143" t="s">
        <v>9626</v>
      </c>
      <c r="I3422" s="143" t="s">
        <v>9627</v>
      </c>
      <c r="J3422" s="143" t="s">
        <v>9624</v>
      </c>
      <c r="K3422" s="143">
        <v>149</v>
      </c>
      <c r="L3422" s="143">
        <v>240</v>
      </c>
      <c r="W3422" s="169" t="s">
        <v>9615</v>
      </c>
    </row>
    <row r="3423" spans="1:26">
      <c r="A3423" s="143">
        <v>3386</v>
      </c>
      <c r="B3423" s="144">
        <v>46105</v>
      </c>
      <c r="C3423" s="169" t="s">
        <v>9603</v>
      </c>
      <c r="D3423" s="169" t="s">
        <v>9604</v>
      </c>
      <c r="F3423" s="143" t="s">
        <v>9628</v>
      </c>
      <c r="G3423" s="143" t="s">
        <v>9606</v>
      </c>
      <c r="H3423" s="143" t="s">
        <v>9629</v>
      </c>
      <c r="I3423" s="169" t="s">
        <v>9630</v>
      </c>
      <c r="J3423" s="143" t="s">
        <v>1588</v>
      </c>
      <c r="K3423" s="143">
        <v>144</v>
      </c>
      <c r="L3423" s="143">
        <v>250</v>
      </c>
      <c r="W3423" s="169" t="s">
        <v>9615</v>
      </c>
    </row>
    <row r="3424" spans="1:26">
      <c r="A3424" s="143">
        <v>3387</v>
      </c>
      <c r="B3424" s="144">
        <v>46105</v>
      </c>
      <c r="C3424" s="169" t="s">
        <v>9603</v>
      </c>
      <c r="D3424" s="169" t="s">
        <v>9604</v>
      </c>
      <c r="F3424" s="143" t="s">
        <v>9631</v>
      </c>
      <c r="H3424" s="143" t="s">
        <v>9632</v>
      </c>
      <c r="I3424" s="143" t="s">
        <v>9633</v>
      </c>
      <c r="J3424" s="143" t="s">
        <v>9634</v>
      </c>
      <c r="K3424" s="143">
        <v>144</v>
      </c>
      <c r="L3424" s="143">
        <v>50</v>
      </c>
      <c r="W3424" s="169" t="s">
        <v>9635</v>
      </c>
    </row>
    <row r="3425" spans="1:28">
      <c r="A3425" s="143">
        <v>3388</v>
      </c>
      <c r="B3425" s="144">
        <v>46105</v>
      </c>
      <c r="C3425" s="169" t="s">
        <v>9603</v>
      </c>
      <c r="D3425" s="169" t="s">
        <v>9604</v>
      </c>
      <c r="F3425" s="143" t="s">
        <v>9636</v>
      </c>
      <c r="H3425" s="143" t="s">
        <v>9637</v>
      </c>
      <c r="I3425" s="143" t="s">
        <v>9638</v>
      </c>
      <c r="J3425" s="143" t="s">
        <v>9639</v>
      </c>
      <c r="K3425" s="143">
        <v>144</v>
      </c>
      <c r="L3425" s="143">
        <v>170</v>
      </c>
      <c r="W3425" s="169" t="s">
        <v>9635</v>
      </c>
    </row>
    <row r="3426" spans="1:28">
      <c r="A3426" s="143">
        <v>3389</v>
      </c>
      <c r="B3426" s="144">
        <v>46105</v>
      </c>
      <c r="C3426" s="169" t="s">
        <v>9603</v>
      </c>
      <c r="D3426" s="169" t="s">
        <v>9604</v>
      </c>
      <c r="F3426" s="143" t="s">
        <v>9640</v>
      </c>
      <c r="H3426" s="143" t="s">
        <v>9641</v>
      </c>
      <c r="I3426" s="143" t="s">
        <v>3218</v>
      </c>
      <c r="J3426" s="143" t="s">
        <v>779</v>
      </c>
      <c r="K3426" s="143">
        <v>144</v>
      </c>
      <c r="L3426" s="143">
        <v>290</v>
      </c>
      <c r="W3426" s="169" t="s">
        <v>9635</v>
      </c>
    </row>
    <row r="3427" spans="1:28">
      <c r="A3427" s="143">
        <v>3390</v>
      </c>
      <c r="B3427" s="144">
        <v>46105</v>
      </c>
      <c r="C3427" s="169" t="s">
        <v>9603</v>
      </c>
      <c r="D3427" s="169" t="s">
        <v>9604</v>
      </c>
      <c r="F3427" s="143" t="s">
        <v>9642</v>
      </c>
      <c r="H3427" s="143" t="s">
        <v>9643</v>
      </c>
      <c r="I3427" s="143" t="s">
        <v>324</v>
      </c>
      <c r="J3427" s="143" t="s">
        <v>330</v>
      </c>
      <c r="K3427" s="143">
        <v>144</v>
      </c>
      <c r="L3427" s="143">
        <v>260</v>
      </c>
      <c r="W3427" s="169" t="s">
        <v>9635</v>
      </c>
    </row>
    <row r="3428" spans="1:28">
      <c r="A3428" s="143">
        <v>3391</v>
      </c>
      <c r="B3428" s="144">
        <v>46105</v>
      </c>
      <c r="C3428" s="169" t="s">
        <v>9603</v>
      </c>
      <c r="D3428" s="169" t="s">
        <v>9604</v>
      </c>
      <c r="F3428" s="143" t="s">
        <v>9644</v>
      </c>
      <c r="H3428" s="143" t="s">
        <v>9645</v>
      </c>
      <c r="I3428" s="143" t="s">
        <v>5297</v>
      </c>
      <c r="J3428" s="143" t="s">
        <v>9646</v>
      </c>
      <c r="K3428" s="143">
        <v>144</v>
      </c>
      <c r="L3428" s="143">
        <v>280</v>
      </c>
      <c r="W3428" s="169" t="s">
        <v>9635</v>
      </c>
    </row>
    <row r="3429" spans="1:28">
      <c r="A3429" s="143">
        <v>3392</v>
      </c>
      <c r="B3429" s="144">
        <v>46105</v>
      </c>
      <c r="C3429" s="169" t="s">
        <v>9603</v>
      </c>
      <c r="D3429" s="169" t="s">
        <v>9604</v>
      </c>
      <c r="F3429" s="143" t="s">
        <v>9647</v>
      </c>
      <c r="H3429" s="143" t="s">
        <v>9648</v>
      </c>
      <c r="I3429" s="143" t="s">
        <v>324</v>
      </c>
      <c r="J3429" s="143" t="s">
        <v>779</v>
      </c>
      <c r="K3429" s="143">
        <v>144</v>
      </c>
      <c r="L3429" s="143">
        <v>200</v>
      </c>
      <c r="W3429" s="169" t="s">
        <v>9635</v>
      </c>
    </row>
    <row r="3430" spans="1:28">
      <c r="A3430" s="143">
        <v>3393</v>
      </c>
      <c r="B3430" s="144">
        <v>46105</v>
      </c>
      <c r="C3430" s="169" t="s">
        <v>9603</v>
      </c>
      <c r="D3430" s="169" t="s">
        <v>9604</v>
      </c>
      <c r="F3430" s="143" t="s">
        <v>9649</v>
      </c>
      <c r="H3430" s="143" t="s">
        <v>9650</v>
      </c>
      <c r="I3430" s="143" t="s">
        <v>9651</v>
      </c>
      <c r="J3430" s="143" t="s">
        <v>779</v>
      </c>
      <c r="K3430" s="143">
        <v>144</v>
      </c>
      <c r="L3430" s="143">
        <v>220</v>
      </c>
      <c r="W3430" s="169" t="s">
        <v>9635</v>
      </c>
    </row>
    <row r="3431" spans="1:28">
      <c r="A3431" s="143">
        <v>3394</v>
      </c>
      <c r="B3431" s="144">
        <v>46105</v>
      </c>
      <c r="C3431" s="169" t="s">
        <v>9603</v>
      </c>
      <c r="D3431" s="169" t="s">
        <v>9604</v>
      </c>
      <c r="F3431" s="143" t="s">
        <v>9652</v>
      </c>
      <c r="H3431" s="143" t="s">
        <v>9653</v>
      </c>
      <c r="I3431" s="143" t="s">
        <v>324</v>
      </c>
      <c r="J3431" s="143" t="s">
        <v>779</v>
      </c>
      <c r="K3431" s="143">
        <v>144</v>
      </c>
      <c r="L3431" s="143">
        <v>200</v>
      </c>
      <c r="W3431" s="169" t="s">
        <v>9635</v>
      </c>
    </row>
    <row r="3432" spans="1:28">
      <c r="A3432" s="143">
        <v>3395</v>
      </c>
      <c r="B3432" s="144">
        <v>46105</v>
      </c>
      <c r="C3432" s="169" t="s">
        <v>9603</v>
      </c>
      <c r="D3432" s="169" t="s">
        <v>9604</v>
      </c>
      <c r="F3432" s="143" t="s">
        <v>9654</v>
      </c>
      <c r="H3432" s="143" t="s">
        <v>9655</v>
      </c>
      <c r="I3432" s="143" t="s">
        <v>9656</v>
      </c>
      <c r="J3432" s="143" t="s">
        <v>779</v>
      </c>
      <c r="K3432" s="143">
        <v>144</v>
      </c>
      <c r="L3432" s="143">
        <v>50</v>
      </c>
      <c r="W3432" s="169" t="s">
        <v>9635</v>
      </c>
    </row>
    <row r="3433" ht="16.5" spans="1:28">
      <c r="A3433" s="143">
        <v>3396</v>
      </c>
      <c r="B3433" s="144">
        <v>46106</v>
      </c>
      <c r="C3433" s="169" t="s">
        <v>3646</v>
      </c>
      <c r="F3433" s="233" t="s">
        <v>9657</v>
      </c>
      <c r="G3433" s="233" t="s">
        <v>9658</v>
      </c>
      <c r="H3433" s="143" t="s">
        <v>9659</v>
      </c>
      <c r="I3433" s="233" t="s">
        <v>9660</v>
      </c>
      <c r="J3433" s="143" t="s">
        <v>9661</v>
      </c>
      <c r="K3433" s="207">
        <v>138</v>
      </c>
      <c r="L3433" s="207">
        <v>210</v>
      </c>
      <c r="W3433" s="169" t="s">
        <v>2364</v>
      </c>
      <c r="X3433" s="233" t="s">
        <v>9657</v>
      </c>
      <c r="Y3433" s="169" t="s">
        <v>2364</v>
      </c>
      <c r="Z3433" s="233" t="s">
        <v>9662</v>
      </c>
      <c r="AA3433" s="207">
        <v>38.6</v>
      </c>
      <c r="AB3433" s="170">
        <v>46105</v>
      </c>
    </row>
    <row r="3434" ht="16.5" spans="1:28">
      <c r="A3434" s="143">
        <v>3397</v>
      </c>
      <c r="B3434" s="144">
        <v>46106</v>
      </c>
      <c r="C3434" s="169" t="s">
        <v>3646</v>
      </c>
      <c r="F3434" s="233" t="s">
        <v>9663</v>
      </c>
      <c r="G3434" s="233" t="s">
        <v>9664</v>
      </c>
      <c r="H3434" s="143" t="s">
        <v>9665</v>
      </c>
      <c r="I3434" s="233" t="s">
        <v>9666</v>
      </c>
      <c r="J3434" s="143" t="s">
        <v>9667</v>
      </c>
      <c r="K3434" s="207">
        <v>135</v>
      </c>
      <c r="L3434" s="207">
        <v>140</v>
      </c>
      <c r="W3434" s="169" t="s">
        <v>2364</v>
      </c>
      <c r="X3434" s="233" t="s">
        <v>9663</v>
      </c>
      <c r="Y3434" s="169" t="s">
        <v>2364</v>
      </c>
      <c r="Z3434" s="233" t="s">
        <v>9662</v>
      </c>
      <c r="AA3434" s="207">
        <v>30.1</v>
      </c>
      <c r="AB3434" s="170">
        <v>46105</v>
      </c>
    </row>
    <row r="3435" ht="16.5" spans="1:28">
      <c r="A3435" s="143">
        <v>3398</v>
      </c>
      <c r="B3435" s="144">
        <v>46106</v>
      </c>
      <c r="C3435" s="169" t="s">
        <v>3646</v>
      </c>
      <c r="F3435" s="233" t="s">
        <v>9668</v>
      </c>
      <c r="G3435" s="233" t="s">
        <v>8178</v>
      </c>
      <c r="H3435" s="143" t="s">
        <v>9669</v>
      </c>
      <c r="I3435" s="233" t="s">
        <v>8180</v>
      </c>
      <c r="J3435" s="143" t="s">
        <v>8181</v>
      </c>
      <c r="K3435" s="207">
        <v>138</v>
      </c>
      <c r="L3435" s="207">
        <v>140</v>
      </c>
      <c r="W3435" s="169" t="s">
        <v>2364</v>
      </c>
      <c r="X3435" s="233" t="s">
        <v>9668</v>
      </c>
      <c r="Y3435" s="169" t="s">
        <v>2364</v>
      </c>
      <c r="Z3435" s="233" t="s">
        <v>9662</v>
      </c>
      <c r="AA3435" s="207">
        <v>46</v>
      </c>
      <c r="AB3435" s="170">
        <v>46105</v>
      </c>
    </row>
    <row r="3436" ht="16.5" spans="1:28">
      <c r="A3436" s="143">
        <v>3399</v>
      </c>
      <c r="B3436" s="144">
        <v>46106</v>
      </c>
      <c r="C3436" s="169" t="s">
        <v>3646</v>
      </c>
      <c r="F3436" s="233" t="s">
        <v>9670</v>
      </c>
      <c r="G3436" s="233" t="s">
        <v>8178</v>
      </c>
      <c r="H3436" s="143" t="s">
        <v>9671</v>
      </c>
      <c r="I3436" s="233" t="s">
        <v>8180</v>
      </c>
      <c r="J3436" s="143" t="s">
        <v>8181</v>
      </c>
      <c r="K3436" s="207">
        <v>138</v>
      </c>
      <c r="L3436" s="207">
        <v>140</v>
      </c>
      <c r="W3436" s="169" t="s">
        <v>2364</v>
      </c>
      <c r="X3436" s="233" t="s">
        <v>9670</v>
      </c>
      <c r="Y3436" s="169" t="s">
        <v>2364</v>
      </c>
      <c r="Z3436" s="233" t="s">
        <v>9662</v>
      </c>
      <c r="AA3436" s="207">
        <v>46</v>
      </c>
      <c r="AB3436" s="170">
        <v>46105</v>
      </c>
    </row>
    <row r="3437" ht="16.5" spans="1:28">
      <c r="A3437" s="143">
        <v>3400</v>
      </c>
      <c r="B3437" s="144">
        <v>46106</v>
      </c>
      <c r="C3437" s="169" t="s">
        <v>3646</v>
      </c>
      <c r="F3437" s="233" t="s">
        <v>9672</v>
      </c>
      <c r="G3437" s="233" t="s">
        <v>8178</v>
      </c>
      <c r="H3437" s="143" t="s">
        <v>9673</v>
      </c>
      <c r="I3437" s="233" t="s">
        <v>8180</v>
      </c>
      <c r="J3437" s="143" t="s">
        <v>8181</v>
      </c>
      <c r="K3437" s="207">
        <v>138</v>
      </c>
      <c r="L3437" s="207">
        <v>140</v>
      </c>
      <c r="W3437" s="169" t="s">
        <v>2364</v>
      </c>
      <c r="X3437" s="233" t="s">
        <v>9672</v>
      </c>
      <c r="Y3437" s="169" t="s">
        <v>2364</v>
      </c>
      <c r="Z3437" s="233" t="s">
        <v>9662</v>
      </c>
      <c r="AA3437" s="207">
        <v>46</v>
      </c>
      <c r="AB3437" s="170">
        <v>46105</v>
      </c>
    </row>
    <row r="3438" ht="16.5" spans="1:28">
      <c r="A3438" s="143">
        <v>3401</v>
      </c>
      <c r="B3438" s="144">
        <v>46106</v>
      </c>
      <c r="C3438" s="169" t="s">
        <v>3646</v>
      </c>
      <c r="F3438" s="233" t="s">
        <v>9674</v>
      </c>
      <c r="G3438" s="233" t="s">
        <v>8178</v>
      </c>
      <c r="H3438" s="143" t="s">
        <v>9675</v>
      </c>
      <c r="I3438" s="233" t="s">
        <v>8180</v>
      </c>
      <c r="J3438" s="143" t="s">
        <v>8181</v>
      </c>
      <c r="K3438" s="207">
        <v>138</v>
      </c>
      <c r="L3438" s="207">
        <v>140</v>
      </c>
      <c r="W3438" s="169" t="s">
        <v>2364</v>
      </c>
      <c r="X3438" s="233" t="s">
        <v>9674</v>
      </c>
      <c r="Y3438" s="169" t="s">
        <v>2364</v>
      </c>
      <c r="Z3438" s="233" t="s">
        <v>9662</v>
      </c>
      <c r="AA3438" s="207">
        <v>47</v>
      </c>
      <c r="AB3438" s="170">
        <v>46105</v>
      </c>
    </row>
    <row r="3439" ht="16.5" spans="1:28">
      <c r="A3439" s="143">
        <v>3402</v>
      </c>
      <c r="B3439" s="144">
        <v>46106</v>
      </c>
      <c r="C3439" s="169" t="s">
        <v>3646</v>
      </c>
      <c r="F3439" s="233" t="s">
        <v>9676</v>
      </c>
      <c r="G3439" s="233" t="s">
        <v>8178</v>
      </c>
      <c r="H3439" s="143" t="s">
        <v>9677</v>
      </c>
      <c r="I3439" s="233" t="s">
        <v>8180</v>
      </c>
      <c r="J3439" s="143" t="s">
        <v>8181</v>
      </c>
      <c r="K3439" s="207">
        <v>135</v>
      </c>
      <c r="L3439" s="207">
        <v>145</v>
      </c>
      <c r="W3439" s="169" t="s">
        <v>2364</v>
      </c>
      <c r="X3439" s="233" t="s">
        <v>9676</v>
      </c>
      <c r="Y3439" s="169" t="s">
        <v>2364</v>
      </c>
      <c r="Z3439" s="233" t="s">
        <v>9662</v>
      </c>
      <c r="AA3439" s="207">
        <v>47</v>
      </c>
      <c r="AB3439" s="170">
        <v>46105</v>
      </c>
    </row>
    <row r="3440" ht="16.5" spans="1:28">
      <c r="A3440" s="143">
        <v>3403</v>
      </c>
      <c r="B3440" s="144">
        <v>46106</v>
      </c>
      <c r="C3440" s="169" t="s">
        <v>3646</v>
      </c>
      <c r="F3440" s="233" t="s">
        <v>9678</v>
      </c>
      <c r="G3440" s="233" t="s">
        <v>8178</v>
      </c>
      <c r="H3440" s="143" t="s">
        <v>9679</v>
      </c>
      <c r="I3440" s="233" t="s">
        <v>8180</v>
      </c>
      <c r="J3440" s="143" t="s">
        <v>8181</v>
      </c>
      <c r="K3440" s="207">
        <v>135</v>
      </c>
      <c r="L3440" s="207">
        <v>110</v>
      </c>
      <c r="W3440" s="169" t="s">
        <v>2364</v>
      </c>
      <c r="X3440" s="233" t="s">
        <v>9678</v>
      </c>
      <c r="Y3440" s="169" t="s">
        <v>2364</v>
      </c>
      <c r="Z3440" s="233" t="s">
        <v>9662</v>
      </c>
      <c r="AA3440" s="207">
        <v>61.2</v>
      </c>
      <c r="AB3440" s="170">
        <v>46105</v>
      </c>
    </row>
    <row r="3441" ht="16.5" spans="1:34">
      <c r="A3441" s="143">
        <v>3404</v>
      </c>
      <c r="B3441" s="144">
        <v>46106</v>
      </c>
      <c r="C3441" s="169" t="s">
        <v>3646</v>
      </c>
      <c r="F3441" s="233" t="s">
        <v>9680</v>
      </c>
      <c r="G3441" s="233" t="s">
        <v>8178</v>
      </c>
      <c r="H3441" s="143" t="s">
        <v>9681</v>
      </c>
      <c r="I3441" s="233" t="s">
        <v>8180</v>
      </c>
      <c r="J3441" s="143" t="s">
        <v>8181</v>
      </c>
      <c r="K3441" s="207">
        <v>135</v>
      </c>
      <c r="L3441" s="207">
        <v>140</v>
      </c>
      <c r="W3441" s="169" t="s">
        <v>2364</v>
      </c>
      <c r="X3441" s="233" t="s">
        <v>9680</v>
      </c>
      <c r="Y3441" s="169" t="s">
        <v>2364</v>
      </c>
      <c r="Z3441" s="233" t="s">
        <v>9662</v>
      </c>
      <c r="AA3441" s="207">
        <v>74</v>
      </c>
      <c r="AB3441" s="170">
        <v>46105</v>
      </c>
    </row>
    <row r="3442" ht="16.5" spans="1:34">
      <c r="A3442" s="143">
        <v>3405</v>
      </c>
      <c r="B3442" s="144">
        <v>46106</v>
      </c>
      <c r="C3442" s="169" t="s">
        <v>3646</v>
      </c>
      <c r="F3442" s="233" t="s">
        <v>9682</v>
      </c>
      <c r="G3442" s="233" t="s">
        <v>8178</v>
      </c>
      <c r="H3442" s="143" t="s">
        <v>9683</v>
      </c>
      <c r="I3442" s="233" t="s">
        <v>8180</v>
      </c>
      <c r="J3442" s="143" t="s">
        <v>8181</v>
      </c>
      <c r="K3442" s="207">
        <v>135</v>
      </c>
      <c r="L3442" s="207">
        <v>110</v>
      </c>
      <c r="W3442" s="169" t="s">
        <v>2364</v>
      </c>
      <c r="X3442" s="233" t="s">
        <v>9682</v>
      </c>
      <c r="Y3442" s="169" t="s">
        <v>2364</v>
      </c>
      <c r="Z3442" s="233" t="s">
        <v>9662</v>
      </c>
      <c r="AA3442" s="207">
        <v>61.2</v>
      </c>
      <c r="AB3442" s="170">
        <v>46105</v>
      </c>
    </row>
    <row r="3443" ht="16.5" spans="1:34">
      <c r="A3443" s="143">
        <v>3406</v>
      </c>
      <c r="B3443" s="144">
        <v>46106</v>
      </c>
      <c r="C3443" s="169" t="s">
        <v>3646</v>
      </c>
      <c r="F3443" s="233" t="s">
        <v>9684</v>
      </c>
      <c r="G3443" s="233" t="s">
        <v>8178</v>
      </c>
      <c r="H3443" s="143" t="s">
        <v>9685</v>
      </c>
      <c r="I3443" s="233" t="s">
        <v>8180</v>
      </c>
      <c r="J3443" s="143" t="s">
        <v>8181</v>
      </c>
      <c r="K3443" s="207">
        <v>135</v>
      </c>
      <c r="L3443" s="207">
        <v>135</v>
      </c>
      <c r="W3443" s="169" t="s">
        <v>2364</v>
      </c>
      <c r="X3443" s="233" t="s">
        <v>9684</v>
      </c>
      <c r="Y3443" s="169" t="s">
        <v>2364</v>
      </c>
      <c r="Z3443" s="233" t="s">
        <v>9662</v>
      </c>
      <c r="AA3443" s="207">
        <v>63.1</v>
      </c>
      <c r="AB3443" s="170">
        <v>46105</v>
      </c>
    </row>
    <row r="3444" ht="16.5" spans="1:34">
      <c r="A3444" s="143">
        <v>3407</v>
      </c>
      <c r="B3444" s="144">
        <v>46106</v>
      </c>
      <c r="C3444" s="169" t="s">
        <v>3646</v>
      </c>
      <c r="F3444" s="233" t="s">
        <v>9686</v>
      </c>
      <c r="G3444" s="233" t="s">
        <v>8178</v>
      </c>
      <c r="H3444" s="143" t="s">
        <v>9687</v>
      </c>
      <c r="I3444" s="233" t="s">
        <v>8180</v>
      </c>
      <c r="J3444" s="143" t="s">
        <v>8181</v>
      </c>
      <c r="K3444" s="207">
        <v>138</v>
      </c>
      <c r="L3444" s="207">
        <v>140</v>
      </c>
      <c r="W3444" s="169" t="s">
        <v>2364</v>
      </c>
      <c r="X3444" s="233" t="s">
        <v>9686</v>
      </c>
      <c r="Y3444" s="169" t="s">
        <v>2364</v>
      </c>
      <c r="Z3444" s="233" t="s">
        <v>9662</v>
      </c>
      <c r="AA3444" s="207">
        <v>48</v>
      </c>
      <c r="AB3444" s="170">
        <v>46105</v>
      </c>
    </row>
    <row r="3445" ht="16.5" spans="1:34">
      <c r="A3445" s="143">
        <v>3408</v>
      </c>
      <c r="B3445" s="144">
        <v>46106</v>
      </c>
      <c r="C3445" s="169" t="s">
        <v>3646</v>
      </c>
      <c r="F3445" s="233" t="s">
        <v>9688</v>
      </c>
      <c r="G3445" s="233" t="s">
        <v>9689</v>
      </c>
      <c r="H3445" s="143" t="s">
        <v>9690</v>
      </c>
      <c r="I3445" s="233" t="s">
        <v>9691</v>
      </c>
      <c r="J3445" s="143" t="s">
        <v>9692</v>
      </c>
      <c r="K3445" s="207">
        <v>138</v>
      </c>
      <c r="L3445" s="207">
        <v>125</v>
      </c>
      <c r="W3445" s="169" t="s">
        <v>2364</v>
      </c>
      <c r="X3445" s="233" t="s">
        <v>9688</v>
      </c>
      <c r="Y3445" s="169" t="s">
        <v>2364</v>
      </c>
      <c r="Z3445" s="233" t="s">
        <v>9662</v>
      </c>
      <c r="AA3445" s="207">
        <v>24</v>
      </c>
      <c r="AB3445" s="170">
        <v>46105</v>
      </c>
    </row>
    <row r="3446" ht="16.5" spans="1:34">
      <c r="A3446" s="143">
        <v>3409</v>
      </c>
      <c r="B3446" s="144">
        <v>46106</v>
      </c>
      <c r="C3446" s="169" t="s">
        <v>3646</v>
      </c>
      <c r="F3446" s="233" t="s">
        <v>9693</v>
      </c>
      <c r="G3446" s="233" t="s">
        <v>9689</v>
      </c>
      <c r="H3446" s="143" t="s">
        <v>9694</v>
      </c>
      <c r="I3446" s="233" t="s">
        <v>9691</v>
      </c>
      <c r="J3446" s="143" t="s">
        <v>9692</v>
      </c>
      <c r="K3446" s="207">
        <v>138</v>
      </c>
      <c r="L3446" s="207">
        <v>125</v>
      </c>
      <c r="W3446" s="169" t="s">
        <v>2364</v>
      </c>
      <c r="X3446" s="233" t="s">
        <v>9693</v>
      </c>
      <c r="Y3446" s="169" t="s">
        <v>2364</v>
      </c>
      <c r="Z3446" s="233" t="s">
        <v>9662</v>
      </c>
      <c r="AA3446" s="207">
        <v>24</v>
      </c>
      <c r="AB3446" s="170">
        <v>46105</v>
      </c>
    </row>
    <row r="3447" ht="16.5" spans="1:34">
      <c r="A3447" s="143">
        <v>3410</v>
      </c>
      <c r="B3447" s="144">
        <v>46106</v>
      </c>
      <c r="C3447" s="169" t="s">
        <v>3646</v>
      </c>
      <c r="F3447" s="233" t="s">
        <v>9695</v>
      </c>
      <c r="G3447" s="233" t="s">
        <v>9696</v>
      </c>
      <c r="H3447" s="143" t="s">
        <v>9697</v>
      </c>
      <c r="I3447" s="233" t="s">
        <v>9698</v>
      </c>
      <c r="J3447" s="143" t="s">
        <v>9699</v>
      </c>
      <c r="K3447" s="207">
        <v>138</v>
      </c>
      <c r="L3447" s="207">
        <v>140</v>
      </c>
      <c r="W3447" s="169" t="s">
        <v>2364</v>
      </c>
      <c r="X3447" s="233" t="s">
        <v>9695</v>
      </c>
      <c r="Y3447" s="169" t="s">
        <v>2364</v>
      </c>
      <c r="Z3447" s="233" t="s">
        <v>9662</v>
      </c>
      <c r="AA3447" s="207">
        <v>15.8</v>
      </c>
      <c r="AB3447" s="170">
        <v>46105</v>
      </c>
    </row>
    <row r="3448" ht="16.5" spans="1:34">
      <c r="A3448" s="143">
        <v>3411</v>
      </c>
      <c r="B3448" s="144">
        <v>46106</v>
      </c>
      <c r="C3448" s="169" t="s">
        <v>3646</v>
      </c>
      <c r="F3448" s="233" t="s">
        <v>9700</v>
      </c>
      <c r="G3448" s="233"/>
      <c r="H3448" s="143" t="s">
        <v>9701</v>
      </c>
      <c r="I3448" s="233" t="s">
        <v>9702</v>
      </c>
      <c r="J3448" s="143" t="s">
        <v>9703</v>
      </c>
      <c r="K3448" s="207">
        <v>138</v>
      </c>
      <c r="L3448" s="207">
        <v>135</v>
      </c>
      <c r="W3448" s="169" t="s">
        <v>2364</v>
      </c>
      <c r="X3448" s="233" t="s">
        <v>9700</v>
      </c>
      <c r="Y3448" s="169" t="s">
        <v>2364</v>
      </c>
      <c r="Z3448" s="233" t="s">
        <v>9662</v>
      </c>
      <c r="AA3448" s="207">
        <v>14</v>
      </c>
      <c r="AB3448" s="170">
        <v>46105</v>
      </c>
    </row>
    <row r="3449" ht="16.5" spans="1:34">
      <c r="A3449" s="143">
        <v>3412</v>
      </c>
      <c r="B3449" s="144">
        <v>46106</v>
      </c>
      <c r="C3449" s="169" t="s">
        <v>3646</v>
      </c>
      <c r="F3449" s="233" t="s">
        <v>9704</v>
      </c>
      <c r="G3449" s="233" t="s">
        <v>9705</v>
      </c>
      <c r="H3449" s="143" t="s">
        <v>9706</v>
      </c>
      <c r="I3449" s="233" t="s">
        <v>9707</v>
      </c>
      <c r="J3449" s="143" t="s">
        <v>9708</v>
      </c>
      <c r="K3449" s="207">
        <v>138</v>
      </c>
      <c r="L3449" s="207">
        <v>160</v>
      </c>
      <c r="W3449" s="169" t="s">
        <v>2364</v>
      </c>
      <c r="X3449" s="233" t="s">
        <v>9704</v>
      </c>
      <c r="Y3449" s="169" t="s">
        <v>2364</v>
      </c>
      <c r="Z3449" s="233" t="s">
        <v>9662</v>
      </c>
      <c r="AA3449" s="207">
        <v>19.9</v>
      </c>
      <c r="AB3449" s="170">
        <v>46105</v>
      </c>
    </row>
    <row r="3450" ht="16.5" spans="1:34">
      <c r="A3450" s="143">
        <v>3413</v>
      </c>
      <c r="B3450" s="144">
        <v>46106</v>
      </c>
      <c r="C3450" s="169" t="s">
        <v>3646</v>
      </c>
      <c r="F3450" s="233" t="s">
        <v>9709</v>
      </c>
      <c r="G3450" s="233" t="s">
        <v>9705</v>
      </c>
      <c r="H3450" s="143" t="s">
        <v>9710</v>
      </c>
      <c r="I3450" s="233" t="s">
        <v>9711</v>
      </c>
      <c r="J3450" s="143" t="s">
        <v>9712</v>
      </c>
      <c r="K3450" s="207">
        <v>138</v>
      </c>
      <c r="L3450" s="207">
        <v>160</v>
      </c>
      <c r="W3450" s="169" t="s">
        <v>2364</v>
      </c>
      <c r="X3450" s="233" t="s">
        <v>9709</v>
      </c>
      <c r="Y3450" s="169" t="s">
        <v>2364</v>
      </c>
      <c r="Z3450" s="233" t="s">
        <v>9662</v>
      </c>
      <c r="AA3450" s="207">
        <v>18.9</v>
      </c>
      <c r="AB3450" s="170">
        <v>46105</v>
      </c>
    </row>
    <row r="3451" spans="1:34">
      <c r="A3451" s="143">
        <v>3414</v>
      </c>
      <c r="B3451" s="144">
        <v>46111</v>
      </c>
      <c r="C3451" s="169" t="s">
        <v>3277</v>
      </c>
      <c r="D3451" s="143" t="s">
        <v>9713</v>
      </c>
      <c r="F3451" s="143" t="s">
        <v>9714</v>
      </c>
      <c r="H3451" s="143" t="s">
        <v>9715</v>
      </c>
      <c r="I3451" s="143" t="s">
        <v>3218</v>
      </c>
      <c r="J3451" s="143" t="s">
        <v>779</v>
      </c>
      <c r="K3451" s="143">
        <v>142</v>
      </c>
      <c r="L3451" s="143">
        <v>160</v>
      </c>
      <c r="M3451" s="143" t="s">
        <v>9716</v>
      </c>
    </row>
    <row r="3452" spans="1:34">
      <c r="A3452" s="143">
        <v>3415</v>
      </c>
      <c r="B3452" s="144">
        <v>46111</v>
      </c>
      <c r="C3452" s="169" t="s">
        <v>9603</v>
      </c>
      <c r="D3452" s="143" t="s">
        <v>41</v>
      </c>
      <c r="F3452" s="143" t="s">
        <v>5300</v>
      </c>
      <c r="H3452" s="143" t="s">
        <v>9717</v>
      </c>
      <c r="I3452" s="143" t="s">
        <v>3390</v>
      </c>
      <c r="J3452" s="143" t="s">
        <v>4144</v>
      </c>
      <c r="K3452" s="143">
        <v>150</v>
      </c>
      <c r="L3452" s="143">
        <v>128</v>
      </c>
      <c r="W3452" s="169" t="s">
        <v>9565</v>
      </c>
      <c r="X3452" s="143" t="s">
        <v>5300</v>
      </c>
      <c r="Y3452" s="169" t="s">
        <v>9565</v>
      </c>
      <c r="Z3452" s="143" t="s">
        <v>5300</v>
      </c>
      <c r="AA3452" s="143">
        <v>11.6</v>
      </c>
      <c r="AB3452" s="191">
        <v>46112</v>
      </c>
      <c r="AG3452" s="169" t="s">
        <v>9718</v>
      </c>
    </row>
    <row r="3453" ht="13.5" spans="1:34">
      <c r="A3453" s="143">
        <v>3416</v>
      </c>
      <c r="B3453" s="144">
        <v>46111</v>
      </c>
      <c r="C3453" s="169" t="s">
        <v>3148</v>
      </c>
      <c r="F3453" s="169" t="s">
        <v>9719</v>
      </c>
      <c r="H3453" s="143" t="s">
        <v>9720</v>
      </c>
      <c r="I3453" s="143" t="s">
        <v>9464</v>
      </c>
      <c r="J3453" s="143" t="s">
        <v>9465</v>
      </c>
      <c r="K3453" s="143">
        <v>132</v>
      </c>
      <c r="M3453" s="143" t="s">
        <v>9466</v>
      </c>
      <c r="W3453" s="169" t="s">
        <v>9467</v>
      </c>
      <c r="X3453" s="143" t="s">
        <v>9721</v>
      </c>
      <c r="Y3453" s="169" t="s">
        <v>9467</v>
      </c>
      <c r="Z3453" s="143" t="s">
        <v>9721</v>
      </c>
      <c r="AA3453" s="206" t="s">
        <v>9518</v>
      </c>
      <c r="AB3453" s="170">
        <v>46105</v>
      </c>
      <c r="AH3453" s="206" t="s">
        <v>9469</v>
      </c>
    </row>
    <row r="3454" spans="1:34">
      <c r="A3454" s="143">
        <v>3417</v>
      </c>
      <c r="B3454" s="144">
        <v>46113</v>
      </c>
      <c r="C3454" s="169" t="s">
        <v>9603</v>
      </c>
      <c r="D3454" s="169" t="s">
        <v>9722</v>
      </c>
      <c r="F3454" s="143" t="s">
        <v>9723</v>
      </c>
      <c r="H3454" s="143" t="s">
        <v>9724</v>
      </c>
      <c r="I3454" s="143" t="s">
        <v>9725</v>
      </c>
      <c r="J3454" s="143" t="s">
        <v>9726</v>
      </c>
      <c r="K3454" s="143">
        <v>150</v>
      </c>
      <c r="L3454" s="143">
        <v>200</v>
      </c>
      <c r="W3454" s="169" t="s">
        <v>9727</v>
      </c>
      <c r="X3454" s="143" t="s">
        <v>9728</v>
      </c>
      <c r="Y3454" s="169" t="s">
        <v>9727</v>
      </c>
    </row>
    <row r="3455" spans="1:34">
      <c r="A3455" s="143">
        <v>3418</v>
      </c>
      <c r="B3455" s="144">
        <v>46113</v>
      </c>
      <c r="C3455" s="169" t="s">
        <v>9603</v>
      </c>
      <c r="D3455" s="169" t="s">
        <v>9722</v>
      </c>
      <c r="F3455" s="143" t="s">
        <v>9729</v>
      </c>
      <c r="H3455" s="143" t="s">
        <v>9730</v>
      </c>
      <c r="I3455" s="143" t="s">
        <v>9731</v>
      </c>
      <c r="J3455" s="143" t="s">
        <v>9732</v>
      </c>
      <c r="K3455" s="143">
        <v>150</v>
      </c>
      <c r="L3455" s="143">
        <v>210</v>
      </c>
      <c r="W3455" s="169" t="s">
        <v>9727</v>
      </c>
      <c r="X3455" s="143" t="s">
        <v>9729</v>
      </c>
      <c r="Y3455" s="169" t="s">
        <v>9727</v>
      </c>
    </row>
    <row r="3456" spans="1:34">
      <c r="A3456" s="143">
        <v>3419</v>
      </c>
      <c r="B3456" s="144">
        <v>46113</v>
      </c>
      <c r="C3456" s="169" t="s">
        <v>9603</v>
      </c>
      <c r="D3456" s="169" t="s">
        <v>9722</v>
      </c>
      <c r="F3456" s="143">
        <v>794</v>
      </c>
      <c r="H3456" s="143" t="s">
        <v>9733</v>
      </c>
      <c r="I3456" s="143" t="s">
        <v>9734</v>
      </c>
      <c r="J3456" s="143" t="s">
        <v>9735</v>
      </c>
      <c r="K3456" s="143">
        <v>150</v>
      </c>
      <c r="L3456" s="143">
        <v>195</v>
      </c>
      <c r="W3456" s="169" t="s">
        <v>9736</v>
      </c>
      <c r="X3456" s="143">
        <v>749</v>
      </c>
      <c r="Y3456" s="169" t="s">
        <v>9736</v>
      </c>
    </row>
    <row r="3457" spans="1:28">
      <c r="A3457" s="143">
        <v>3420</v>
      </c>
      <c r="B3457" s="144">
        <v>46113</v>
      </c>
      <c r="C3457" s="169" t="s">
        <v>9603</v>
      </c>
      <c r="D3457" s="169" t="s">
        <v>9722</v>
      </c>
      <c r="F3457" s="143">
        <v>385</v>
      </c>
      <c r="H3457" s="143" t="s">
        <v>9737</v>
      </c>
      <c r="I3457" s="143" t="s">
        <v>9738</v>
      </c>
      <c r="J3457" s="143" t="s">
        <v>850</v>
      </c>
      <c r="K3457" s="143">
        <v>150</v>
      </c>
      <c r="L3457" s="143">
        <v>140</v>
      </c>
      <c r="W3457" s="169" t="s">
        <v>9736</v>
      </c>
      <c r="X3457" s="143">
        <v>385</v>
      </c>
      <c r="Y3457" s="169" t="s">
        <v>9736</v>
      </c>
    </row>
    <row r="3458" spans="1:28">
      <c r="A3458" s="143">
        <v>3421</v>
      </c>
      <c r="B3458" s="144">
        <v>46113</v>
      </c>
      <c r="C3458" s="169" t="s">
        <v>9603</v>
      </c>
      <c r="D3458" s="169" t="s">
        <v>9722</v>
      </c>
      <c r="F3458" s="143">
        <v>9031</v>
      </c>
      <c r="H3458" s="143" t="s">
        <v>9739</v>
      </c>
      <c r="I3458" s="143" t="s">
        <v>7916</v>
      </c>
      <c r="J3458" s="143" t="s">
        <v>9740</v>
      </c>
      <c r="K3458" s="143" t="s">
        <v>9741</v>
      </c>
      <c r="L3458" s="143">
        <v>225</v>
      </c>
      <c r="W3458" s="169" t="s">
        <v>9742</v>
      </c>
      <c r="X3458" s="143">
        <v>9031</v>
      </c>
      <c r="Y3458" s="169" t="s">
        <v>9742</v>
      </c>
    </row>
    <row r="3459" spans="1:28">
      <c r="A3459" s="143">
        <v>3422</v>
      </c>
      <c r="B3459" s="144">
        <v>46113</v>
      </c>
      <c r="C3459" s="169" t="s">
        <v>9603</v>
      </c>
      <c r="D3459" s="169" t="s">
        <v>9722</v>
      </c>
      <c r="F3459" s="143">
        <v>9039</v>
      </c>
      <c r="H3459" s="143" t="s">
        <v>9743</v>
      </c>
      <c r="I3459" s="143" t="s">
        <v>9744</v>
      </c>
      <c r="J3459" s="143" t="s">
        <v>9745</v>
      </c>
      <c r="K3459" s="143">
        <v>150</v>
      </c>
      <c r="L3459" s="143">
        <v>260</v>
      </c>
      <c r="W3459" s="169" t="s">
        <v>9742</v>
      </c>
      <c r="X3459" s="143">
        <v>9039</v>
      </c>
      <c r="Y3459" s="169" t="s">
        <v>9742</v>
      </c>
    </row>
    <row r="3460" spans="1:28">
      <c r="A3460" s="143">
        <v>3423</v>
      </c>
      <c r="B3460" s="144">
        <v>46113</v>
      </c>
      <c r="C3460" s="169" t="s">
        <v>9603</v>
      </c>
      <c r="D3460" s="169" t="s">
        <v>9722</v>
      </c>
      <c r="F3460" s="143">
        <v>9044</v>
      </c>
      <c r="H3460" s="143" t="s">
        <v>9746</v>
      </c>
      <c r="I3460" s="143" t="s">
        <v>9747</v>
      </c>
      <c r="J3460" s="143" t="s">
        <v>9748</v>
      </c>
      <c r="K3460" s="143">
        <v>150</v>
      </c>
      <c r="L3460" s="143">
        <v>135</v>
      </c>
      <c r="W3460" s="169" t="s">
        <v>9742</v>
      </c>
      <c r="X3460" s="143">
        <v>9044</v>
      </c>
      <c r="Y3460" s="169" t="s">
        <v>9742</v>
      </c>
    </row>
    <row r="3461" spans="1:28">
      <c r="A3461" s="143">
        <v>3424</v>
      </c>
      <c r="B3461" s="144">
        <v>46113</v>
      </c>
      <c r="C3461" s="169" t="s">
        <v>9603</v>
      </c>
      <c r="D3461" s="169" t="s">
        <v>9722</v>
      </c>
      <c r="F3461" s="143" t="s">
        <v>9749</v>
      </c>
      <c r="H3461" s="143" t="s">
        <v>9750</v>
      </c>
      <c r="I3461" s="143" t="s">
        <v>7916</v>
      </c>
      <c r="J3461" s="143" t="s">
        <v>9740</v>
      </c>
      <c r="K3461" s="143">
        <v>154</v>
      </c>
      <c r="L3461" s="143">
        <v>105</v>
      </c>
      <c r="W3461" s="169" t="s">
        <v>9751</v>
      </c>
      <c r="X3461" s="143" t="s">
        <v>9749</v>
      </c>
      <c r="Y3461" s="169" t="s">
        <v>9751</v>
      </c>
    </row>
    <row r="3462" spans="1:28">
      <c r="A3462" s="143">
        <v>3425</v>
      </c>
      <c r="B3462" s="144">
        <v>46113</v>
      </c>
      <c r="C3462" s="169" t="s">
        <v>9603</v>
      </c>
      <c r="D3462" s="169" t="s">
        <v>9722</v>
      </c>
      <c r="F3462" s="143" t="s">
        <v>9752</v>
      </c>
      <c r="H3462" s="143" t="s">
        <v>9753</v>
      </c>
      <c r="I3462" s="143" t="s">
        <v>9754</v>
      </c>
      <c r="J3462" s="182" t="s">
        <v>9755</v>
      </c>
      <c r="K3462" s="143">
        <v>147</v>
      </c>
      <c r="L3462" s="143">
        <v>160</v>
      </c>
      <c r="W3462" s="169" t="s">
        <v>9756</v>
      </c>
      <c r="X3462" s="143" t="s">
        <v>9752</v>
      </c>
      <c r="Y3462" s="169" t="s">
        <v>9756</v>
      </c>
    </row>
    <row r="3463" spans="1:28">
      <c r="A3463" s="143">
        <v>3426</v>
      </c>
      <c r="B3463" s="144">
        <v>46113</v>
      </c>
      <c r="C3463" s="169" t="s">
        <v>9603</v>
      </c>
      <c r="D3463" s="169" t="s">
        <v>9722</v>
      </c>
      <c r="F3463" s="143" t="s">
        <v>9757</v>
      </c>
      <c r="H3463" s="143" t="s">
        <v>9758</v>
      </c>
      <c r="I3463" s="143" t="s">
        <v>6539</v>
      </c>
      <c r="J3463" s="143" t="s">
        <v>6110</v>
      </c>
      <c r="K3463" s="143">
        <v>150</v>
      </c>
      <c r="L3463" s="143">
        <v>108</v>
      </c>
      <c r="W3463" s="169" t="s">
        <v>9759</v>
      </c>
      <c r="X3463" s="143" t="s">
        <v>9760</v>
      </c>
      <c r="Y3463" s="169" t="s">
        <v>9759</v>
      </c>
    </row>
    <row r="3464" spans="1:28">
      <c r="A3464" s="143">
        <v>3427</v>
      </c>
      <c r="B3464" s="144">
        <v>46113</v>
      </c>
      <c r="C3464" s="169" t="s">
        <v>9603</v>
      </c>
      <c r="D3464" s="169" t="s">
        <v>9722</v>
      </c>
      <c r="F3464" s="143" t="s">
        <v>9761</v>
      </c>
      <c r="H3464" s="143" t="s">
        <v>9762</v>
      </c>
      <c r="I3464" s="143" t="s">
        <v>3173</v>
      </c>
      <c r="J3464" s="143" t="s">
        <v>282</v>
      </c>
      <c r="K3464" s="143">
        <v>150</v>
      </c>
      <c r="L3464" s="143">
        <v>100</v>
      </c>
      <c r="W3464" s="169" t="s">
        <v>9763</v>
      </c>
      <c r="X3464" s="143" t="s">
        <v>9761</v>
      </c>
      <c r="Y3464" s="169" t="s">
        <v>9763</v>
      </c>
    </row>
    <row r="3465" spans="1:28">
      <c r="A3465" s="143">
        <v>3428</v>
      </c>
      <c r="B3465" s="144">
        <v>46113</v>
      </c>
      <c r="C3465" s="169" t="s">
        <v>9603</v>
      </c>
      <c r="D3465" s="169" t="s">
        <v>9722</v>
      </c>
      <c r="F3465" s="143" t="s">
        <v>9764</v>
      </c>
      <c r="H3465" s="143" t="s">
        <v>9765</v>
      </c>
      <c r="I3465" s="143" t="s">
        <v>3173</v>
      </c>
      <c r="J3465" s="143" t="s">
        <v>9766</v>
      </c>
      <c r="K3465" s="143">
        <v>152</v>
      </c>
      <c r="L3465" s="143">
        <v>110</v>
      </c>
      <c r="W3465" s="169" t="s">
        <v>9767</v>
      </c>
      <c r="X3465" s="143" t="s">
        <v>9764</v>
      </c>
      <c r="Y3465" s="169" t="s">
        <v>9767</v>
      </c>
    </row>
    <row r="3466" spans="1:28">
      <c r="A3466" s="143">
        <v>3429</v>
      </c>
      <c r="B3466" s="144">
        <v>46113</v>
      </c>
      <c r="C3466" s="169" t="s">
        <v>9603</v>
      </c>
      <c r="D3466" s="169" t="s">
        <v>9722</v>
      </c>
      <c r="F3466" s="143" t="s">
        <v>9768</v>
      </c>
      <c r="H3466" s="143" t="s">
        <v>9769</v>
      </c>
      <c r="I3466" s="143" t="s">
        <v>9770</v>
      </c>
      <c r="J3466" s="143" t="s">
        <v>9771</v>
      </c>
      <c r="K3466" s="143">
        <v>150</v>
      </c>
      <c r="L3466" s="143">
        <v>135</v>
      </c>
      <c r="W3466" s="169" t="s">
        <v>9772</v>
      </c>
      <c r="X3466" s="143" t="s">
        <v>9768</v>
      </c>
      <c r="Y3466" s="169" t="s">
        <v>9772</v>
      </c>
    </row>
    <row r="3467" spans="1:28">
      <c r="A3467" s="143">
        <v>3430</v>
      </c>
      <c r="B3467" s="144">
        <v>46113</v>
      </c>
      <c r="C3467" s="169" t="s">
        <v>9603</v>
      </c>
      <c r="D3467" s="169" t="s">
        <v>9773</v>
      </c>
      <c r="F3467" s="169" t="s">
        <v>9774</v>
      </c>
      <c r="H3467" s="143" t="s">
        <v>9775</v>
      </c>
      <c r="I3467" s="143" t="s">
        <v>3224</v>
      </c>
      <c r="J3467" s="143" t="s">
        <v>1577</v>
      </c>
      <c r="K3467" s="143">
        <v>150</v>
      </c>
      <c r="L3467" s="143">
        <v>125</v>
      </c>
      <c r="S3467" s="262"/>
      <c r="T3467" s="262"/>
      <c r="U3467" s="262"/>
      <c r="V3467" s="263"/>
      <c r="W3467" s="169" t="s">
        <v>9776</v>
      </c>
      <c r="X3467" s="169" t="s">
        <v>9774</v>
      </c>
      <c r="Y3467" s="169" t="s">
        <v>9777</v>
      </c>
      <c r="Z3467" s="169" t="s">
        <v>9774</v>
      </c>
      <c r="AA3467" s="148"/>
    </row>
    <row r="3468" ht="16.5" spans="1:28">
      <c r="A3468" s="143">
        <v>3431</v>
      </c>
      <c r="B3468" s="144">
        <v>46115</v>
      </c>
      <c r="C3468" s="169" t="s">
        <v>3646</v>
      </c>
      <c r="D3468" s="143" t="s">
        <v>9778</v>
      </c>
      <c r="F3468" s="143" t="s">
        <v>9779</v>
      </c>
      <c r="H3468" s="143" t="s">
        <v>9780</v>
      </c>
      <c r="I3468" s="264" t="s">
        <v>9781</v>
      </c>
      <c r="K3468" s="143">
        <v>150</v>
      </c>
      <c r="L3468" s="143">
        <v>361</v>
      </c>
      <c r="M3468" s="264" t="s">
        <v>9782</v>
      </c>
      <c r="W3468" s="169" t="s">
        <v>3872</v>
      </c>
      <c r="X3468" s="143" t="s">
        <v>9779</v>
      </c>
      <c r="AA3468" s="207">
        <v>79.12</v>
      </c>
      <c r="AB3468" s="170">
        <v>46120</v>
      </c>
    </row>
    <row r="3469" ht="16.5" spans="1:28">
      <c r="A3469" s="143">
        <v>3432</v>
      </c>
      <c r="B3469" s="144">
        <v>46115</v>
      </c>
      <c r="C3469" s="169" t="s">
        <v>3646</v>
      </c>
      <c r="D3469" s="143" t="s">
        <v>9778</v>
      </c>
      <c r="F3469" s="143" t="s">
        <v>9783</v>
      </c>
      <c r="H3469" s="143" t="s">
        <v>9784</v>
      </c>
      <c r="I3469" s="265" t="s">
        <v>9785</v>
      </c>
      <c r="K3469" s="143">
        <v>150</v>
      </c>
      <c r="L3469" s="143">
        <v>429</v>
      </c>
      <c r="M3469" s="264" t="s">
        <v>9786</v>
      </c>
      <c r="W3469" s="169" t="s">
        <v>3872</v>
      </c>
      <c r="X3469" s="143" t="s">
        <v>9783</v>
      </c>
      <c r="AA3469" s="207">
        <v>134.8</v>
      </c>
      <c r="AB3469" s="170">
        <v>46120</v>
      </c>
    </row>
    <row r="3470" ht="16.5" spans="1:28">
      <c r="A3470" s="143">
        <v>3433</v>
      </c>
      <c r="B3470" s="144">
        <v>46115</v>
      </c>
      <c r="C3470" s="169" t="s">
        <v>3646</v>
      </c>
      <c r="D3470" s="143" t="s">
        <v>9778</v>
      </c>
      <c r="F3470" s="143" t="s">
        <v>9787</v>
      </c>
      <c r="H3470" s="143" t="s">
        <v>9788</v>
      </c>
      <c r="I3470" s="264" t="s">
        <v>9781</v>
      </c>
      <c r="K3470" s="143">
        <v>150</v>
      </c>
      <c r="L3470" s="143">
        <v>341</v>
      </c>
      <c r="M3470" s="233" t="s">
        <v>9782</v>
      </c>
      <c r="W3470" s="169" t="s">
        <v>3872</v>
      </c>
      <c r="X3470" s="143" t="s">
        <v>9787</v>
      </c>
      <c r="AA3470" s="207">
        <v>74.15</v>
      </c>
      <c r="AB3470" s="170">
        <v>46120</v>
      </c>
    </row>
    <row r="3471" ht="16.5" spans="1:28">
      <c r="A3471" s="143">
        <v>3434</v>
      </c>
      <c r="B3471" s="144">
        <v>46115</v>
      </c>
      <c r="C3471" s="169" t="s">
        <v>3646</v>
      </c>
      <c r="D3471" s="143" t="s">
        <v>9778</v>
      </c>
      <c r="F3471" s="143" t="s">
        <v>9789</v>
      </c>
      <c r="H3471" s="143" t="s">
        <v>9790</v>
      </c>
      <c r="I3471" s="264" t="s">
        <v>9781</v>
      </c>
      <c r="K3471" s="143">
        <v>150</v>
      </c>
      <c r="L3471" s="143">
        <v>257</v>
      </c>
      <c r="M3471" s="264" t="s">
        <v>9782</v>
      </c>
      <c r="W3471" s="169" t="s">
        <v>3872</v>
      </c>
      <c r="X3471" s="143" t="s">
        <v>9789</v>
      </c>
      <c r="AA3471" s="207">
        <v>76.31</v>
      </c>
      <c r="AB3471" s="170">
        <v>46120</v>
      </c>
    </row>
    <row r="3472" ht="16.5" spans="1:28">
      <c r="A3472" s="143">
        <v>3435</v>
      </c>
      <c r="B3472" s="144">
        <v>46115</v>
      </c>
      <c r="C3472" s="169" t="s">
        <v>3646</v>
      </c>
      <c r="D3472" s="143" t="s">
        <v>9778</v>
      </c>
      <c r="F3472" s="143" t="s">
        <v>9791</v>
      </c>
      <c r="H3472" s="143" t="s">
        <v>9792</v>
      </c>
      <c r="I3472" s="264" t="s">
        <v>9781</v>
      </c>
      <c r="K3472" s="143">
        <v>150</v>
      </c>
      <c r="L3472" s="143">
        <v>422</v>
      </c>
      <c r="M3472" s="264" t="s">
        <v>9793</v>
      </c>
      <c r="W3472" s="169" t="s">
        <v>3872</v>
      </c>
      <c r="X3472" s="143" t="s">
        <v>9791</v>
      </c>
      <c r="AA3472" s="207">
        <v>136.88</v>
      </c>
      <c r="AB3472" s="170">
        <v>46120</v>
      </c>
    </row>
    <row r="3473" ht="16.5" spans="1:34">
      <c r="A3473" s="143">
        <v>3436</v>
      </c>
      <c r="B3473" s="144">
        <v>46115</v>
      </c>
      <c r="C3473" s="169" t="s">
        <v>3646</v>
      </c>
      <c r="D3473" s="143" t="s">
        <v>9778</v>
      </c>
      <c r="F3473" s="143" t="s">
        <v>9794</v>
      </c>
      <c r="H3473" s="143" t="s">
        <v>9795</v>
      </c>
      <c r="I3473" s="233" t="s">
        <v>9796</v>
      </c>
      <c r="K3473" s="143">
        <v>147</v>
      </c>
      <c r="L3473" s="143">
        <v>344</v>
      </c>
      <c r="M3473" s="233" t="s">
        <v>9797</v>
      </c>
      <c r="W3473" s="169" t="s">
        <v>3872</v>
      </c>
      <c r="X3473" s="143" t="s">
        <v>9794</v>
      </c>
      <c r="AA3473" s="207">
        <v>84.6</v>
      </c>
      <c r="AB3473" s="170">
        <v>46120</v>
      </c>
    </row>
    <row r="3474" spans="1:34">
      <c r="A3474" s="143">
        <v>3437</v>
      </c>
      <c r="B3474" s="144">
        <v>46115</v>
      </c>
      <c r="C3474" s="169" t="s">
        <v>9603</v>
      </c>
      <c r="F3474" s="143" t="s">
        <v>9798</v>
      </c>
      <c r="H3474" s="143" t="s">
        <v>9799</v>
      </c>
      <c r="I3474" s="143" t="s">
        <v>9800</v>
      </c>
      <c r="J3474" s="143" t="s">
        <v>9801</v>
      </c>
      <c r="K3474" s="143">
        <v>132</v>
      </c>
      <c r="M3474" s="143" t="s">
        <v>9466</v>
      </c>
      <c r="W3474" s="169" t="s">
        <v>9467</v>
      </c>
      <c r="X3474" s="143" t="s">
        <v>9802</v>
      </c>
      <c r="Y3474" s="169" t="s">
        <v>9467</v>
      </c>
      <c r="Z3474" s="143" t="s">
        <v>9803</v>
      </c>
    </row>
    <row r="3475" spans="1:34">
      <c r="A3475" s="143">
        <v>3438</v>
      </c>
      <c r="B3475" s="144">
        <v>46115</v>
      </c>
      <c r="C3475" s="169" t="s">
        <v>9603</v>
      </c>
      <c r="F3475" s="143" t="s">
        <v>9804</v>
      </c>
      <c r="H3475" s="143" t="s">
        <v>9805</v>
      </c>
      <c r="I3475" s="143" t="s">
        <v>9464</v>
      </c>
      <c r="J3475" s="143" t="s">
        <v>9801</v>
      </c>
      <c r="K3475" s="143">
        <v>132</v>
      </c>
      <c r="M3475" s="143" t="s">
        <v>9466</v>
      </c>
      <c r="W3475" s="169" t="s">
        <v>9467</v>
      </c>
      <c r="X3475" s="143" t="s">
        <v>9806</v>
      </c>
      <c r="Y3475" s="169" t="s">
        <v>9467</v>
      </c>
      <c r="Z3475" s="143" t="s">
        <v>9807</v>
      </c>
    </row>
    <row r="3476" spans="1:34">
      <c r="A3476" s="143">
        <v>3439</v>
      </c>
      <c r="B3476" s="144">
        <v>46115</v>
      </c>
      <c r="C3476" s="169" t="s">
        <v>9603</v>
      </c>
      <c r="F3476" s="143" t="s">
        <v>9808</v>
      </c>
      <c r="H3476" s="143" t="s">
        <v>9809</v>
      </c>
      <c r="I3476" s="143" t="s">
        <v>9464</v>
      </c>
      <c r="J3476" s="143" t="s">
        <v>9801</v>
      </c>
      <c r="K3476" s="143">
        <v>132</v>
      </c>
      <c r="M3476" s="143" t="s">
        <v>9466</v>
      </c>
      <c r="W3476" s="169" t="s">
        <v>9467</v>
      </c>
      <c r="X3476" s="143" t="s">
        <v>9531</v>
      </c>
      <c r="Y3476" s="169" t="s">
        <v>9467</v>
      </c>
      <c r="Z3476" s="143" t="s">
        <v>9531</v>
      </c>
    </row>
    <row r="3477" spans="1:34">
      <c r="A3477" s="143">
        <v>3440</v>
      </c>
      <c r="B3477" s="144">
        <v>46115</v>
      </c>
      <c r="C3477" s="169" t="s">
        <v>9603</v>
      </c>
      <c r="F3477" s="143" t="s">
        <v>9810</v>
      </c>
      <c r="H3477" s="143" t="s">
        <v>9811</v>
      </c>
      <c r="I3477" s="143" t="s">
        <v>9464</v>
      </c>
      <c r="J3477" s="143" t="s">
        <v>9801</v>
      </c>
      <c r="K3477" s="143">
        <v>132</v>
      </c>
      <c r="W3477" s="169" t="s">
        <v>9467</v>
      </c>
      <c r="X3477" s="143" t="s">
        <v>9810</v>
      </c>
      <c r="Y3477" s="169" t="s">
        <v>9467</v>
      </c>
      <c r="Z3477" s="143" t="s">
        <v>9810</v>
      </c>
    </row>
    <row r="3478" spans="1:34">
      <c r="A3478" s="143">
        <v>3441</v>
      </c>
      <c r="B3478" s="144">
        <v>46115</v>
      </c>
      <c r="C3478" s="169" t="s">
        <v>9603</v>
      </c>
      <c r="F3478" s="143" t="s">
        <v>9812</v>
      </c>
      <c r="H3478" s="143" t="s">
        <v>9813</v>
      </c>
      <c r="I3478" s="143" t="s">
        <v>9464</v>
      </c>
      <c r="J3478" s="143" t="s">
        <v>9801</v>
      </c>
      <c r="K3478" s="143">
        <v>132</v>
      </c>
      <c r="M3478" s="143" t="s">
        <v>9517</v>
      </c>
      <c r="W3478" s="169" t="s">
        <v>9467</v>
      </c>
      <c r="X3478" s="143" t="s">
        <v>9812</v>
      </c>
      <c r="Y3478" s="169" t="s">
        <v>9467</v>
      </c>
      <c r="Z3478" s="143" t="s">
        <v>9812</v>
      </c>
    </row>
    <row r="3479" spans="1:34">
      <c r="A3479" s="143">
        <v>3442</v>
      </c>
      <c r="B3479" s="144">
        <v>46115</v>
      </c>
      <c r="C3479" s="169" t="s">
        <v>9603</v>
      </c>
      <c r="F3479" s="143" t="s">
        <v>9814</v>
      </c>
      <c r="H3479" s="143" t="s">
        <v>9815</v>
      </c>
      <c r="I3479" s="143" t="s">
        <v>9464</v>
      </c>
      <c r="J3479" s="143" t="s">
        <v>9801</v>
      </c>
      <c r="K3479" s="143">
        <v>132</v>
      </c>
      <c r="W3479" s="169" t="s">
        <v>9467</v>
      </c>
      <c r="X3479" s="143" t="s">
        <v>9814</v>
      </c>
      <c r="Y3479" s="169" t="s">
        <v>9467</v>
      </c>
      <c r="Z3479" s="143" t="s">
        <v>9814</v>
      </c>
    </row>
    <row r="3480" spans="1:34">
      <c r="A3480" s="143">
        <v>3443</v>
      </c>
      <c r="B3480" s="144">
        <v>46115</v>
      </c>
      <c r="C3480" s="169" t="s">
        <v>9603</v>
      </c>
      <c r="F3480" s="143" t="s">
        <v>9816</v>
      </c>
      <c r="H3480" s="143" t="s">
        <v>9817</v>
      </c>
      <c r="I3480" s="143" t="s">
        <v>9464</v>
      </c>
      <c r="J3480" s="143" t="s">
        <v>9801</v>
      </c>
      <c r="K3480" s="143">
        <v>132</v>
      </c>
      <c r="M3480" s="143" t="s">
        <v>9481</v>
      </c>
      <c r="W3480" s="169" t="s">
        <v>9467</v>
      </c>
      <c r="X3480" s="143" t="s">
        <v>9816</v>
      </c>
      <c r="Y3480" s="169" t="s">
        <v>9467</v>
      </c>
      <c r="Z3480" s="169" t="s">
        <v>9816</v>
      </c>
      <c r="AA3480" s="169"/>
      <c r="AB3480" s="169"/>
      <c r="AC3480" s="169" t="s">
        <v>9467</v>
      </c>
      <c r="AD3480" s="169" t="s">
        <v>9467</v>
      </c>
      <c r="AE3480" s="169" t="s">
        <v>9467</v>
      </c>
      <c r="AF3480" s="169" t="s">
        <v>9467</v>
      </c>
      <c r="AG3480" s="169"/>
      <c r="AH3480" s="169"/>
    </row>
    <row r="3481" spans="1:34">
      <c r="A3481" s="143">
        <v>3444</v>
      </c>
      <c r="B3481" s="144">
        <v>46115</v>
      </c>
      <c r="C3481" s="169" t="s">
        <v>9603</v>
      </c>
      <c r="F3481" s="143" t="s">
        <v>9818</v>
      </c>
      <c r="H3481" s="143" t="s">
        <v>9819</v>
      </c>
      <c r="I3481" s="143" t="s">
        <v>9464</v>
      </c>
      <c r="J3481" s="143" t="s">
        <v>9801</v>
      </c>
      <c r="K3481" s="143">
        <v>132</v>
      </c>
      <c r="W3481" s="169" t="s">
        <v>9467</v>
      </c>
      <c r="X3481" s="143" t="s">
        <v>9818</v>
      </c>
      <c r="Y3481" s="169" t="s">
        <v>9467</v>
      </c>
      <c r="Z3481" s="143" t="s">
        <v>9818</v>
      </c>
    </row>
    <row r="3482" spans="1:34">
      <c r="A3482" s="143">
        <v>3445</v>
      </c>
      <c r="B3482" s="144">
        <v>46115</v>
      </c>
      <c r="C3482" s="169" t="s">
        <v>9603</v>
      </c>
      <c r="F3482" s="143" t="s">
        <v>9820</v>
      </c>
      <c r="H3482" s="143" t="s">
        <v>9821</v>
      </c>
      <c r="I3482" s="143" t="s">
        <v>9464</v>
      </c>
      <c r="J3482" s="143" t="s">
        <v>9801</v>
      </c>
      <c r="K3482" s="143">
        <v>132</v>
      </c>
      <c r="M3482" s="143" t="s">
        <v>9484</v>
      </c>
      <c r="W3482" s="169" t="s">
        <v>9467</v>
      </c>
      <c r="X3482" s="143" t="s">
        <v>9820</v>
      </c>
      <c r="Y3482" s="169" t="s">
        <v>9467</v>
      </c>
      <c r="Z3482" s="143" t="s">
        <v>9820</v>
      </c>
    </row>
    <row r="3483" spans="1:34">
      <c r="A3483" s="143">
        <v>3446</v>
      </c>
      <c r="B3483" s="144">
        <v>46115</v>
      </c>
      <c r="C3483" s="169" t="s">
        <v>9603</v>
      </c>
      <c r="F3483" s="143" t="s">
        <v>9822</v>
      </c>
      <c r="H3483" s="143" t="s">
        <v>9823</v>
      </c>
      <c r="I3483" s="143" t="s">
        <v>9464</v>
      </c>
      <c r="J3483" s="143" t="s">
        <v>9801</v>
      </c>
      <c r="W3483" s="169" t="s">
        <v>9467</v>
      </c>
      <c r="X3483" s="143" t="s">
        <v>9822</v>
      </c>
      <c r="Y3483" s="169" t="s">
        <v>9467</v>
      </c>
      <c r="Z3483" s="143" t="s">
        <v>9822</v>
      </c>
    </row>
    <row r="3484" spans="1:34">
      <c r="A3484" s="143">
        <v>3447</v>
      </c>
      <c r="B3484" s="144">
        <v>46115</v>
      </c>
      <c r="C3484" s="169" t="s">
        <v>9603</v>
      </c>
      <c r="F3484" s="143" t="s">
        <v>9824</v>
      </c>
      <c r="H3484" s="143" t="s">
        <v>9825</v>
      </c>
      <c r="I3484" s="143" t="s">
        <v>9464</v>
      </c>
      <c r="J3484" s="143" t="s">
        <v>9801</v>
      </c>
      <c r="W3484" s="169" t="s">
        <v>9467</v>
      </c>
      <c r="X3484" s="143" t="s">
        <v>9824</v>
      </c>
      <c r="Y3484" s="169" t="s">
        <v>9467</v>
      </c>
      <c r="Z3484" s="143" t="s">
        <v>9824</v>
      </c>
    </row>
    <row r="3485" spans="1:34">
      <c r="A3485" s="143">
        <v>3448</v>
      </c>
      <c r="B3485" s="144">
        <v>46115</v>
      </c>
      <c r="C3485" s="169" t="s">
        <v>9603</v>
      </c>
      <c r="F3485" s="143" t="s">
        <v>9826</v>
      </c>
      <c r="H3485" s="143" t="s">
        <v>9827</v>
      </c>
      <c r="I3485" s="143" t="s">
        <v>9464</v>
      </c>
      <c r="J3485" s="143" t="s">
        <v>9801</v>
      </c>
      <c r="K3485" s="143">
        <v>132</v>
      </c>
      <c r="W3485" s="169" t="s">
        <v>9467</v>
      </c>
      <c r="X3485" s="143" t="s">
        <v>9826</v>
      </c>
      <c r="Y3485" s="169" t="s">
        <v>9467</v>
      </c>
      <c r="Z3485" s="143" t="s">
        <v>9826</v>
      </c>
    </row>
    <row r="3486" spans="1:34">
      <c r="A3486" s="143">
        <v>3449</v>
      </c>
      <c r="B3486" s="144">
        <v>46115</v>
      </c>
      <c r="C3486" s="169" t="s">
        <v>9603</v>
      </c>
      <c r="F3486" s="143" t="s">
        <v>9828</v>
      </c>
      <c r="H3486" s="143" t="s">
        <v>9829</v>
      </c>
      <c r="I3486" s="143" t="s">
        <v>9464</v>
      </c>
      <c r="J3486" s="143" t="s">
        <v>9801</v>
      </c>
      <c r="K3486" s="143">
        <v>132</v>
      </c>
      <c r="M3486" s="143" t="s">
        <v>9492</v>
      </c>
      <c r="W3486" s="169" t="s">
        <v>9467</v>
      </c>
      <c r="X3486" s="143" t="s">
        <v>9828</v>
      </c>
      <c r="Y3486" s="169" t="s">
        <v>9467</v>
      </c>
      <c r="Z3486" s="143" t="s">
        <v>9828</v>
      </c>
    </row>
    <row r="3487" ht="16.5" spans="1:34">
      <c r="A3487" s="143">
        <v>3450</v>
      </c>
      <c r="B3487" s="144">
        <v>46119</v>
      </c>
      <c r="C3487" s="169" t="s">
        <v>3646</v>
      </c>
      <c r="D3487" s="169" t="s">
        <v>4483</v>
      </c>
      <c r="F3487" s="143" t="s">
        <v>9830</v>
      </c>
      <c r="H3487" s="143" t="s">
        <v>9831</v>
      </c>
      <c r="I3487" s="264" t="s">
        <v>9832</v>
      </c>
      <c r="K3487" s="143">
        <v>150</v>
      </c>
      <c r="L3487" s="143">
        <v>352</v>
      </c>
      <c r="W3487" s="169" t="s">
        <v>3872</v>
      </c>
      <c r="X3487" s="143" t="s">
        <v>9830</v>
      </c>
      <c r="AA3487" s="207">
        <v>38.1</v>
      </c>
      <c r="AB3487" s="170">
        <v>46120</v>
      </c>
    </row>
    <row r="3488" ht="16.5" spans="1:34">
      <c r="A3488" s="143">
        <v>3451</v>
      </c>
      <c r="B3488" s="144">
        <v>46119</v>
      </c>
      <c r="C3488" s="169" t="s">
        <v>3646</v>
      </c>
      <c r="D3488" s="169" t="s">
        <v>4483</v>
      </c>
      <c r="F3488" s="143" t="s">
        <v>9833</v>
      </c>
      <c r="H3488" s="143" t="s">
        <v>9834</v>
      </c>
      <c r="I3488" s="264" t="s">
        <v>9835</v>
      </c>
      <c r="K3488" s="143">
        <v>150</v>
      </c>
      <c r="L3488" s="143">
        <v>333</v>
      </c>
      <c r="W3488" s="169" t="s">
        <v>3872</v>
      </c>
      <c r="X3488" s="143" t="s">
        <v>9833</v>
      </c>
      <c r="AA3488" s="207">
        <v>46.8</v>
      </c>
      <c r="AB3488" s="170">
        <v>46120</v>
      </c>
    </row>
    <row r="3489" spans="1:26">
      <c r="A3489" s="143">
        <v>3452</v>
      </c>
      <c r="B3489" s="144">
        <v>46119</v>
      </c>
      <c r="C3489" s="143" t="s">
        <v>9603</v>
      </c>
      <c r="D3489" s="169" t="s">
        <v>9836</v>
      </c>
      <c r="F3489" s="143" t="s">
        <v>9837</v>
      </c>
      <c r="H3489" s="143" t="s">
        <v>9838</v>
      </c>
      <c r="I3489" s="143" t="s">
        <v>9839</v>
      </c>
      <c r="J3489" s="143" t="s">
        <v>9840</v>
      </c>
      <c r="K3489" s="143">
        <v>152</v>
      </c>
      <c r="L3489" s="143">
        <v>495</v>
      </c>
      <c r="M3489" s="143" t="s">
        <v>9841</v>
      </c>
      <c r="W3489" s="169" t="s">
        <v>9842</v>
      </c>
      <c r="X3489" s="143" t="s">
        <v>9837</v>
      </c>
      <c r="Y3489" s="169" t="s">
        <v>9842</v>
      </c>
      <c r="Z3489" s="143" t="s">
        <v>9837</v>
      </c>
    </row>
    <row r="3490" spans="1:26">
      <c r="A3490" s="143">
        <v>3453</v>
      </c>
      <c r="B3490" s="144">
        <v>46119</v>
      </c>
      <c r="C3490" s="143" t="s">
        <v>9603</v>
      </c>
      <c r="D3490" s="169" t="s">
        <v>9836</v>
      </c>
      <c r="F3490" s="143" t="s">
        <v>9843</v>
      </c>
      <c r="H3490" s="143" t="s">
        <v>9844</v>
      </c>
      <c r="I3490" s="143" t="s">
        <v>9845</v>
      </c>
      <c r="J3490" s="143" t="s">
        <v>9846</v>
      </c>
      <c r="K3490" s="143">
        <v>152</v>
      </c>
      <c r="L3490" s="143">
        <v>345</v>
      </c>
      <c r="M3490" s="143" t="s">
        <v>9847</v>
      </c>
      <c r="W3490" s="169" t="s">
        <v>9842</v>
      </c>
      <c r="X3490" s="143" t="s">
        <v>9843</v>
      </c>
      <c r="Y3490" s="169" t="s">
        <v>9842</v>
      </c>
      <c r="Z3490" s="143" t="s">
        <v>9843</v>
      </c>
    </row>
    <row r="3491" spans="1:26">
      <c r="A3491" s="143">
        <v>3454</v>
      </c>
      <c r="B3491" s="144">
        <v>46119</v>
      </c>
      <c r="C3491" s="143" t="s">
        <v>9603</v>
      </c>
      <c r="D3491" s="169" t="s">
        <v>9836</v>
      </c>
      <c r="F3491" s="143" t="s">
        <v>9843</v>
      </c>
      <c r="H3491" s="143" t="s">
        <v>9848</v>
      </c>
      <c r="I3491" s="143" t="s">
        <v>9849</v>
      </c>
      <c r="J3491" s="143" t="s">
        <v>9850</v>
      </c>
      <c r="K3491" s="143">
        <v>152</v>
      </c>
      <c r="L3491" s="143">
        <v>340</v>
      </c>
      <c r="M3491" s="143" t="s">
        <v>9851</v>
      </c>
      <c r="W3491" s="169" t="s">
        <v>9842</v>
      </c>
      <c r="X3491" s="143" t="s">
        <v>9843</v>
      </c>
      <c r="Y3491" s="169" t="s">
        <v>9842</v>
      </c>
      <c r="Z3491" s="143" t="s">
        <v>9843</v>
      </c>
    </row>
    <row r="3492" spans="1:26">
      <c r="A3492" s="143">
        <v>3455</v>
      </c>
      <c r="B3492" s="144">
        <v>46119</v>
      </c>
      <c r="C3492" s="143" t="s">
        <v>9603</v>
      </c>
      <c r="D3492" s="169" t="s">
        <v>9836</v>
      </c>
      <c r="F3492" s="143" t="s">
        <v>9852</v>
      </c>
      <c r="H3492" s="143" t="s">
        <v>9853</v>
      </c>
      <c r="I3492" s="143" t="s">
        <v>9854</v>
      </c>
      <c r="J3492" s="143" t="s">
        <v>9855</v>
      </c>
      <c r="K3492" s="143">
        <v>152</v>
      </c>
      <c r="L3492" s="143">
        <v>630</v>
      </c>
      <c r="M3492" s="143" t="s">
        <v>9856</v>
      </c>
      <c r="W3492" s="169" t="s">
        <v>9842</v>
      </c>
      <c r="X3492" s="143" t="s">
        <v>9852</v>
      </c>
      <c r="Y3492" s="169" t="s">
        <v>9842</v>
      </c>
      <c r="Z3492" s="143" t="s">
        <v>9852</v>
      </c>
    </row>
    <row r="3493" spans="1:26">
      <c r="A3493" s="143">
        <v>3456</v>
      </c>
      <c r="B3493" s="144">
        <v>46119</v>
      </c>
      <c r="C3493" s="143" t="s">
        <v>9603</v>
      </c>
      <c r="D3493" s="169" t="s">
        <v>9836</v>
      </c>
      <c r="F3493" s="143" t="s">
        <v>9857</v>
      </c>
      <c r="H3493" s="143" t="s">
        <v>9858</v>
      </c>
      <c r="I3493" s="143" t="s">
        <v>9859</v>
      </c>
      <c r="J3493" s="143" t="s">
        <v>9860</v>
      </c>
      <c r="K3493" s="143">
        <v>152</v>
      </c>
      <c r="L3493" s="143">
        <v>295</v>
      </c>
      <c r="M3493" s="143" t="s">
        <v>9861</v>
      </c>
      <c r="W3493" s="169" t="s">
        <v>9842</v>
      </c>
      <c r="X3493" s="143" t="s">
        <v>9857</v>
      </c>
      <c r="Y3493" s="169" t="s">
        <v>9842</v>
      </c>
      <c r="Z3493" s="143" t="s">
        <v>9857</v>
      </c>
    </row>
    <row r="3494" spans="1:26">
      <c r="A3494" s="143">
        <v>3457</v>
      </c>
      <c r="B3494" s="144">
        <v>46119</v>
      </c>
      <c r="C3494" s="143" t="s">
        <v>9603</v>
      </c>
      <c r="D3494" s="169" t="s">
        <v>9836</v>
      </c>
      <c r="F3494" s="143" t="s">
        <v>9862</v>
      </c>
      <c r="H3494" s="143" t="s">
        <v>9863</v>
      </c>
      <c r="I3494" s="143" t="s">
        <v>9859</v>
      </c>
      <c r="J3494" s="143" t="s">
        <v>9860</v>
      </c>
      <c r="K3494" s="143">
        <v>152</v>
      </c>
      <c r="L3494" s="143">
        <v>490</v>
      </c>
      <c r="M3494" s="143" t="s">
        <v>9856</v>
      </c>
      <c r="W3494" s="169" t="s">
        <v>9842</v>
      </c>
      <c r="X3494" s="143" t="s">
        <v>9862</v>
      </c>
      <c r="Y3494" s="169" t="s">
        <v>9842</v>
      </c>
      <c r="Z3494" s="143" t="s">
        <v>9862</v>
      </c>
    </row>
    <row r="3495" spans="1:26">
      <c r="A3495" s="143">
        <v>3458</v>
      </c>
      <c r="B3495" s="144">
        <v>46119</v>
      </c>
      <c r="C3495" s="143" t="s">
        <v>9603</v>
      </c>
      <c r="D3495" s="169" t="s">
        <v>9836</v>
      </c>
      <c r="F3495" s="143" t="s">
        <v>9864</v>
      </c>
      <c r="H3495" s="143" t="s">
        <v>9865</v>
      </c>
      <c r="I3495" s="143" t="s">
        <v>9866</v>
      </c>
      <c r="J3495" s="143" t="s">
        <v>9867</v>
      </c>
      <c r="K3495" s="143">
        <v>152</v>
      </c>
      <c r="L3495" s="143">
        <v>320</v>
      </c>
      <c r="M3495" s="143" t="s">
        <v>9861</v>
      </c>
      <c r="W3495" s="169" t="s">
        <v>9842</v>
      </c>
      <c r="X3495" s="143" t="s">
        <v>9864</v>
      </c>
      <c r="Y3495" s="169" t="s">
        <v>9842</v>
      </c>
      <c r="Z3495" s="143" t="s">
        <v>9864</v>
      </c>
    </row>
    <row r="3496" spans="1:26">
      <c r="A3496" s="143">
        <v>3459</v>
      </c>
      <c r="B3496" s="144">
        <v>46119</v>
      </c>
      <c r="C3496" s="143" t="s">
        <v>9603</v>
      </c>
      <c r="D3496" s="169" t="s">
        <v>9836</v>
      </c>
      <c r="F3496" s="143" t="s">
        <v>9868</v>
      </c>
      <c r="H3496" s="143" t="s">
        <v>9869</v>
      </c>
      <c r="I3496" s="143" t="s">
        <v>9870</v>
      </c>
      <c r="J3496" s="143" t="s">
        <v>9871</v>
      </c>
      <c r="K3496" s="143">
        <v>152</v>
      </c>
      <c r="L3496" s="143">
        <v>410</v>
      </c>
      <c r="M3496" s="143" t="s">
        <v>9872</v>
      </c>
      <c r="W3496" s="169" t="s">
        <v>9842</v>
      </c>
      <c r="X3496" s="143" t="s">
        <v>9868</v>
      </c>
      <c r="Y3496" s="169" t="s">
        <v>9842</v>
      </c>
      <c r="Z3496" s="143" t="s">
        <v>9868</v>
      </c>
    </row>
    <row r="3497" spans="1:26">
      <c r="A3497" s="143">
        <v>3460</v>
      </c>
      <c r="B3497" s="144">
        <v>46119</v>
      </c>
      <c r="C3497" s="143" t="s">
        <v>9603</v>
      </c>
      <c r="D3497" s="169" t="s">
        <v>9836</v>
      </c>
      <c r="F3497" s="143" t="s">
        <v>9873</v>
      </c>
      <c r="H3497" s="143" t="s">
        <v>9874</v>
      </c>
      <c r="I3497" s="143" t="s">
        <v>9859</v>
      </c>
      <c r="J3497" s="143" t="s">
        <v>9860</v>
      </c>
      <c r="K3497" s="143">
        <v>152</v>
      </c>
      <c r="L3497" s="143">
        <v>340</v>
      </c>
      <c r="M3497" s="143" t="s">
        <v>9875</v>
      </c>
      <c r="W3497" s="169" t="s">
        <v>9842</v>
      </c>
      <c r="X3497" s="143" t="s">
        <v>9873</v>
      </c>
      <c r="Y3497" s="169" t="s">
        <v>9842</v>
      </c>
      <c r="Z3497" s="143" t="s">
        <v>9873</v>
      </c>
    </row>
    <row r="3498" spans="1:26">
      <c r="A3498" s="143">
        <v>3461</v>
      </c>
      <c r="B3498" s="144">
        <v>46121</v>
      </c>
      <c r="C3498" s="169" t="s">
        <v>3148</v>
      </c>
      <c r="D3498" s="143" t="s">
        <v>9156</v>
      </c>
      <c r="F3498" s="143" t="s">
        <v>9876</v>
      </c>
      <c r="H3498" s="143" t="s">
        <v>9877</v>
      </c>
      <c r="I3498" s="143" t="s">
        <v>9878</v>
      </c>
      <c r="J3498" s="143" t="s">
        <v>9879</v>
      </c>
      <c r="K3498" s="143">
        <v>150</v>
      </c>
      <c r="L3498" s="143">
        <v>340</v>
      </c>
      <c r="W3498" s="143" t="s">
        <v>3147</v>
      </c>
      <c r="X3498" s="143" t="s">
        <v>9876</v>
      </c>
      <c r="Y3498" s="169" t="s">
        <v>9880</v>
      </c>
      <c r="Z3498" s="143" t="s">
        <v>9876</v>
      </c>
    </row>
    <row r="3499" spans="1:26">
      <c r="A3499" s="143">
        <v>3462</v>
      </c>
      <c r="B3499" s="144">
        <v>46121</v>
      </c>
      <c r="C3499" s="169" t="s">
        <v>3148</v>
      </c>
      <c r="D3499" s="143" t="s">
        <v>9156</v>
      </c>
      <c r="F3499" s="143" t="s">
        <v>9881</v>
      </c>
      <c r="H3499" s="143" t="s">
        <v>9882</v>
      </c>
      <c r="I3499" s="143" t="s">
        <v>9883</v>
      </c>
      <c r="J3499" s="143" t="s">
        <v>9884</v>
      </c>
      <c r="K3499" s="143">
        <v>150</v>
      </c>
      <c r="L3499" s="143">
        <v>480</v>
      </c>
      <c r="W3499" s="143" t="s">
        <v>3147</v>
      </c>
      <c r="X3499" s="143" t="s">
        <v>9881</v>
      </c>
      <c r="Y3499" s="169" t="s">
        <v>9880</v>
      </c>
      <c r="Z3499" s="143" t="s">
        <v>9881</v>
      </c>
    </row>
    <row r="3500" spans="1:26">
      <c r="A3500" s="143">
        <v>3463</v>
      </c>
      <c r="B3500" s="144">
        <v>46121</v>
      </c>
      <c r="C3500" s="169" t="s">
        <v>3148</v>
      </c>
      <c r="D3500" s="143" t="s">
        <v>9156</v>
      </c>
      <c r="F3500" s="143" t="s">
        <v>9885</v>
      </c>
      <c r="H3500" s="143" t="s">
        <v>9886</v>
      </c>
      <c r="I3500" s="143" t="s">
        <v>9887</v>
      </c>
      <c r="J3500" s="143" t="s">
        <v>9888</v>
      </c>
      <c r="K3500" s="143">
        <v>150</v>
      </c>
      <c r="L3500" s="143">
        <v>275</v>
      </c>
      <c r="W3500" s="143" t="s">
        <v>3147</v>
      </c>
      <c r="X3500" s="143" t="s">
        <v>9885</v>
      </c>
      <c r="Y3500" s="169" t="s">
        <v>9889</v>
      </c>
      <c r="Z3500" s="143" t="s">
        <v>9885</v>
      </c>
    </row>
    <row r="3501" spans="1:26">
      <c r="A3501" s="143">
        <v>3464</v>
      </c>
      <c r="B3501" s="144">
        <v>46121</v>
      </c>
      <c r="C3501" s="169" t="s">
        <v>3148</v>
      </c>
      <c r="D3501" s="143" t="s">
        <v>9156</v>
      </c>
      <c r="F3501" s="143" t="s">
        <v>9890</v>
      </c>
      <c r="H3501" s="143" t="s">
        <v>9891</v>
      </c>
      <c r="I3501" s="143" t="s">
        <v>9892</v>
      </c>
      <c r="J3501" s="143" t="s">
        <v>9893</v>
      </c>
      <c r="K3501" s="143">
        <v>150</v>
      </c>
      <c r="L3501" s="143">
        <v>245</v>
      </c>
      <c r="W3501" s="143" t="s">
        <v>3147</v>
      </c>
      <c r="X3501" s="143" t="s">
        <v>9890</v>
      </c>
      <c r="Y3501" s="169" t="s">
        <v>9889</v>
      </c>
      <c r="Z3501" s="143" t="s">
        <v>9890</v>
      </c>
    </row>
    <row r="3502" spans="1:26">
      <c r="A3502" s="143">
        <v>3465</v>
      </c>
      <c r="B3502" s="144">
        <v>46121</v>
      </c>
      <c r="C3502" s="169" t="s">
        <v>3148</v>
      </c>
      <c r="D3502" s="143" t="s">
        <v>9156</v>
      </c>
      <c r="F3502" s="143" t="s">
        <v>9894</v>
      </c>
      <c r="H3502" s="143" t="s">
        <v>9895</v>
      </c>
      <c r="I3502" s="143" t="s">
        <v>9896</v>
      </c>
      <c r="J3502" s="143" t="s">
        <v>9897</v>
      </c>
      <c r="K3502" s="143">
        <v>150</v>
      </c>
      <c r="L3502" s="143">
        <v>275</v>
      </c>
      <c r="W3502" s="143" t="s">
        <v>3147</v>
      </c>
      <c r="X3502" s="143" t="s">
        <v>9894</v>
      </c>
      <c r="Y3502" s="169" t="s">
        <v>9889</v>
      </c>
      <c r="Z3502" s="143" t="s">
        <v>9894</v>
      </c>
    </row>
    <row r="3503" spans="1:26">
      <c r="A3503" s="143">
        <v>3466</v>
      </c>
      <c r="B3503" s="144">
        <v>46121</v>
      </c>
      <c r="C3503" s="169" t="s">
        <v>3148</v>
      </c>
      <c r="D3503" s="143" t="s">
        <v>9156</v>
      </c>
      <c r="F3503" s="143" t="s">
        <v>9898</v>
      </c>
      <c r="H3503" s="143" t="s">
        <v>9899</v>
      </c>
      <c r="I3503" s="143" t="s">
        <v>9900</v>
      </c>
      <c r="J3503" s="143" t="s">
        <v>9888</v>
      </c>
      <c r="K3503" s="143">
        <v>150</v>
      </c>
      <c r="L3503" s="143">
        <v>275</v>
      </c>
      <c r="W3503" s="143" t="s">
        <v>3147</v>
      </c>
      <c r="X3503" s="143" t="s">
        <v>9898</v>
      </c>
      <c r="Y3503" s="169" t="s">
        <v>9889</v>
      </c>
      <c r="Z3503" s="143" t="s">
        <v>9898</v>
      </c>
    </row>
    <row r="3504" spans="1:26">
      <c r="A3504" s="143">
        <v>3467</v>
      </c>
      <c r="B3504" s="144">
        <v>46121</v>
      </c>
      <c r="C3504" s="169" t="s">
        <v>3148</v>
      </c>
      <c r="D3504" s="143" t="s">
        <v>9156</v>
      </c>
      <c r="F3504" s="143" t="s">
        <v>9901</v>
      </c>
      <c r="H3504" s="143" t="s">
        <v>9902</v>
      </c>
      <c r="I3504" s="143" t="s">
        <v>9903</v>
      </c>
      <c r="J3504" s="143" t="s">
        <v>9904</v>
      </c>
      <c r="K3504" s="143">
        <v>150</v>
      </c>
      <c r="L3504" s="143">
        <v>350</v>
      </c>
      <c r="W3504" s="143" t="s">
        <v>3147</v>
      </c>
      <c r="X3504" s="143" t="s">
        <v>9901</v>
      </c>
      <c r="Y3504" s="169" t="s">
        <v>9905</v>
      </c>
      <c r="Z3504" s="143" t="s">
        <v>9901</v>
      </c>
    </row>
    <row r="3505" spans="1:26">
      <c r="A3505" s="143">
        <v>3468</v>
      </c>
      <c r="B3505" s="144">
        <v>46121</v>
      </c>
      <c r="C3505" s="169" t="s">
        <v>3148</v>
      </c>
      <c r="D3505" s="143" t="s">
        <v>9156</v>
      </c>
      <c r="F3505" s="143" t="s">
        <v>9906</v>
      </c>
      <c r="H3505" s="143" t="s">
        <v>9907</v>
      </c>
      <c r="I3505" s="143" t="s">
        <v>9900</v>
      </c>
      <c r="J3505" s="143" t="s">
        <v>9888</v>
      </c>
      <c r="K3505" s="143">
        <v>150</v>
      </c>
      <c r="L3505" s="143">
        <v>450</v>
      </c>
      <c r="W3505" s="143" t="s">
        <v>3147</v>
      </c>
      <c r="X3505" s="143" t="s">
        <v>9906</v>
      </c>
      <c r="Y3505" s="169" t="s">
        <v>9908</v>
      </c>
      <c r="Z3505" s="143" t="s">
        <v>9906</v>
      </c>
    </row>
    <row r="3506" spans="1:26">
      <c r="A3506" s="143">
        <v>3469</v>
      </c>
      <c r="B3506" s="144">
        <v>46121</v>
      </c>
      <c r="C3506" s="169" t="s">
        <v>3148</v>
      </c>
      <c r="D3506" s="143" t="s">
        <v>9156</v>
      </c>
      <c r="F3506" s="143" t="s">
        <v>9909</v>
      </c>
      <c r="H3506" s="143" t="s">
        <v>9910</v>
      </c>
      <c r="I3506" s="143" t="s">
        <v>9900</v>
      </c>
      <c r="J3506" s="143" t="s">
        <v>9888</v>
      </c>
      <c r="K3506" s="143">
        <v>150</v>
      </c>
      <c r="L3506" s="143">
        <v>245</v>
      </c>
      <c r="W3506" s="143" t="s">
        <v>3147</v>
      </c>
      <c r="X3506" s="143" t="s">
        <v>9909</v>
      </c>
      <c r="Y3506" s="169" t="s">
        <v>9908</v>
      </c>
      <c r="Z3506" s="143" t="s">
        <v>9909</v>
      </c>
    </row>
    <row r="3507" spans="1:26">
      <c r="A3507" s="143">
        <v>3470</v>
      </c>
      <c r="B3507" s="144">
        <v>46121</v>
      </c>
      <c r="C3507" s="169" t="s">
        <v>3148</v>
      </c>
      <c r="D3507" s="143" t="s">
        <v>9156</v>
      </c>
      <c r="F3507" s="143" t="s">
        <v>9911</v>
      </c>
      <c r="H3507" s="143" t="s">
        <v>9912</v>
      </c>
      <c r="I3507" s="143" t="s">
        <v>9900</v>
      </c>
      <c r="J3507" s="143" t="s">
        <v>9888</v>
      </c>
      <c r="K3507" s="143">
        <v>150</v>
      </c>
      <c r="L3507" s="143">
        <v>235</v>
      </c>
      <c r="W3507" s="143" t="s">
        <v>3147</v>
      </c>
      <c r="X3507" s="143" t="s">
        <v>9911</v>
      </c>
      <c r="Y3507" s="169" t="s">
        <v>9908</v>
      </c>
      <c r="Z3507" s="143" t="s">
        <v>9911</v>
      </c>
    </row>
    <row r="3508" spans="1:26">
      <c r="A3508" s="143">
        <v>3471</v>
      </c>
      <c r="B3508" s="144">
        <v>46121</v>
      </c>
      <c r="C3508" s="169" t="s">
        <v>3148</v>
      </c>
      <c r="D3508" s="143" t="s">
        <v>9156</v>
      </c>
      <c r="F3508" s="143" t="s">
        <v>9913</v>
      </c>
      <c r="H3508" s="143" t="s">
        <v>9914</v>
      </c>
      <c r="I3508" s="143" t="s">
        <v>9915</v>
      </c>
      <c r="J3508" s="143" t="s">
        <v>9916</v>
      </c>
      <c r="K3508" s="143">
        <v>150</v>
      </c>
      <c r="L3508" s="143">
        <v>450</v>
      </c>
      <c r="W3508" s="143" t="s">
        <v>3147</v>
      </c>
      <c r="X3508" s="143" t="s">
        <v>9913</v>
      </c>
      <c r="Y3508" s="169" t="s">
        <v>9917</v>
      </c>
      <c r="Z3508" s="143" t="s">
        <v>9913</v>
      </c>
    </row>
    <row r="3509" spans="1:26">
      <c r="A3509" s="143">
        <v>3472</v>
      </c>
      <c r="B3509" s="144">
        <v>46121</v>
      </c>
      <c r="C3509" s="169" t="s">
        <v>3148</v>
      </c>
      <c r="D3509" s="143" t="s">
        <v>9156</v>
      </c>
      <c r="F3509" s="143" t="s">
        <v>9918</v>
      </c>
      <c r="H3509" s="143" t="s">
        <v>9919</v>
      </c>
      <c r="I3509" s="143" t="s">
        <v>9900</v>
      </c>
      <c r="J3509" s="143" t="s">
        <v>9888</v>
      </c>
      <c r="K3509" s="143">
        <v>150</v>
      </c>
      <c r="L3509" s="143">
        <v>580</v>
      </c>
      <c r="W3509" s="143" t="s">
        <v>3147</v>
      </c>
      <c r="X3509" s="143" t="s">
        <v>9918</v>
      </c>
      <c r="Y3509" s="169" t="s">
        <v>9917</v>
      </c>
      <c r="Z3509" s="143" t="s">
        <v>9918</v>
      </c>
    </row>
    <row r="3510" spans="1:26">
      <c r="A3510" s="143">
        <v>3473</v>
      </c>
      <c r="B3510" s="144">
        <v>46121</v>
      </c>
      <c r="C3510" s="169" t="s">
        <v>3148</v>
      </c>
      <c r="D3510" s="143" t="s">
        <v>9156</v>
      </c>
      <c r="F3510" s="143" t="s">
        <v>9920</v>
      </c>
      <c r="H3510" s="143" t="s">
        <v>9921</v>
      </c>
      <c r="I3510" s="143" t="s">
        <v>9922</v>
      </c>
      <c r="J3510" s="143" t="s">
        <v>9923</v>
      </c>
      <c r="K3510" s="143">
        <v>150</v>
      </c>
      <c r="L3510" s="143">
        <v>460</v>
      </c>
      <c r="W3510" s="143" t="s">
        <v>3147</v>
      </c>
      <c r="X3510" s="143" t="s">
        <v>9920</v>
      </c>
      <c r="Y3510" s="169" t="s">
        <v>9917</v>
      </c>
      <c r="Z3510" s="143" t="s">
        <v>9920</v>
      </c>
    </row>
    <row r="3511" spans="1:26">
      <c r="A3511" s="143">
        <v>3474</v>
      </c>
      <c r="B3511" s="144">
        <v>46121</v>
      </c>
      <c r="C3511" s="169" t="s">
        <v>3148</v>
      </c>
      <c r="D3511" s="143" t="s">
        <v>9156</v>
      </c>
      <c r="F3511" s="143" t="s">
        <v>9924</v>
      </c>
      <c r="H3511" s="143" t="s">
        <v>9925</v>
      </c>
      <c r="I3511" s="143" t="s">
        <v>9926</v>
      </c>
      <c r="J3511" s="143" t="s">
        <v>9927</v>
      </c>
      <c r="K3511" s="143">
        <v>150</v>
      </c>
      <c r="L3511" s="143">
        <v>500</v>
      </c>
      <c r="W3511" s="143" t="s">
        <v>3147</v>
      </c>
      <c r="X3511" s="143" t="s">
        <v>9924</v>
      </c>
      <c r="Y3511" s="169" t="s">
        <v>9928</v>
      </c>
      <c r="Z3511" s="143" t="s">
        <v>9924</v>
      </c>
    </row>
    <row r="3512" spans="1:26">
      <c r="A3512" s="143">
        <v>3475</v>
      </c>
      <c r="B3512" s="144">
        <v>46121</v>
      </c>
      <c r="C3512" s="169" t="s">
        <v>3148</v>
      </c>
      <c r="D3512" s="143" t="s">
        <v>9156</v>
      </c>
      <c r="F3512" s="143" t="s">
        <v>9929</v>
      </c>
      <c r="H3512" s="143" t="s">
        <v>9930</v>
      </c>
      <c r="I3512" s="143" t="s">
        <v>9931</v>
      </c>
      <c r="J3512" s="143" t="s">
        <v>9932</v>
      </c>
      <c r="K3512" s="143">
        <v>150</v>
      </c>
      <c r="L3512" s="143">
        <v>135</v>
      </c>
      <c r="W3512" s="143" t="s">
        <v>3147</v>
      </c>
      <c r="X3512" s="143" t="s">
        <v>9929</v>
      </c>
      <c r="Y3512" s="169" t="s">
        <v>9933</v>
      </c>
      <c r="Z3512" s="143" t="s">
        <v>9929</v>
      </c>
    </row>
    <row r="3513" spans="1:26">
      <c r="A3513" s="143">
        <v>3476</v>
      </c>
      <c r="B3513" s="144">
        <v>46121</v>
      </c>
      <c r="C3513" s="169" t="s">
        <v>3148</v>
      </c>
      <c r="D3513" s="143" t="s">
        <v>9156</v>
      </c>
      <c r="F3513" s="143" t="s">
        <v>9934</v>
      </c>
      <c r="H3513" s="143" t="s">
        <v>9935</v>
      </c>
      <c r="I3513" s="143" t="s">
        <v>9936</v>
      </c>
      <c r="J3513" s="143" t="s">
        <v>9937</v>
      </c>
      <c r="K3513" s="143">
        <v>150</v>
      </c>
      <c r="L3513" s="143">
        <v>300</v>
      </c>
      <c r="W3513" s="143" t="s">
        <v>3147</v>
      </c>
      <c r="X3513" s="143" t="s">
        <v>9934</v>
      </c>
      <c r="Y3513" s="169" t="s">
        <v>9933</v>
      </c>
      <c r="Z3513" s="143" t="s">
        <v>9934</v>
      </c>
    </row>
    <row r="3514" spans="1:26">
      <c r="A3514" s="143">
        <v>3477</v>
      </c>
      <c r="B3514" s="144">
        <v>46121</v>
      </c>
      <c r="C3514" s="169" t="s">
        <v>3148</v>
      </c>
      <c r="D3514" s="143" t="s">
        <v>9156</v>
      </c>
      <c r="F3514" s="143">
        <v>21062</v>
      </c>
      <c r="H3514" s="143" t="s">
        <v>9938</v>
      </c>
      <c r="I3514" s="143" t="s">
        <v>5935</v>
      </c>
      <c r="J3514" s="143" t="s">
        <v>9939</v>
      </c>
      <c r="K3514" s="143">
        <v>150</v>
      </c>
      <c r="L3514" s="143">
        <v>210</v>
      </c>
      <c r="W3514" s="143" t="s">
        <v>3147</v>
      </c>
      <c r="X3514" s="143">
        <v>21062</v>
      </c>
      <c r="Y3514" s="169" t="s">
        <v>9940</v>
      </c>
      <c r="Z3514" s="143">
        <v>21062</v>
      </c>
    </row>
    <row r="3515" spans="1:26">
      <c r="A3515" s="143">
        <v>3478</v>
      </c>
      <c r="B3515" s="144">
        <v>46121</v>
      </c>
      <c r="C3515" s="169" t="s">
        <v>3148</v>
      </c>
      <c r="D3515" s="143" t="s">
        <v>9156</v>
      </c>
      <c r="F3515" s="143" t="s">
        <v>9941</v>
      </c>
      <c r="H3515" s="143" t="s">
        <v>9942</v>
      </c>
      <c r="I3515" s="143" t="s">
        <v>3390</v>
      </c>
      <c r="J3515" s="143" t="s">
        <v>4144</v>
      </c>
      <c r="K3515" s="143">
        <v>150</v>
      </c>
      <c r="L3515" s="143">
        <v>230</v>
      </c>
      <c r="W3515" s="143" t="s">
        <v>3147</v>
      </c>
      <c r="X3515" s="143" t="s">
        <v>9941</v>
      </c>
      <c r="Y3515" s="169" t="s">
        <v>9943</v>
      </c>
      <c r="Z3515" s="143" t="s">
        <v>9941</v>
      </c>
    </row>
    <row r="3516" spans="1:26">
      <c r="A3516" s="143">
        <v>3479</v>
      </c>
      <c r="B3516" s="144">
        <v>46121</v>
      </c>
      <c r="C3516" s="169" t="s">
        <v>3148</v>
      </c>
      <c r="D3516" s="143" t="s">
        <v>9156</v>
      </c>
      <c r="F3516" s="143" t="s">
        <v>9944</v>
      </c>
      <c r="H3516" s="143" t="s">
        <v>9945</v>
      </c>
      <c r="I3516" s="143" t="s">
        <v>9946</v>
      </c>
      <c r="J3516" s="143" t="s">
        <v>9947</v>
      </c>
      <c r="K3516" s="143">
        <v>150</v>
      </c>
      <c r="L3516" s="143">
        <v>185</v>
      </c>
      <c r="W3516" s="143" t="s">
        <v>3147</v>
      </c>
      <c r="X3516" s="143" t="s">
        <v>9944</v>
      </c>
      <c r="Y3516" s="169" t="s">
        <v>9948</v>
      </c>
      <c r="Z3516" s="143" t="s">
        <v>9944</v>
      </c>
    </row>
    <row r="3517" spans="1:26">
      <c r="A3517" s="143">
        <v>3480</v>
      </c>
      <c r="B3517" s="144">
        <v>46122</v>
      </c>
      <c r="C3517" s="169" t="s">
        <v>3148</v>
      </c>
      <c r="D3517" s="143" t="s">
        <v>9949</v>
      </c>
      <c r="F3517" s="143" t="s">
        <v>9950</v>
      </c>
      <c r="H3517" s="143" t="s">
        <v>9951</v>
      </c>
      <c r="I3517" s="143" t="s">
        <v>9464</v>
      </c>
      <c r="J3517" s="143" t="s">
        <v>9801</v>
      </c>
      <c r="K3517" s="143">
        <v>132</v>
      </c>
      <c r="M3517" s="143" t="s">
        <v>9492</v>
      </c>
      <c r="W3517" s="169" t="s">
        <v>9467</v>
      </c>
      <c r="X3517" s="143" t="s">
        <v>9950</v>
      </c>
      <c r="Y3517" s="169" t="s">
        <v>9467</v>
      </c>
      <c r="Z3517" s="143" t="s">
        <v>9950</v>
      </c>
    </row>
    <row r="3518" spans="1:26">
      <c r="A3518" s="143">
        <v>3481</v>
      </c>
      <c r="B3518" s="144">
        <v>46122</v>
      </c>
      <c r="C3518" s="169" t="s">
        <v>3148</v>
      </c>
      <c r="D3518" s="143" t="s">
        <v>9949</v>
      </c>
      <c r="F3518" s="143" t="s">
        <v>9952</v>
      </c>
      <c r="H3518" s="143" t="s">
        <v>9953</v>
      </c>
      <c r="I3518" s="143" t="s">
        <v>9464</v>
      </c>
      <c r="J3518" s="143" t="s">
        <v>9801</v>
      </c>
      <c r="K3518" s="143">
        <v>132</v>
      </c>
      <c r="M3518" s="143" t="s">
        <v>9492</v>
      </c>
      <c r="W3518" s="169" t="s">
        <v>9467</v>
      </c>
      <c r="X3518" s="143" t="s">
        <v>9952</v>
      </c>
      <c r="Y3518" s="169" t="s">
        <v>9467</v>
      </c>
      <c r="Z3518" s="143" t="s">
        <v>9952</v>
      </c>
    </row>
    <row r="3519" spans="1:26">
      <c r="A3519" s="143">
        <v>3482</v>
      </c>
      <c r="B3519" s="144">
        <v>46122</v>
      </c>
      <c r="C3519" s="169" t="s">
        <v>3148</v>
      </c>
      <c r="D3519" s="143" t="s">
        <v>9949</v>
      </c>
      <c r="F3519" s="143" t="s">
        <v>9954</v>
      </c>
      <c r="H3519" s="143" t="s">
        <v>9955</v>
      </c>
      <c r="I3519" s="143" t="s">
        <v>9464</v>
      </c>
      <c r="J3519" s="143" t="s">
        <v>9801</v>
      </c>
      <c r="K3519" s="143">
        <v>132</v>
      </c>
      <c r="M3519" s="143" t="s">
        <v>9492</v>
      </c>
      <c r="W3519" s="169" t="s">
        <v>9467</v>
      </c>
      <c r="X3519" s="143" t="s">
        <v>9954</v>
      </c>
      <c r="Y3519" s="169" t="s">
        <v>9467</v>
      </c>
      <c r="Z3519" s="143" t="s">
        <v>9954</v>
      </c>
    </row>
    <row r="3520" spans="1:26">
      <c r="A3520" s="143">
        <v>3483</v>
      </c>
      <c r="B3520" s="144">
        <v>46122</v>
      </c>
      <c r="C3520" s="169" t="s">
        <v>3148</v>
      </c>
      <c r="D3520" s="143" t="s">
        <v>9949</v>
      </c>
      <c r="F3520" s="143" t="s">
        <v>9956</v>
      </c>
      <c r="H3520" s="143" t="s">
        <v>9957</v>
      </c>
      <c r="I3520" s="143" t="s">
        <v>9464</v>
      </c>
      <c r="J3520" s="143" t="s">
        <v>9801</v>
      </c>
      <c r="K3520" s="143">
        <v>132</v>
      </c>
      <c r="M3520" s="143" t="s">
        <v>9484</v>
      </c>
      <c r="W3520" s="169" t="s">
        <v>9467</v>
      </c>
      <c r="X3520" s="143" t="s">
        <v>9956</v>
      </c>
      <c r="Y3520" s="169" t="s">
        <v>9467</v>
      </c>
      <c r="Z3520" s="143" t="s">
        <v>9956</v>
      </c>
    </row>
    <row r="3521" spans="1:26">
      <c r="A3521" s="143">
        <v>3484</v>
      </c>
      <c r="B3521" s="144">
        <v>46122</v>
      </c>
      <c r="C3521" s="169" t="s">
        <v>3148</v>
      </c>
      <c r="D3521" s="143" t="s">
        <v>9949</v>
      </c>
      <c r="F3521" s="143" t="s">
        <v>9958</v>
      </c>
      <c r="H3521" s="143" t="s">
        <v>9959</v>
      </c>
      <c r="I3521" s="143" t="s">
        <v>9464</v>
      </c>
      <c r="J3521" s="143" t="s">
        <v>9801</v>
      </c>
      <c r="K3521" s="143">
        <v>132</v>
      </c>
      <c r="M3521" s="143" t="s">
        <v>9492</v>
      </c>
      <c r="W3521" s="169" t="s">
        <v>9467</v>
      </c>
      <c r="X3521" s="143" t="s">
        <v>9958</v>
      </c>
      <c r="Y3521" s="169" t="s">
        <v>9467</v>
      </c>
      <c r="Z3521" s="143" t="s">
        <v>9958</v>
      </c>
    </row>
    <row r="3522" spans="1:26">
      <c r="A3522" s="143">
        <v>3485</v>
      </c>
      <c r="B3522" s="144">
        <v>46122</v>
      </c>
      <c r="C3522" s="169" t="s">
        <v>3148</v>
      </c>
      <c r="D3522" s="143" t="s">
        <v>9949</v>
      </c>
      <c r="F3522" s="143" t="s">
        <v>9960</v>
      </c>
      <c r="H3522" s="143" t="s">
        <v>9961</v>
      </c>
      <c r="I3522" s="143" t="s">
        <v>9464</v>
      </c>
      <c r="J3522" s="143" t="s">
        <v>9801</v>
      </c>
      <c r="K3522" s="143">
        <v>132</v>
      </c>
      <c r="M3522" s="143" t="s">
        <v>9466</v>
      </c>
      <c r="W3522" s="169" t="s">
        <v>9467</v>
      </c>
      <c r="X3522" s="143" t="s">
        <v>9960</v>
      </c>
      <c r="Y3522" s="169" t="s">
        <v>9467</v>
      </c>
      <c r="Z3522" s="143" t="s">
        <v>9960</v>
      </c>
    </row>
    <row r="3523" spans="1:26">
      <c r="A3523" s="143">
        <v>3486</v>
      </c>
      <c r="B3523" s="144">
        <v>46123</v>
      </c>
      <c r="C3523" s="169" t="s">
        <v>9603</v>
      </c>
      <c r="F3523" s="169" t="s">
        <v>9962</v>
      </c>
      <c r="H3523" s="143" t="s">
        <v>9963</v>
      </c>
      <c r="I3523" s="143" t="s">
        <v>9225</v>
      </c>
      <c r="J3523" s="143" t="s">
        <v>1577</v>
      </c>
      <c r="K3523" s="143">
        <v>150</v>
      </c>
      <c r="L3523" s="143">
        <v>155</v>
      </c>
      <c r="X3523" s="169" t="s">
        <v>9962</v>
      </c>
    </row>
    <row r="3524" spans="1:26">
      <c r="A3524" s="143">
        <v>3487</v>
      </c>
      <c r="B3524" s="144">
        <v>46127</v>
      </c>
      <c r="C3524" s="169" t="s">
        <v>3148</v>
      </c>
      <c r="F3524" s="143" t="s">
        <v>9964</v>
      </c>
      <c r="H3524" s="143" t="s">
        <v>9965</v>
      </c>
      <c r="K3524" s="143">
        <v>142</v>
      </c>
      <c r="W3524" s="143" t="s">
        <v>9561</v>
      </c>
      <c r="X3524" s="143" t="s">
        <v>9964</v>
      </c>
      <c r="Y3524" s="143" t="s">
        <v>9561</v>
      </c>
      <c r="Z3524" s="143" t="s">
        <v>9964</v>
      </c>
    </row>
    <row r="3525" spans="1:26">
      <c r="A3525" s="143">
        <v>3488</v>
      </c>
      <c r="B3525" s="144">
        <v>46127</v>
      </c>
      <c r="C3525" s="169" t="s">
        <v>3148</v>
      </c>
      <c r="F3525" s="143" t="s">
        <v>9966</v>
      </c>
      <c r="H3525" s="143" t="s">
        <v>9967</v>
      </c>
      <c r="W3525" s="143" t="s">
        <v>9561</v>
      </c>
      <c r="X3525" s="143" t="s">
        <v>9966</v>
      </c>
      <c r="Y3525" s="143" t="s">
        <v>9561</v>
      </c>
      <c r="Z3525" s="143" t="s">
        <v>9966</v>
      </c>
    </row>
    <row r="3526" spans="1:26">
      <c r="A3526" s="143">
        <v>3489</v>
      </c>
      <c r="B3526" s="144">
        <v>46127</v>
      </c>
      <c r="C3526" s="169" t="s">
        <v>3148</v>
      </c>
      <c r="F3526" s="143" t="s">
        <v>9968</v>
      </c>
      <c r="H3526" s="143" t="s">
        <v>9969</v>
      </c>
      <c r="W3526" s="143" t="s">
        <v>9561</v>
      </c>
      <c r="X3526" s="143" t="s">
        <v>9968</v>
      </c>
      <c r="Y3526" s="143" t="s">
        <v>9561</v>
      </c>
      <c r="Z3526" s="143" t="s">
        <v>9968</v>
      </c>
    </row>
    <row r="3527" spans="1:26">
      <c r="A3527" s="143">
        <v>3490</v>
      </c>
      <c r="B3527" s="144">
        <v>46127</v>
      </c>
      <c r="C3527" s="169" t="s">
        <v>3148</v>
      </c>
      <c r="F3527" s="143" t="s">
        <v>9970</v>
      </c>
      <c r="H3527" s="143" t="s">
        <v>9971</v>
      </c>
      <c r="W3527" s="143" t="s">
        <v>9561</v>
      </c>
      <c r="X3527" s="143" t="s">
        <v>9970</v>
      </c>
      <c r="Y3527" s="143" t="s">
        <v>9561</v>
      </c>
      <c r="Z3527" s="143" t="s">
        <v>9970</v>
      </c>
    </row>
    <row r="3528" spans="1:26">
      <c r="A3528" s="143">
        <v>3491</v>
      </c>
      <c r="B3528" s="144">
        <v>46127</v>
      </c>
      <c r="C3528" s="169" t="s">
        <v>3148</v>
      </c>
      <c r="F3528" s="143" t="s">
        <v>9972</v>
      </c>
      <c r="H3528" s="143" t="s">
        <v>9973</v>
      </c>
      <c r="W3528" s="143" t="s">
        <v>9561</v>
      </c>
      <c r="X3528" s="143" t="s">
        <v>9972</v>
      </c>
      <c r="Y3528" s="143" t="s">
        <v>9561</v>
      </c>
      <c r="Z3528" s="143" t="s">
        <v>9972</v>
      </c>
    </row>
    <row r="3529" spans="1:26">
      <c r="A3529" s="143">
        <v>3492</v>
      </c>
      <c r="B3529" s="144">
        <v>46127</v>
      </c>
      <c r="C3529" s="169" t="s">
        <v>3148</v>
      </c>
      <c r="F3529" s="169" t="s">
        <v>9974</v>
      </c>
      <c r="H3529" s="143" t="s">
        <v>9975</v>
      </c>
      <c r="W3529" s="143" t="s">
        <v>9561</v>
      </c>
      <c r="X3529" s="169" t="s">
        <v>9974</v>
      </c>
      <c r="Y3529" s="143" t="s">
        <v>9561</v>
      </c>
      <c r="Z3529" s="169" t="s">
        <v>9974</v>
      </c>
    </row>
    <row r="3530" spans="1:26">
      <c r="A3530" s="143">
        <v>3493</v>
      </c>
      <c r="B3530" s="144">
        <v>46127</v>
      </c>
      <c r="C3530" s="169" t="s">
        <v>3148</v>
      </c>
      <c r="F3530" s="143" t="s">
        <v>9976</v>
      </c>
      <c r="H3530" s="143" t="s">
        <v>9977</v>
      </c>
      <c r="W3530" s="143" t="s">
        <v>9561</v>
      </c>
      <c r="X3530" s="143" t="s">
        <v>9976</v>
      </c>
      <c r="Y3530" s="143" t="s">
        <v>9561</v>
      </c>
      <c r="Z3530" s="143" t="s">
        <v>9976</v>
      </c>
    </row>
    <row r="3531" spans="1:26">
      <c r="A3531" s="143">
        <v>3494</v>
      </c>
      <c r="B3531" s="144">
        <v>46127</v>
      </c>
      <c r="C3531" s="169" t="s">
        <v>3148</v>
      </c>
      <c r="F3531" s="143" t="s">
        <v>9978</v>
      </c>
      <c r="H3531" s="143" t="s">
        <v>9979</v>
      </c>
      <c r="W3531" s="143" t="s">
        <v>9561</v>
      </c>
      <c r="X3531" s="143" t="s">
        <v>9978</v>
      </c>
      <c r="Y3531" s="143" t="s">
        <v>9561</v>
      </c>
      <c r="Z3531" s="143" t="s">
        <v>9978</v>
      </c>
    </row>
    <row r="3532" spans="1:26">
      <c r="A3532" s="143">
        <v>3495</v>
      </c>
      <c r="B3532" s="144">
        <v>46127</v>
      </c>
      <c r="C3532" s="169" t="s">
        <v>3148</v>
      </c>
      <c r="F3532" s="143" t="s">
        <v>9980</v>
      </c>
      <c r="H3532" s="143" t="s">
        <v>9981</v>
      </c>
      <c r="W3532" s="143" t="s">
        <v>9561</v>
      </c>
      <c r="X3532" s="143" t="s">
        <v>9980</v>
      </c>
      <c r="Y3532" s="143" t="s">
        <v>9561</v>
      </c>
      <c r="Z3532" s="143" t="s">
        <v>9980</v>
      </c>
    </row>
    <row r="3533" spans="1:26">
      <c r="A3533" s="143">
        <v>3496</v>
      </c>
      <c r="B3533" s="144">
        <v>46127</v>
      </c>
      <c r="C3533" s="169" t="s">
        <v>3148</v>
      </c>
      <c r="F3533" s="143" t="s">
        <v>9982</v>
      </c>
      <c r="H3533" s="143" t="s">
        <v>9983</v>
      </c>
      <c r="W3533" s="143" t="s">
        <v>9561</v>
      </c>
      <c r="X3533" s="143" t="s">
        <v>9982</v>
      </c>
      <c r="Y3533" s="143" t="s">
        <v>9561</v>
      </c>
      <c r="Z3533" s="143" t="s">
        <v>9982</v>
      </c>
    </row>
    <row r="3534" spans="1:26">
      <c r="A3534" s="143">
        <v>3497</v>
      </c>
      <c r="B3534" s="144">
        <v>46127</v>
      </c>
      <c r="C3534" s="169" t="s">
        <v>3148</v>
      </c>
      <c r="F3534" s="143" t="s">
        <v>9984</v>
      </c>
      <c r="H3534" s="143" t="s">
        <v>9985</v>
      </c>
      <c r="W3534" s="143" t="s">
        <v>9561</v>
      </c>
      <c r="X3534" s="143" t="s">
        <v>9984</v>
      </c>
      <c r="Y3534" s="143" t="s">
        <v>9561</v>
      </c>
      <c r="Z3534" s="143" t="s">
        <v>9984</v>
      </c>
    </row>
    <row r="3535" spans="1:26">
      <c r="A3535" s="143">
        <v>3498</v>
      </c>
      <c r="B3535" s="144">
        <v>46127</v>
      </c>
      <c r="C3535" s="169" t="s">
        <v>3148</v>
      </c>
      <c r="F3535" s="169" t="s">
        <v>9986</v>
      </c>
      <c r="H3535" s="143" t="s">
        <v>9987</v>
      </c>
      <c r="W3535" s="143" t="s">
        <v>9561</v>
      </c>
      <c r="X3535" s="169" t="s">
        <v>9986</v>
      </c>
      <c r="Y3535" s="143" t="s">
        <v>9561</v>
      </c>
      <c r="Z3535" s="169" t="s">
        <v>9986</v>
      </c>
    </row>
    <row r="3536" spans="1:26">
      <c r="A3536" s="143">
        <v>3499</v>
      </c>
      <c r="B3536" s="144">
        <v>46127</v>
      </c>
      <c r="C3536" s="169" t="s">
        <v>3148</v>
      </c>
      <c r="F3536" s="169" t="s">
        <v>9988</v>
      </c>
      <c r="H3536" s="143" t="s">
        <v>9989</v>
      </c>
      <c r="W3536" s="143" t="s">
        <v>9561</v>
      </c>
      <c r="X3536" s="169" t="s">
        <v>9988</v>
      </c>
      <c r="Y3536" s="143" t="s">
        <v>9561</v>
      </c>
      <c r="Z3536" s="169" t="s">
        <v>9988</v>
      </c>
    </row>
    <row r="3537" spans="1:26">
      <c r="A3537" s="143">
        <v>3500</v>
      </c>
      <c r="B3537" s="144">
        <v>46127</v>
      </c>
      <c r="C3537" s="169" t="s">
        <v>3148</v>
      </c>
      <c r="F3537" s="143" t="s">
        <v>9990</v>
      </c>
      <c r="H3537" s="143" t="s">
        <v>9991</v>
      </c>
      <c r="W3537" s="143" t="s">
        <v>9561</v>
      </c>
      <c r="X3537" s="143" t="s">
        <v>9990</v>
      </c>
      <c r="Y3537" s="143" t="s">
        <v>9561</v>
      </c>
      <c r="Z3537" s="143" t="s">
        <v>9990</v>
      </c>
    </row>
    <row r="3538" spans="1:26">
      <c r="A3538" s="143">
        <v>3501</v>
      </c>
      <c r="B3538" s="144">
        <v>46127</v>
      </c>
      <c r="C3538" s="169" t="s">
        <v>3148</v>
      </c>
      <c r="F3538" s="169" t="s">
        <v>9992</v>
      </c>
      <c r="H3538" s="143" t="s">
        <v>9993</v>
      </c>
      <c r="W3538" s="143" t="s">
        <v>9561</v>
      </c>
      <c r="X3538" s="169" t="s">
        <v>9992</v>
      </c>
      <c r="Y3538" s="143" t="s">
        <v>9561</v>
      </c>
      <c r="Z3538" s="169" t="s">
        <v>9992</v>
      </c>
    </row>
    <row r="3539" spans="1:26">
      <c r="A3539" s="143">
        <v>3502</v>
      </c>
      <c r="B3539" s="144">
        <v>46127</v>
      </c>
      <c r="C3539" s="169" t="s">
        <v>3148</v>
      </c>
      <c r="F3539" s="143" t="s">
        <v>9994</v>
      </c>
      <c r="H3539" s="143" t="s">
        <v>9995</v>
      </c>
      <c r="W3539" s="143" t="s">
        <v>9561</v>
      </c>
      <c r="X3539" s="143" t="s">
        <v>9994</v>
      </c>
      <c r="Y3539" s="143" t="s">
        <v>9561</v>
      </c>
      <c r="Z3539" s="143" t="s">
        <v>9994</v>
      </c>
    </row>
    <row r="3540" spans="1:26">
      <c r="A3540" s="143">
        <v>3503</v>
      </c>
      <c r="B3540" s="144">
        <v>46127</v>
      </c>
      <c r="C3540" s="169" t="s">
        <v>3148</v>
      </c>
      <c r="F3540" s="143" t="s">
        <v>9996</v>
      </c>
      <c r="H3540" s="143" t="s">
        <v>9997</v>
      </c>
      <c r="W3540" s="143" t="s">
        <v>9561</v>
      </c>
      <c r="X3540" s="143" t="s">
        <v>9996</v>
      </c>
      <c r="Y3540" s="143" t="s">
        <v>9561</v>
      </c>
      <c r="Z3540" s="143" t="s">
        <v>9996</v>
      </c>
    </row>
    <row r="3541" spans="1:26">
      <c r="A3541" s="143">
        <v>3504</v>
      </c>
      <c r="B3541" s="144">
        <v>46127</v>
      </c>
      <c r="C3541" s="169" t="s">
        <v>3148</v>
      </c>
      <c r="F3541" s="143" t="s">
        <v>9998</v>
      </c>
      <c r="H3541" s="143" t="s">
        <v>9999</v>
      </c>
      <c r="W3541" s="143" t="s">
        <v>9561</v>
      </c>
      <c r="X3541" s="143" t="s">
        <v>9998</v>
      </c>
      <c r="Y3541" s="143" t="s">
        <v>9561</v>
      </c>
      <c r="Z3541" s="143" t="s">
        <v>9998</v>
      </c>
    </row>
    <row r="3542" spans="1:26">
      <c r="A3542" s="143">
        <v>3505</v>
      </c>
      <c r="B3542" s="144">
        <v>46127</v>
      </c>
      <c r="C3542" s="169" t="s">
        <v>3148</v>
      </c>
      <c r="F3542" s="143" t="s">
        <v>10000</v>
      </c>
      <c r="H3542" s="143" t="s">
        <v>10001</v>
      </c>
      <c r="W3542" s="143" t="s">
        <v>9561</v>
      </c>
      <c r="X3542" s="143" t="s">
        <v>10000</v>
      </c>
      <c r="Y3542" s="143" t="s">
        <v>9561</v>
      </c>
      <c r="Z3542" s="143" t="s">
        <v>10000</v>
      </c>
    </row>
    <row r="3543" spans="1:26">
      <c r="A3543" s="143">
        <v>3506</v>
      </c>
      <c r="B3543" s="144">
        <v>46127</v>
      </c>
      <c r="C3543" s="169" t="s">
        <v>3148</v>
      </c>
      <c r="F3543" s="143" t="s">
        <v>10002</v>
      </c>
      <c r="H3543" s="143" t="s">
        <v>10003</v>
      </c>
      <c r="K3543" s="143">
        <v>142</v>
      </c>
      <c r="W3543" s="143" t="s">
        <v>9561</v>
      </c>
      <c r="X3543" s="143" t="s">
        <v>10002</v>
      </c>
      <c r="Y3543" s="143" t="s">
        <v>9561</v>
      </c>
      <c r="Z3543" s="143" t="s">
        <v>10002</v>
      </c>
    </row>
    <row r="3544" spans="1:26">
      <c r="A3544" s="143">
        <v>3507</v>
      </c>
      <c r="B3544" s="144">
        <v>46127</v>
      </c>
      <c r="C3544" s="169" t="s">
        <v>3148</v>
      </c>
      <c r="F3544" s="143" t="s">
        <v>10004</v>
      </c>
      <c r="H3544" s="143" t="s">
        <v>10005</v>
      </c>
      <c r="W3544" s="143" t="s">
        <v>9561</v>
      </c>
      <c r="X3544" s="143" t="s">
        <v>10004</v>
      </c>
      <c r="Y3544" s="143" t="s">
        <v>9561</v>
      </c>
      <c r="Z3544" s="143" t="s">
        <v>10004</v>
      </c>
    </row>
    <row r="3545" spans="1:26">
      <c r="A3545" s="143">
        <v>3508</v>
      </c>
      <c r="B3545" s="144">
        <v>46127</v>
      </c>
      <c r="C3545" s="169" t="s">
        <v>3148</v>
      </c>
      <c r="F3545" s="143" t="s">
        <v>10006</v>
      </c>
      <c r="H3545" s="143" t="s">
        <v>10007</v>
      </c>
      <c r="K3545" s="143">
        <v>142</v>
      </c>
      <c r="W3545" s="143" t="s">
        <v>9561</v>
      </c>
      <c r="X3545" s="143" t="s">
        <v>10006</v>
      </c>
      <c r="Y3545" s="143" t="s">
        <v>9561</v>
      </c>
      <c r="Z3545" s="143" t="s">
        <v>10006</v>
      </c>
    </row>
    <row r="3546" spans="1:26">
      <c r="A3546" s="143">
        <v>3509</v>
      </c>
      <c r="B3546" s="144">
        <v>46127</v>
      </c>
      <c r="C3546" s="169" t="s">
        <v>3148</v>
      </c>
      <c r="F3546" s="169" t="s">
        <v>10008</v>
      </c>
      <c r="H3546" s="143" t="s">
        <v>10009</v>
      </c>
      <c r="W3546" s="143" t="s">
        <v>9561</v>
      </c>
      <c r="X3546" s="169" t="s">
        <v>10008</v>
      </c>
      <c r="Y3546" s="143" t="s">
        <v>9561</v>
      </c>
      <c r="Z3546" s="169" t="s">
        <v>10008</v>
      </c>
    </row>
    <row r="3547" spans="1:26">
      <c r="A3547" s="143">
        <v>3510</v>
      </c>
      <c r="B3547" s="144">
        <v>46127</v>
      </c>
      <c r="C3547" s="169" t="s">
        <v>3148</v>
      </c>
      <c r="F3547" s="169" t="s">
        <v>10010</v>
      </c>
      <c r="H3547" s="143" t="s">
        <v>10011</v>
      </c>
      <c r="K3547" s="143">
        <v>142</v>
      </c>
      <c r="W3547" s="143" t="s">
        <v>9561</v>
      </c>
      <c r="X3547" s="169" t="s">
        <v>10010</v>
      </c>
      <c r="Y3547" s="143" t="s">
        <v>9561</v>
      </c>
      <c r="Z3547" s="169" t="s">
        <v>10010</v>
      </c>
    </row>
    <row r="3548" spans="1:26">
      <c r="A3548" s="143">
        <v>3511</v>
      </c>
      <c r="B3548" s="144">
        <v>46127</v>
      </c>
      <c r="C3548" s="169" t="s">
        <v>3148</v>
      </c>
      <c r="F3548" s="143" t="s">
        <v>10012</v>
      </c>
      <c r="H3548" s="143" t="s">
        <v>10013</v>
      </c>
      <c r="W3548" s="143" t="s">
        <v>9561</v>
      </c>
      <c r="X3548" s="143" t="s">
        <v>10012</v>
      </c>
      <c r="Y3548" s="143" t="s">
        <v>9561</v>
      </c>
      <c r="Z3548" s="143" t="s">
        <v>10012</v>
      </c>
    </row>
    <row r="3549" spans="1:26">
      <c r="A3549" s="143">
        <v>3512</v>
      </c>
      <c r="B3549" s="144">
        <v>46128</v>
      </c>
      <c r="C3549" s="169" t="s">
        <v>3148</v>
      </c>
      <c r="F3549" s="169" t="s">
        <v>10014</v>
      </c>
      <c r="H3549" s="143" t="s">
        <v>10015</v>
      </c>
      <c r="I3549" s="143" t="s">
        <v>4775</v>
      </c>
      <c r="J3549" s="143" t="s">
        <v>2603</v>
      </c>
      <c r="K3549" s="143">
        <v>155</v>
      </c>
      <c r="L3549" s="143">
        <v>240</v>
      </c>
      <c r="M3549" s="169" t="s">
        <v>10016</v>
      </c>
      <c r="Q3549" s="169" t="s">
        <v>10017</v>
      </c>
      <c r="W3549" s="169" t="s">
        <v>10018</v>
      </c>
      <c r="X3549" s="169" t="s">
        <v>10014</v>
      </c>
      <c r="Y3549" s="169" t="s">
        <v>10018</v>
      </c>
      <c r="Z3549" s="169" t="s">
        <v>10014</v>
      </c>
    </row>
    <row r="3550" spans="1:26">
      <c r="A3550" s="143">
        <v>3513</v>
      </c>
      <c r="B3550" s="144">
        <v>46128</v>
      </c>
      <c r="C3550" s="169" t="s">
        <v>3148</v>
      </c>
      <c r="F3550" s="143" t="s">
        <v>10019</v>
      </c>
      <c r="H3550" s="143" t="s">
        <v>10020</v>
      </c>
      <c r="I3550" s="143" t="s">
        <v>3390</v>
      </c>
      <c r="J3550" s="143" t="s">
        <v>5615</v>
      </c>
      <c r="K3550" s="143">
        <v>170</v>
      </c>
      <c r="L3550" s="143">
        <v>240</v>
      </c>
      <c r="M3550" s="169" t="s">
        <v>10021</v>
      </c>
      <c r="W3550" s="169" t="s">
        <v>10022</v>
      </c>
      <c r="X3550" s="143" t="s">
        <v>10019</v>
      </c>
      <c r="Y3550" s="169" t="s">
        <v>10022</v>
      </c>
      <c r="Z3550" s="143" t="s">
        <v>10019</v>
      </c>
    </row>
    <row r="3551" spans="1:26">
      <c r="A3551" s="143">
        <v>3514</v>
      </c>
      <c r="B3551" s="144">
        <v>46128</v>
      </c>
      <c r="C3551" s="169" t="s">
        <v>3148</v>
      </c>
      <c r="F3551" s="143" t="s">
        <v>10023</v>
      </c>
      <c r="H3551" s="143" t="s">
        <v>10024</v>
      </c>
      <c r="I3551" s="143" t="s">
        <v>5297</v>
      </c>
      <c r="J3551" s="143" t="s">
        <v>9646</v>
      </c>
      <c r="K3551" s="143">
        <v>150</v>
      </c>
      <c r="L3551" s="143">
        <v>280</v>
      </c>
      <c r="M3551" s="169" t="s">
        <v>10025</v>
      </c>
      <c r="W3551" s="169" t="s">
        <v>10022</v>
      </c>
      <c r="X3551" s="143" t="s">
        <v>10023</v>
      </c>
      <c r="Y3551" s="169" t="s">
        <v>10022</v>
      </c>
      <c r="Z3551" s="143" t="s">
        <v>10023</v>
      </c>
    </row>
    <row r="3552" spans="1:26">
      <c r="A3552" s="143">
        <v>3515</v>
      </c>
      <c r="B3552" s="144">
        <v>46132</v>
      </c>
      <c r="C3552" s="169" t="s">
        <v>9603</v>
      </c>
      <c r="F3552" s="143">
        <v>68934</v>
      </c>
      <c r="H3552" s="143" t="s">
        <v>10026</v>
      </c>
      <c r="I3552" s="143" t="s">
        <v>3326</v>
      </c>
      <c r="J3552" s="143" t="s">
        <v>5675</v>
      </c>
      <c r="K3552" s="143">
        <v>135</v>
      </c>
      <c r="W3552" s="169" t="s">
        <v>10027</v>
      </c>
      <c r="X3552" s="143">
        <v>68934</v>
      </c>
      <c r="Y3552" s="169" t="s">
        <v>10027</v>
      </c>
    </row>
    <row r="3553" spans="1:34">
      <c r="A3553" s="143">
        <v>3516</v>
      </c>
      <c r="B3553" s="144">
        <v>46132</v>
      </c>
      <c r="C3553" s="169" t="s">
        <v>9603</v>
      </c>
      <c r="F3553" s="143" t="s">
        <v>10028</v>
      </c>
      <c r="H3553" s="143" t="s">
        <v>10029</v>
      </c>
      <c r="I3553" s="143" t="s">
        <v>45</v>
      </c>
      <c r="J3553" s="143" t="s">
        <v>3684</v>
      </c>
      <c r="K3553" s="143">
        <v>135</v>
      </c>
      <c r="W3553" s="169" t="s">
        <v>10030</v>
      </c>
      <c r="X3553" s="143" t="s">
        <v>10028</v>
      </c>
      <c r="Y3553" s="169" t="s">
        <v>10030</v>
      </c>
    </row>
    <row r="3554" spans="1:34">
      <c r="A3554" s="143">
        <v>3517</v>
      </c>
      <c r="B3554" s="144">
        <v>46132</v>
      </c>
      <c r="C3554" s="169" t="s">
        <v>4177</v>
      </c>
      <c r="F3554" s="143" t="s">
        <v>10031</v>
      </c>
      <c r="H3554" s="143" t="s">
        <v>10032</v>
      </c>
      <c r="I3554" s="143" t="s">
        <v>324</v>
      </c>
      <c r="J3554" s="143" t="s">
        <v>779</v>
      </c>
      <c r="K3554" s="143">
        <v>147</v>
      </c>
      <c r="L3554" s="143">
        <v>251</v>
      </c>
      <c r="W3554" s="143" t="s">
        <v>3872</v>
      </c>
      <c r="X3554" s="143" t="s">
        <v>10031</v>
      </c>
      <c r="Y3554" s="143" t="s">
        <v>3872</v>
      </c>
      <c r="Z3554" s="143" t="s">
        <v>10031</v>
      </c>
    </row>
    <row r="3555" ht="15" spans="1:34">
      <c r="A3555" s="143">
        <v>3518</v>
      </c>
      <c r="B3555" s="144">
        <v>46134</v>
      </c>
      <c r="C3555" s="169" t="s">
        <v>9603</v>
      </c>
      <c r="F3555" s="143">
        <v>88073</v>
      </c>
      <c r="H3555" s="143" t="s">
        <v>10033</v>
      </c>
      <c r="I3555" s="187" t="s">
        <v>10034</v>
      </c>
      <c r="K3555" s="143">
        <v>150</v>
      </c>
      <c r="L3555" s="143">
        <v>180</v>
      </c>
      <c r="Q3555" s="266"/>
      <c r="W3555" s="169" t="s">
        <v>3147</v>
      </c>
      <c r="X3555" s="143">
        <v>88073</v>
      </c>
      <c r="Y3555" s="169" t="s">
        <v>10035</v>
      </c>
      <c r="Z3555" s="143">
        <v>88073</v>
      </c>
      <c r="AA3555" s="267">
        <v>35</v>
      </c>
      <c r="AH3555" s="143" t="s">
        <v>10036</v>
      </c>
    </row>
    <row r="3556" ht="15" spans="1:34">
      <c r="A3556" s="143">
        <v>3519</v>
      </c>
      <c r="B3556" s="144">
        <v>46134</v>
      </c>
      <c r="C3556" s="169" t="s">
        <v>9603</v>
      </c>
      <c r="F3556" s="143" t="s">
        <v>10037</v>
      </c>
      <c r="H3556" s="143" t="s">
        <v>10038</v>
      </c>
      <c r="I3556" s="187"/>
      <c r="K3556" s="143">
        <v>155</v>
      </c>
      <c r="L3556" s="143">
        <v>380</v>
      </c>
      <c r="Q3556" s="266"/>
      <c r="W3556" s="169" t="s">
        <v>3147</v>
      </c>
      <c r="X3556" s="143" t="s">
        <v>10037</v>
      </c>
      <c r="Y3556" s="169" t="s">
        <v>10039</v>
      </c>
      <c r="Z3556" s="143" t="s">
        <v>10037</v>
      </c>
      <c r="AA3556" s="267">
        <v>16.4</v>
      </c>
      <c r="AH3556" s="143" t="s">
        <v>10036</v>
      </c>
    </row>
    <row r="3557" ht="15" spans="1:34">
      <c r="A3557" s="143">
        <v>3520</v>
      </c>
      <c r="B3557" s="144">
        <v>46134</v>
      </c>
      <c r="C3557" s="169" t="s">
        <v>9603</v>
      </c>
      <c r="F3557" s="143" t="s">
        <v>10040</v>
      </c>
      <c r="H3557" s="143" t="s">
        <v>10041</v>
      </c>
      <c r="I3557" s="187" t="s">
        <v>10042</v>
      </c>
      <c r="K3557" s="143">
        <v>148</v>
      </c>
      <c r="L3557" s="187"/>
      <c r="Q3557" s="266"/>
      <c r="W3557" s="169" t="s">
        <v>3147</v>
      </c>
      <c r="X3557" s="143" t="s">
        <v>10040</v>
      </c>
      <c r="Y3557" s="169" t="s">
        <v>3392</v>
      </c>
      <c r="Z3557" s="143" t="s">
        <v>10040</v>
      </c>
      <c r="AA3557" s="267">
        <v>68.4</v>
      </c>
      <c r="AH3557" s="143" t="s">
        <v>10036</v>
      </c>
    </row>
    <row r="3558" ht="15" spans="1:34">
      <c r="A3558" s="143">
        <v>3521</v>
      </c>
      <c r="B3558" s="144">
        <v>46134</v>
      </c>
      <c r="C3558" s="169" t="s">
        <v>9603</v>
      </c>
      <c r="F3558" s="143" t="s">
        <v>10043</v>
      </c>
      <c r="H3558" s="143" t="s">
        <v>10044</v>
      </c>
      <c r="I3558" s="187"/>
      <c r="K3558" s="143">
        <v>175</v>
      </c>
      <c r="L3558" s="143">
        <v>210</v>
      </c>
      <c r="Q3558" s="266"/>
      <c r="W3558" s="169" t="s">
        <v>3147</v>
      </c>
      <c r="X3558" s="143" t="s">
        <v>10043</v>
      </c>
      <c r="Y3558" s="169" t="s">
        <v>10045</v>
      </c>
      <c r="Z3558" s="143" t="s">
        <v>10043</v>
      </c>
      <c r="AA3558" s="267">
        <v>53.2</v>
      </c>
      <c r="AH3558" s="143" t="s">
        <v>10036</v>
      </c>
    </row>
    <row r="3559" ht="15" spans="1:34">
      <c r="A3559" s="143">
        <v>3522</v>
      </c>
      <c r="B3559" s="144">
        <v>46134</v>
      </c>
      <c r="C3559" s="169" t="s">
        <v>9603</v>
      </c>
      <c r="F3559" s="143" t="s">
        <v>10046</v>
      </c>
      <c r="H3559" s="143" t="s">
        <v>10047</v>
      </c>
      <c r="I3559" s="187"/>
      <c r="K3559" s="143">
        <v>180</v>
      </c>
      <c r="L3559" s="143">
        <v>210</v>
      </c>
      <c r="Q3559" s="266"/>
      <c r="W3559" s="169" t="s">
        <v>3147</v>
      </c>
      <c r="X3559" s="143" t="s">
        <v>10046</v>
      </c>
      <c r="Y3559" s="169" t="s">
        <v>10048</v>
      </c>
      <c r="Z3559" s="143" t="s">
        <v>10046</v>
      </c>
      <c r="AA3559" s="267">
        <v>49.8</v>
      </c>
      <c r="AH3559" s="143" t="s">
        <v>10036</v>
      </c>
    </row>
    <row r="3560" ht="15" spans="1:34">
      <c r="A3560" s="143">
        <v>3523</v>
      </c>
      <c r="B3560" s="144">
        <v>46134</v>
      </c>
      <c r="C3560" s="169" t="s">
        <v>9603</v>
      </c>
      <c r="F3560" s="143" t="s">
        <v>10049</v>
      </c>
      <c r="H3560" s="143" t="s">
        <v>10050</v>
      </c>
      <c r="I3560" s="187"/>
      <c r="K3560" s="143">
        <v>180</v>
      </c>
      <c r="L3560" s="143">
        <v>210</v>
      </c>
      <c r="Q3560" s="266"/>
      <c r="W3560" s="169" t="s">
        <v>3147</v>
      </c>
      <c r="X3560" s="143" t="s">
        <v>10049</v>
      </c>
      <c r="Y3560" s="169" t="s">
        <v>10051</v>
      </c>
      <c r="Z3560" s="143" t="s">
        <v>10049</v>
      </c>
      <c r="AA3560" s="267">
        <v>65</v>
      </c>
      <c r="AH3560" s="143" t="s">
        <v>10036</v>
      </c>
    </row>
    <row r="3561" ht="15" spans="1:34">
      <c r="A3561" s="143">
        <v>3524</v>
      </c>
      <c r="B3561" s="144">
        <v>46134</v>
      </c>
      <c r="C3561" s="169" t="s">
        <v>9603</v>
      </c>
      <c r="F3561" s="143" t="s">
        <v>10052</v>
      </c>
      <c r="H3561" s="143" t="s">
        <v>10053</v>
      </c>
      <c r="I3561" s="187"/>
      <c r="K3561" s="187"/>
      <c r="L3561" s="187"/>
      <c r="Q3561" s="266">
        <v>2.7</v>
      </c>
      <c r="W3561" s="169" t="s">
        <v>3147</v>
      </c>
      <c r="X3561" s="143" t="s">
        <v>10052</v>
      </c>
      <c r="Y3561" s="169" t="s">
        <v>10051</v>
      </c>
      <c r="Z3561" s="143" t="s">
        <v>10052</v>
      </c>
      <c r="AA3561" s="267">
        <v>63.5</v>
      </c>
      <c r="AH3561" s="143" t="s">
        <v>10036</v>
      </c>
    </row>
    <row r="3562" ht="15" spans="1:34">
      <c r="A3562" s="143">
        <v>3525</v>
      </c>
      <c r="B3562" s="144">
        <v>46134</v>
      </c>
      <c r="C3562" s="169" t="s">
        <v>9603</v>
      </c>
      <c r="F3562" s="143" t="s">
        <v>10054</v>
      </c>
      <c r="H3562" s="143" t="s">
        <v>10055</v>
      </c>
      <c r="I3562" s="187"/>
      <c r="K3562" s="187"/>
      <c r="L3562" s="187"/>
      <c r="Q3562" s="266">
        <v>2.7</v>
      </c>
      <c r="W3562" s="169" t="s">
        <v>3147</v>
      </c>
      <c r="X3562" s="143" t="s">
        <v>10054</v>
      </c>
      <c r="Y3562" s="169" t="s">
        <v>10051</v>
      </c>
      <c r="Z3562" s="143" t="s">
        <v>10054</v>
      </c>
      <c r="AA3562" s="267">
        <v>53.8</v>
      </c>
      <c r="AH3562" s="143" t="s">
        <v>10036</v>
      </c>
    </row>
    <row r="3563" ht="15" spans="1:34">
      <c r="A3563" s="143">
        <v>3526</v>
      </c>
      <c r="B3563" s="144">
        <v>46134</v>
      </c>
      <c r="C3563" s="169" t="s">
        <v>9603</v>
      </c>
      <c r="F3563" s="169" t="s">
        <v>10056</v>
      </c>
      <c r="H3563" s="143" t="s">
        <v>10057</v>
      </c>
      <c r="I3563" s="187"/>
      <c r="K3563" s="187"/>
      <c r="L3563" s="187"/>
      <c r="Q3563" s="266">
        <v>2.1</v>
      </c>
      <c r="W3563" s="169" t="s">
        <v>3147</v>
      </c>
      <c r="X3563" s="169" t="s">
        <v>10056</v>
      </c>
      <c r="Y3563" s="169" t="s">
        <v>10058</v>
      </c>
      <c r="Z3563" s="169" t="s">
        <v>10056</v>
      </c>
      <c r="AA3563" s="267">
        <v>51</v>
      </c>
      <c r="AH3563" s="143" t="s">
        <v>10036</v>
      </c>
    </row>
    <row r="3564" ht="15" spans="1:34">
      <c r="A3564" s="143">
        <v>3527</v>
      </c>
      <c r="B3564" s="144">
        <v>46134</v>
      </c>
      <c r="C3564" s="169" t="s">
        <v>9603</v>
      </c>
      <c r="F3564" s="169" t="s">
        <v>10059</v>
      </c>
      <c r="H3564" s="143" t="s">
        <v>10060</v>
      </c>
      <c r="I3564" s="187" t="s">
        <v>10061</v>
      </c>
      <c r="K3564" s="143">
        <v>185</v>
      </c>
      <c r="L3564" s="143">
        <v>190</v>
      </c>
      <c r="Q3564" s="266"/>
      <c r="W3564" s="169" t="s">
        <v>3147</v>
      </c>
      <c r="X3564" s="169" t="s">
        <v>10059</v>
      </c>
      <c r="Y3564" s="169" t="s">
        <v>3772</v>
      </c>
      <c r="Z3564" s="169" t="s">
        <v>10059</v>
      </c>
      <c r="AA3564" s="267">
        <v>58.8</v>
      </c>
      <c r="AH3564" s="143" t="s">
        <v>10036</v>
      </c>
    </row>
    <row r="3565" ht="15" spans="1:34">
      <c r="A3565" s="143">
        <v>3528</v>
      </c>
      <c r="B3565" s="144">
        <v>46134</v>
      </c>
      <c r="C3565" s="169" t="s">
        <v>9603</v>
      </c>
      <c r="F3565" s="169" t="s">
        <v>10062</v>
      </c>
      <c r="H3565" s="143" t="s">
        <v>10063</v>
      </c>
      <c r="I3565" s="187"/>
      <c r="K3565" s="143">
        <v>185</v>
      </c>
      <c r="L3565" s="143">
        <v>230</v>
      </c>
      <c r="Q3565" s="266"/>
      <c r="W3565" s="169" t="s">
        <v>3147</v>
      </c>
      <c r="X3565" s="169" t="s">
        <v>10062</v>
      </c>
      <c r="Y3565" s="169" t="s">
        <v>10064</v>
      </c>
      <c r="Z3565" s="169" t="s">
        <v>10062</v>
      </c>
      <c r="AA3565" s="267">
        <v>52</v>
      </c>
      <c r="AH3565" s="143" t="s">
        <v>10036</v>
      </c>
    </row>
    <row r="3566" ht="15" spans="1:34">
      <c r="A3566" s="143">
        <v>3529</v>
      </c>
      <c r="B3566" s="144">
        <v>46134</v>
      </c>
      <c r="C3566" s="169" t="s">
        <v>9603</v>
      </c>
      <c r="F3566" s="143" t="s">
        <v>10065</v>
      </c>
      <c r="H3566" s="143" t="s">
        <v>10066</v>
      </c>
      <c r="I3566" s="187" t="s">
        <v>10067</v>
      </c>
      <c r="K3566" s="143">
        <v>180</v>
      </c>
      <c r="L3566" s="143">
        <v>280</v>
      </c>
      <c r="Q3566" s="266"/>
      <c r="W3566" s="169" t="s">
        <v>3147</v>
      </c>
      <c r="X3566" s="143" t="s">
        <v>10065</v>
      </c>
      <c r="Y3566" s="169" t="s">
        <v>10068</v>
      </c>
      <c r="Z3566" s="143" t="s">
        <v>10065</v>
      </c>
      <c r="AA3566" s="267">
        <v>9.4</v>
      </c>
      <c r="AH3566" s="143" t="s">
        <v>10036</v>
      </c>
    </row>
    <row r="3567" ht="15" spans="1:34">
      <c r="A3567" s="143">
        <v>3530</v>
      </c>
      <c r="B3567" s="144">
        <v>46134</v>
      </c>
      <c r="C3567" s="169" t="s">
        <v>9603</v>
      </c>
      <c r="F3567" s="169" t="s">
        <v>10069</v>
      </c>
      <c r="H3567" s="143" t="s">
        <v>10070</v>
      </c>
      <c r="I3567" s="187" t="s">
        <v>10071</v>
      </c>
      <c r="K3567" s="143">
        <v>145</v>
      </c>
      <c r="L3567" s="187">
        <v>140</v>
      </c>
      <c r="Q3567" s="266"/>
      <c r="W3567" s="169" t="s">
        <v>3147</v>
      </c>
      <c r="X3567" s="169" t="s">
        <v>10069</v>
      </c>
      <c r="Y3567" s="143" t="s">
        <v>10072</v>
      </c>
      <c r="Z3567" s="169" t="s">
        <v>10069</v>
      </c>
      <c r="AA3567" s="267" t="s">
        <v>10073</v>
      </c>
      <c r="AH3567" s="143" t="s">
        <v>10036</v>
      </c>
    </row>
    <row r="3568" ht="15" spans="1:34">
      <c r="A3568" s="143">
        <v>3531</v>
      </c>
      <c r="B3568" s="144">
        <v>46134</v>
      </c>
      <c r="C3568" s="169" t="s">
        <v>9603</v>
      </c>
      <c r="F3568" s="143" t="s">
        <v>10074</v>
      </c>
      <c r="H3568" s="143" t="s">
        <v>10075</v>
      </c>
      <c r="I3568" s="187" t="s">
        <v>10067</v>
      </c>
      <c r="K3568" s="143">
        <v>185</v>
      </c>
      <c r="L3568" s="143">
        <v>145</v>
      </c>
      <c r="Q3568" s="266">
        <v>3.8</v>
      </c>
      <c r="W3568" s="169" t="s">
        <v>3147</v>
      </c>
      <c r="X3568" s="143" t="s">
        <v>10074</v>
      </c>
      <c r="Y3568" s="169" t="s">
        <v>10068</v>
      </c>
      <c r="Z3568" s="143" t="s">
        <v>10074</v>
      </c>
      <c r="AA3568" s="267">
        <v>9.4</v>
      </c>
      <c r="AH3568" s="143" t="s">
        <v>10036</v>
      </c>
    </row>
    <row r="3569" ht="15" spans="1:34">
      <c r="A3569" s="143">
        <v>3532</v>
      </c>
      <c r="B3569" s="144">
        <v>46134</v>
      </c>
      <c r="C3569" s="169" t="s">
        <v>9603</v>
      </c>
      <c r="F3569" s="143" t="s">
        <v>10076</v>
      </c>
      <c r="H3569" s="143" t="s">
        <v>10077</v>
      </c>
      <c r="I3569" s="187"/>
      <c r="K3569" s="143">
        <v>145</v>
      </c>
      <c r="L3569" s="187">
        <v>141</v>
      </c>
      <c r="Q3569" s="266"/>
      <c r="W3569" s="169" t="s">
        <v>3147</v>
      </c>
      <c r="X3569" s="143" t="s">
        <v>10076</v>
      </c>
      <c r="Y3569" s="143" t="s">
        <v>10058</v>
      </c>
      <c r="Z3569" s="143" t="s">
        <v>10076</v>
      </c>
      <c r="AA3569" s="267">
        <v>51.5</v>
      </c>
      <c r="AH3569" s="143" t="s">
        <v>10036</v>
      </c>
    </row>
    <row r="3570" ht="15" spans="1:34">
      <c r="A3570" s="143">
        <v>3533</v>
      </c>
      <c r="B3570" s="144">
        <v>46134</v>
      </c>
      <c r="C3570" s="169" t="s">
        <v>9603</v>
      </c>
      <c r="F3570" s="143" t="s">
        <v>10078</v>
      </c>
      <c r="H3570" s="143" t="s">
        <v>10079</v>
      </c>
      <c r="I3570" s="187" t="s">
        <v>10067</v>
      </c>
      <c r="K3570" s="143">
        <v>185</v>
      </c>
      <c r="L3570" s="143">
        <v>190</v>
      </c>
      <c r="Q3570" s="266"/>
      <c r="W3570" s="169" t="s">
        <v>3147</v>
      </c>
      <c r="X3570" s="143" t="s">
        <v>10078</v>
      </c>
      <c r="Y3570" s="169" t="s">
        <v>10068</v>
      </c>
      <c r="Z3570" s="143" t="s">
        <v>10078</v>
      </c>
      <c r="AA3570" s="267">
        <v>9.4</v>
      </c>
      <c r="AH3570" s="143" t="s">
        <v>10036</v>
      </c>
    </row>
    <row r="3571" ht="15" spans="1:34">
      <c r="A3571" s="143">
        <v>3534</v>
      </c>
      <c r="B3571" s="144">
        <v>46134</v>
      </c>
      <c r="C3571" s="169" t="s">
        <v>9603</v>
      </c>
      <c r="F3571" s="143" t="s">
        <v>10080</v>
      </c>
      <c r="H3571" s="143" t="s">
        <v>10081</v>
      </c>
      <c r="I3571" s="187" t="s">
        <v>10067</v>
      </c>
      <c r="K3571" s="143">
        <v>145</v>
      </c>
      <c r="L3571" s="187">
        <v>142</v>
      </c>
      <c r="Q3571" s="266"/>
      <c r="W3571" s="169" t="s">
        <v>3147</v>
      </c>
      <c r="X3571" s="143" t="s">
        <v>10080</v>
      </c>
      <c r="Y3571" s="169" t="s">
        <v>10068</v>
      </c>
      <c r="Z3571" s="143" t="s">
        <v>10080</v>
      </c>
      <c r="AA3571" s="267">
        <v>9.4</v>
      </c>
      <c r="AH3571" s="143" t="s">
        <v>10036</v>
      </c>
    </row>
    <row r="3572" ht="15" spans="1:34">
      <c r="A3572" s="143">
        <v>3535</v>
      </c>
      <c r="B3572" s="144">
        <v>46134</v>
      </c>
      <c r="C3572" s="169" t="s">
        <v>9603</v>
      </c>
      <c r="F3572" s="143" t="s">
        <v>10082</v>
      </c>
      <c r="H3572" s="143" t="s">
        <v>10083</v>
      </c>
      <c r="I3572" s="187" t="s">
        <v>10067</v>
      </c>
      <c r="K3572" s="143">
        <v>145</v>
      </c>
      <c r="L3572" s="187">
        <v>143</v>
      </c>
      <c r="Q3572" s="266"/>
      <c r="W3572" s="169" t="s">
        <v>3147</v>
      </c>
      <c r="X3572" s="143" t="s">
        <v>10082</v>
      </c>
      <c r="Y3572" s="169" t="s">
        <v>10068</v>
      </c>
      <c r="Z3572" s="143" t="s">
        <v>10082</v>
      </c>
      <c r="AA3572" s="267">
        <v>9.4</v>
      </c>
      <c r="AH3572" s="143" t="s">
        <v>10036</v>
      </c>
    </row>
    <row r="3573" ht="15" spans="1:34">
      <c r="A3573" s="143">
        <v>3536</v>
      </c>
      <c r="B3573" s="144">
        <v>46134</v>
      </c>
      <c r="C3573" s="169" t="s">
        <v>9603</v>
      </c>
      <c r="F3573" s="143">
        <v>26393</v>
      </c>
      <c r="H3573" s="143" t="s">
        <v>10084</v>
      </c>
      <c r="I3573" s="187"/>
      <c r="K3573" s="143">
        <v>145</v>
      </c>
      <c r="L3573" s="187">
        <v>144</v>
      </c>
      <c r="Q3573" s="266"/>
      <c r="W3573" s="169" t="s">
        <v>3147</v>
      </c>
      <c r="X3573" s="143">
        <v>26393</v>
      </c>
      <c r="Y3573" s="169" t="s">
        <v>10085</v>
      </c>
      <c r="Z3573" s="143">
        <v>26393</v>
      </c>
      <c r="AA3573" s="267">
        <v>11.7</v>
      </c>
      <c r="AH3573" s="143" t="s">
        <v>10036</v>
      </c>
    </row>
    <row r="3574" ht="15" spans="1:34">
      <c r="A3574" s="143">
        <v>3537</v>
      </c>
      <c r="B3574" s="144">
        <v>46134</v>
      </c>
      <c r="C3574" s="169" t="s">
        <v>9603</v>
      </c>
      <c r="F3574" s="169" t="s">
        <v>10086</v>
      </c>
      <c r="H3574" s="143" t="s">
        <v>10087</v>
      </c>
      <c r="I3574" s="143" t="s">
        <v>10088</v>
      </c>
      <c r="J3574" s="143" t="s">
        <v>10089</v>
      </c>
      <c r="K3574" s="143">
        <v>145</v>
      </c>
      <c r="L3574" s="187"/>
      <c r="Q3574" s="266"/>
      <c r="W3574" s="169" t="s">
        <v>3147</v>
      </c>
      <c r="X3574" s="169" t="s">
        <v>10086</v>
      </c>
      <c r="Y3574" s="169" t="s">
        <v>3776</v>
      </c>
      <c r="Z3574" s="169" t="s">
        <v>10086</v>
      </c>
      <c r="AA3574" s="267">
        <v>58</v>
      </c>
      <c r="AH3574" s="143" t="s">
        <v>10036</v>
      </c>
    </row>
    <row r="3575" ht="15" spans="1:34">
      <c r="A3575" s="143">
        <v>3538</v>
      </c>
      <c r="B3575" s="144">
        <v>46134</v>
      </c>
      <c r="C3575" s="169" t="s">
        <v>9603</v>
      </c>
      <c r="F3575" s="143" t="s">
        <v>10090</v>
      </c>
      <c r="H3575" s="143" t="s">
        <v>10091</v>
      </c>
      <c r="I3575" s="143" t="s">
        <v>10092</v>
      </c>
      <c r="J3575" s="143" t="s">
        <v>10093</v>
      </c>
      <c r="K3575" s="143">
        <v>180</v>
      </c>
      <c r="L3575" s="143">
        <v>230</v>
      </c>
      <c r="Q3575" s="266"/>
      <c r="W3575" s="169" t="s">
        <v>3147</v>
      </c>
      <c r="X3575" s="143" t="s">
        <v>10090</v>
      </c>
      <c r="Y3575" s="169" t="s">
        <v>10094</v>
      </c>
      <c r="Z3575" s="143" t="s">
        <v>10090</v>
      </c>
      <c r="AA3575" s="267">
        <v>12.5</v>
      </c>
      <c r="AH3575" s="143" t="s">
        <v>10036</v>
      </c>
    </row>
    <row r="3576" ht="15" spans="1:34">
      <c r="A3576" s="143">
        <v>3539</v>
      </c>
      <c r="B3576" s="144">
        <v>46134</v>
      </c>
      <c r="C3576" s="169" t="s">
        <v>9603</v>
      </c>
      <c r="F3576" s="143" t="s">
        <v>10095</v>
      </c>
      <c r="H3576" s="143" t="s">
        <v>10096</v>
      </c>
      <c r="I3576" s="143" t="s">
        <v>45</v>
      </c>
      <c r="J3576" s="143" t="s">
        <v>3684</v>
      </c>
      <c r="K3576" s="143">
        <v>150</v>
      </c>
      <c r="L3576" s="143">
        <v>80</v>
      </c>
      <c r="Q3576" s="266"/>
      <c r="W3576" s="169" t="s">
        <v>3147</v>
      </c>
      <c r="X3576" s="143" t="s">
        <v>10095</v>
      </c>
      <c r="Y3576" s="169" t="s">
        <v>10097</v>
      </c>
      <c r="Z3576" s="143" t="s">
        <v>10095</v>
      </c>
      <c r="AA3576" s="267">
        <v>21.8</v>
      </c>
      <c r="AH3576" s="143" t="s">
        <v>10036</v>
      </c>
    </row>
    <row r="3577" ht="15" spans="1:34">
      <c r="A3577" s="143">
        <v>3540</v>
      </c>
      <c r="B3577" s="144">
        <v>46134</v>
      </c>
      <c r="C3577" s="169" t="s">
        <v>9603</v>
      </c>
      <c r="F3577" s="143" t="s">
        <v>10098</v>
      </c>
      <c r="H3577" s="143" t="s">
        <v>10099</v>
      </c>
      <c r="I3577" s="169" t="s">
        <v>10100</v>
      </c>
      <c r="K3577" s="143">
        <v>165</v>
      </c>
      <c r="L3577" s="143">
        <v>190</v>
      </c>
      <c r="Q3577" s="266"/>
      <c r="W3577" s="169" t="s">
        <v>3147</v>
      </c>
      <c r="X3577" s="143" t="s">
        <v>10098</v>
      </c>
      <c r="Y3577" s="169" t="s">
        <v>10101</v>
      </c>
      <c r="Z3577" s="143" t="s">
        <v>10098</v>
      </c>
      <c r="AA3577" s="267">
        <v>19.9</v>
      </c>
      <c r="AH3577" s="143" t="s">
        <v>10036</v>
      </c>
    </row>
    <row r="3578" ht="15" spans="1:34">
      <c r="A3578" s="143">
        <v>3541</v>
      </c>
      <c r="B3578" s="144">
        <v>46134</v>
      </c>
      <c r="C3578" s="169" t="s">
        <v>9603</v>
      </c>
      <c r="F3578" s="143" t="s">
        <v>10102</v>
      </c>
      <c r="H3578" s="143" t="s">
        <v>10103</v>
      </c>
      <c r="I3578" s="143" t="s">
        <v>10104</v>
      </c>
      <c r="J3578" s="143" t="s">
        <v>10105</v>
      </c>
      <c r="K3578" s="143">
        <v>150</v>
      </c>
      <c r="L3578" s="143">
        <v>140</v>
      </c>
      <c r="Q3578" s="266"/>
      <c r="W3578" s="169" t="s">
        <v>3147</v>
      </c>
      <c r="X3578" s="143" t="s">
        <v>10102</v>
      </c>
      <c r="Y3578" s="143" t="s">
        <v>10094</v>
      </c>
      <c r="Z3578" s="143" t="s">
        <v>10102</v>
      </c>
      <c r="AA3578" s="267">
        <v>12.1</v>
      </c>
      <c r="AH3578" s="143" t="s">
        <v>10036</v>
      </c>
    </row>
    <row r="3579" ht="15" spans="1:34">
      <c r="A3579" s="143">
        <v>3542</v>
      </c>
      <c r="B3579" s="144">
        <v>46134</v>
      </c>
      <c r="C3579" s="169" t="s">
        <v>9603</v>
      </c>
      <c r="F3579" s="143" t="s">
        <v>10106</v>
      </c>
      <c r="H3579" s="143" t="s">
        <v>10107</v>
      </c>
      <c r="I3579" s="187"/>
      <c r="K3579" s="143">
        <v>150</v>
      </c>
      <c r="L3579" s="143">
        <v>88</v>
      </c>
      <c r="Q3579" s="266"/>
      <c r="W3579" s="169" t="s">
        <v>3147</v>
      </c>
      <c r="X3579" s="143" t="s">
        <v>10106</v>
      </c>
      <c r="Y3579" s="169" t="s">
        <v>10108</v>
      </c>
      <c r="Z3579" s="143" t="s">
        <v>10106</v>
      </c>
      <c r="AA3579" s="267">
        <v>13</v>
      </c>
      <c r="AH3579" s="143" t="s">
        <v>10036</v>
      </c>
    </row>
    <row r="3580" ht="15" spans="1:34">
      <c r="A3580" s="143">
        <v>3543</v>
      </c>
      <c r="B3580" s="144">
        <v>46134</v>
      </c>
      <c r="C3580" s="169" t="s">
        <v>9603</v>
      </c>
      <c r="F3580" s="143" t="s">
        <v>10109</v>
      </c>
      <c r="H3580" s="143" t="s">
        <v>10110</v>
      </c>
      <c r="I3580" s="187"/>
      <c r="K3580" s="187"/>
      <c r="L3580" s="187"/>
      <c r="Q3580" s="266"/>
      <c r="W3580" s="169" t="s">
        <v>3147</v>
      </c>
      <c r="X3580" s="143" t="s">
        <v>10109</v>
      </c>
      <c r="Y3580" s="169" t="s">
        <v>10108</v>
      </c>
      <c r="Z3580" s="143" t="s">
        <v>10109</v>
      </c>
      <c r="AA3580" s="267">
        <v>13</v>
      </c>
      <c r="AH3580" s="143" t="s">
        <v>10036</v>
      </c>
    </row>
    <row r="3581" ht="15" spans="1:34">
      <c r="A3581" s="143">
        <v>3544</v>
      </c>
      <c r="B3581" s="144">
        <v>46134</v>
      </c>
      <c r="C3581" s="169" t="s">
        <v>9603</v>
      </c>
      <c r="F3581" s="143" t="s">
        <v>10111</v>
      </c>
      <c r="H3581" s="143" t="s">
        <v>10112</v>
      </c>
      <c r="I3581" s="187"/>
      <c r="K3581" s="187"/>
      <c r="L3581" s="187"/>
      <c r="Q3581" s="266"/>
      <c r="W3581" s="169" t="s">
        <v>3147</v>
      </c>
      <c r="X3581" s="143" t="s">
        <v>10111</v>
      </c>
      <c r="Y3581" s="169" t="s">
        <v>10108</v>
      </c>
      <c r="Z3581" s="143" t="s">
        <v>10111</v>
      </c>
      <c r="AA3581" s="267">
        <v>15.5</v>
      </c>
      <c r="AH3581" s="143" t="s">
        <v>10036</v>
      </c>
    </row>
    <row r="3582" ht="15" spans="1:34">
      <c r="A3582" s="143">
        <v>3545</v>
      </c>
      <c r="B3582" s="144">
        <v>46134</v>
      </c>
      <c r="C3582" s="169" t="s">
        <v>9603</v>
      </c>
      <c r="F3582" s="143" t="s">
        <v>10113</v>
      </c>
      <c r="H3582" s="143" t="s">
        <v>10114</v>
      </c>
      <c r="I3582" s="187"/>
      <c r="K3582" s="187"/>
      <c r="L3582" s="187"/>
      <c r="Q3582" s="266"/>
      <c r="W3582" s="169" t="s">
        <v>3147</v>
      </c>
      <c r="X3582" s="143" t="s">
        <v>10113</v>
      </c>
      <c r="Y3582" s="169" t="s">
        <v>10108</v>
      </c>
      <c r="Z3582" s="143" t="s">
        <v>10113</v>
      </c>
      <c r="AA3582" s="267">
        <v>15.5</v>
      </c>
      <c r="AH3582" s="143" t="s">
        <v>10036</v>
      </c>
    </row>
    <row r="3583" ht="15" spans="1:34">
      <c r="A3583" s="143">
        <v>3546</v>
      </c>
      <c r="B3583" s="144">
        <v>46134</v>
      </c>
      <c r="C3583" s="169" t="s">
        <v>9603</v>
      </c>
      <c r="F3583" s="143" t="s">
        <v>10115</v>
      </c>
      <c r="H3583" s="143" t="s">
        <v>10116</v>
      </c>
      <c r="I3583" s="143" t="s">
        <v>10104</v>
      </c>
      <c r="J3583" s="143" t="s">
        <v>10105</v>
      </c>
      <c r="K3583" s="187"/>
      <c r="L3583" s="187"/>
      <c r="Q3583" s="266"/>
      <c r="W3583" s="169" t="s">
        <v>3147</v>
      </c>
      <c r="X3583" s="143" t="s">
        <v>10115</v>
      </c>
      <c r="Y3583" s="143" t="s">
        <v>10094</v>
      </c>
      <c r="Z3583" s="143" t="s">
        <v>10115</v>
      </c>
      <c r="AA3583" s="267">
        <v>12.1</v>
      </c>
      <c r="AH3583" s="143" t="s">
        <v>10036</v>
      </c>
    </row>
    <row r="3584" ht="15" spans="1:34">
      <c r="A3584" s="143">
        <v>3547</v>
      </c>
      <c r="B3584" s="144">
        <v>46134</v>
      </c>
      <c r="C3584" s="169" t="s">
        <v>9603</v>
      </c>
      <c r="F3584" s="143" t="s">
        <v>10117</v>
      </c>
      <c r="H3584" s="143" t="s">
        <v>10118</v>
      </c>
      <c r="I3584" s="189" t="s">
        <v>10119</v>
      </c>
      <c r="K3584" s="143">
        <v>150</v>
      </c>
      <c r="L3584" s="143">
        <v>88</v>
      </c>
      <c r="Q3584" s="266"/>
      <c r="W3584" s="169" t="s">
        <v>3147</v>
      </c>
      <c r="X3584" s="143" t="s">
        <v>10117</v>
      </c>
      <c r="Y3584" s="169" t="s">
        <v>10120</v>
      </c>
      <c r="Z3584" s="143" t="s">
        <v>10117</v>
      </c>
      <c r="AA3584" s="267">
        <v>11.5</v>
      </c>
      <c r="AH3584" s="143" t="s">
        <v>10036</v>
      </c>
    </row>
    <row r="3585" ht="15" spans="1:34">
      <c r="A3585" s="143">
        <v>3548</v>
      </c>
      <c r="B3585" s="144">
        <v>46134</v>
      </c>
      <c r="C3585" s="169" t="s">
        <v>9603</v>
      </c>
      <c r="F3585" s="143" t="s">
        <v>10121</v>
      </c>
      <c r="H3585" s="143" t="s">
        <v>10122</v>
      </c>
      <c r="I3585" s="189" t="s">
        <v>10061</v>
      </c>
      <c r="K3585" s="187"/>
      <c r="L3585" s="187"/>
      <c r="Q3585" s="266"/>
      <c r="W3585" s="169" t="s">
        <v>3147</v>
      </c>
      <c r="X3585" s="143" t="s">
        <v>10121</v>
      </c>
      <c r="Y3585" s="169" t="s">
        <v>10120</v>
      </c>
      <c r="Z3585" s="143" t="s">
        <v>10121</v>
      </c>
      <c r="AA3585" s="267">
        <v>16.2</v>
      </c>
      <c r="AH3585" s="143" t="s">
        <v>10036</v>
      </c>
    </row>
    <row r="3586" ht="15" spans="1:34">
      <c r="A3586" s="143">
        <v>3549</v>
      </c>
      <c r="B3586" s="144">
        <v>46134</v>
      </c>
      <c r="C3586" s="169" t="s">
        <v>9603</v>
      </c>
      <c r="F3586" s="143" t="s">
        <v>10123</v>
      </c>
      <c r="H3586" s="143" t="s">
        <v>10124</v>
      </c>
      <c r="I3586" s="187"/>
      <c r="K3586" s="187"/>
      <c r="L3586" s="187"/>
      <c r="Q3586" s="266"/>
      <c r="W3586" s="169" t="s">
        <v>3147</v>
      </c>
      <c r="X3586" s="143" t="s">
        <v>10123</v>
      </c>
      <c r="Y3586" s="169" t="s">
        <v>10120</v>
      </c>
      <c r="Z3586" s="143" t="s">
        <v>10123</v>
      </c>
      <c r="AA3586" s="267">
        <v>15.6</v>
      </c>
      <c r="AH3586" s="143" t="s">
        <v>10036</v>
      </c>
    </row>
    <row r="3587" ht="15" spans="1:34">
      <c r="A3587" s="143">
        <v>3550</v>
      </c>
      <c r="B3587" s="144">
        <v>46134</v>
      </c>
      <c r="C3587" s="169" t="s">
        <v>9603</v>
      </c>
      <c r="F3587" s="143" t="s">
        <v>10125</v>
      </c>
      <c r="H3587" s="143" t="s">
        <v>10126</v>
      </c>
      <c r="I3587" s="187"/>
      <c r="K3587" s="187"/>
      <c r="L3587" s="187"/>
      <c r="Q3587" s="266"/>
      <c r="W3587" s="169" t="s">
        <v>3147</v>
      </c>
      <c r="X3587" s="143" t="s">
        <v>10125</v>
      </c>
      <c r="Y3587" s="169" t="s">
        <v>10120</v>
      </c>
      <c r="Z3587" s="143" t="s">
        <v>10125</v>
      </c>
      <c r="AA3587" s="267"/>
      <c r="AH3587" s="143" t="s">
        <v>10036</v>
      </c>
    </row>
    <row r="3588" ht="15" spans="1:34">
      <c r="A3588" s="143">
        <v>3551</v>
      </c>
      <c r="B3588" s="144">
        <v>46134</v>
      </c>
      <c r="C3588" s="169" t="s">
        <v>9603</v>
      </c>
      <c r="F3588" s="143" t="s">
        <v>10127</v>
      </c>
      <c r="H3588" s="143" t="s">
        <v>10128</v>
      </c>
      <c r="I3588" s="187"/>
      <c r="K3588" s="187"/>
      <c r="L3588" s="187"/>
      <c r="Q3588" s="266"/>
      <c r="W3588" s="169" t="s">
        <v>3147</v>
      </c>
      <c r="X3588" s="143" t="s">
        <v>10127</v>
      </c>
      <c r="Y3588" s="169" t="s">
        <v>10129</v>
      </c>
      <c r="Z3588" s="143" t="s">
        <v>10127</v>
      </c>
      <c r="AA3588" s="267">
        <v>15</v>
      </c>
      <c r="AH3588" s="143" t="s">
        <v>10036</v>
      </c>
    </row>
    <row r="3589" ht="15" spans="1:34">
      <c r="A3589" s="143">
        <v>3552</v>
      </c>
      <c r="B3589" s="144">
        <v>46134</v>
      </c>
      <c r="C3589" s="169" t="s">
        <v>9603</v>
      </c>
      <c r="F3589" s="143" t="s">
        <v>10130</v>
      </c>
      <c r="H3589" s="143" t="s">
        <v>10131</v>
      </c>
      <c r="I3589" s="187" t="s">
        <v>10132</v>
      </c>
      <c r="K3589" s="143">
        <v>145</v>
      </c>
      <c r="L3589" s="187"/>
      <c r="Q3589" s="266"/>
      <c r="W3589" s="169" t="s">
        <v>3147</v>
      </c>
      <c r="X3589" s="143" t="s">
        <v>10130</v>
      </c>
      <c r="Y3589" s="169" t="s">
        <v>10133</v>
      </c>
      <c r="Z3589" s="143" t="s">
        <v>10130</v>
      </c>
      <c r="AA3589" s="267">
        <v>13.9</v>
      </c>
      <c r="AH3589" s="143" t="s">
        <v>10036</v>
      </c>
    </row>
    <row r="3590" ht="25.5" spans="1:34">
      <c r="A3590" s="143">
        <v>3553</v>
      </c>
      <c r="B3590" s="144">
        <v>46134</v>
      </c>
      <c r="C3590" s="169" t="s">
        <v>9603</v>
      </c>
      <c r="F3590" s="143">
        <v>24965</v>
      </c>
      <c r="H3590" s="143" t="s">
        <v>10134</v>
      </c>
      <c r="I3590" s="143" t="s">
        <v>10135</v>
      </c>
      <c r="J3590" s="143" t="s">
        <v>10136</v>
      </c>
      <c r="K3590" s="143">
        <v>145</v>
      </c>
      <c r="W3590" s="169" t="s">
        <v>3147</v>
      </c>
      <c r="X3590" s="143">
        <v>24965</v>
      </c>
      <c r="Y3590" s="169" t="s">
        <v>10085</v>
      </c>
      <c r="Z3590" s="143">
        <v>24965</v>
      </c>
      <c r="AA3590" s="143">
        <v>19.8</v>
      </c>
      <c r="AB3590" s="191">
        <v>46136</v>
      </c>
      <c r="AH3590" s="152" t="s">
        <v>10137</v>
      </c>
    </row>
    <row r="3591" ht="15" spans="1:34">
      <c r="A3591" s="143">
        <v>3554</v>
      </c>
      <c r="B3591" s="144">
        <v>46134</v>
      </c>
      <c r="C3591" s="169" t="s">
        <v>9603</v>
      </c>
      <c r="F3591" s="143" t="s">
        <v>10138</v>
      </c>
      <c r="H3591" s="143" t="s">
        <v>10139</v>
      </c>
      <c r="I3591" s="187" t="s">
        <v>10061</v>
      </c>
      <c r="K3591" s="143">
        <v>145</v>
      </c>
      <c r="L3591" s="187">
        <v>125</v>
      </c>
      <c r="Q3591" s="266"/>
      <c r="W3591" s="169" t="s">
        <v>3147</v>
      </c>
      <c r="X3591" s="143" t="s">
        <v>10138</v>
      </c>
      <c r="Y3591" s="169" t="s">
        <v>10140</v>
      </c>
      <c r="Z3591" s="143" t="s">
        <v>10138</v>
      </c>
      <c r="AA3591" s="267">
        <v>14.8</v>
      </c>
      <c r="AH3591" s="143" t="s">
        <v>10036</v>
      </c>
    </row>
    <row r="3592" ht="15" spans="1:34">
      <c r="A3592" s="143">
        <v>3555</v>
      </c>
      <c r="B3592" s="144">
        <v>46134</v>
      </c>
      <c r="C3592" s="169" t="s">
        <v>9603</v>
      </c>
      <c r="F3592" s="143" t="s">
        <v>10141</v>
      </c>
      <c r="H3592" s="143" t="s">
        <v>10142</v>
      </c>
      <c r="I3592" s="187" t="s">
        <v>10061</v>
      </c>
      <c r="K3592" s="187">
        <v>145</v>
      </c>
      <c r="L3592" s="187">
        <v>105</v>
      </c>
      <c r="Q3592" s="266"/>
      <c r="W3592" s="169" t="s">
        <v>3147</v>
      </c>
      <c r="X3592" s="143" t="s">
        <v>10141</v>
      </c>
      <c r="Y3592" s="169" t="s">
        <v>10140</v>
      </c>
      <c r="Z3592" s="143" t="s">
        <v>10141</v>
      </c>
      <c r="AA3592" s="267">
        <v>14.8</v>
      </c>
      <c r="AH3592" s="143" t="s">
        <v>10036</v>
      </c>
    </row>
    <row r="3593" ht="15" spans="1:34">
      <c r="A3593" s="143">
        <v>3556</v>
      </c>
      <c r="B3593" s="144">
        <v>46134</v>
      </c>
      <c r="C3593" s="169" t="s">
        <v>9603</v>
      </c>
      <c r="F3593" s="143" t="s">
        <v>10143</v>
      </c>
      <c r="H3593" s="143" t="s">
        <v>10144</v>
      </c>
      <c r="I3593" s="187" t="s">
        <v>10119</v>
      </c>
      <c r="K3593" s="187">
        <v>145</v>
      </c>
      <c r="L3593" s="187">
        <v>115</v>
      </c>
      <c r="Q3593" s="266"/>
      <c r="W3593" s="169" t="s">
        <v>3147</v>
      </c>
      <c r="X3593" s="143" t="s">
        <v>10143</v>
      </c>
      <c r="Y3593" s="169" t="s">
        <v>10140</v>
      </c>
      <c r="Z3593" s="143" t="s">
        <v>10143</v>
      </c>
      <c r="AA3593" s="267">
        <v>17.9</v>
      </c>
      <c r="AH3593" s="143" t="s">
        <v>10036</v>
      </c>
    </row>
    <row r="3594" ht="15" spans="1:34">
      <c r="A3594" s="143">
        <v>3557</v>
      </c>
      <c r="B3594" s="144">
        <v>46134</v>
      </c>
      <c r="C3594" s="169" t="s">
        <v>9603</v>
      </c>
      <c r="F3594" s="143" t="s">
        <v>10145</v>
      </c>
      <c r="H3594" s="143" t="s">
        <v>10146</v>
      </c>
      <c r="I3594" s="143" t="s">
        <v>45</v>
      </c>
      <c r="J3594" s="143" t="s">
        <v>3684</v>
      </c>
      <c r="K3594" s="187">
        <v>145</v>
      </c>
      <c r="L3594" s="187">
        <v>105</v>
      </c>
      <c r="Q3594" s="266"/>
      <c r="W3594" s="169" t="s">
        <v>3147</v>
      </c>
      <c r="X3594" s="143" t="s">
        <v>10145</v>
      </c>
      <c r="Y3594" s="169" t="s">
        <v>10129</v>
      </c>
      <c r="Z3594" s="143" t="s">
        <v>10145</v>
      </c>
      <c r="AA3594" s="267">
        <v>17.9</v>
      </c>
      <c r="AH3594" s="143" t="s">
        <v>10036</v>
      </c>
    </row>
    <row r="3595" ht="15" spans="1:34">
      <c r="A3595" s="143">
        <v>3558</v>
      </c>
      <c r="B3595" s="144">
        <v>46134</v>
      </c>
      <c r="C3595" s="169" t="s">
        <v>9603</v>
      </c>
      <c r="F3595" s="143" t="s">
        <v>10147</v>
      </c>
      <c r="H3595" s="143" t="s">
        <v>10148</v>
      </c>
      <c r="I3595" s="143" t="s">
        <v>10149</v>
      </c>
      <c r="J3595" s="143" t="s">
        <v>10150</v>
      </c>
      <c r="K3595" s="143">
        <v>145</v>
      </c>
      <c r="L3595" s="187"/>
      <c r="Q3595" s="266"/>
      <c r="W3595" s="169" t="s">
        <v>3147</v>
      </c>
      <c r="X3595" s="143" t="s">
        <v>10147</v>
      </c>
      <c r="Y3595" s="169" t="s">
        <v>10129</v>
      </c>
      <c r="Z3595" s="143" t="s">
        <v>10147</v>
      </c>
      <c r="AA3595" s="267">
        <v>11.4</v>
      </c>
      <c r="AH3595" s="143" t="s">
        <v>10036</v>
      </c>
    </row>
    <row r="3596" ht="15" spans="1:34">
      <c r="A3596" s="143">
        <v>3559</v>
      </c>
      <c r="B3596" s="144">
        <v>46134</v>
      </c>
      <c r="C3596" s="169" t="s">
        <v>9603</v>
      </c>
      <c r="F3596" s="143" t="s">
        <v>10151</v>
      </c>
      <c r="H3596" s="143" t="s">
        <v>10152</v>
      </c>
      <c r="I3596" s="143" t="s">
        <v>849</v>
      </c>
      <c r="J3596" s="143" t="s">
        <v>10150</v>
      </c>
      <c r="K3596" s="143">
        <v>145</v>
      </c>
      <c r="L3596" s="187"/>
      <c r="Q3596" s="266"/>
      <c r="W3596" s="169" t="s">
        <v>3147</v>
      </c>
      <c r="X3596" s="143" t="s">
        <v>10151</v>
      </c>
      <c r="Y3596" s="169" t="s">
        <v>10129</v>
      </c>
      <c r="Z3596" s="143" t="s">
        <v>10151</v>
      </c>
      <c r="AA3596" s="267">
        <v>11.4</v>
      </c>
      <c r="AH3596" s="143" t="s">
        <v>10036</v>
      </c>
    </row>
    <row r="3597" ht="15" spans="1:34">
      <c r="A3597" s="143">
        <v>3560</v>
      </c>
      <c r="B3597" s="144">
        <v>46134</v>
      </c>
      <c r="C3597" s="169" t="s">
        <v>9603</v>
      </c>
      <c r="F3597" s="143" t="s">
        <v>10147</v>
      </c>
      <c r="H3597" s="143" t="s">
        <v>10153</v>
      </c>
      <c r="I3597" s="143" t="s">
        <v>849</v>
      </c>
      <c r="J3597" s="143" t="s">
        <v>10150</v>
      </c>
      <c r="K3597" s="143">
        <v>145</v>
      </c>
      <c r="L3597" s="187"/>
      <c r="Q3597" s="266"/>
      <c r="W3597" s="169" t="s">
        <v>3147</v>
      </c>
      <c r="X3597" s="143" t="s">
        <v>10147</v>
      </c>
      <c r="Y3597" s="169" t="s">
        <v>10129</v>
      </c>
      <c r="Z3597" s="143" t="s">
        <v>10147</v>
      </c>
      <c r="AA3597" s="267"/>
      <c r="AH3597" s="143" t="s">
        <v>10036</v>
      </c>
    </row>
    <row r="3598" ht="15" spans="1:34">
      <c r="A3598" s="143">
        <v>3561</v>
      </c>
      <c r="B3598" s="144">
        <v>46134</v>
      </c>
      <c r="C3598" s="169" t="s">
        <v>9603</v>
      </c>
      <c r="F3598" s="143" t="s">
        <v>10154</v>
      </c>
      <c r="H3598" s="143" t="s">
        <v>10155</v>
      </c>
      <c r="K3598" s="143">
        <v>145</v>
      </c>
      <c r="L3598" s="187"/>
      <c r="Q3598" s="266"/>
      <c r="W3598" s="169" t="s">
        <v>3147</v>
      </c>
      <c r="X3598" s="143" t="s">
        <v>10154</v>
      </c>
      <c r="Y3598" s="169" t="s">
        <v>10129</v>
      </c>
      <c r="Z3598" s="143" t="s">
        <v>10154</v>
      </c>
      <c r="AA3598" s="267">
        <v>10.3</v>
      </c>
      <c r="AH3598" s="143" t="s">
        <v>10036</v>
      </c>
    </row>
    <row r="3599" ht="15" spans="1:34">
      <c r="A3599" s="143">
        <v>3562</v>
      </c>
      <c r="B3599" s="144">
        <v>46134</v>
      </c>
      <c r="C3599" s="169" t="s">
        <v>9603</v>
      </c>
      <c r="F3599" s="143" t="s">
        <v>10156</v>
      </c>
      <c r="H3599" s="143" t="s">
        <v>10157</v>
      </c>
      <c r="I3599" s="143" t="s">
        <v>10104</v>
      </c>
      <c r="J3599" s="143" t="s">
        <v>10105</v>
      </c>
      <c r="K3599" s="143">
        <v>145</v>
      </c>
      <c r="L3599" s="187"/>
      <c r="Q3599" s="266"/>
      <c r="W3599" s="169" t="s">
        <v>3147</v>
      </c>
      <c r="X3599" s="143" t="s">
        <v>10156</v>
      </c>
      <c r="Y3599" s="169" t="s">
        <v>10097</v>
      </c>
      <c r="Z3599" s="143" t="s">
        <v>10156</v>
      </c>
      <c r="AA3599" s="267">
        <v>14.2</v>
      </c>
      <c r="AH3599" s="143" t="s">
        <v>10036</v>
      </c>
    </row>
    <row r="3600" ht="15" spans="1:34">
      <c r="A3600" s="143">
        <v>3563</v>
      </c>
      <c r="B3600" s="144">
        <v>46135</v>
      </c>
      <c r="C3600" s="169" t="s">
        <v>9603</v>
      </c>
      <c r="F3600" s="143" t="s">
        <v>10158</v>
      </c>
      <c r="H3600" s="143" t="s">
        <v>10159</v>
      </c>
      <c r="I3600" s="143" t="s">
        <v>10104</v>
      </c>
      <c r="J3600" s="143" t="s">
        <v>10105</v>
      </c>
      <c r="K3600" s="143">
        <v>150</v>
      </c>
      <c r="L3600" s="143">
        <v>135</v>
      </c>
      <c r="Q3600" s="266"/>
      <c r="W3600" s="169" t="s">
        <v>3147</v>
      </c>
      <c r="X3600" s="143" t="s">
        <v>10158</v>
      </c>
      <c r="Y3600" s="169" t="s">
        <v>10160</v>
      </c>
      <c r="Z3600" s="143" t="s">
        <v>10158</v>
      </c>
      <c r="AA3600" s="267">
        <v>9.4</v>
      </c>
      <c r="AH3600" s="143" t="s">
        <v>10036</v>
      </c>
    </row>
    <row r="3601" ht="15" spans="1:34">
      <c r="A3601" s="143">
        <v>3564</v>
      </c>
      <c r="B3601" s="144">
        <v>46135</v>
      </c>
      <c r="C3601" s="169" t="s">
        <v>9603</v>
      </c>
      <c r="F3601" s="143" t="s">
        <v>10161</v>
      </c>
      <c r="H3601" s="143" t="s">
        <v>10162</v>
      </c>
      <c r="I3601" s="143" t="s">
        <v>324</v>
      </c>
      <c r="J3601" s="143" t="s">
        <v>10163</v>
      </c>
      <c r="K3601" s="143">
        <v>150</v>
      </c>
      <c r="L3601" s="187"/>
      <c r="Q3601" s="266"/>
      <c r="W3601" s="169" t="s">
        <v>3147</v>
      </c>
      <c r="X3601" s="143" t="s">
        <v>10161</v>
      </c>
      <c r="Y3601" s="169" t="s">
        <v>10160</v>
      </c>
      <c r="Z3601" s="143" t="s">
        <v>10161</v>
      </c>
      <c r="AA3601" s="267">
        <v>9.3</v>
      </c>
      <c r="AH3601" s="143" t="s">
        <v>10036</v>
      </c>
    </row>
    <row r="3602" ht="15" spans="1:34">
      <c r="A3602" s="143">
        <v>3565</v>
      </c>
      <c r="B3602" s="144">
        <v>46135</v>
      </c>
      <c r="C3602" s="169" t="s">
        <v>9603</v>
      </c>
      <c r="F3602" s="143" t="s">
        <v>10164</v>
      </c>
      <c r="H3602" s="143" t="s">
        <v>10165</v>
      </c>
      <c r="I3602" s="143" t="s">
        <v>4690</v>
      </c>
      <c r="J3602" s="143" t="s">
        <v>1460</v>
      </c>
      <c r="K3602" s="143">
        <v>150</v>
      </c>
      <c r="L3602" s="187"/>
      <c r="Q3602" s="266"/>
      <c r="W3602" s="169" t="s">
        <v>3147</v>
      </c>
      <c r="X3602" s="143" t="s">
        <v>10164</v>
      </c>
      <c r="Y3602" s="169" t="s">
        <v>10160</v>
      </c>
      <c r="Z3602" s="143" t="s">
        <v>10164</v>
      </c>
      <c r="AA3602" s="267">
        <v>10.5</v>
      </c>
      <c r="AH3602" s="143" t="s">
        <v>10036</v>
      </c>
    </row>
    <row r="3603" ht="15" spans="1:34">
      <c r="A3603" s="143">
        <v>3566</v>
      </c>
      <c r="B3603" s="144">
        <v>46135</v>
      </c>
      <c r="C3603" s="169" t="s">
        <v>9603</v>
      </c>
      <c r="F3603" s="143">
        <v>2388637</v>
      </c>
      <c r="H3603" s="143" t="s">
        <v>10166</v>
      </c>
      <c r="I3603" s="189" t="s">
        <v>10119</v>
      </c>
      <c r="K3603" s="143">
        <v>150</v>
      </c>
      <c r="L3603" s="143">
        <v>150</v>
      </c>
      <c r="Q3603" s="266"/>
      <c r="W3603" s="169" t="s">
        <v>3147</v>
      </c>
      <c r="X3603" s="143">
        <v>2388637</v>
      </c>
      <c r="Y3603" s="169" t="s">
        <v>10167</v>
      </c>
      <c r="Z3603" s="143">
        <v>2388637</v>
      </c>
      <c r="AA3603" s="267">
        <v>12.5</v>
      </c>
      <c r="AH3603" s="143" t="s">
        <v>10036</v>
      </c>
    </row>
    <row r="3604" ht="15" spans="1:34">
      <c r="A3604" s="143">
        <v>3567</v>
      </c>
      <c r="B3604" s="144">
        <v>46135</v>
      </c>
      <c r="C3604" s="169" t="s">
        <v>9603</v>
      </c>
      <c r="F3604" s="143">
        <v>78539910</v>
      </c>
      <c r="H3604" s="143" t="s">
        <v>10168</v>
      </c>
      <c r="I3604" s="187" t="s">
        <v>10169</v>
      </c>
      <c r="K3604" s="187">
        <v>148</v>
      </c>
      <c r="L3604" s="187">
        <v>90</v>
      </c>
      <c r="Q3604" s="266"/>
      <c r="W3604" s="169" t="s">
        <v>3147</v>
      </c>
      <c r="X3604" s="143">
        <v>78539910</v>
      </c>
      <c r="Y3604" s="143" t="s">
        <v>10167</v>
      </c>
      <c r="Z3604" s="143">
        <v>78539910</v>
      </c>
      <c r="AA3604" s="267">
        <v>15.5</v>
      </c>
      <c r="AH3604" s="143" t="s">
        <v>10036</v>
      </c>
    </row>
    <row r="3605" ht="15" spans="1:34">
      <c r="A3605" s="143">
        <v>3568</v>
      </c>
      <c r="B3605" s="144">
        <v>46135</v>
      </c>
      <c r="C3605" s="169" t="s">
        <v>9603</v>
      </c>
      <c r="F3605" s="143">
        <v>23899938</v>
      </c>
      <c r="H3605" s="143" t="s">
        <v>10170</v>
      </c>
      <c r="I3605" s="189" t="s">
        <v>10119</v>
      </c>
      <c r="K3605" s="187">
        <v>148</v>
      </c>
      <c r="L3605" s="187"/>
      <c r="Q3605" s="266"/>
      <c r="W3605" s="169" t="s">
        <v>3147</v>
      </c>
      <c r="X3605" s="143">
        <v>23899938</v>
      </c>
      <c r="Y3605" s="143" t="s">
        <v>10167</v>
      </c>
      <c r="Z3605" s="143">
        <v>23899938</v>
      </c>
      <c r="AA3605" s="267">
        <v>12.6</v>
      </c>
      <c r="AH3605" s="143" t="s">
        <v>10036</v>
      </c>
    </row>
    <row r="3606" spans="1:34">
      <c r="A3606" s="143">
        <v>3569</v>
      </c>
      <c r="B3606" s="144">
        <v>46135</v>
      </c>
      <c r="C3606" s="169" t="s">
        <v>9603</v>
      </c>
      <c r="F3606" s="143" t="s">
        <v>10171</v>
      </c>
      <c r="H3606" s="143" t="s">
        <v>10172</v>
      </c>
      <c r="I3606" s="143" t="s">
        <v>10173</v>
      </c>
      <c r="J3606" s="143" t="s">
        <v>9661</v>
      </c>
      <c r="K3606" s="143">
        <v>138</v>
      </c>
      <c r="L3606" s="143">
        <v>160</v>
      </c>
      <c r="W3606" s="169" t="s">
        <v>10174</v>
      </c>
      <c r="X3606" s="143" t="s">
        <v>10171</v>
      </c>
      <c r="Y3606" s="169" t="s">
        <v>10174</v>
      </c>
    </row>
    <row r="3607" spans="1:34">
      <c r="A3607" s="143">
        <v>3570</v>
      </c>
      <c r="B3607" s="144">
        <v>46135</v>
      </c>
      <c r="C3607" s="169" t="s">
        <v>9603</v>
      </c>
      <c r="F3607" s="143">
        <v>26166</v>
      </c>
      <c r="H3607" s="143" t="s">
        <v>10175</v>
      </c>
      <c r="L3607" s="143">
        <v>210</v>
      </c>
    </row>
    <row r="3608" ht="16.5" spans="1:34">
      <c r="A3608" s="143">
        <v>3571</v>
      </c>
      <c r="B3608" s="144">
        <v>46136</v>
      </c>
      <c r="C3608" s="169" t="s">
        <v>3646</v>
      </c>
      <c r="F3608" s="143" t="s">
        <v>10176</v>
      </c>
      <c r="H3608" s="143" t="s">
        <v>10177</v>
      </c>
      <c r="I3608" s="143" t="s">
        <v>10178</v>
      </c>
      <c r="J3608" s="143" t="s">
        <v>2391</v>
      </c>
      <c r="K3608" s="143" t="s">
        <v>10179</v>
      </c>
      <c r="L3608" s="143">
        <v>180</v>
      </c>
      <c r="W3608" s="169" t="s">
        <v>10180</v>
      </c>
      <c r="X3608" s="143" t="s">
        <v>10176</v>
      </c>
      <c r="Y3608" s="207">
        <v>13.2</v>
      </c>
      <c r="Z3608" s="169" t="s">
        <v>10181</v>
      </c>
      <c r="AA3608" s="207">
        <v>13.2</v>
      </c>
      <c r="AB3608" s="170">
        <v>46136</v>
      </c>
      <c r="AG3608" s="170"/>
    </row>
    <row r="3609" ht="16.5" spans="1:34">
      <c r="A3609" s="143">
        <v>3572</v>
      </c>
      <c r="B3609" s="144">
        <v>46136</v>
      </c>
      <c r="C3609" s="169" t="s">
        <v>3646</v>
      </c>
      <c r="F3609" s="143" t="s">
        <v>10182</v>
      </c>
      <c r="H3609" s="143" t="s">
        <v>10183</v>
      </c>
      <c r="I3609" s="143" t="s">
        <v>10178</v>
      </c>
      <c r="J3609" s="143" t="s">
        <v>2391</v>
      </c>
      <c r="K3609" s="143">
        <v>148</v>
      </c>
      <c r="L3609" s="143">
        <v>225</v>
      </c>
      <c r="W3609" s="169" t="s">
        <v>10180</v>
      </c>
      <c r="X3609" s="143" t="s">
        <v>10182</v>
      </c>
      <c r="Y3609" s="207">
        <v>14.2</v>
      </c>
      <c r="Z3609" s="169" t="s">
        <v>10181</v>
      </c>
      <c r="AA3609" s="207">
        <v>14.2</v>
      </c>
      <c r="AB3609" s="170">
        <v>46136</v>
      </c>
    </row>
    <row r="3610" ht="16.5" spans="1:34">
      <c r="A3610" s="143">
        <v>3573</v>
      </c>
      <c r="B3610" s="144">
        <v>46136</v>
      </c>
      <c r="C3610" s="169" t="s">
        <v>3646</v>
      </c>
      <c r="F3610" s="143" t="s">
        <v>10184</v>
      </c>
      <c r="H3610" s="143" t="s">
        <v>10185</v>
      </c>
      <c r="I3610" s="143" t="s">
        <v>10178</v>
      </c>
      <c r="J3610" s="143" t="s">
        <v>2391</v>
      </c>
      <c r="K3610" s="143" t="s">
        <v>2901</v>
      </c>
      <c r="L3610" s="143">
        <v>225</v>
      </c>
      <c r="W3610" s="169" t="s">
        <v>10180</v>
      </c>
      <c r="X3610" s="143" t="s">
        <v>10184</v>
      </c>
      <c r="Y3610" s="207">
        <v>13</v>
      </c>
      <c r="Z3610" s="169" t="s">
        <v>10181</v>
      </c>
      <c r="AA3610" s="207">
        <v>13</v>
      </c>
      <c r="AB3610" s="170">
        <v>46136</v>
      </c>
    </row>
    <row r="3611" ht="16.5" spans="1:34">
      <c r="A3611" s="143">
        <v>3574</v>
      </c>
      <c r="B3611" s="144">
        <v>46136</v>
      </c>
      <c r="C3611" s="169" t="s">
        <v>3646</v>
      </c>
      <c r="F3611" s="143" t="s">
        <v>10186</v>
      </c>
      <c r="H3611" s="143" t="s">
        <v>10187</v>
      </c>
      <c r="I3611" s="143" t="s">
        <v>10178</v>
      </c>
      <c r="J3611" s="143" t="s">
        <v>2391</v>
      </c>
      <c r="K3611" s="143" t="s">
        <v>2901</v>
      </c>
      <c r="L3611" s="143">
        <v>230</v>
      </c>
      <c r="W3611" s="169" t="s">
        <v>10180</v>
      </c>
      <c r="X3611" s="143" t="s">
        <v>10186</v>
      </c>
      <c r="Y3611" s="207">
        <v>13.5</v>
      </c>
      <c r="Z3611" s="169" t="s">
        <v>10181</v>
      </c>
      <c r="AA3611" s="207">
        <v>13.5</v>
      </c>
      <c r="AB3611" s="170">
        <v>46136</v>
      </c>
    </row>
    <row r="3612" ht="16.5" spans="1:34">
      <c r="A3612" s="143">
        <v>3575</v>
      </c>
      <c r="B3612" s="144">
        <v>46136</v>
      </c>
      <c r="C3612" s="169" t="s">
        <v>3646</v>
      </c>
      <c r="F3612" s="143" t="s">
        <v>10188</v>
      </c>
      <c r="H3612" s="143" t="s">
        <v>10189</v>
      </c>
      <c r="I3612" s="143" t="s">
        <v>10190</v>
      </c>
      <c r="J3612" s="143" t="s">
        <v>10191</v>
      </c>
      <c r="K3612" s="143" t="s">
        <v>755</v>
      </c>
      <c r="L3612" s="143">
        <v>243</v>
      </c>
      <c r="W3612" s="169" t="s">
        <v>10180</v>
      </c>
      <c r="X3612" s="143" t="s">
        <v>10188</v>
      </c>
      <c r="Y3612" s="207">
        <v>18.9</v>
      </c>
      <c r="Z3612" s="169" t="s">
        <v>10181</v>
      </c>
      <c r="AA3612" s="207">
        <v>18.9</v>
      </c>
      <c r="AB3612" s="170">
        <v>46136</v>
      </c>
    </row>
    <row r="3613" ht="16.5" spans="1:34">
      <c r="A3613" s="143">
        <v>3576</v>
      </c>
      <c r="B3613" s="144">
        <v>46136</v>
      </c>
      <c r="C3613" s="169" t="s">
        <v>3646</v>
      </c>
      <c r="F3613" s="143" t="s">
        <v>10192</v>
      </c>
      <c r="H3613" s="143" t="s">
        <v>10193</v>
      </c>
      <c r="I3613" s="143" t="s">
        <v>10178</v>
      </c>
      <c r="J3613" s="143" t="s">
        <v>2391</v>
      </c>
      <c r="K3613" s="143" t="s">
        <v>755</v>
      </c>
      <c r="L3613" s="143">
        <v>250</v>
      </c>
      <c r="W3613" s="169" t="s">
        <v>10180</v>
      </c>
      <c r="X3613" s="143" t="s">
        <v>10192</v>
      </c>
      <c r="Y3613" s="207">
        <v>17.2</v>
      </c>
      <c r="Z3613" s="169" t="s">
        <v>10181</v>
      </c>
      <c r="AA3613" s="207">
        <v>17.2</v>
      </c>
      <c r="AB3613" s="170">
        <v>46136</v>
      </c>
    </row>
    <row r="3614" ht="16.5" spans="1:34">
      <c r="A3614" s="143">
        <v>3577</v>
      </c>
      <c r="B3614" s="144">
        <v>46136</v>
      </c>
      <c r="C3614" s="169" t="s">
        <v>3646</v>
      </c>
      <c r="F3614" s="143" t="s">
        <v>10194</v>
      </c>
      <c r="H3614" s="143" t="s">
        <v>10195</v>
      </c>
      <c r="I3614" s="143" t="s">
        <v>10178</v>
      </c>
      <c r="J3614" s="143" t="s">
        <v>2391</v>
      </c>
      <c r="K3614" s="143">
        <v>148</v>
      </c>
      <c r="L3614" s="143">
        <v>255</v>
      </c>
      <c r="W3614" s="169" t="s">
        <v>10180</v>
      </c>
      <c r="X3614" s="143" t="s">
        <v>10194</v>
      </c>
      <c r="Y3614" s="207">
        <v>14.3</v>
      </c>
      <c r="Z3614" s="169" t="s">
        <v>10181</v>
      </c>
      <c r="AA3614" s="207">
        <v>14.3</v>
      </c>
      <c r="AB3614" s="170">
        <v>46136</v>
      </c>
    </row>
    <row r="3615" ht="16.5" spans="1:34">
      <c r="A3615" s="143">
        <v>3578</v>
      </c>
      <c r="B3615" s="144">
        <v>46136</v>
      </c>
      <c r="C3615" s="169" t="s">
        <v>3646</v>
      </c>
      <c r="F3615" s="143">
        <v>322</v>
      </c>
      <c r="H3615" s="143" t="s">
        <v>10196</v>
      </c>
      <c r="I3615" s="143" t="s">
        <v>10178</v>
      </c>
      <c r="J3615" s="143" t="s">
        <v>2391</v>
      </c>
      <c r="K3615" s="143" t="s">
        <v>2901</v>
      </c>
      <c r="L3615" s="143">
        <v>255</v>
      </c>
      <c r="W3615" s="169" t="s">
        <v>10180</v>
      </c>
      <c r="X3615" s="143">
        <v>322</v>
      </c>
      <c r="Y3615" s="207">
        <v>16.1</v>
      </c>
      <c r="Z3615" s="169" t="s">
        <v>10181</v>
      </c>
      <c r="AA3615" s="207">
        <v>16.1</v>
      </c>
      <c r="AB3615" s="170">
        <v>46136</v>
      </c>
    </row>
    <row r="3616" ht="16.5" spans="1:34">
      <c r="A3616" s="143">
        <v>3579</v>
      </c>
      <c r="B3616" s="144">
        <v>46136</v>
      </c>
      <c r="C3616" s="169" t="s">
        <v>3646</v>
      </c>
      <c r="F3616" s="143" t="s">
        <v>10197</v>
      </c>
      <c r="H3616" s="143" t="s">
        <v>10198</v>
      </c>
      <c r="I3616" s="143" t="s">
        <v>10178</v>
      </c>
      <c r="J3616" s="143" t="s">
        <v>2391</v>
      </c>
      <c r="K3616" s="143">
        <v>148</v>
      </c>
      <c r="L3616" s="143">
        <v>255</v>
      </c>
      <c r="W3616" s="169" t="s">
        <v>10180</v>
      </c>
      <c r="X3616" s="143" t="s">
        <v>10197</v>
      </c>
      <c r="Y3616" s="207">
        <v>14.3</v>
      </c>
      <c r="Z3616" s="169" t="s">
        <v>10181</v>
      </c>
      <c r="AA3616" s="207">
        <v>14.3</v>
      </c>
      <c r="AB3616" s="170">
        <v>46136</v>
      </c>
    </row>
    <row r="3617" ht="16.5" spans="1:28">
      <c r="A3617" s="143">
        <v>3580</v>
      </c>
      <c r="B3617" s="144">
        <v>46136</v>
      </c>
      <c r="C3617" s="169" t="s">
        <v>3646</v>
      </c>
      <c r="F3617" s="143" t="s">
        <v>10199</v>
      </c>
      <c r="H3617" s="143" t="s">
        <v>10200</v>
      </c>
      <c r="I3617" s="143" t="s">
        <v>10178</v>
      </c>
      <c r="J3617" s="143" t="s">
        <v>2391</v>
      </c>
      <c r="K3617" s="143" t="s">
        <v>2901</v>
      </c>
      <c r="L3617" s="143">
        <v>260</v>
      </c>
      <c r="W3617" s="169" t="s">
        <v>10180</v>
      </c>
      <c r="X3617" s="143" t="s">
        <v>10201</v>
      </c>
      <c r="Y3617" s="207">
        <v>17.3</v>
      </c>
      <c r="Z3617" s="169" t="s">
        <v>10181</v>
      </c>
      <c r="AA3617" s="207">
        <v>17.3</v>
      </c>
      <c r="AB3617" s="170">
        <v>46136</v>
      </c>
    </row>
    <row r="3618" ht="16.5" spans="1:28">
      <c r="A3618" s="143">
        <v>3581</v>
      </c>
      <c r="B3618" s="144">
        <v>46136</v>
      </c>
      <c r="C3618" s="169" t="s">
        <v>3646</v>
      </c>
      <c r="F3618" s="143" t="s">
        <v>10202</v>
      </c>
      <c r="H3618" s="143" t="s">
        <v>10203</v>
      </c>
      <c r="I3618" s="143" t="s">
        <v>10178</v>
      </c>
      <c r="J3618" s="143" t="s">
        <v>2391</v>
      </c>
      <c r="K3618" s="143" t="s">
        <v>10179</v>
      </c>
      <c r="L3618" s="143">
        <v>265</v>
      </c>
      <c r="W3618" s="169" t="s">
        <v>10180</v>
      </c>
      <c r="X3618" s="143" t="s">
        <v>10202</v>
      </c>
      <c r="Y3618" s="207">
        <v>15.2</v>
      </c>
      <c r="Z3618" s="169" t="s">
        <v>10181</v>
      </c>
      <c r="AA3618" s="207">
        <v>15.2</v>
      </c>
      <c r="AB3618" s="170">
        <v>46136</v>
      </c>
    </row>
    <row r="3619" ht="16.5" spans="1:28">
      <c r="A3619" s="143">
        <v>3582</v>
      </c>
      <c r="B3619" s="144">
        <v>46136</v>
      </c>
      <c r="C3619" s="169" t="s">
        <v>3646</v>
      </c>
      <c r="F3619" s="143" t="s">
        <v>10204</v>
      </c>
      <c r="H3619" s="143" t="s">
        <v>10205</v>
      </c>
      <c r="I3619" s="143" t="s">
        <v>10178</v>
      </c>
      <c r="J3619" s="143" t="s">
        <v>2391</v>
      </c>
      <c r="K3619" s="143" t="s">
        <v>10179</v>
      </c>
      <c r="L3619" s="143">
        <v>265</v>
      </c>
      <c r="W3619" s="169" t="s">
        <v>10180</v>
      </c>
      <c r="X3619" s="143" t="s">
        <v>10204</v>
      </c>
      <c r="Y3619" s="207">
        <v>15.8</v>
      </c>
      <c r="Z3619" s="169" t="s">
        <v>10181</v>
      </c>
      <c r="AA3619" s="207">
        <v>15.8</v>
      </c>
      <c r="AB3619" s="170">
        <v>46136</v>
      </c>
    </row>
    <row r="3620" ht="16.5" spans="1:28">
      <c r="A3620" s="143">
        <v>3583</v>
      </c>
      <c r="B3620" s="144">
        <v>46136</v>
      </c>
      <c r="C3620" s="169" t="s">
        <v>3646</v>
      </c>
      <c r="F3620" s="143" t="s">
        <v>10206</v>
      </c>
      <c r="H3620" s="143" t="s">
        <v>10207</v>
      </c>
      <c r="I3620" s="143" t="s">
        <v>10178</v>
      </c>
      <c r="J3620" s="143" t="s">
        <v>2391</v>
      </c>
      <c r="K3620" s="143" t="s">
        <v>10179</v>
      </c>
      <c r="L3620" s="143">
        <v>280</v>
      </c>
      <c r="W3620" s="169" t="s">
        <v>10180</v>
      </c>
      <c r="X3620" s="143" t="s">
        <v>10206</v>
      </c>
      <c r="Y3620" s="207">
        <v>18.8</v>
      </c>
      <c r="Z3620" s="169" t="s">
        <v>10181</v>
      </c>
      <c r="AA3620" s="207">
        <v>18.8</v>
      </c>
      <c r="AB3620" s="170">
        <v>46136</v>
      </c>
    </row>
    <row r="3621" ht="16.5" spans="1:28">
      <c r="A3621" s="143">
        <v>3584</v>
      </c>
      <c r="B3621" s="144">
        <v>46136</v>
      </c>
      <c r="C3621" s="169" t="s">
        <v>3646</v>
      </c>
      <c r="F3621" s="143" t="s">
        <v>10208</v>
      </c>
      <c r="H3621" s="143" t="s">
        <v>10209</v>
      </c>
      <c r="I3621" s="143" t="s">
        <v>10178</v>
      </c>
      <c r="J3621" s="143" t="s">
        <v>2391</v>
      </c>
      <c r="K3621" s="143" t="s">
        <v>10179</v>
      </c>
      <c r="L3621" s="143">
        <v>290</v>
      </c>
      <c r="W3621" s="169" t="s">
        <v>10180</v>
      </c>
      <c r="X3621" s="143" t="s">
        <v>10208</v>
      </c>
      <c r="Y3621" s="207">
        <v>15.6</v>
      </c>
      <c r="Z3621" s="169" t="s">
        <v>10181</v>
      </c>
      <c r="AA3621" s="207">
        <v>15.6</v>
      </c>
      <c r="AB3621" s="170">
        <v>46136</v>
      </c>
    </row>
    <row r="3622" ht="16.5" spans="1:28">
      <c r="A3622" s="143">
        <v>3585</v>
      </c>
      <c r="B3622" s="144">
        <v>46136</v>
      </c>
      <c r="C3622" s="169" t="s">
        <v>3646</v>
      </c>
      <c r="F3622" s="143" t="s">
        <v>10210</v>
      </c>
      <c r="H3622" s="143" t="s">
        <v>10211</v>
      </c>
      <c r="I3622" s="143" t="s">
        <v>10190</v>
      </c>
      <c r="J3622" s="143" t="s">
        <v>10191</v>
      </c>
      <c r="K3622" s="143">
        <v>145</v>
      </c>
      <c r="L3622" s="143">
        <v>295</v>
      </c>
      <c r="W3622" s="169" t="s">
        <v>10180</v>
      </c>
      <c r="X3622" s="143" t="s">
        <v>10210</v>
      </c>
      <c r="Y3622" s="207">
        <v>19.2</v>
      </c>
      <c r="Z3622" s="169" t="s">
        <v>10181</v>
      </c>
      <c r="AA3622" s="207">
        <v>19.2</v>
      </c>
      <c r="AB3622" s="170">
        <v>46136</v>
      </c>
    </row>
    <row r="3623" ht="16.5" spans="1:28">
      <c r="A3623" s="143">
        <v>3586</v>
      </c>
      <c r="B3623" s="144">
        <v>46136</v>
      </c>
      <c r="C3623" s="169" t="s">
        <v>3646</v>
      </c>
      <c r="F3623" s="143" t="s">
        <v>10212</v>
      </c>
      <c r="H3623" s="143" t="s">
        <v>10213</v>
      </c>
      <c r="I3623" s="143" t="s">
        <v>10178</v>
      </c>
      <c r="J3623" s="143" t="s">
        <v>2391</v>
      </c>
      <c r="K3623" s="143" t="s">
        <v>10179</v>
      </c>
      <c r="L3623" s="143">
        <v>315</v>
      </c>
      <c r="W3623" s="169" t="s">
        <v>10180</v>
      </c>
      <c r="X3623" s="143" t="s">
        <v>10212</v>
      </c>
      <c r="Y3623" s="207">
        <v>25.2</v>
      </c>
      <c r="Z3623" s="169" t="s">
        <v>10181</v>
      </c>
      <c r="AA3623" s="207">
        <v>25.2</v>
      </c>
      <c r="AB3623" s="170">
        <v>46136</v>
      </c>
    </row>
    <row r="3624" ht="16.5" spans="1:28">
      <c r="A3624" s="143">
        <v>3587</v>
      </c>
      <c r="B3624" s="144">
        <v>46136</v>
      </c>
      <c r="C3624" s="169" t="s">
        <v>3646</v>
      </c>
      <c r="F3624" s="143">
        <v>367</v>
      </c>
      <c r="H3624" s="143" t="s">
        <v>10214</v>
      </c>
      <c r="I3624" s="143" t="s">
        <v>10178</v>
      </c>
      <c r="J3624" s="143" t="s">
        <v>2391</v>
      </c>
      <c r="K3624" s="143">
        <v>148</v>
      </c>
      <c r="L3624" s="143">
        <v>320</v>
      </c>
      <c r="W3624" s="169" t="s">
        <v>10180</v>
      </c>
      <c r="X3624" s="143">
        <v>367</v>
      </c>
      <c r="Y3624" s="207">
        <v>19.8</v>
      </c>
      <c r="Z3624" s="169" t="s">
        <v>10181</v>
      </c>
      <c r="AA3624" s="207">
        <v>19.8</v>
      </c>
      <c r="AB3624" s="170">
        <v>46136</v>
      </c>
    </row>
    <row r="3625" ht="16.5" spans="1:28">
      <c r="A3625" s="143">
        <v>3588</v>
      </c>
      <c r="B3625" s="144">
        <v>46136</v>
      </c>
      <c r="C3625" s="169" t="s">
        <v>3646</v>
      </c>
      <c r="F3625" s="143">
        <v>368</v>
      </c>
      <c r="H3625" s="143" t="s">
        <v>10215</v>
      </c>
      <c r="I3625" s="143" t="s">
        <v>10178</v>
      </c>
      <c r="J3625" s="143" t="s">
        <v>2391</v>
      </c>
      <c r="K3625" s="143" t="s">
        <v>2901</v>
      </c>
      <c r="L3625" s="143">
        <v>330</v>
      </c>
      <c r="W3625" s="169" t="s">
        <v>10180</v>
      </c>
      <c r="X3625" s="143">
        <v>368</v>
      </c>
      <c r="Y3625" s="207">
        <v>21.5</v>
      </c>
      <c r="Z3625" s="169" t="s">
        <v>10181</v>
      </c>
      <c r="AA3625" s="207">
        <v>21.5</v>
      </c>
      <c r="AB3625" s="170">
        <v>46136</v>
      </c>
    </row>
    <row r="3626" ht="16.5" spans="1:28">
      <c r="A3626" s="143">
        <v>3589</v>
      </c>
      <c r="B3626" s="144">
        <v>46136</v>
      </c>
      <c r="C3626" s="169" t="s">
        <v>3646</v>
      </c>
      <c r="F3626" s="143">
        <v>369</v>
      </c>
      <c r="H3626" s="143" t="s">
        <v>10216</v>
      </c>
      <c r="I3626" s="143" t="s">
        <v>10178</v>
      </c>
      <c r="J3626" s="143" t="s">
        <v>2391</v>
      </c>
      <c r="K3626" s="143" t="s">
        <v>2901</v>
      </c>
      <c r="L3626" s="143">
        <v>330</v>
      </c>
      <c r="W3626" s="169" t="s">
        <v>10180</v>
      </c>
      <c r="X3626" s="143">
        <v>369</v>
      </c>
      <c r="Y3626" s="207">
        <v>22.5</v>
      </c>
      <c r="Z3626" s="169" t="s">
        <v>10181</v>
      </c>
      <c r="AA3626" s="207">
        <v>22.5</v>
      </c>
      <c r="AB3626" s="170">
        <v>46136</v>
      </c>
    </row>
    <row r="3627" ht="16.5" spans="1:28">
      <c r="A3627" s="143">
        <v>3590</v>
      </c>
      <c r="B3627" s="144">
        <v>46136</v>
      </c>
      <c r="C3627" s="169" t="s">
        <v>3646</v>
      </c>
      <c r="F3627" s="143" t="s">
        <v>10217</v>
      </c>
      <c r="H3627" s="143" t="s">
        <v>10218</v>
      </c>
      <c r="I3627" s="143" t="s">
        <v>10219</v>
      </c>
      <c r="J3627" s="143" t="s">
        <v>10220</v>
      </c>
      <c r="K3627" s="143">
        <v>148</v>
      </c>
      <c r="L3627" s="143">
        <v>265</v>
      </c>
      <c r="W3627" s="169" t="s">
        <v>10180</v>
      </c>
      <c r="X3627" s="143" t="s">
        <v>10217</v>
      </c>
      <c r="Y3627" s="207">
        <v>15.1</v>
      </c>
      <c r="Z3627" s="169" t="s">
        <v>10181</v>
      </c>
      <c r="AA3627" s="207">
        <v>15.1</v>
      </c>
      <c r="AB3627" s="170">
        <v>46136</v>
      </c>
    </row>
    <row r="3628" ht="16.5" spans="1:28">
      <c r="A3628" s="143">
        <v>3591</v>
      </c>
      <c r="B3628" s="144">
        <v>46136</v>
      </c>
      <c r="C3628" s="169" t="s">
        <v>3646</v>
      </c>
      <c r="F3628" s="143" t="s">
        <v>10221</v>
      </c>
      <c r="H3628" s="143" t="s">
        <v>10222</v>
      </c>
      <c r="I3628" s="143" t="s">
        <v>3752</v>
      </c>
      <c r="J3628" s="143" t="s">
        <v>2391</v>
      </c>
      <c r="K3628" s="143" t="s">
        <v>2901</v>
      </c>
      <c r="L3628" s="143">
        <v>275</v>
      </c>
      <c r="W3628" s="169" t="s">
        <v>10180</v>
      </c>
      <c r="X3628" s="143" t="s">
        <v>10221</v>
      </c>
      <c r="Y3628" s="207">
        <v>17.8</v>
      </c>
      <c r="Z3628" s="169" t="s">
        <v>10181</v>
      </c>
      <c r="AA3628" s="207">
        <v>17.8</v>
      </c>
      <c r="AB3628" s="170">
        <v>46136</v>
      </c>
    </row>
    <row r="3629" ht="16.5" spans="1:28">
      <c r="A3629" s="143">
        <v>3592</v>
      </c>
      <c r="B3629" s="144">
        <v>46136</v>
      </c>
      <c r="C3629" s="169" t="s">
        <v>3646</v>
      </c>
      <c r="F3629" s="143" t="s">
        <v>10223</v>
      </c>
      <c r="H3629" s="143" t="s">
        <v>10224</v>
      </c>
      <c r="I3629" s="143" t="s">
        <v>10225</v>
      </c>
      <c r="J3629" s="143" t="s">
        <v>10226</v>
      </c>
      <c r="K3629" s="143" t="s">
        <v>10227</v>
      </c>
      <c r="L3629" s="143">
        <v>290</v>
      </c>
      <c r="W3629" s="169" t="s">
        <v>10180</v>
      </c>
      <c r="X3629" s="143" t="s">
        <v>10223</v>
      </c>
      <c r="Y3629" s="207">
        <v>17.3</v>
      </c>
      <c r="Z3629" s="169" t="s">
        <v>10181</v>
      </c>
      <c r="AA3629" s="207">
        <v>17.3</v>
      </c>
      <c r="AB3629" s="170">
        <v>46136</v>
      </c>
    </row>
    <row r="3630" ht="16.5" spans="1:28">
      <c r="A3630" s="143">
        <v>3593</v>
      </c>
      <c r="B3630" s="144">
        <v>46136</v>
      </c>
      <c r="C3630" s="169" t="s">
        <v>3646</v>
      </c>
      <c r="F3630" s="143" t="s">
        <v>10228</v>
      </c>
      <c r="H3630" s="143" t="s">
        <v>10229</v>
      </c>
      <c r="I3630" s="143" t="s">
        <v>10230</v>
      </c>
      <c r="J3630" s="143" t="s">
        <v>10231</v>
      </c>
      <c r="K3630" s="143">
        <v>148</v>
      </c>
      <c r="L3630" s="143">
        <v>290</v>
      </c>
      <c r="W3630" s="169" t="s">
        <v>10180</v>
      </c>
      <c r="X3630" s="143" t="s">
        <v>10228</v>
      </c>
      <c r="Y3630" s="207">
        <v>20.8</v>
      </c>
      <c r="Z3630" s="169" t="s">
        <v>10181</v>
      </c>
      <c r="AA3630" s="207">
        <v>20.8</v>
      </c>
      <c r="AB3630" s="170">
        <v>46136</v>
      </c>
    </row>
    <row r="3631" ht="16.5" spans="1:28">
      <c r="A3631" s="143">
        <v>3594</v>
      </c>
      <c r="B3631" s="144">
        <v>46136</v>
      </c>
      <c r="C3631" s="169" t="s">
        <v>3646</v>
      </c>
      <c r="F3631" s="143" t="s">
        <v>10232</v>
      </c>
      <c r="H3631" s="143" t="s">
        <v>10233</v>
      </c>
      <c r="I3631" s="143" t="s">
        <v>3752</v>
      </c>
      <c r="J3631" s="143" t="s">
        <v>2391</v>
      </c>
      <c r="K3631" s="143">
        <v>148</v>
      </c>
      <c r="L3631" s="143">
        <v>325</v>
      </c>
      <c r="W3631" s="169" t="s">
        <v>10180</v>
      </c>
      <c r="X3631" s="143" t="s">
        <v>10232</v>
      </c>
      <c r="Y3631" s="207">
        <v>17.3</v>
      </c>
      <c r="Z3631" s="169" t="s">
        <v>10181</v>
      </c>
      <c r="AA3631" s="207">
        <v>17.3</v>
      </c>
      <c r="AB3631" s="170">
        <v>46136</v>
      </c>
    </row>
    <row r="3632" ht="16.5" spans="1:28">
      <c r="A3632" s="143">
        <v>3595</v>
      </c>
      <c r="B3632" s="144">
        <v>46136</v>
      </c>
      <c r="C3632" s="169" t="s">
        <v>3646</v>
      </c>
      <c r="F3632" s="143" t="s">
        <v>10234</v>
      </c>
      <c r="H3632" s="143" t="s">
        <v>10235</v>
      </c>
      <c r="I3632" s="143" t="s">
        <v>10236</v>
      </c>
      <c r="J3632" s="143" t="s">
        <v>10237</v>
      </c>
      <c r="K3632" s="143" t="s">
        <v>10238</v>
      </c>
      <c r="L3632" s="143">
        <v>330</v>
      </c>
      <c r="W3632" s="169" t="s">
        <v>10180</v>
      </c>
      <c r="X3632" s="143" t="s">
        <v>10234</v>
      </c>
      <c r="Y3632" s="207">
        <v>21</v>
      </c>
      <c r="Z3632" s="169" t="s">
        <v>10181</v>
      </c>
      <c r="AA3632" s="207">
        <v>21</v>
      </c>
      <c r="AB3632" s="170">
        <v>46136</v>
      </c>
    </row>
    <row r="3633" ht="16.5" spans="1:34">
      <c r="A3633" s="143">
        <v>3596</v>
      </c>
      <c r="B3633" s="144">
        <v>46136</v>
      </c>
      <c r="C3633" s="169" t="s">
        <v>3646</v>
      </c>
      <c r="F3633" s="143">
        <v>362</v>
      </c>
      <c r="H3633" s="143" t="s">
        <v>10239</v>
      </c>
      <c r="I3633" s="143" t="s">
        <v>3752</v>
      </c>
      <c r="J3633" s="143" t="s">
        <v>2391</v>
      </c>
      <c r="K3633" s="143" t="s">
        <v>2901</v>
      </c>
      <c r="L3633" s="143">
        <v>330</v>
      </c>
      <c r="W3633" s="169" t="s">
        <v>10180</v>
      </c>
      <c r="X3633" s="143">
        <v>362</v>
      </c>
      <c r="Y3633" s="207">
        <v>21.5</v>
      </c>
      <c r="Z3633" s="169" t="s">
        <v>10181</v>
      </c>
      <c r="AA3633" s="207">
        <v>21.5</v>
      </c>
      <c r="AB3633" s="170">
        <v>46136</v>
      </c>
    </row>
    <row r="3634" ht="16.5" spans="1:34">
      <c r="A3634" s="143">
        <v>3597</v>
      </c>
      <c r="B3634" s="144">
        <v>46136</v>
      </c>
      <c r="C3634" s="169" t="s">
        <v>3646</v>
      </c>
      <c r="F3634" s="143" t="s">
        <v>10240</v>
      </c>
      <c r="H3634" s="143" t="s">
        <v>10241</v>
      </c>
      <c r="I3634" s="143" t="s">
        <v>10242</v>
      </c>
      <c r="J3634" s="143" t="s">
        <v>10243</v>
      </c>
      <c r="K3634" s="143" t="s">
        <v>10238</v>
      </c>
      <c r="L3634" s="143">
        <v>340</v>
      </c>
      <c r="W3634" s="169" t="s">
        <v>10180</v>
      </c>
      <c r="X3634" s="143" t="s">
        <v>10240</v>
      </c>
      <c r="Y3634" s="207">
        <v>20.5</v>
      </c>
      <c r="Z3634" s="169" t="s">
        <v>10181</v>
      </c>
      <c r="AA3634" s="207">
        <v>20.5</v>
      </c>
      <c r="AB3634" s="170">
        <v>46136</v>
      </c>
    </row>
    <row r="3635" ht="16.5" spans="1:34">
      <c r="A3635" s="143">
        <v>3598</v>
      </c>
      <c r="B3635" s="144">
        <v>46136</v>
      </c>
      <c r="C3635" s="169" t="s">
        <v>3646</v>
      </c>
      <c r="F3635" s="143" t="s">
        <v>10244</v>
      </c>
      <c r="H3635" s="143" t="s">
        <v>10245</v>
      </c>
      <c r="I3635" s="143" t="s">
        <v>10246</v>
      </c>
      <c r="J3635" s="143" t="s">
        <v>10247</v>
      </c>
      <c r="K3635" s="143" t="s">
        <v>10248</v>
      </c>
      <c r="L3635" s="143">
        <v>350</v>
      </c>
      <c r="W3635" s="169" t="s">
        <v>10180</v>
      </c>
      <c r="X3635" s="143" t="s">
        <v>10244</v>
      </c>
      <c r="Y3635" s="207">
        <v>25.8</v>
      </c>
      <c r="Z3635" s="169" t="s">
        <v>10181</v>
      </c>
      <c r="AA3635" s="207">
        <v>25.8</v>
      </c>
      <c r="AB3635" s="170">
        <v>46136</v>
      </c>
    </row>
    <row r="3636" ht="16.5" spans="1:34">
      <c r="A3636" s="143">
        <v>3599</v>
      </c>
      <c r="B3636" s="144">
        <v>46136</v>
      </c>
      <c r="C3636" s="169" t="s">
        <v>3646</v>
      </c>
      <c r="F3636" s="143">
        <v>2799</v>
      </c>
      <c r="H3636" s="143" t="s">
        <v>10249</v>
      </c>
      <c r="I3636" s="143" t="s">
        <v>10250</v>
      </c>
      <c r="J3636" s="143" t="s">
        <v>10251</v>
      </c>
      <c r="K3636" s="143" t="s">
        <v>10238</v>
      </c>
      <c r="L3636" s="143">
        <v>355</v>
      </c>
      <c r="W3636" s="169" t="s">
        <v>10180</v>
      </c>
      <c r="X3636" s="143">
        <v>2799</v>
      </c>
      <c r="Y3636" s="207">
        <v>24.8</v>
      </c>
      <c r="Z3636" s="169" t="s">
        <v>10181</v>
      </c>
      <c r="AA3636" s="207">
        <v>24.8</v>
      </c>
      <c r="AB3636" s="170">
        <v>46136</v>
      </c>
    </row>
    <row r="3637" ht="16.5" spans="1:34">
      <c r="A3637" s="143">
        <v>3600</v>
      </c>
      <c r="B3637" s="144">
        <v>46136</v>
      </c>
      <c r="C3637" s="169" t="s">
        <v>3646</v>
      </c>
      <c r="F3637" s="143" t="s">
        <v>10252</v>
      </c>
      <c r="H3637" s="143" t="s">
        <v>10253</v>
      </c>
      <c r="I3637" s="143" t="s">
        <v>9464</v>
      </c>
      <c r="J3637" s="143" t="s">
        <v>9464</v>
      </c>
      <c r="K3637" s="143">
        <v>132</v>
      </c>
      <c r="M3637" s="143" t="s">
        <v>10254</v>
      </c>
      <c r="W3637" s="169" t="s">
        <v>9467</v>
      </c>
      <c r="X3637" s="143" t="s">
        <v>10252</v>
      </c>
      <c r="Y3637" s="207">
        <v>24.1</v>
      </c>
      <c r="Z3637" s="169" t="s">
        <v>10181</v>
      </c>
      <c r="AA3637" s="207">
        <v>24.1</v>
      </c>
    </row>
    <row r="3638" ht="16.5" spans="1:34">
      <c r="A3638" s="143">
        <v>3601</v>
      </c>
      <c r="B3638" s="144">
        <v>46136</v>
      </c>
      <c r="C3638" s="169" t="s">
        <v>3646</v>
      </c>
      <c r="F3638" s="143" t="s">
        <v>10255</v>
      </c>
      <c r="H3638" s="143" t="s">
        <v>10256</v>
      </c>
      <c r="I3638" s="143" t="s">
        <v>9464</v>
      </c>
      <c r="J3638" s="143" t="s">
        <v>9464</v>
      </c>
      <c r="K3638" s="143">
        <v>132</v>
      </c>
      <c r="M3638" s="143" t="s">
        <v>10254</v>
      </c>
      <c r="W3638" s="169" t="s">
        <v>9467</v>
      </c>
      <c r="X3638" s="143" t="s">
        <v>10255</v>
      </c>
      <c r="Y3638" s="207">
        <v>18.1</v>
      </c>
      <c r="Z3638" s="169" t="s">
        <v>10181</v>
      </c>
      <c r="AA3638" s="268" t="s">
        <v>10257</v>
      </c>
    </row>
    <row r="3639" ht="16.5" spans="1:34">
      <c r="A3639" s="143">
        <v>3602</v>
      </c>
      <c r="B3639" s="144">
        <v>46136</v>
      </c>
      <c r="C3639" s="169" t="s">
        <v>3646</v>
      </c>
      <c r="F3639" s="143" t="s">
        <v>10258</v>
      </c>
      <c r="H3639" s="143" t="s">
        <v>10259</v>
      </c>
      <c r="I3639" s="143" t="s">
        <v>9464</v>
      </c>
      <c r="J3639" s="143" t="s">
        <v>9464</v>
      </c>
      <c r="K3639" s="143">
        <v>132</v>
      </c>
      <c r="M3639" s="143" t="s">
        <v>9484</v>
      </c>
      <c r="W3639" s="169" t="s">
        <v>9467</v>
      </c>
      <c r="X3639" s="143" t="s">
        <v>10258</v>
      </c>
      <c r="Y3639" s="207">
        <v>28.5</v>
      </c>
      <c r="Z3639" s="169" t="s">
        <v>10181</v>
      </c>
      <c r="AA3639" s="207">
        <v>28.5</v>
      </c>
    </row>
    <row r="3640" spans="1:34">
      <c r="A3640" s="143">
        <v>3603</v>
      </c>
      <c r="B3640" s="144">
        <v>46139</v>
      </c>
      <c r="C3640" s="169" t="s">
        <v>3646</v>
      </c>
      <c r="D3640" s="143" t="s">
        <v>10260</v>
      </c>
      <c r="F3640" s="143" t="s">
        <v>10261</v>
      </c>
      <c r="H3640" s="143" t="s">
        <v>10262</v>
      </c>
      <c r="I3640" s="143" t="s">
        <v>10263</v>
      </c>
      <c r="J3640" s="143" t="s">
        <v>10264</v>
      </c>
      <c r="K3640" s="143">
        <v>140</v>
      </c>
      <c r="L3640" s="143">
        <v>200</v>
      </c>
      <c r="W3640" s="143" t="s">
        <v>3872</v>
      </c>
      <c r="X3640" s="143" t="s">
        <v>10261</v>
      </c>
    </row>
    <row r="3641" spans="1:34">
      <c r="A3641" s="143">
        <v>3604</v>
      </c>
      <c r="B3641" s="144">
        <v>46139</v>
      </c>
      <c r="C3641" s="169" t="s">
        <v>3646</v>
      </c>
      <c r="D3641" s="143" t="s">
        <v>10260</v>
      </c>
      <c r="F3641" s="169" t="s">
        <v>10265</v>
      </c>
      <c r="H3641" s="143" t="s">
        <v>10266</v>
      </c>
      <c r="I3641" s="143" t="s">
        <v>324</v>
      </c>
      <c r="J3641" s="143" t="s">
        <v>330</v>
      </c>
      <c r="K3641" s="143">
        <v>140</v>
      </c>
      <c r="L3641" s="143">
        <v>164</v>
      </c>
      <c r="W3641" s="143" t="s">
        <v>3872</v>
      </c>
      <c r="X3641" s="169" t="s">
        <v>10265</v>
      </c>
    </row>
    <row r="3642" spans="1:34">
      <c r="A3642" s="143">
        <v>3605</v>
      </c>
      <c r="B3642" s="144">
        <v>46140</v>
      </c>
      <c r="C3642" s="143" t="s">
        <v>3148</v>
      </c>
      <c r="D3642" s="143" t="s">
        <v>10267</v>
      </c>
      <c r="F3642" s="143" t="s">
        <v>10268</v>
      </c>
      <c r="H3642" s="143" t="s">
        <v>10269</v>
      </c>
      <c r="I3642" s="143" t="s">
        <v>8492</v>
      </c>
      <c r="J3642" s="143" t="s">
        <v>8493</v>
      </c>
      <c r="K3642" s="143">
        <v>170</v>
      </c>
      <c r="L3642" s="143">
        <v>145</v>
      </c>
      <c r="W3642" s="143" t="s">
        <v>8452</v>
      </c>
      <c r="X3642" s="143" t="s">
        <v>10268</v>
      </c>
      <c r="Y3642" s="143" t="s">
        <v>8452</v>
      </c>
      <c r="Z3642" s="143" t="s">
        <v>10268</v>
      </c>
      <c r="AH3642" s="143" t="s">
        <v>8511</v>
      </c>
    </row>
    <row r="3643" spans="1:34">
      <c r="A3643" s="143">
        <v>3606</v>
      </c>
      <c r="B3643" s="144">
        <v>46140</v>
      </c>
      <c r="C3643" s="143" t="s">
        <v>3148</v>
      </c>
      <c r="D3643" s="143" t="s">
        <v>10267</v>
      </c>
      <c r="F3643" s="143" t="s">
        <v>10270</v>
      </c>
      <c r="H3643" s="143" t="s">
        <v>10271</v>
      </c>
      <c r="I3643" s="143" t="s">
        <v>10272</v>
      </c>
      <c r="J3643" s="143" t="s">
        <v>8493</v>
      </c>
      <c r="K3643" s="143">
        <v>145</v>
      </c>
      <c r="L3643" s="143">
        <v>125</v>
      </c>
      <c r="W3643" s="143" t="s">
        <v>8452</v>
      </c>
      <c r="X3643" s="143" t="s">
        <v>10270</v>
      </c>
      <c r="Y3643" s="143" t="s">
        <v>8452</v>
      </c>
      <c r="Z3643" s="143" t="s">
        <v>10270</v>
      </c>
      <c r="AH3643" s="143" t="s">
        <v>10273</v>
      </c>
    </row>
    <row r="3644" spans="1:34">
      <c r="A3644" s="143">
        <v>3607</v>
      </c>
      <c r="C3644" s="169" t="s">
        <v>3646</v>
      </c>
      <c r="D3644" s="143" t="s">
        <v>10260</v>
      </c>
      <c r="F3644" s="143" t="s">
        <v>10274</v>
      </c>
      <c r="H3644" s="143" t="s">
        <v>10275</v>
      </c>
      <c r="I3644" s="143" t="s">
        <v>10276</v>
      </c>
      <c r="K3644" s="143" t="s">
        <v>10277</v>
      </c>
      <c r="M3644" s="169" t="s">
        <v>10278</v>
      </c>
      <c r="W3644" s="169" t="s">
        <v>3872</v>
      </c>
      <c r="X3644" s="143" t="s">
        <v>10279</v>
      </c>
    </row>
    <row r="3645" spans="1:34">
      <c r="A3645" s="143">
        <v>3608</v>
      </c>
      <c r="C3645" s="169" t="s">
        <v>3646</v>
      </c>
      <c r="D3645" s="143" t="s">
        <v>10260</v>
      </c>
      <c r="E3645" s="143"/>
      <c r="F3645" s="143" t="s">
        <v>10280</v>
      </c>
      <c r="H3645" s="143" t="s">
        <v>10281</v>
      </c>
      <c r="I3645" s="143" t="s">
        <v>10282</v>
      </c>
      <c r="K3645" s="143" t="s">
        <v>10283</v>
      </c>
      <c r="M3645" s="169" t="s">
        <v>10284</v>
      </c>
      <c r="W3645" s="169" t="s">
        <v>3872</v>
      </c>
      <c r="X3645" s="143" t="s">
        <v>10285</v>
      </c>
    </row>
    <row r="3646" spans="1:34">
      <c r="A3646" s="143">
        <v>3609</v>
      </c>
      <c r="C3646" s="169" t="s">
        <v>3646</v>
      </c>
      <c r="D3646" s="143" t="s">
        <v>10260</v>
      </c>
      <c r="F3646" s="143" t="s">
        <v>10286</v>
      </c>
      <c r="H3646" s="143" t="s">
        <v>10287</v>
      </c>
      <c r="I3646" s="143" t="s">
        <v>10288</v>
      </c>
      <c r="K3646" s="143" t="s">
        <v>10289</v>
      </c>
      <c r="M3646" s="169" t="s">
        <v>10290</v>
      </c>
      <c r="W3646" s="169" t="s">
        <v>3872</v>
      </c>
      <c r="X3646" s="143" t="s">
        <v>10291</v>
      </c>
    </row>
    <row r="3647" spans="1:34">
      <c r="A3647" s="143">
        <v>3610</v>
      </c>
      <c r="C3647" s="169" t="s">
        <v>3646</v>
      </c>
      <c r="D3647" s="143" t="s">
        <v>10260</v>
      </c>
      <c r="F3647" s="143" t="s">
        <v>10292</v>
      </c>
      <c r="H3647" s="143" t="s">
        <v>10293</v>
      </c>
      <c r="I3647" s="143" t="s">
        <v>10294</v>
      </c>
      <c r="K3647" s="143" t="s">
        <v>10295</v>
      </c>
      <c r="M3647" s="169" t="s">
        <v>10290</v>
      </c>
      <c r="W3647" s="169" t="s">
        <v>3872</v>
      </c>
      <c r="X3647" s="143" t="s">
        <v>10296</v>
      </c>
    </row>
    <row r="3648" spans="1:34">
      <c r="A3648" s="143">
        <v>3611</v>
      </c>
      <c r="B3648" s="144">
        <v>46142</v>
      </c>
      <c r="C3648" s="169" t="s">
        <v>3148</v>
      </c>
      <c r="D3648" s="143" t="s">
        <v>10297</v>
      </c>
      <c r="F3648" s="143" t="s">
        <v>10298</v>
      </c>
      <c r="H3648" s="143" t="s">
        <v>10299</v>
      </c>
      <c r="I3648" s="143" t="s">
        <v>10300</v>
      </c>
      <c r="J3648" s="143" t="s">
        <v>749</v>
      </c>
      <c r="K3648" s="143">
        <v>170</v>
      </c>
      <c r="L3648" s="143">
        <v>170</v>
      </c>
      <c r="W3648" s="143" t="s">
        <v>3147</v>
      </c>
      <c r="X3648" s="143" t="s">
        <v>10298</v>
      </c>
      <c r="Y3648" s="169" t="s">
        <v>10301</v>
      </c>
      <c r="Z3648" s="143" t="s">
        <v>10298</v>
      </c>
    </row>
    <row r="3649" spans="1:26">
      <c r="A3649" s="143">
        <v>3612</v>
      </c>
      <c r="B3649" s="144">
        <v>46142</v>
      </c>
      <c r="C3649" s="169" t="s">
        <v>3148</v>
      </c>
      <c r="D3649" s="143" t="s">
        <v>10297</v>
      </c>
      <c r="F3649" s="143" t="s">
        <v>10302</v>
      </c>
      <c r="H3649" s="143" t="s">
        <v>10303</v>
      </c>
      <c r="I3649" s="143" t="s">
        <v>10304</v>
      </c>
      <c r="K3649" s="143">
        <v>170</v>
      </c>
      <c r="L3649" s="143">
        <v>210</v>
      </c>
      <c r="W3649" s="143" t="s">
        <v>3147</v>
      </c>
      <c r="X3649" s="143" t="s">
        <v>10302</v>
      </c>
      <c r="Y3649" s="169" t="s">
        <v>10305</v>
      </c>
      <c r="Z3649" s="143" t="s">
        <v>10302</v>
      </c>
    </row>
    <row r="3650" spans="1:26">
      <c r="A3650" s="143">
        <v>3613</v>
      </c>
      <c r="B3650" s="144">
        <v>46142</v>
      </c>
      <c r="C3650" s="169" t="s">
        <v>3148</v>
      </c>
      <c r="D3650" s="143" t="s">
        <v>10297</v>
      </c>
      <c r="F3650" s="143" t="s">
        <v>10306</v>
      </c>
      <c r="H3650" s="143" t="s">
        <v>10307</v>
      </c>
      <c r="I3650" s="143" t="s">
        <v>10308</v>
      </c>
      <c r="K3650" s="143">
        <v>170</v>
      </c>
      <c r="L3650" s="143">
        <v>200</v>
      </c>
      <c r="W3650" s="143" t="s">
        <v>3147</v>
      </c>
      <c r="X3650" s="143" t="s">
        <v>10306</v>
      </c>
      <c r="Y3650" s="169" t="s">
        <v>10305</v>
      </c>
      <c r="Z3650" s="143" t="s">
        <v>10306</v>
      </c>
    </row>
    <row r="3651" spans="1:26">
      <c r="A3651" s="143">
        <v>3614</v>
      </c>
      <c r="B3651" s="144">
        <v>46142</v>
      </c>
      <c r="C3651" s="169" t="s">
        <v>3148</v>
      </c>
      <c r="D3651" s="143" t="s">
        <v>10297</v>
      </c>
      <c r="F3651" s="143" t="s">
        <v>10309</v>
      </c>
      <c r="H3651" s="143" t="s">
        <v>10310</v>
      </c>
      <c r="K3651" s="143">
        <v>155</v>
      </c>
      <c r="L3651" s="143">
        <v>205</v>
      </c>
      <c r="W3651" s="143" t="s">
        <v>3147</v>
      </c>
      <c r="X3651" s="143" t="s">
        <v>10309</v>
      </c>
      <c r="Y3651" s="143" t="s">
        <v>10301</v>
      </c>
      <c r="Z3651" s="143" t="s">
        <v>10309</v>
      </c>
    </row>
    <row r="3652" spans="1:26">
      <c r="A3652" s="143">
        <v>3615</v>
      </c>
      <c r="B3652" s="144">
        <v>46142</v>
      </c>
      <c r="C3652" s="169" t="s">
        <v>3148</v>
      </c>
      <c r="D3652" s="143" t="s">
        <v>10297</v>
      </c>
      <c r="F3652" s="143" t="s">
        <v>10311</v>
      </c>
      <c r="H3652" s="143" t="s">
        <v>10312</v>
      </c>
      <c r="I3652" s="143" t="s">
        <v>10313</v>
      </c>
      <c r="J3652" s="143" t="s">
        <v>10314</v>
      </c>
      <c r="K3652" s="143">
        <v>160</v>
      </c>
      <c r="L3652" s="143">
        <v>280</v>
      </c>
      <c r="W3652" s="143" t="s">
        <v>3147</v>
      </c>
      <c r="X3652" s="143" t="s">
        <v>10311</v>
      </c>
      <c r="Y3652" s="169" t="s">
        <v>7870</v>
      </c>
      <c r="Z3652" s="143" t="s">
        <v>10311</v>
      </c>
    </row>
    <row r="3653" spans="1:26">
      <c r="A3653" s="143">
        <v>3616</v>
      </c>
      <c r="B3653" s="144">
        <v>46142</v>
      </c>
      <c r="C3653" s="169" t="s">
        <v>3148</v>
      </c>
      <c r="D3653" s="143" t="s">
        <v>10297</v>
      </c>
      <c r="F3653" s="143" t="s">
        <v>10315</v>
      </c>
      <c r="H3653" s="143" t="s">
        <v>10316</v>
      </c>
      <c r="I3653" s="143" t="s">
        <v>10317</v>
      </c>
      <c r="J3653" s="143" t="s">
        <v>46</v>
      </c>
      <c r="K3653" s="143">
        <v>165</v>
      </c>
      <c r="L3653" s="143">
        <v>180</v>
      </c>
      <c r="W3653" s="143" t="s">
        <v>3147</v>
      </c>
      <c r="X3653" s="143" t="s">
        <v>10315</v>
      </c>
      <c r="Y3653" s="169" t="s">
        <v>10318</v>
      </c>
      <c r="Z3653" s="143" t="s">
        <v>10315</v>
      </c>
    </row>
    <row r="3654" spans="1:26">
      <c r="A3654" s="143">
        <v>3617</v>
      </c>
      <c r="B3654" s="144">
        <v>46142</v>
      </c>
      <c r="C3654" s="169" t="s">
        <v>3148</v>
      </c>
      <c r="D3654" s="143" t="s">
        <v>10297</v>
      </c>
      <c r="F3654" s="143" t="s">
        <v>10319</v>
      </c>
      <c r="H3654" s="143" t="s">
        <v>10320</v>
      </c>
      <c r="I3654" s="143" t="s">
        <v>3752</v>
      </c>
      <c r="J3654" s="143" t="s">
        <v>224</v>
      </c>
      <c r="K3654" s="143">
        <v>160</v>
      </c>
      <c r="L3654" s="143">
        <v>280</v>
      </c>
      <c r="W3654" s="143" t="s">
        <v>3147</v>
      </c>
      <c r="X3654" s="143" t="s">
        <v>10319</v>
      </c>
      <c r="Y3654" s="169" t="s">
        <v>4748</v>
      </c>
      <c r="Z3654" s="143" t="s">
        <v>10319</v>
      </c>
    </row>
    <row r="3655" spans="1:26">
      <c r="A3655" s="143">
        <v>3618</v>
      </c>
      <c r="B3655" s="144">
        <v>46142</v>
      </c>
      <c r="C3655" s="169" t="s">
        <v>3148</v>
      </c>
      <c r="D3655" s="143" t="s">
        <v>10297</v>
      </c>
      <c r="F3655" s="143" t="s">
        <v>10321</v>
      </c>
      <c r="H3655" s="143" t="s">
        <v>10322</v>
      </c>
      <c r="I3655" s="143" t="s">
        <v>45</v>
      </c>
      <c r="J3655" s="143" t="s">
        <v>3684</v>
      </c>
      <c r="K3655" s="143">
        <v>165</v>
      </c>
      <c r="L3655" s="143">
        <v>430</v>
      </c>
      <c r="W3655" s="143" t="s">
        <v>3147</v>
      </c>
      <c r="X3655" s="143" t="s">
        <v>10321</v>
      </c>
      <c r="Y3655" s="169" t="s">
        <v>10301</v>
      </c>
      <c r="Z3655" s="143" t="s">
        <v>10321</v>
      </c>
    </row>
    <row r="3656" spans="1:26">
      <c r="A3656" s="143">
        <v>3619</v>
      </c>
      <c r="B3656" s="144">
        <v>46142</v>
      </c>
      <c r="C3656" s="169" t="s">
        <v>3148</v>
      </c>
      <c r="D3656" s="143" t="s">
        <v>10297</v>
      </c>
      <c r="F3656" s="143" t="s">
        <v>10323</v>
      </c>
      <c r="H3656" s="143" t="s">
        <v>10324</v>
      </c>
      <c r="I3656" s="143" t="s">
        <v>10325</v>
      </c>
      <c r="J3656" s="143" t="s">
        <v>10326</v>
      </c>
      <c r="K3656" s="143">
        <v>170</v>
      </c>
      <c r="L3656" s="143">
        <v>200</v>
      </c>
      <c r="W3656" s="143" t="s">
        <v>3147</v>
      </c>
      <c r="X3656" s="143" t="s">
        <v>10323</v>
      </c>
      <c r="Y3656" s="169" t="s">
        <v>10327</v>
      </c>
      <c r="Z3656" s="143" t="s">
        <v>10323</v>
      </c>
    </row>
    <row r="3657" spans="1:26">
      <c r="A3657" s="143">
        <v>3620</v>
      </c>
      <c r="B3657" s="144">
        <v>46142</v>
      </c>
      <c r="C3657" s="169" t="s">
        <v>3148</v>
      </c>
      <c r="D3657" s="143" t="s">
        <v>10297</v>
      </c>
      <c r="F3657" s="143" t="s">
        <v>10328</v>
      </c>
      <c r="H3657" s="143" t="s">
        <v>10329</v>
      </c>
      <c r="I3657" s="143" t="s">
        <v>4512</v>
      </c>
      <c r="J3657" s="143" t="s">
        <v>749</v>
      </c>
      <c r="K3657" s="143">
        <v>170</v>
      </c>
      <c r="L3657" s="143">
        <v>320</v>
      </c>
      <c r="W3657" s="143" t="s">
        <v>3147</v>
      </c>
      <c r="X3657" s="143" t="s">
        <v>10328</v>
      </c>
      <c r="Y3657" s="169" t="s">
        <v>10330</v>
      </c>
      <c r="Z3657" s="143" t="s">
        <v>10328</v>
      </c>
    </row>
    <row r="3658" spans="1:26">
      <c r="A3658" s="143">
        <v>3621</v>
      </c>
      <c r="B3658" s="144">
        <v>46142</v>
      </c>
      <c r="C3658" s="169" t="s">
        <v>3148</v>
      </c>
      <c r="D3658" s="143" t="s">
        <v>10297</v>
      </c>
      <c r="F3658" s="143" t="s">
        <v>10331</v>
      </c>
      <c r="H3658" s="143" t="s">
        <v>10332</v>
      </c>
      <c r="I3658" s="143" t="s">
        <v>10333</v>
      </c>
      <c r="J3658" s="143" t="s">
        <v>10334</v>
      </c>
      <c r="K3658" s="143">
        <v>155</v>
      </c>
      <c r="L3658" s="143">
        <v>200</v>
      </c>
      <c r="W3658" s="143" t="s">
        <v>3147</v>
      </c>
      <c r="X3658" s="143" t="s">
        <v>10331</v>
      </c>
      <c r="Y3658" s="169" t="s">
        <v>10330</v>
      </c>
      <c r="Z3658" s="143" t="s">
        <v>10331</v>
      </c>
    </row>
    <row r="3659" spans="1:26">
      <c r="A3659" s="143">
        <v>3622</v>
      </c>
      <c r="B3659" s="144">
        <v>46142</v>
      </c>
      <c r="C3659" s="169" t="s">
        <v>3148</v>
      </c>
      <c r="D3659" s="143" t="s">
        <v>10297</v>
      </c>
      <c r="F3659" s="143" t="s">
        <v>10335</v>
      </c>
      <c r="H3659" s="143" t="s">
        <v>10336</v>
      </c>
      <c r="I3659" s="143" t="s">
        <v>4512</v>
      </c>
      <c r="J3659" s="143" t="s">
        <v>749</v>
      </c>
      <c r="K3659" s="143">
        <v>170</v>
      </c>
      <c r="L3659" s="143">
        <v>230</v>
      </c>
      <c r="W3659" s="143" t="s">
        <v>3147</v>
      </c>
      <c r="X3659" s="143" t="s">
        <v>10335</v>
      </c>
      <c r="Y3659" s="169" t="s">
        <v>10330</v>
      </c>
      <c r="Z3659" s="143" t="s">
        <v>10335</v>
      </c>
    </row>
    <row r="3660" spans="1:26">
      <c r="A3660" s="143">
        <v>3623</v>
      </c>
      <c r="B3660" s="144">
        <v>46142</v>
      </c>
      <c r="C3660" s="169" t="s">
        <v>3148</v>
      </c>
      <c r="D3660" s="143" t="s">
        <v>10297</v>
      </c>
      <c r="F3660" s="143" t="s">
        <v>10337</v>
      </c>
      <c r="H3660" s="143" t="s">
        <v>10338</v>
      </c>
      <c r="I3660" s="143" t="s">
        <v>10333</v>
      </c>
      <c r="J3660" s="143" t="s">
        <v>10334</v>
      </c>
      <c r="K3660" s="143">
        <v>155</v>
      </c>
      <c r="L3660" s="143">
        <v>200</v>
      </c>
      <c r="W3660" s="143" t="s">
        <v>3147</v>
      </c>
      <c r="X3660" s="143" t="s">
        <v>10337</v>
      </c>
      <c r="Y3660" s="169" t="s">
        <v>10330</v>
      </c>
      <c r="Z3660" s="143" t="s">
        <v>10337</v>
      </c>
    </row>
    <row r="3661" spans="1:26">
      <c r="A3661" s="143">
        <v>3624</v>
      </c>
      <c r="B3661" s="144">
        <v>46142</v>
      </c>
      <c r="C3661" s="169" t="s">
        <v>3148</v>
      </c>
      <c r="D3661" s="143" t="s">
        <v>10297</v>
      </c>
      <c r="F3661" s="143" t="s">
        <v>10339</v>
      </c>
      <c r="H3661" s="143" t="s">
        <v>10340</v>
      </c>
      <c r="I3661" s="143" t="s">
        <v>10333</v>
      </c>
      <c r="J3661" s="143" t="s">
        <v>10334</v>
      </c>
      <c r="K3661" s="143">
        <v>150</v>
      </c>
      <c r="L3661" s="143">
        <v>350</v>
      </c>
      <c r="W3661" s="143" t="s">
        <v>3147</v>
      </c>
      <c r="X3661" s="143" t="s">
        <v>10339</v>
      </c>
      <c r="Y3661" s="169" t="s">
        <v>10330</v>
      </c>
      <c r="Z3661" s="143" t="s">
        <v>10339</v>
      </c>
    </row>
    <row r="3662" spans="1:26">
      <c r="A3662" s="143">
        <v>3625</v>
      </c>
      <c r="B3662" s="144">
        <v>46142</v>
      </c>
      <c r="C3662" s="169" t="s">
        <v>3148</v>
      </c>
      <c r="D3662" s="143" t="s">
        <v>10297</v>
      </c>
      <c r="F3662" s="143" t="s">
        <v>10341</v>
      </c>
      <c r="H3662" s="143" t="s">
        <v>10342</v>
      </c>
      <c r="I3662" s="143" t="s">
        <v>10333</v>
      </c>
      <c r="J3662" s="143" t="s">
        <v>10334</v>
      </c>
      <c r="K3662" s="143">
        <v>155</v>
      </c>
      <c r="L3662" s="143">
        <v>280</v>
      </c>
      <c r="W3662" s="143" t="s">
        <v>3147</v>
      </c>
      <c r="X3662" s="143" t="s">
        <v>10341</v>
      </c>
      <c r="Y3662" s="169" t="s">
        <v>10330</v>
      </c>
      <c r="Z3662" s="143" t="s">
        <v>10341</v>
      </c>
    </row>
    <row r="3663" spans="1:26">
      <c r="A3663" s="143">
        <v>3626</v>
      </c>
      <c r="B3663" s="144">
        <v>46143</v>
      </c>
      <c r="C3663" s="169" t="s">
        <v>3148</v>
      </c>
      <c r="D3663" s="143" t="s">
        <v>41</v>
      </c>
      <c r="F3663" s="143" t="s">
        <v>10343</v>
      </c>
      <c r="H3663" s="143" t="s">
        <v>10344</v>
      </c>
      <c r="K3663" s="143">
        <v>132</v>
      </c>
      <c r="M3663" s="143" t="s">
        <v>9492</v>
      </c>
      <c r="W3663" s="143" t="s">
        <v>9467</v>
      </c>
      <c r="X3663" s="143" t="s">
        <v>10343</v>
      </c>
      <c r="Y3663" s="143" t="s">
        <v>9467</v>
      </c>
      <c r="Z3663" s="143" t="s">
        <v>10343</v>
      </c>
    </row>
    <row r="3664" spans="1:26">
      <c r="A3664" s="143">
        <v>3627</v>
      </c>
      <c r="B3664" s="144">
        <v>46143</v>
      </c>
      <c r="C3664" s="169" t="s">
        <v>3148</v>
      </c>
      <c r="D3664" s="143" t="s">
        <v>41</v>
      </c>
      <c r="F3664" s="143" t="s">
        <v>10345</v>
      </c>
      <c r="H3664" s="143" t="s">
        <v>10346</v>
      </c>
      <c r="K3664" s="143">
        <v>132</v>
      </c>
      <c r="M3664" s="143" t="s">
        <v>9466</v>
      </c>
      <c r="W3664" s="143" t="s">
        <v>9467</v>
      </c>
      <c r="X3664" s="143" t="s">
        <v>10345</v>
      </c>
      <c r="Y3664" s="143" t="s">
        <v>9467</v>
      </c>
      <c r="Z3664" s="143" t="s">
        <v>10345</v>
      </c>
    </row>
    <row r="3665" spans="1:28">
      <c r="A3665" s="143">
        <v>3628</v>
      </c>
      <c r="B3665" s="144">
        <v>46143</v>
      </c>
      <c r="C3665" s="169" t="s">
        <v>3148</v>
      </c>
      <c r="D3665" s="143" t="s">
        <v>41</v>
      </c>
      <c r="F3665" s="143" t="s">
        <v>10347</v>
      </c>
      <c r="H3665" s="143" t="s">
        <v>10348</v>
      </c>
      <c r="K3665" s="143">
        <v>132</v>
      </c>
      <c r="M3665" s="143" t="s">
        <v>9492</v>
      </c>
      <c r="W3665" s="143" t="s">
        <v>9467</v>
      </c>
      <c r="X3665" s="143" t="s">
        <v>10347</v>
      </c>
      <c r="Y3665" s="143" t="s">
        <v>9467</v>
      </c>
      <c r="Z3665" s="143" t="s">
        <v>10347</v>
      </c>
    </row>
    <row r="3666" spans="1:28">
      <c r="A3666" s="143">
        <v>3629</v>
      </c>
      <c r="B3666" s="144">
        <v>46143</v>
      </c>
      <c r="C3666" s="169" t="s">
        <v>3148</v>
      </c>
      <c r="D3666" s="143" t="s">
        <v>41</v>
      </c>
      <c r="F3666" s="143" t="s">
        <v>10349</v>
      </c>
      <c r="H3666" s="143" t="s">
        <v>10350</v>
      </c>
      <c r="K3666" s="143">
        <v>132</v>
      </c>
      <c r="M3666" s="143" t="s">
        <v>9488</v>
      </c>
      <c r="W3666" s="143" t="s">
        <v>9467</v>
      </c>
      <c r="X3666" s="143" t="s">
        <v>10349</v>
      </c>
      <c r="Y3666" s="143" t="s">
        <v>9467</v>
      </c>
      <c r="Z3666" s="143" t="s">
        <v>10349</v>
      </c>
    </row>
    <row r="3667" spans="1:28">
      <c r="A3667" s="143">
        <v>3630</v>
      </c>
      <c r="B3667" s="144">
        <v>46143</v>
      </c>
      <c r="C3667" s="169" t="s">
        <v>3148</v>
      </c>
      <c r="D3667" s="143" t="s">
        <v>41</v>
      </c>
      <c r="F3667" s="143" t="s">
        <v>10351</v>
      </c>
      <c r="H3667" s="143" t="s">
        <v>10352</v>
      </c>
      <c r="K3667" s="143">
        <v>132</v>
      </c>
      <c r="M3667" s="143" t="s">
        <v>9466</v>
      </c>
      <c r="W3667" s="143" t="s">
        <v>9467</v>
      </c>
      <c r="X3667" s="143" t="s">
        <v>10351</v>
      </c>
      <c r="Y3667" s="143" t="s">
        <v>9467</v>
      </c>
      <c r="Z3667" s="143" t="s">
        <v>10351</v>
      </c>
    </row>
    <row r="3668" spans="1:28">
      <c r="A3668" s="143">
        <v>3631</v>
      </c>
      <c r="B3668" s="144">
        <v>46143</v>
      </c>
      <c r="C3668" s="169" t="s">
        <v>3148</v>
      </c>
      <c r="D3668" s="143" t="s">
        <v>41</v>
      </c>
      <c r="F3668" s="143" t="s">
        <v>10353</v>
      </c>
      <c r="H3668" s="143" t="s">
        <v>10354</v>
      </c>
      <c r="K3668" s="143">
        <v>132</v>
      </c>
      <c r="M3668" s="143" t="s">
        <v>10355</v>
      </c>
      <c r="W3668" s="143" t="s">
        <v>9467</v>
      </c>
      <c r="X3668" s="143" t="s">
        <v>10353</v>
      </c>
      <c r="Y3668" s="143" t="s">
        <v>9467</v>
      </c>
      <c r="Z3668" s="143" t="s">
        <v>10353</v>
      </c>
    </row>
    <row r="3669" spans="1:28">
      <c r="A3669" s="143">
        <v>3632</v>
      </c>
      <c r="B3669" s="144">
        <v>46143</v>
      </c>
      <c r="C3669" s="169" t="s">
        <v>3148</v>
      </c>
      <c r="D3669" s="143" t="s">
        <v>41</v>
      </c>
      <c r="F3669" s="143" t="s">
        <v>10356</v>
      </c>
      <c r="H3669" s="143" t="s">
        <v>10357</v>
      </c>
      <c r="K3669" s="143">
        <v>132</v>
      </c>
      <c r="M3669" s="143" t="s">
        <v>9484</v>
      </c>
      <c r="W3669" s="143" t="s">
        <v>9467</v>
      </c>
      <c r="X3669" s="143" t="s">
        <v>10356</v>
      </c>
      <c r="Y3669" s="143" t="s">
        <v>9467</v>
      </c>
      <c r="Z3669" s="143" t="s">
        <v>10356</v>
      </c>
    </row>
    <row r="3670" spans="1:28">
      <c r="A3670" s="143">
        <v>3633</v>
      </c>
      <c r="B3670" s="144">
        <v>46143</v>
      </c>
      <c r="C3670" s="169" t="s">
        <v>3148</v>
      </c>
      <c r="D3670" s="143" t="s">
        <v>41</v>
      </c>
      <c r="F3670" s="143" t="s">
        <v>10358</v>
      </c>
      <c r="H3670" s="143" t="s">
        <v>10359</v>
      </c>
      <c r="K3670" s="143">
        <v>132</v>
      </c>
      <c r="M3670" s="143" t="s">
        <v>5118</v>
      </c>
      <c r="W3670" s="143" t="s">
        <v>9467</v>
      </c>
      <c r="X3670" s="143" t="s">
        <v>10358</v>
      </c>
      <c r="Y3670" s="143" t="s">
        <v>9467</v>
      </c>
      <c r="Z3670" s="143" t="s">
        <v>10358</v>
      </c>
    </row>
    <row r="3671" spans="1:28">
      <c r="A3671" s="143">
        <v>3634</v>
      </c>
      <c r="B3671" s="144">
        <v>46143</v>
      </c>
      <c r="C3671" s="169" t="s">
        <v>3148</v>
      </c>
      <c r="D3671" s="143" t="s">
        <v>41</v>
      </c>
      <c r="F3671" s="143" t="s">
        <v>10360</v>
      </c>
      <c r="H3671" s="143" t="s">
        <v>10361</v>
      </c>
      <c r="K3671" s="143">
        <v>132</v>
      </c>
      <c r="M3671" s="143" t="s">
        <v>10254</v>
      </c>
      <c r="W3671" s="143" t="s">
        <v>9467</v>
      </c>
      <c r="X3671" s="143" t="s">
        <v>10360</v>
      </c>
      <c r="Y3671" s="143" t="s">
        <v>9467</v>
      </c>
      <c r="Z3671" s="143" t="s">
        <v>10360</v>
      </c>
    </row>
    <row r="3672" spans="1:28">
      <c r="A3672" s="143">
        <v>3635</v>
      </c>
      <c r="B3672" s="144">
        <v>46143</v>
      </c>
      <c r="C3672" s="169" t="s">
        <v>3148</v>
      </c>
      <c r="D3672" s="143" t="s">
        <v>41</v>
      </c>
      <c r="F3672" s="143" t="s">
        <v>10362</v>
      </c>
      <c r="H3672" s="143" t="s">
        <v>10363</v>
      </c>
      <c r="K3672" s="143">
        <v>132</v>
      </c>
      <c r="M3672" s="143" t="s">
        <v>9484</v>
      </c>
      <c r="W3672" s="143" t="s">
        <v>9467</v>
      </c>
      <c r="X3672" s="143" t="s">
        <v>10362</v>
      </c>
      <c r="Y3672" s="143" t="s">
        <v>9467</v>
      </c>
      <c r="Z3672" s="143" t="s">
        <v>10362</v>
      </c>
    </row>
    <row r="3673" spans="1:28">
      <c r="A3673" s="143">
        <v>3636</v>
      </c>
      <c r="B3673" s="144">
        <v>46143</v>
      </c>
      <c r="C3673" s="169" t="s">
        <v>3148</v>
      </c>
      <c r="D3673" s="143" t="s">
        <v>41</v>
      </c>
      <c r="F3673" s="143" t="s">
        <v>10364</v>
      </c>
      <c r="H3673" s="143" t="s">
        <v>10365</v>
      </c>
      <c r="K3673" s="143">
        <v>132</v>
      </c>
      <c r="M3673" s="143" t="s">
        <v>9484</v>
      </c>
      <c r="W3673" s="143" t="s">
        <v>9467</v>
      </c>
      <c r="X3673" s="143" t="s">
        <v>10364</v>
      </c>
      <c r="Y3673" s="143" t="s">
        <v>9467</v>
      </c>
      <c r="Z3673" s="143" t="s">
        <v>10364</v>
      </c>
    </row>
    <row r="3674" spans="1:28">
      <c r="A3674" s="143">
        <v>3637</v>
      </c>
      <c r="B3674" s="144">
        <v>46143</v>
      </c>
      <c r="C3674" s="169" t="s">
        <v>3148</v>
      </c>
      <c r="D3674" s="143" t="s">
        <v>41</v>
      </c>
      <c r="F3674" s="143" t="s">
        <v>10366</v>
      </c>
      <c r="H3674" s="143" t="s">
        <v>10367</v>
      </c>
      <c r="K3674" s="143">
        <v>132</v>
      </c>
      <c r="M3674" s="143" t="s">
        <v>10254</v>
      </c>
      <c r="W3674" s="143" t="s">
        <v>9467</v>
      </c>
      <c r="X3674" s="143" t="s">
        <v>10366</v>
      </c>
      <c r="Y3674" s="143" t="s">
        <v>9467</v>
      </c>
      <c r="Z3674" s="143" t="s">
        <v>10366</v>
      </c>
    </row>
    <row r="3675" spans="1:28">
      <c r="A3675" s="143">
        <v>3638</v>
      </c>
      <c r="B3675" s="144">
        <v>46143</v>
      </c>
      <c r="C3675" s="169" t="s">
        <v>3148</v>
      </c>
      <c r="D3675" s="143" t="s">
        <v>41</v>
      </c>
      <c r="F3675" s="143" t="s">
        <v>10368</v>
      </c>
      <c r="H3675" s="143" t="s">
        <v>10369</v>
      </c>
      <c r="K3675" s="143">
        <v>132</v>
      </c>
      <c r="M3675" s="143" t="s">
        <v>10254</v>
      </c>
      <c r="W3675" s="143" t="s">
        <v>9467</v>
      </c>
      <c r="X3675" s="143" t="s">
        <v>10368</v>
      </c>
      <c r="Y3675" s="143" t="s">
        <v>9467</v>
      </c>
      <c r="Z3675" s="143" t="s">
        <v>10368</v>
      </c>
    </row>
    <row r="3676" ht="15" spans="1:28">
      <c r="A3676" s="143">
        <v>3639</v>
      </c>
      <c r="B3676" s="144">
        <v>46143</v>
      </c>
      <c r="C3676" s="169" t="s">
        <v>3148</v>
      </c>
      <c r="D3676" s="143" t="s">
        <v>41</v>
      </c>
      <c r="F3676" s="143" t="s">
        <v>10370</v>
      </c>
      <c r="H3676" s="143" t="s">
        <v>10371</v>
      </c>
      <c r="I3676" s="143" t="s">
        <v>3218</v>
      </c>
      <c r="K3676" s="143">
        <v>150</v>
      </c>
      <c r="L3676" s="143">
        <v>180</v>
      </c>
      <c r="W3676" s="143" t="s">
        <v>3147</v>
      </c>
      <c r="X3676" s="143" t="s">
        <v>10370</v>
      </c>
      <c r="Y3676" s="143" t="s">
        <v>10372</v>
      </c>
      <c r="Z3676" s="143" t="s">
        <v>10370</v>
      </c>
      <c r="AA3676" s="173">
        <v>16.8</v>
      </c>
      <c r="AB3676" s="144">
        <v>46145</v>
      </c>
    </row>
    <row r="3677" ht="15" spans="1:28">
      <c r="A3677" s="143">
        <v>3640</v>
      </c>
      <c r="B3677" s="144">
        <v>46143</v>
      </c>
      <c r="C3677" s="169" t="s">
        <v>3148</v>
      </c>
      <c r="D3677" s="143" t="s">
        <v>41</v>
      </c>
      <c r="F3677" s="143" t="s">
        <v>10373</v>
      </c>
      <c r="H3677" s="143" t="s">
        <v>10374</v>
      </c>
      <c r="I3677" s="143" t="s">
        <v>3218</v>
      </c>
      <c r="K3677" s="143">
        <v>150</v>
      </c>
      <c r="L3677" s="143">
        <v>180</v>
      </c>
      <c r="W3677" s="143" t="s">
        <v>3147</v>
      </c>
      <c r="X3677" s="143" t="s">
        <v>10373</v>
      </c>
      <c r="Y3677" s="143" t="s">
        <v>10372</v>
      </c>
      <c r="Z3677" s="143" t="s">
        <v>10373</v>
      </c>
      <c r="AA3677" s="173">
        <v>13.5</v>
      </c>
      <c r="AB3677" s="144">
        <v>46145</v>
      </c>
    </row>
    <row r="3678" ht="15" spans="1:28">
      <c r="A3678" s="143">
        <v>3641</v>
      </c>
      <c r="B3678" s="144">
        <v>46143</v>
      </c>
      <c r="C3678" s="169" t="s">
        <v>3148</v>
      </c>
      <c r="D3678" s="143" t="s">
        <v>41</v>
      </c>
      <c r="F3678" s="143" t="s">
        <v>10375</v>
      </c>
      <c r="H3678" s="143" t="s">
        <v>10376</v>
      </c>
      <c r="I3678" s="143" t="s">
        <v>3218</v>
      </c>
      <c r="K3678" s="143">
        <v>150</v>
      </c>
      <c r="L3678" s="143">
        <v>180</v>
      </c>
      <c r="W3678" s="143" t="s">
        <v>3147</v>
      </c>
      <c r="X3678" s="143" t="s">
        <v>10375</v>
      </c>
      <c r="Y3678" s="143" t="s">
        <v>10372</v>
      </c>
      <c r="Z3678" s="143" t="s">
        <v>10375</v>
      </c>
      <c r="AA3678" s="173">
        <v>13.5</v>
      </c>
      <c r="AB3678" s="144">
        <v>46145</v>
      </c>
    </row>
    <row r="3679" ht="15" spans="1:28">
      <c r="A3679" s="143">
        <v>3642</v>
      </c>
      <c r="B3679" s="144">
        <v>46143</v>
      </c>
      <c r="C3679" s="169" t="s">
        <v>3148</v>
      </c>
      <c r="D3679" s="143" t="s">
        <v>41</v>
      </c>
      <c r="F3679" s="143" t="s">
        <v>10377</v>
      </c>
      <c r="H3679" s="143" t="s">
        <v>10378</v>
      </c>
      <c r="I3679" s="143" t="s">
        <v>3218</v>
      </c>
      <c r="K3679" s="143">
        <v>145</v>
      </c>
      <c r="L3679" s="143">
        <v>180</v>
      </c>
      <c r="W3679" s="143" t="s">
        <v>3147</v>
      </c>
      <c r="X3679" s="143" t="s">
        <v>10377</v>
      </c>
      <c r="Y3679" s="143" t="s">
        <v>10372</v>
      </c>
      <c r="Z3679" s="143" t="s">
        <v>10377</v>
      </c>
      <c r="AA3679" s="173">
        <v>13.5</v>
      </c>
      <c r="AB3679" s="144">
        <v>46145</v>
      </c>
    </row>
    <row r="3680" ht="15" spans="1:28">
      <c r="A3680" s="143">
        <v>3643</v>
      </c>
      <c r="B3680" s="144">
        <v>46143</v>
      </c>
      <c r="C3680" s="169" t="s">
        <v>3148</v>
      </c>
      <c r="D3680" s="143" t="s">
        <v>41</v>
      </c>
      <c r="F3680" s="143" t="s">
        <v>10379</v>
      </c>
      <c r="H3680" s="143" t="s">
        <v>10380</v>
      </c>
      <c r="I3680" s="143" t="s">
        <v>3218</v>
      </c>
      <c r="K3680" s="143">
        <v>150</v>
      </c>
      <c r="L3680" s="143">
        <v>180</v>
      </c>
      <c r="W3680" s="143" t="s">
        <v>3147</v>
      </c>
      <c r="X3680" s="143" t="s">
        <v>10379</v>
      </c>
      <c r="Y3680" s="143" t="s">
        <v>10372</v>
      </c>
      <c r="Z3680" s="143" t="s">
        <v>10379</v>
      </c>
      <c r="AA3680" s="173">
        <v>13.5</v>
      </c>
      <c r="AB3680" s="144">
        <v>46145</v>
      </c>
    </row>
    <row r="3681" ht="15" spans="1:28">
      <c r="A3681" s="143">
        <v>3644</v>
      </c>
      <c r="B3681" s="144">
        <v>46143</v>
      </c>
      <c r="C3681" s="169" t="s">
        <v>3148</v>
      </c>
      <c r="D3681" s="143" t="s">
        <v>41</v>
      </c>
      <c r="F3681" s="169" t="s">
        <v>10381</v>
      </c>
      <c r="H3681" s="143" t="s">
        <v>10382</v>
      </c>
      <c r="I3681" s="143" t="s">
        <v>3218</v>
      </c>
      <c r="K3681" s="143">
        <v>150</v>
      </c>
      <c r="L3681" s="143">
        <v>180</v>
      </c>
      <c r="W3681" s="143" t="s">
        <v>3147</v>
      </c>
      <c r="X3681" s="169" t="s">
        <v>10381</v>
      </c>
      <c r="Y3681" s="143" t="s">
        <v>10372</v>
      </c>
      <c r="Z3681" s="169" t="s">
        <v>10381</v>
      </c>
      <c r="AA3681" s="173">
        <v>13.5</v>
      </c>
      <c r="AB3681" s="144">
        <v>46145</v>
      </c>
    </row>
    <row r="3682" ht="15" spans="1:28">
      <c r="A3682" s="143">
        <v>3645</v>
      </c>
      <c r="B3682" s="144">
        <v>46143</v>
      </c>
      <c r="C3682" s="169" t="s">
        <v>3148</v>
      </c>
      <c r="D3682" s="143" t="s">
        <v>41</v>
      </c>
      <c r="F3682" s="169" t="s">
        <v>10383</v>
      </c>
      <c r="H3682" s="143" t="s">
        <v>10384</v>
      </c>
      <c r="I3682" s="143" t="s">
        <v>3390</v>
      </c>
      <c r="K3682" s="143">
        <v>150</v>
      </c>
      <c r="L3682" s="143">
        <v>250</v>
      </c>
      <c r="W3682" s="143" t="s">
        <v>3147</v>
      </c>
      <c r="X3682" s="169" t="s">
        <v>10383</v>
      </c>
      <c r="Y3682" s="143" t="s">
        <v>10372</v>
      </c>
      <c r="Z3682" s="169" t="s">
        <v>10383</v>
      </c>
      <c r="AA3682" s="173">
        <v>14.8</v>
      </c>
      <c r="AB3682" s="144">
        <v>46145</v>
      </c>
    </row>
    <row r="3683" ht="15" spans="1:28">
      <c r="A3683" s="143">
        <v>3646</v>
      </c>
      <c r="B3683" s="144">
        <v>46143</v>
      </c>
      <c r="C3683" s="169" t="s">
        <v>3148</v>
      </c>
      <c r="D3683" s="143" t="s">
        <v>41</v>
      </c>
      <c r="F3683" s="169" t="s">
        <v>10385</v>
      </c>
      <c r="H3683" s="143" t="s">
        <v>10386</v>
      </c>
      <c r="I3683" s="143" t="s">
        <v>3218</v>
      </c>
      <c r="K3683" s="143">
        <v>150</v>
      </c>
      <c r="L3683" s="143">
        <v>190</v>
      </c>
      <c r="W3683" s="143" t="s">
        <v>3147</v>
      </c>
      <c r="X3683" s="169" t="s">
        <v>10385</v>
      </c>
      <c r="Y3683" s="143" t="s">
        <v>10372</v>
      </c>
      <c r="Z3683" s="169" t="s">
        <v>10385</v>
      </c>
      <c r="AA3683" s="173">
        <v>14.8</v>
      </c>
      <c r="AB3683" s="144">
        <v>46145</v>
      </c>
    </row>
    <row r="3684" ht="15" spans="1:28">
      <c r="A3684" s="143">
        <v>3647</v>
      </c>
      <c r="B3684" s="144">
        <v>46143</v>
      </c>
      <c r="C3684" s="169" t="s">
        <v>3148</v>
      </c>
      <c r="D3684" s="143" t="s">
        <v>41</v>
      </c>
      <c r="F3684" s="169" t="s">
        <v>10387</v>
      </c>
      <c r="H3684" s="143" t="s">
        <v>10388</v>
      </c>
      <c r="I3684" s="143" t="s">
        <v>3218</v>
      </c>
      <c r="K3684" s="143">
        <v>150</v>
      </c>
      <c r="L3684" s="143">
        <v>190</v>
      </c>
      <c r="W3684" s="143" t="s">
        <v>3147</v>
      </c>
      <c r="X3684" s="169" t="s">
        <v>10387</v>
      </c>
      <c r="Y3684" s="143" t="s">
        <v>10372</v>
      </c>
      <c r="Z3684" s="169" t="s">
        <v>10387</v>
      </c>
      <c r="AA3684" s="173">
        <v>14.8</v>
      </c>
      <c r="AB3684" s="144">
        <v>46145</v>
      </c>
    </row>
    <row r="3685" ht="15" spans="1:28">
      <c r="A3685" s="143">
        <v>3648</v>
      </c>
      <c r="B3685" s="144">
        <v>46143</v>
      </c>
      <c r="C3685" s="169" t="s">
        <v>3148</v>
      </c>
      <c r="D3685" s="143" t="s">
        <v>41</v>
      </c>
      <c r="F3685" s="169" t="s">
        <v>10389</v>
      </c>
      <c r="H3685" s="143" t="s">
        <v>10390</v>
      </c>
      <c r="I3685" s="143" t="s">
        <v>3218</v>
      </c>
      <c r="K3685" s="143">
        <v>150</v>
      </c>
      <c r="L3685" s="143">
        <v>190</v>
      </c>
      <c r="W3685" s="143" t="s">
        <v>3147</v>
      </c>
      <c r="X3685" s="169" t="s">
        <v>10389</v>
      </c>
      <c r="Y3685" s="143" t="s">
        <v>10372</v>
      </c>
      <c r="Z3685" s="169" t="s">
        <v>10389</v>
      </c>
      <c r="AA3685" s="173">
        <v>14.8</v>
      </c>
      <c r="AB3685" s="144">
        <v>46145</v>
      </c>
    </row>
    <row r="3686" ht="15" spans="1:28">
      <c r="A3686" s="143">
        <v>3649</v>
      </c>
      <c r="B3686" s="144">
        <v>46143</v>
      </c>
      <c r="C3686" s="169" t="s">
        <v>3148</v>
      </c>
      <c r="D3686" s="143" t="s">
        <v>41</v>
      </c>
      <c r="F3686" s="169" t="s">
        <v>10391</v>
      </c>
      <c r="H3686" s="143" t="s">
        <v>10392</v>
      </c>
      <c r="I3686" s="143" t="s">
        <v>3218</v>
      </c>
      <c r="K3686" s="143">
        <v>150</v>
      </c>
      <c r="L3686" s="143">
        <v>190</v>
      </c>
      <c r="W3686" s="143" t="s">
        <v>3147</v>
      </c>
      <c r="X3686" s="169" t="s">
        <v>10391</v>
      </c>
      <c r="Y3686" s="143" t="s">
        <v>10372</v>
      </c>
      <c r="Z3686" s="169" t="s">
        <v>10391</v>
      </c>
      <c r="AA3686" s="173">
        <v>14.8</v>
      </c>
      <c r="AB3686" s="144">
        <v>46145</v>
      </c>
    </row>
    <row r="3687" ht="15" spans="1:28">
      <c r="A3687" s="143">
        <v>3650</v>
      </c>
      <c r="B3687" s="144">
        <v>46143</v>
      </c>
      <c r="C3687" s="169" t="s">
        <v>3148</v>
      </c>
      <c r="D3687" s="143" t="s">
        <v>41</v>
      </c>
      <c r="F3687" s="169" t="s">
        <v>10393</v>
      </c>
      <c r="H3687" s="143" t="s">
        <v>10394</v>
      </c>
      <c r="I3687" s="143" t="s">
        <v>3218</v>
      </c>
      <c r="K3687" s="143">
        <v>150</v>
      </c>
      <c r="L3687" s="143">
        <v>190</v>
      </c>
      <c r="W3687" s="143" t="s">
        <v>3147</v>
      </c>
      <c r="X3687" s="169" t="s">
        <v>10393</v>
      </c>
      <c r="Y3687" s="143" t="s">
        <v>10372</v>
      </c>
      <c r="Z3687" s="169" t="s">
        <v>10393</v>
      </c>
      <c r="AA3687" s="173">
        <v>14.8</v>
      </c>
      <c r="AB3687" s="144">
        <v>46145</v>
      </c>
    </row>
    <row r="3688" ht="15" spans="1:28">
      <c r="A3688" s="143">
        <v>3651</v>
      </c>
      <c r="B3688" s="144">
        <v>46143</v>
      </c>
      <c r="C3688" s="169" t="s">
        <v>3148</v>
      </c>
      <c r="D3688" s="143" t="s">
        <v>41</v>
      </c>
      <c r="F3688" s="169" t="s">
        <v>10395</v>
      </c>
      <c r="H3688" s="143" t="s">
        <v>10396</v>
      </c>
      <c r="I3688" s="143" t="s">
        <v>3218</v>
      </c>
      <c r="K3688" s="143">
        <v>150</v>
      </c>
      <c r="L3688" s="143">
        <v>190</v>
      </c>
      <c r="W3688" s="143" t="s">
        <v>3147</v>
      </c>
      <c r="X3688" s="169" t="s">
        <v>10395</v>
      </c>
      <c r="Y3688" s="143" t="s">
        <v>10372</v>
      </c>
      <c r="Z3688" s="169" t="s">
        <v>10395</v>
      </c>
      <c r="AA3688" s="173">
        <v>14.8</v>
      </c>
      <c r="AB3688" s="144">
        <v>46145</v>
      </c>
    </row>
    <row r="3689" ht="15" spans="1:28">
      <c r="A3689" s="143">
        <v>3652</v>
      </c>
      <c r="B3689" s="144">
        <v>46143</v>
      </c>
      <c r="C3689" s="169" t="s">
        <v>3148</v>
      </c>
      <c r="D3689" s="143" t="s">
        <v>41</v>
      </c>
      <c r="F3689" s="169" t="s">
        <v>10397</v>
      </c>
      <c r="H3689" s="143" t="s">
        <v>10398</v>
      </c>
      <c r="I3689" s="143" t="s">
        <v>3218</v>
      </c>
      <c r="K3689" s="143">
        <v>150</v>
      </c>
      <c r="L3689" s="143">
        <v>190</v>
      </c>
      <c r="W3689" s="143" t="s">
        <v>3147</v>
      </c>
      <c r="X3689" s="169" t="s">
        <v>10397</v>
      </c>
      <c r="Y3689" s="143" t="s">
        <v>10372</v>
      </c>
      <c r="Z3689" s="169" t="s">
        <v>10397</v>
      </c>
      <c r="AA3689" s="173">
        <v>14.8</v>
      </c>
      <c r="AB3689" s="144">
        <v>46145</v>
      </c>
    </row>
    <row r="3690" ht="15" spans="1:28">
      <c r="A3690" s="143">
        <v>3653</v>
      </c>
      <c r="B3690" s="144">
        <v>46143</v>
      </c>
      <c r="C3690" s="169" t="s">
        <v>3148</v>
      </c>
      <c r="D3690" s="143" t="s">
        <v>41</v>
      </c>
      <c r="F3690" s="169" t="s">
        <v>10399</v>
      </c>
      <c r="H3690" s="143" t="s">
        <v>10400</v>
      </c>
      <c r="I3690" s="143" t="s">
        <v>3218</v>
      </c>
      <c r="K3690" s="143">
        <v>150</v>
      </c>
      <c r="L3690" s="143">
        <v>190</v>
      </c>
      <c r="W3690" s="143" t="s">
        <v>3147</v>
      </c>
      <c r="X3690" s="169" t="s">
        <v>10399</v>
      </c>
      <c r="Y3690" s="143" t="s">
        <v>10372</v>
      </c>
      <c r="Z3690" s="169" t="s">
        <v>10399</v>
      </c>
      <c r="AA3690" s="173">
        <v>14.8</v>
      </c>
      <c r="AB3690" s="144">
        <v>46145</v>
      </c>
    </row>
    <row r="3691" ht="15" spans="1:28">
      <c r="A3691" s="143">
        <v>3654</v>
      </c>
      <c r="B3691" s="144">
        <v>46143</v>
      </c>
      <c r="C3691" s="169" t="s">
        <v>3148</v>
      </c>
      <c r="D3691" s="143" t="s">
        <v>41</v>
      </c>
      <c r="F3691" s="169" t="s">
        <v>10401</v>
      </c>
      <c r="H3691" s="143" t="s">
        <v>10402</v>
      </c>
      <c r="I3691" s="143" t="s">
        <v>3218</v>
      </c>
      <c r="K3691" s="143">
        <v>150</v>
      </c>
      <c r="L3691" s="143">
        <v>190</v>
      </c>
      <c r="W3691" s="143" t="s">
        <v>3147</v>
      </c>
      <c r="X3691" s="169" t="s">
        <v>10401</v>
      </c>
      <c r="Y3691" s="143" t="s">
        <v>10372</v>
      </c>
      <c r="Z3691" s="169" t="s">
        <v>10401</v>
      </c>
      <c r="AA3691" s="173">
        <v>14.8</v>
      </c>
      <c r="AB3691" s="144">
        <v>46145</v>
      </c>
    </row>
    <row r="3692" ht="15" spans="1:28">
      <c r="A3692" s="143">
        <v>3655</v>
      </c>
      <c r="B3692" s="144">
        <v>46143</v>
      </c>
      <c r="C3692" s="169" t="s">
        <v>3148</v>
      </c>
      <c r="D3692" s="143" t="s">
        <v>41</v>
      </c>
      <c r="F3692" s="143" t="s">
        <v>10403</v>
      </c>
      <c r="H3692" s="143" t="s">
        <v>10404</v>
      </c>
      <c r="I3692" s="143" t="s">
        <v>3218</v>
      </c>
      <c r="K3692" s="143">
        <v>150</v>
      </c>
      <c r="L3692" s="143">
        <v>180</v>
      </c>
      <c r="W3692" s="143" t="s">
        <v>3147</v>
      </c>
      <c r="X3692" s="143" t="s">
        <v>10403</v>
      </c>
      <c r="Y3692" s="143" t="s">
        <v>10372</v>
      </c>
      <c r="Z3692" s="143" t="s">
        <v>10403</v>
      </c>
      <c r="AA3692" s="173">
        <v>9.8</v>
      </c>
      <c r="AB3692" s="144">
        <v>46145</v>
      </c>
    </row>
    <row r="3693" ht="15" spans="1:28">
      <c r="A3693" s="143">
        <v>3656</v>
      </c>
      <c r="B3693" s="144">
        <v>46143</v>
      </c>
      <c r="C3693" s="169" t="s">
        <v>3148</v>
      </c>
      <c r="D3693" s="143" t="s">
        <v>41</v>
      </c>
      <c r="F3693" s="143" t="s">
        <v>10405</v>
      </c>
      <c r="H3693" s="143" t="s">
        <v>10406</v>
      </c>
      <c r="I3693" s="143" t="s">
        <v>3218</v>
      </c>
      <c r="J3693" s="143" t="s">
        <v>1577</v>
      </c>
      <c r="K3693" s="143">
        <v>150</v>
      </c>
      <c r="L3693" s="143">
        <v>110</v>
      </c>
      <c r="W3693" s="143" t="s">
        <v>3147</v>
      </c>
      <c r="X3693" s="143" t="s">
        <v>10405</v>
      </c>
      <c r="Y3693" s="169" t="s">
        <v>10407</v>
      </c>
      <c r="Z3693" s="143" t="s">
        <v>10405</v>
      </c>
      <c r="AA3693" s="173">
        <v>9.5</v>
      </c>
      <c r="AB3693" s="144">
        <v>46145</v>
      </c>
    </row>
    <row r="3694" ht="15" spans="1:28">
      <c r="A3694" s="143">
        <v>3657</v>
      </c>
      <c r="B3694" s="144">
        <v>46143</v>
      </c>
      <c r="C3694" s="169" t="s">
        <v>3148</v>
      </c>
      <c r="D3694" s="143" t="s">
        <v>41</v>
      </c>
      <c r="F3694" s="143" t="s">
        <v>10408</v>
      </c>
      <c r="H3694" s="143" t="s">
        <v>10409</v>
      </c>
      <c r="I3694" s="143" t="s">
        <v>3218</v>
      </c>
      <c r="J3694" s="143" t="s">
        <v>1577</v>
      </c>
      <c r="K3694" s="143">
        <v>150</v>
      </c>
      <c r="L3694" s="143">
        <v>170</v>
      </c>
      <c r="W3694" s="143" t="s">
        <v>3147</v>
      </c>
      <c r="X3694" s="143" t="s">
        <v>10408</v>
      </c>
      <c r="Y3694" s="169" t="s">
        <v>10407</v>
      </c>
      <c r="Z3694" s="143" t="s">
        <v>10408</v>
      </c>
      <c r="AA3694" s="173">
        <v>10.5</v>
      </c>
      <c r="AB3694" s="144">
        <v>46145</v>
      </c>
    </row>
    <row r="3695" ht="15" spans="1:28">
      <c r="A3695" s="143">
        <v>3658</v>
      </c>
      <c r="B3695" s="144">
        <v>46143</v>
      </c>
      <c r="C3695" s="169" t="s">
        <v>3148</v>
      </c>
      <c r="D3695" s="143" t="s">
        <v>41</v>
      </c>
      <c r="F3695" s="169" t="s">
        <v>10410</v>
      </c>
      <c r="H3695" s="143" t="s">
        <v>10411</v>
      </c>
      <c r="I3695" s="143" t="s">
        <v>3218</v>
      </c>
      <c r="J3695" s="143" t="s">
        <v>1577</v>
      </c>
      <c r="K3695" s="143">
        <v>150</v>
      </c>
      <c r="L3695" s="143">
        <v>185</v>
      </c>
      <c r="W3695" s="143" t="s">
        <v>3147</v>
      </c>
      <c r="X3695" s="169" t="s">
        <v>10410</v>
      </c>
      <c r="Y3695" s="143" t="s">
        <v>4636</v>
      </c>
      <c r="Z3695" s="169" t="s">
        <v>10410</v>
      </c>
      <c r="AA3695" s="173">
        <v>11.2</v>
      </c>
      <c r="AB3695" s="144">
        <v>46145</v>
      </c>
    </row>
    <row r="3696" ht="15" spans="1:28">
      <c r="A3696" s="143">
        <v>3659</v>
      </c>
      <c r="B3696" s="144">
        <v>46143</v>
      </c>
      <c r="C3696" s="169" t="s">
        <v>3148</v>
      </c>
      <c r="D3696" s="143" t="s">
        <v>41</v>
      </c>
      <c r="F3696" s="169" t="s">
        <v>10412</v>
      </c>
      <c r="H3696" s="143" t="s">
        <v>10413</v>
      </c>
      <c r="I3696" s="143" t="s">
        <v>3218</v>
      </c>
      <c r="J3696" s="143" t="s">
        <v>1577</v>
      </c>
      <c r="K3696" s="143">
        <v>150</v>
      </c>
      <c r="L3696" s="143">
        <v>135</v>
      </c>
      <c r="W3696" s="143" t="s">
        <v>3147</v>
      </c>
      <c r="X3696" s="169" t="s">
        <v>10412</v>
      </c>
      <c r="Y3696" s="143" t="s">
        <v>4636</v>
      </c>
      <c r="Z3696" s="169" t="s">
        <v>10412</v>
      </c>
      <c r="AA3696" s="173">
        <v>11.5</v>
      </c>
      <c r="AB3696" s="144">
        <v>46145</v>
      </c>
    </row>
    <row r="3697" ht="15" spans="1:28">
      <c r="A3697" s="143">
        <v>3660</v>
      </c>
      <c r="B3697" s="144">
        <v>46143</v>
      </c>
      <c r="C3697" s="169" t="s">
        <v>3148</v>
      </c>
      <c r="D3697" s="143" t="s">
        <v>41</v>
      </c>
      <c r="F3697" s="169" t="s">
        <v>10414</v>
      </c>
      <c r="H3697" s="143" t="s">
        <v>10415</v>
      </c>
      <c r="I3697" s="143" t="s">
        <v>3218</v>
      </c>
      <c r="J3697" s="143" t="s">
        <v>1577</v>
      </c>
      <c r="K3697" s="143">
        <v>150</v>
      </c>
      <c r="L3697" s="143">
        <v>185</v>
      </c>
      <c r="W3697" s="143" t="s">
        <v>3147</v>
      </c>
      <c r="X3697" s="169" t="s">
        <v>10414</v>
      </c>
      <c r="Y3697" s="143" t="s">
        <v>4636</v>
      </c>
      <c r="Z3697" s="169" t="s">
        <v>10414</v>
      </c>
      <c r="AA3697" s="173">
        <v>10.8</v>
      </c>
      <c r="AB3697" s="144">
        <v>46145</v>
      </c>
    </row>
    <row r="3698" ht="15" spans="1:28">
      <c r="A3698" s="143">
        <v>3661</v>
      </c>
      <c r="B3698" s="144">
        <v>46143</v>
      </c>
      <c r="C3698" s="169" t="s">
        <v>3148</v>
      </c>
      <c r="D3698" s="143" t="s">
        <v>41</v>
      </c>
      <c r="F3698" s="169" t="s">
        <v>10416</v>
      </c>
      <c r="H3698" s="143" t="s">
        <v>10417</v>
      </c>
      <c r="I3698" s="182" t="s">
        <v>3742</v>
      </c>
      <c r="J3698" s="143" t="s">
        <v>4144</v>
      </c>
      <c r="K3698" s="143">
        <v>150</v>
      </c>
      <c r="L3698" s="143">
        <v>170</v>
      </c>
      <c r="W3698" s="143" t="s">
        <v>3147</v>
      </c>
      <c r="X3698" s="169" t="s">
        <v>10416</v>
      </c>
      <c r="Y3698" s="143" t="s">
        <v>4636</v>
      </c>
      <c r="Z3698" s="169" t="s">
        <v>10416</v>
      </c>
      <c r="AA3698" s="173">
        <v>9.3</v>
      </c>
      <c r="AB3698" s="144">
        <v>46145</v>
      </c>
    </row>
    <row r="3699" ht="15" spans="1:28">
      <c r="A3699" s="143">
        <v>3662</v>
      </c>
      <c r="B3699" s="144">
        <v>46143</v>
      </c>
      <c r="C3699" s="169" t="s">
        <v>3148</v>
      </c>
      <c r="D3699" s="143" t="s">
        <v>41</v>
      </c>
      <c r="F3699" s="143">
        <v>3138</v>
      </c>
      <c r="H3699" s="143" t="s">
        <v>10418</v>
      </c>
      <c r="I3699" s="143" t="s">
        <v>3218</v>
      </c>
      <c r="K3699" s="143">
        <v>150</v>
      </c>
      <c r="L3699" s="143">
        <v>195</v>
      </c>
      <c r="W3699" s="143" t="s">
        <v>3147</v>
      </c>
      <c r="X3699" s="143">
        <v>3138</v>
      </c>
      <c r="Y3699" s="232" t="s">
        <v>10419</v>
      </c>
      <c r="Z3699" s="143">
        <v>3138</v>
      </c>
      <c r="AA3699" s="173">
        <v>14.6</v>
      </c>
      <c r="AB3699" s="144">
        <v>46145</v>
      </c>
    </row>
    <row r="3700" ht="15" spans="1:28">
      <c r="A3700" s="143">
        <v>3663</v>
      </c>
      <c r="B3700" s="144">
        <v>46143</v>
      </c>
      <c r="C3700" s="169" t="s">
        <v>3148</v>
      </c>
      <c r="D3700" s="143" t="s">
        <v>41</v>
      </c>
      <c r="F3700" s="169" t="s">
        <v>10420</v>
      </c>
      <c r="H3700" s="143" t="s">
        <v>10421</v>
      </c>
      <c r="I3700" s="143" t="s">
        <v>5648</v>
      </c>
      <c r="K3700" s="143">
        <v>150</v>
      </c>
      <c r="L3700" s="143">
        <v>150</v>
      </c>
      <c r="W3700" s="143" t="s">
        <v>3147</v>
      </c>
      <c r="X3700" s="169" t="s">
        <v>10420</v>
      </c>
      <c r="Y3700" s="232" t="s">
        <v>10419</v>
      </c>
      <c r="Z3700" s="169" t="s">
        <v>10420</v>
      </c>
      <c r="AA3700" s="173">
        <v>11.5</v>
      </c>
      <c r="AB3700" s="144">
        <v>46145</v>
      </c>
    </row>
    <row r="3701" ht="15" spans="1:28">
      <c r="A3701" s="143">
        <v>3664</v>
      </c>
      <c r="B3701" s="144">
        <v>46143</v>
      </c>
      <c r="C3701" s="169" t="s">
        <v>3148</v>
      </c>
      <c r="D3701" s="143" t="s">
        <v>41</v>
      </c>
      <c r="F3701" s="169" t="s">
        <v>10422</v>
      </c>
      <c r="H3701" s="143" t="s">
        <v>10423</v>
      </c>
      <c r="I3701" s="143" t="s">
        <v>3390</v>
      </c>
      <c r="K3701" s="143">
        <v>150</v>
      </c>
      <c r="L3701" s="143">
        <v>90</v>
      </c>
      <c r="W3701" s="143" t="s">
        <v>3147</v>
      </c>
      <c r="X3701" s="169" t="s">
        <v>10422</v>
      </c>
      <c r="Y3701" s="232" t="s">
        <v>10419</v>
      </c>
      <c r="Z3701" s="169" t="s">
        <v>10422</v>
      </c>
      <c r="AA3701" s="173">
        <v>7.6</v>
      </c>
      <c r="AB3701" s="144">
        <v>46145</v>
      </c>
    </row>
    <row r="3702" ht="15" spans="1:28">
      <c r="A3702" s="143">
        <v>3665</v>
      </c>
      <c r="B3702" s="144">
        <v>46143</v>
      </c>
      <c r="C3702" s="169" t="s">
        <v>3148</v>
      </c>
      <c r="D3702" s="143" t="s">
        <v>41</v>
      </c>
      <c r="F3702" s="169" t="s">
        <v>5361</v>
      </c>
      <c r="H3702" s="143" t="s">
        <v>10424</v>
      </c>
      <c r="I3702" s="143" t="s">
        <v>3418</v>
      </c>
      <c r="K3702" s="143">
        <v>120</v>
      </c>
      <c r="L3702" s="143">
        <v>100</v>
      </c>
      <c r="W3702" s="143" t="s">
        <v>3147</v>
      </c>
      <c r="X3702" s="169" t="s">
        <v>5361</v>
      </c>
      <c r="Y3702" s="232" t="s">
        <v>10419</v>
      </c>
      <c r="Z3702" s="169" t="s">
        <v>5361</v>
      </c>
      <c r="AA3702" s="173">
        <v>7.6</v>
      </c>
      <c r="AB3702" s="144">
        <v>46145</v>
      </c>
    </row>
    <row r="3703" ht="15" spans="1:28">
      <c r="A3703" s="143">
        <v>3666</v>
      </c>
      <c r="B3703" s="144">
        <v>46143</v>
      </c>
      <c r="C3703" s="169" t="s">
        <v>3148</v>
      </c>
      <c r="D3703" s="143" t="s">
        <v>41</v>
      </c>
      <c r="F3703" s="169" t="s">
        <v>10425</v>
      </c>
      <c r="H3703" s="143" t="s">
        <v>10426</v>
      </c>
      <c r="I3703" s="143" t="s">
        <v>3390</v>
      </c>
      <c r="K3703" s="143">
        <v>148</v>
      </c>
      <c r="L3703" s="143">
        <v>135</v>
      </c>
      <c r="W3703" s="143" t="s">
        <v>3147</v>
      </c>
      <c r="X3703" s="169" t="s">
        <v>10425</v>
      </c>
      <c r="Y3703" s="232" t="s">
        <v>10427</v>
      </c>
      <c r="Z3703" s="169" t="s">
        <v>10425</v>
      </c>
      <c r="AA3703" s="173">
        <v>8.8</v>
      </c>
      <c r="AB3703" s="144">
        <v>46145</v>
      </c>
    </row>
    <row r="3704" ht="15" spans="1:28">
      <c r="A3704" s="143">
        <v>3667</v>
      </c>
      <c r="B3704" s="144">
        <v>46143</v>
      </c>
      <c r="C3704" s="169" t="s">
        <v>3148</v>
      </c>
      <c r="D3704" s="143" t="s">
        <v>41</v>
      </c>
      <c r="F3704" s="169" t="s">
        <v>10428</v>
      </c>
      <c r="H3704" s="143" t="s">
        <v>10429</v>
      </c>
      <c r="I3704" s="143" t="s">
        <v>3218</v>
      </c>
      <c r="K3704" s="143">
        <v>148</v>
      </c>
      <c r="L3704" s="143">
        <v>150</v>
      </c>
      <c r="W3704" s="143" t="s">
        <v>3147</v>
      </c>
      <c r="X3704" s="169" t="s">
        <v>10428</v>
      </c>
      <c r="Y3704" s="232" t="s">
        <v>10427</v>
      </c>
      <c r="Z3704" s="169" t="s">
        <v>10428</v>
      </c>
      <c r="AA3704" s="173">
        <v>10.2</v>
      </c>
      <c r="AB3704" s="144">
        <v>46145</v>
      </c>
    </row>
    <row r="3705" ht="15" spans="1:28">
      <c r="A3705" s="143">
        <v>3668</v>
      </c>
      <c r="B3705" s="144">
        <v>46143</v>
      </c>
      <c r="C3705" s="169" t="s">
        <v>3148</v>
      </c>
      <c r="D3705" s="143" t="s">
        <v>41</v>
      </c>
      <c r="F3705" s="169" t="s">
        <v>10430</v>
      </c>
      <c r="H3705" s="143" t="s">
        <v>10431</v>
      </c>
      <c r="I3705" s="143" t="s">
        <v>3218</v>
      </c>
      <c r="K3705" s="143">
        <v>150</v>
      </c>
      <c r="L3705" s="143">
        <v>65</v>
      </c>
      <c r="W3705" s="143" t="s">
        <v>3147</v>
      </c>
      <c r="X3705" s="169" t="s">
        <v>10430</v>
      </c>
      <c r="Y3705" s="232" t="s">
        <v>10432</v>
      </c>
      <c r="Z3705" s="169" t="s">
        <v>10430</v>
      </c>
      <c r="AA3705" s="173">
        <v>7.5</v>
      </c>
      <c r="AB3705" s="144">
        <v>46145</v>
      </c>
    </row>
    <row r="3706" ht="15" spans="1:28">
      <c r="A3706" s="143">
        <v>3669</v>
      </c>
      <c r="B3706" s="144">
        <v>46143</v>
      </c>
      <c r="C3706" s="169" t="s">
        <v>3148</v>
      </c>
      <c r="D3706" s="143" t="s">
        <v>41</v>
      </c>
      <c r="F3706" s="169" t="s">
        <v>10433</v>
      </c>
      <c r="H3706" s="143" t="s">
        <v>10434</v>
      </c>
      <c r="I3706" s="143" t="s">
        <v>4322</v>
      </c>
      <c r="J3706" s="143" t="s">
        <v>2917</v>
      </c>
      <c r="K3706" s="143">
        <v>150</v>
      </c>
      <c r="L3706" s="143">
        <v>180</v>
      </c>
      <c r="W3706" s="143" t="s">
        <v>3147</v>
      </c>
      <c r="X3706" s="169" t="s">
        <v>10433</v>
      </c>
      <c r="Y3706" s="232" t="s">
        <v>10432</v>
      </c>
      <c r="Z3706" s="169" t="s">
        <v>10433</v>
      </c>
      <c r="AA3706" s="173">
        <v>12.1</v>
      </c>
      <c r="AB3706" s="144">
        <v>46145</v>
      </c>
    </row>
    <row r="3707" spans="1:28">
      <c r="A3707" s="143">
        <v>3670</v>
      </c>
      <c r="B3707" s="144">
        <v>46147</v>
      </c>
      <c r="C3707" s="169" t="s">
        <v>3646</v>
      </c>
      <c r="D3707" s="169" t="s">
        <v>10435</v>
      </c>
      <c r="F3707" s="143" t="s">
        <v>10436</v>
      </c>
      <c r="H3707" s="143" t="s">
        <v>10437</v>
      </c>
      <c r="I3707" s="169" t="s">
        <v>10438</v>
      </c>
      <c r="J3707" s="169" t="s">
        <v>10439</v>
      </c>
      <c r="K3707" s="143">
        <v>140</v>
      </c>
      <c r="M3707" s="143" t="s">
        <v>5105</v>
      </c>
      <c r="W3707" s="169" t="s">
        <v>9776</v>
      </c>
      <c r="X3707" s="143" t="s">
        <v>10436</v>
      </c>
      <c r="Y3707" s="169" t="s">
        <v>10440</v>
      </c>
      <c r="Z3707" s="143" t="s">
        <v>10436</v>
      </c>
      <c r="AA3707" s="143" t="s">
        <v>10441</v>
      </c>
      <c r="AB3707" s="170">
        <v>46147</v>
      </c>
    </row>
    <row r="3708" spans="1:28">
      <c r="A3708" s="143">
        <v>3671</v>
      </c>
      <c r="B3708" s="144">
        <v>46148</v>
      </c>
      <c r="C3708" s="169" t="s">
        <v>3646</v>
      </c>
      <c r="D3708" s="169" t="s">
        <v>10442</v>
      </c>
      <c r="F3708" s="143" t="s">
        <v>10443</v>
      </c>
      <c r="H3708" s="143" t="s">
        <v>10444</v>
      </c>
      <c r="I3708" s="143" t="s">
        <v>10445</v>
      </c>
      <c r="J3708" s="143" t="s">
        <v>10446</v>
      </c>
      <c r="K3708" s="143">
        <v>138</v>
      </c>
      <c r="L3708" s="143">
        <v>128</v>
      </c>
      <c r="W3708" s="169" t="s">
        <v>10447</v>
      </c>
      <c r="X3708" s="143" t="s">
        <v>10443</v>
      </c>
      <c r="AA3708" s="143" t="s">
        <v>10448</v>
      </c>
      <c r="AB3708" s="170">
        <v>46148</v>
      </c>
    </row>
    <row r="3709" spans="1:28">
      <c r="A3709" s="143">
        <v>3672</v>
      </c>
      <c r="B3709" s="144">
        <v>46148</v>
      </c>
      <c r="C3709" s="169" t="s">
        <v>3646</v>
      </c>
      <c r="D3709" s="169" t="s">
        <v>10442</v>
      </c>
      <c r="F3709" s="143" t="s">
        <v>10449</v>
      </c>
      <c r="H3709" s="143" t="s">
        <v>10450</v>
      </c>
      <c r="I3709" s="143" t="s">
        <v>10445</v>
      </c>
      <c r="J3709" s="143" t="s">
        <v>10446</v>
      </c>
      <c r="K3709" s="143">
        <v>140</v>
      </c>
      <c r="W3709" s="143" t="s">
        <v>3147</v>
      </c>
      <c r="X3709" s="143" t="s">
        <v>10449</v>
      </c>
      <c r="Y3709" s="169" t="s">
        <v>10451</v>
      </c>
      <c r="Z3709" s="143" t="s">
        <v>10449</v>
      </c>
    </row>
    <row r="3710" spans="1:28">
      <c r="A3710" s="143">
        <v>3673</v>
      </c>
      <c r="B3710" s="144">
        <v>46151</v>
      </c>
      <c r="C3710" s="169" t="s">
        <v>3148</v>
      </c>
      <c r="D3710" s="169" t="s">
        <v>10452</v>
      </c>
      <c r="F3710" s="143" t="s">
        <v>10453</v>
      </c>
      <c r="H3710" s="143" t="s">
        <v>10454</v>
      </c>
    </row>
    <row r="3711" spans="1:28">
      <c r="A3711" s="143">
        <v>3674</v>
      </c>
      <c r="B3711" s="144">
        <v>46151</v>
      </c>
      <c r="C3711" s="169" t="s">
        <v>3148</v>
      </c>
      <c r="D3711" s="169" t="s">
        <v>10452</v>
      </c>
      <c r="F3711" s="143" t="s">
        <v>10455</v>
      </c>
      <c r="H3711" s="143" t="s">
        <v>10456</v>
      </c>
    </row>
    <row r="3712" ht="14.25" spans="1:28">
      <c r="A3712" s="143">
        <v>3675</v>
      </c>
      <c r="B3712" s="144">
        <v>46153</v>
      </c>
      <c r="C3712" s="169" t="s">
        <v>9603</v>
      </c>
      <c r="F3712" s="143">
        <v>38222</v>
      </c>
      <c r="H3712" s="143" t="s">
        <v>10457</v>
      </c>
      <c r="I3712" s="143" t="s">
        <v>6158</v>
      </c>
      <c r="J3712" s="143" t="s">
        <v>8181</v>
      </c>
      <c r="K3712" s="143">
        <v>140</v>
      </c>
      <c r="W3712" s="169" t="s">
        <v>294</v>
      </c>
      <c r="X3712" s="143">
        <v>38222</v>
      </c>
      <c r="Y3712" s="169" t="s">
        <v>10458</v>
      </c>
      <c r="AA3712" s="250" t="s">
        <v>10459</v>
      </c>
      <c r="AB3712" s="170">
        <v>46155</v>
      </c>
    </row>
    <row r="3713" ht="14.25" spans="1:28">
      <c r="A3713" s="143">
        <v>3676</v>
      </c>
      <c r="B3713" s="144">
        <v>46153</v>
      </c>
      <c r="C3713" s="169" t="s">
        <v>9603</v>
      </c>
      <c r="F3713" s="143">
        <v>38211</v>
      </c>
      <c r="H3713" s="143" t="s">
        <v>10460</v>
      </c>
      <c r="I3713" s="143" t="s">
        <v>6158</v>
      </c>
      <c r="J3713" s="143" t="s">
        <v>8181</v>
      </c>
      <c r="K3713" s="143">
        <v>140</v>
      </c>
      <c r="W3713" s="169" t="s">
        <v>294</v>
      </c>
      <c r="X3713" s="143">
        <v>38221</v>
      </c>
      <c r="Y3713" s="169" t="s">
        <v>10458</v>
      </c>
      <c r="AA3713" s="250" t="s">
        <v>10461</v>
      </c>
      <c r="AB3713" s="170">
        <v>46155</v>
      </c>
    </row>
    <row r="3714" ht="14.25" spans="1:28">
      <c r="A3714" s="143">
        <v>3677</v>
      </c>
      <c r="B3714" s="144">
        <v>46153</v>
      </c>
      <c r="C3714" s="169" t="s">
        <v>9603</v>
      </c>
      <c r="F3714" s="143">
        <v>913</v>
      </c>
      <c r="H3714" s="143" t="s">
        <v>10462</v>
      </c>
      <c r="I3714" s="143" t="s">
        <v>10463</v>
      </c>
      <c r="J3714" s="182" t="s">
        <v>10464</v>
      </c>
      <c r="W3714" s="169" t="s">
        <v>294</v>
      </c>
      <c r="X3714" s="143">
        <v>913</v>
      </c>
      <c r="Y3714" s="169" t="s">
        <v>10465</v>
      </c>
      <c r="AA3714" s="250" t="s">
        <v>10466</v>
      </c>
      <c r="AB3714" s="170">
        <v>46155</v>
      </c>
    </row>
    <row r="3715" ht="14.25" spans="1:28">
      <c r="A3715" s="143">
        <v>3678</v>
      </c>
      <c r="B3715" s="144">
        <v>46153</v>
      </c>
      <c r="C3715" s="169" t="s">
        <v>9603</v>
      </c>
      <c r="F3715" s="143" t="s">
        <v>10467</v>
      </c>
      <c r="H3715" s="143" t="s">
        <v>10468</v>
      </c>
      <c r="W3715" s="169" t="s">
        <v>294</v>
      </c>
      <c r="X3715" s="143" t="s">
        <v>10467</v>
      </c>
      <c r="Y3715" s="169" t="s">
        <v>10458</v>
      </c>
      <c r="AA3715" s="250"/>
      <c r="AB3715" s="170">
        <v>46155</v>
      </c>
    </row>
    <row r="3716" ht="14.25" spans="1:28">
      <c r="A3716" s="143">
        <v>3679</v>
      </c>
      <c r="B3716" s="144">
        <v>46153</v>
      </c>
      <c r="C3716" s="169" t="s">
        <v>9603</v>
      </c>
      <c r="F3716" s="143" t="s">
        <v>10469</v>
      </c>
      <c r="H3716" s="143" t="s">
        <v>10470</v>
      </c>
      <c r="I3716" s="143" t="s">
        <v>10471</v>
      </c>
      <c r="J3716" s="143" t="s">
        <v>10472</v>
      </c>
      <c r="K3716" s="143">
        <v>150</v>
      </c>
      <c r="L3716" s="143">
        <v>85</v>
      </c>
      <c r="W3716" s="169" t="s">
        <v>294</v>
      </c>
      <c r="X3716" s="143" t="s">
        <v>10469</v>
      </c>
      <c r="Y3716" s="169" t="s">
        <v>10473</v>
      </c>
      <c r="AA3716" s="250" t="s">
        <v>10474</v>
      </c>
      <c r="AB3716" s="170">
        <v>46155</v>
      </c>
    </row>
    <row r="3717" ht="14.25" spans="1:28">
      <c r="A3717" s="143">
        <v>3680</v>
      </c>
      <c r="B3717" s="144">
        <v>46153</v>
      </c>
      <c r="C3717" s="169" t="s">
        <v>9603</v>
      </c>
      <c r="F3717" s="143" t="s">
        <v>10475</v>
      </c>
      <c r="H3717" s="143" t="s">
        <v>10476</v>
      </c>
      <c r="I3717" s="143" t="s">
        <v>10477</v>
      </c>
      <c r="J3717" s="143" t="s">
        <v>10478</v>
      </c>
      <c r="K3717" s="143">
        <v>150</v>
      </c>
      <c r="L3717" s="143">
        <v>65</v>
      </c>
      <c r="W3717" s="169" t="s">
        <v>294</v>
      </c>
      <c r="X3717" s="143" t="s">
        <v>10475</v>
      </c>
      <c r="Y3717" s="169" t="s">
        <v>10473</v>
      </c>
      <c r="AA3717" s="250" t="s">
        <v>10479</v>
      </c>
      <c r="AB3717" s="170">
        <v>46155</v>
      </c>
    </row>
    <row r="3718" ht="14.25" spans="1:28">
      <c r="A3718" s="143">
        <v>3681</v>
      </c>
      <c r="B3718" s="144">
        <v>46153</v>
      </c>
      <c r="C3718" s="169" t="s">
        <v>9603</v>
      </c>
      <c r="F3718" s="143" t="s">
        <v>10480</v>
      </c>
      <c r="H3718" s="143" t="s">
        <v>10481</v>
      </c>
      <c r="I3718" s="143" t="s">
        <v>10482</v>
      </c>
      <c r="J3718" s="143" t="s">
        <v>10483</v>
      </c>
      <c r="K3718" s="143">
        <v>150</v>
      </c>
      <c r="L3718" s="143">
        <v>50</v>
      </c>
      <c r="W3718" s="169" t="s">
        <v>294</v>
      </c>
      <c r="X3718" s="143" t="s">
        <v>10480</v>
      </c>
      <c r="Y3718" s="169" t="s">
        <v>10473</v>
      </c>
      <c r="AA3718" s="250"/>
      <c r="AB3718" s="170">
        <v>46155</v>
      </c>
    </row>
    <row r="3719" ht="14.25" spans="1:28">
      <c r="A3719" s="143">
        <v>3682</v>
      </c>
      <c r="B3719" s="144">
        <v>46153</v>
      </c>
      <c r="C3719" s="169" t="s">
        <v>9603</v>
      </c>
      <c r="F3719" s="143" t="s">
        <v>10484</v>
      </c>
      <c r="H3719" s="143" t="s">
        <v>10485</v>
      </c>
      <c r="I3719" s="143" t="s">
        <v>10486</v>
      </c>
      <c r="J3719" s="182" t="s">
        <v>10487</v>
      </c>
      <c r="K3719" s="143">
        <v>150</v>
      </c>
      <c r="L3719" s="143">
        <v>35</v>
      </c>
      <c r="W3719" s="169" t="s">
        <v>294</v>
      </c>
      <c r="X3719" s="143" t="s">
        <v>10484</v>
      </c>
      <c r="Y3719" s="169" t="s">
        <v>10488</v>
      </c>
      <c r="AA3719" s="250" t="s">
        <v>10489</v>
      </c>
      <c r="AB3719" s="170">
        <v>46155</v>
      </c>
    </row>
    <row r="3720" ht="14.25" spans="1:28">
      <c r="A3720" s="143">
        <v>3683</v>
      </c>
      <c r="B3720" s="144">
        <v>46153</v>
      </c>
      <c r="C3720" s="169" t="s">
        <v>9603</v>
      </c>
      <c r="F3720" s="143" t="s">
        <v>10490</v>
      </c>
      <c r="H3720" s="143" t="s">
        <v>10491</v>
      </c>
      <c r="I3720" s="143" t="s">
        <v>10492</v>
      </c>
      <c r="J3720" s="143" t="s">
        <v>10493</v>
      </c>
      <c r="K3720" s="143">
        <v>150</v>
      </c>
      <c r="L3720" s="143">
        <v>55</v>
      </c>
      <c r="W3720" s="169" t="s">
        <v>294</v>
      </c>
      <c r="X3720" s="143" t="s">
        <v>10490</v>
      </c>
      <c r="Y3720" s="169" t="s">
        <v>10473</v>
      </c>
      <c r="AA3720" s="250" t="s">
        <v>10479</v>
      </c>
      <c r="AB3720" s="170">
        <v>46155</v>
      </c>
    </row>
    <row r="3721" ht="14.25" spans="1:28">
      <c r="A3721" s="143">
        <v>3684</v>
      </c>
      <c r="B3721" s="144">
        <v>46153</v>
      </c>
      <c r="C3721" s="169" t="s">
        <v>9603</v>
      </c>
      <c r="F3721" s="143" t="s">
        <v>10494</v>
      </c>
      <c r="H3721" s="143" t="s">
        <v>10495</v>
      </c>
      <c r="I3721" s="143" t="s">
        <v>10496</v>
      </c>
      <c r="J3721" s="143" t="s">
        <v>1920</v>
      </c>
      <c r="K3721" s="143">
        <v>150</v>
      </c>
      <c r="L3721" s="143">
        <v>55</v>
      </c>
      <c r="W3721" s="169" t="s">
        <v>294</v>
      </c>
      <c r="X3721" s="143" t="s">
        <v>10494</v>
      </c>
      <c r="Y3721" s="169" t="s">
        <v>10473</v>
      </c>
      <c r="AA3721" s="250" t="s">
        <v>10497</v>
      </c>
      <c r="AB3721" s="170">
        <v>46155</v>
      </c>
    </row>
    <row r="3722" ht="14.25" spans="1:28">
      <c r="A3722" s="143">
        <v>3685</v>
      </c>
      <c r="B3722" s="144">
        <v>46153</v>
      </c>
      <c r="C3722" s="169" t="s">
        <v>9603</v>
      </c>
      <c r="F3722" s="143" t="s">
        <v>10498</v>
      </c>
      <c r="H3722" s="143" t="s">
        <v>10499</v>
      </c>
      <c r="I3722" s="143" t="s">
        <v>10500</v>
      </c>
      <c r="J3722" s="143" t="s">
        <v>10501</v>
      </c>
      <c r="K3722" s="143">
        <v>150</v>
      </c>
      <c r="L3722" s="143">
        <v>120</v>
      </c>
      <c r="W3722" s="169" t="s">
        <v>294</v>
      </c>
      <c r="X3722" s="143" t="s">
        <v>10502</v>
      </c>
      <c r="Y3722" s="169" t="s">
        <v>10473</v>
      </c>
      <c r="AA3722" s="250" t="s">
        <v>10503</v>
      </c>
      <c r="AB3722" s="170">
        <v>46155</v>
      </c>
    </row>
    <row r="3723" spans="1:28">
      <c r="A3723" s="143">
        <v>3686</v>
      </c>
      <c r="B3723" s="144">
        <v>46154</v>
      </c>
      <c r="C3723" s="169" t="s">
        <v>3148</v>
      </c>
      <c r="D3723" s="143" t="s">
        <v>41</v>
      </c>
      <c r="F3723" s="143" t="s">
        <v>10504</v>
      </c>
      <c r="H3723" s="143" t="s">
        <v>10505</v>
      </c>
      <c r="I3723" s="143" t="s">
        <v>3218</v>
      </c>
      <c r="J3723" s="143" t="s">
        <v>1577</v>
      </c>
      <c r="K3723" s="143">
        <v>150</v>
      </c>
      <c r="L3723" s="143">
        <v>280</v>
      </c>
      <c r="W3723" s="169" t="s">
        <v>3147</v>
      </c>
      <c r="X3723" s="143" t="s">
        <v>10504</v>
      </c>
      <c r="Y3723" s="143" t="s">
        <v>7730</v>
      </c>
      <c r="Z3723" s="143" t="s">
        <v>10504</v>
      </c>
    </row>
    <row r="3724" spans="1:28">
      <c r="A3724" s="143">
        <v>3687</v>
      </c>
      <c r="B3724" s="144">
        <v>46154</v>
      </c>
      <c r="C3724" s="169" t="s">
        <v>3148</v>
      </c>
      <c r="D3724" s="143" t="s">
        <v>41</v>
      </c>
      <c r="F3724" s="169" t="s">
        <v>10506</v>
      </c>
      <c r="H3724" s="143" t="s">
        <v>10507</v>
      </c>
      <c r="I3724" s="143" t="s">
        <v>10508</v>
      </c>
      <c r="J3724" s="143" t="s">
        <v>10509</v>
      </c>
      <c r="K3724" s="143">
        <v>150</v>
      </c>
      <c r="W3724" s="169" t="s">
        <v>3147</v>
      </c>
      <c r="X3724" s="169" t="s">
        <v>10506</v>
      </c>
      <c r="Y3724" s="143" t="s">
        <v>7730</v>
      </c>
      <c r="Z3724" s="169" t="s">
        <v>10506</v>
      </c>
    </row>
    <row r="3725" spans="1:28">
      <c r="A3725" s="143">
        <v>3688</v>
      </c>
      <c r="B3725" s="144">
        <v>46154</v>
      </c>
      <c r="C3725" s="169" t="s">
        <v>3148</v>
      </c>
      <c r="D3725" s="143" t="s">
        <v>41</v>
      </c>
      <c r="F3725" s="143" t="s">
        <v>10510</v>
      </c>
      <c r="H3725" s="143" t="s">
        <v>10511</v>
      </c>
      <c r="W3725" s="169" t="s">
        <v>3147</v>
      </c>
      <c r="X3725" s="143" t="s">
        <v>10510</v>
      </c>
      <c r="Y3725" s="169" t="s">
        <v>10512</v>
      </c>
      <c r="Z3725" s="143" t="s">
        <v>10510</v>
      </c>
    </row>
    <row r="3726" spans="1:28">
      <c r="A3726" s="143">
        <v>3689</v>
      </c>
      <c r="B3726" s="144">
        <v>46154</v>
      </c>
      <c r="C3726" s="169" t="s">
        <v>3148</v>
      </c>
      <c r="D3726" s="143" t="s">
        <v>41</v>
      </c>
      <c r="F3726" s="143" t="s">
        <v>10513</v>
      </c>
      <c r="H3726" s="143" t="s">
        <v>10514</v>
      </c>
      <c r="W3726" s="169" t="s">
        <v>3147</v>
      </c>
      <c r="X3726" s="143" t="s">
        <v>10513</v>
      </c>
      <c r="Y3726" s="169" t="s">
        <v>10512</v>
      </c>
      <c r="Z3726" s="143" t="s">
        <v>10513</v>
      </c>
    </row>
    <row r="3727" spans="1:28">
      <c r="A3727" s="143">
        <v>3690</v>
      </c>
      <c r="B3727" s="144">
        <v>46154</v>
      </c>
      <c r="C3727" s="169" t="s">
        <v>3148</v>
      </c>
      <c r="D3727" s="143" t="s">
        <v>41</v>
      </c>
      <c r="F3727" s="143" t="s">
        <v>10515</v>
      </c>
      <c r="H3727" s="143" t="s">
        <v>10516</v>
      </c>
      <c r="L3727" s="143">
        <v>180</v>
      </c>
      <c r="W3727" s="169" t="s">
        <v>3147</v>
      </c>
      <c r="X3727" s="143" t="s">
        <v>10515</v>
      </c>
      <c r="Y3727" s="169" t="s">
        <v>10512</v>
      </c>
      <c r="Z3727" s="143" t="s">
        <v>10515</v>
      </c>
    </row>
    <row r="3728" spans="1:28">
      <c r="A3728" s="143">
        <v>3691</v>
      </c>
      <c r="B3728" s="144">
        <v>46154</v>
      </c>
      <c r="C3728" s="169" t="s">
        <v>3148</v>
      </c>
      <c r="D3728" s="143" t="s">
        <v>41</v>
      </c>
      <c r="F3728" s="143" t="s">
        <v>10517</v>
      </c>
      <c r="H3728" s="143" t="s">
        <v>10518</v>
      </c>
      <c r="W3728" s="169" t="s">
        <v>3147</v>
      </c>
      <c r="X3728" s="143" t="s">
        <v>10517</v>
      </c>
      <c r="Y3728" s="169" t="s">
        <v>10512</v>
      </c>
      <c r="Z3728" s="143" t="s">
        <v>10517</v>
      </c>
    </row>
    <row r="3729" spans="1:26">
      <c r="A3729" s="143">
        <v>3692</v>
      </c>
      <c r="B3729" s="144">
        <v>46154</v>
      </c>
      <c r="C3729" s="169" t="s">
        <v>3148</v>
      </c>
      <c r="D3729" s="143" t="s">
        <v>41</v>
      </c>
      <c r="F3729" s="143" t="s">
        <v>10519</v>
      </c>
      <c r="H3729" s="143" t="s">
        <v>10520</v>
      </c>
      <c r="K3729" s="143">
        <v>150</v>
      </c>
      <c r="L3729" s="143">
        <v>270</v>
      </c>
      <c r="W3729" s="169" t="s">
        <v>3147</v>
      </c>
      <c r="X3729" s="143" t="s">
        <v>10519</v>
      </c>
      <c r="Y3729" s="169" t="s">
        <v>10521</v>
      </c>
      <c r="Z3729" s="143" t="s">
        <v>10519</v>
      </c>
    </row>
    <row r="3730" spans="1:26">
      <c r="A3730" s="143">
        <v>3693</v>
      </c>
      <c r="B3730" s="144">
        <v>46154</v>
      </c>
      <c r="C3730" s="169" t="s">
        <v>3148</v>
      </c>
      <c r="D3730" s="143" t="s">
        <v>41</v>
      </c>
      <c r="F3730" s="143" t="s">
        <v>10522</v>
      </c>
      <c r="H3730" s="143" t="s">
        <v>10523</v>
      </c>
      <c r="K3730" s="143">
        <v>150</v>
      </c>
      <c r="L3730" s="143">
        <v>220</v>
      </c>
      <c r="W3730" s="169" t="s">
        <v>3147</v>
      </c>
      <c r="X3730" s="143" t="s">
        <v>10522</v>
      </c>
      <c r="Y3730" s="169" t="s">
        <v>10521</v>
      </c>
      <c r="Z3730" s="143" t="s">
        <v>10522</v>
      </c>
    </row>
    <row r="3731" spans="1:26">
      <c r="A3731" s="143">
        <v>3694</v>
      </c>
      <c r="B3731" s="144">
        <v>46154</v>
      </c>
      <c r="C3731" s="169" t="s">
        <v>3148</v>
      </c>
      <c r="D3731" s="143" t="s">
        <v>41</v>
      </c>
      <c r="F3731" s="143" t="s">
        <v>10524</v>
      </c>
      <c r="H3731" s="143" t="s">
        <v>10525</v>
      </c>
      <c r="K3731" s="143">
        <v>150</v>
      </c>
      <c r="L3731" s="143">
        <v>270</v>
      </c>
      <c r="W3731" s="169" t="s">
        <v>3147</v>
      </c>
      <c r="X3731" s="143" t="s">
        <v>10524</v>
      </c>
      <c r="Y3731" s="169" t="s">
        <v>10521</v>
      </c>
      <c r="Z3731" s="143" t="s">
        <v>10524</v>
      </c>
    </row>
    <row r="3732" spans="1:26">
      <c r="A3732" s="143">
        <v>3695</v>
      </c>
      <c r="B3732" s="144">
        <v>46154</v>
      </c>
      <c r="C3732" s="169" t="s">
        <v>3148</v>
      </c>
      <c r="D3732" s="143" t="s">
        <v>41</v>
      </c>
      <c r="F3732" s="143" t="s">
        <v>10526</v>
      </c>
      <c r="H3732" s="143" t="s">
        <v>10527</v>
      </c>
      <c r="I3732" s="143" t="s">
        <v>1533</v>
      </c>
      <c r="K3732" s="143">
        <v>150</v>
      </c>
      <c r="L3732" s="143">
        <v>260</v>
      </c>
      <c r="W3732" s="169" t="s">
        <v>3147</v>
      </c>
      <c r="X3732" s="143" t="s">
        <v>10526</v>
      </c>
      <c r="Y3732" s="169" t="s">
        <v>10528</v>
      </c>
      <c r="Z3732" s="143" t="s">
        <v>10526</v>
      </c>
    </row>
    <row r="3733" spans="1:26">
      <c r="A3733" s="143">
        <v>3696</v>
      </c>
      <c r="B3733" s="144">
        <v>46154</v>
      </c>
      <c r="C3733" s="169" t="s">
        <v>3148</v>
      </c>
      <c r="D3733" s="143" t="s">
        <v>41</v>
      </c>
      <c r="F3733" s="143" t="s">
        <v>10529</v>
      </c>
      <c r="H3733" s="143" t="s">
        <v>10530</v>
      </c>
      <c r="I3733" s="143" t="s">
        <v>1533</v>
      </c>
      <c r="K3733" s="143">
        <v>150</v>
      </c>
      <c r="L3733" s="143">
        <v>200</v>
      </c>
      <c r="W3733" s="169" t="s">
        <v>3147</v>
      </c>
      <c r="X3733" s="143" t="s">
        <v>10529</v>
      </c>
      <c r="Y3733" s="169" t="s">
        <v>10528</v>
      </c>
      <c r="Z3733" s="143" t="s">
        <v>10529</v>
      </c>
    </row>
    <row r="3734" spans="1:26">
      <c r="A3734" s="143">
        <v>3697</v>
      </c>
      <c r="B3734" s="144">
        <v>46154</v>
      </c>
      <c r="C3734" s="169" t="s">
        <v>3148</v>
      </c>
      <c r="D3734" s="143" t="s">
        <v>41</v>
      </c>
      <c r="F3734" s="143" t="s">
        <v>10531</v>
      </c>
      <c r="H3734" s="143" t="s">
        <v>10532</v>
      </c>
      <c r="I3734" s="143" t="s">
        <v>3390</v>
      </c>
      <c r="J3734" s="143" t="s">
        <v>2776</v>
      </c>
      <c r="K3734" s="143">
        <v>150</v>
      </c>
      <c r="L3734" s="143">
        <v>270</v>
      </c>
      <c r="W3734" s="169" t="s">
        <v>3147</v>
      </c>
      <c r="X3734" s="143" t="s">
        <v>10531</v>
      </c>
      <c r="Y3734" s="169" t="s">
        <v>10533</v>
      </c>
      <c r="Z3734" s="143" t="s">
        <v>10531</v>
      </c>
    </row>
    <row r="3735" spans="1:26">
      <c r="A3735" s="143">
        <v>3698</v>
      </c>
      <c r="B3735" s="144">
        <v>46154</v>
      </c>
      <c r="C3735" s="169" t="s">
        <v>3148</v>
      </c>
      <c r="D3735" s="143" t="s">
        <v>41</v>
      </c>
      <c r="F3735" s="143" t="s">
        <v>10534</v>
      </c>
      <c r="H3735" s="143" t="s">
        <v>10535</v>
      </c>
      <c r="I3735" s="143" t="s">
        <v>3390</v>
      </c>
      <c r="J3735" s="143" t="s">
        <v>2776</v>
      </c>
      <c r="K3735" s="143">
        <v>150</v>
      </c>
      <c r="L3735" s="143">
        <v>270</v>
      </c>
      <c r="W3735" s="169" t="s">
        <v>3147</v>
      </c>
      <c r="X3735" s="143" t="s">
        <v>10534</v>
      </c>
      <c r="Y3735" s="169" t="s">
        <v>10533</v>
      </c>
      <c r="Z3735" s="143" t="s">
        <v>10534</v>
      </c>
    </row>
    <row r="3736" spans="1:26">
      <c r="A3736" s="143">
        <v>3699</v>
      </c>
      <c r="B3736" s="144">
        <v>46154</v>
      </c>
      <c r="C3736" s="169" t="s">
        <v>3148</v>
      </c>
      <c r="D3736" s="143" t="s">
        <v>41</v>
      </c>
      <c r="F3736" s="143" t="s">
        <v>10536</v>
      </c>
      <c r="H3736" s="143" t="s">
        <v>10537</v>
      </c>
      <c r="I3736" s="143" t="s">
        <v>3390</v>
      </c>
      <c r="J3736" s="143" t="s">
        <v>2776</v>
      </c>
      <c r="K3736" s="143">
        <v>150</v>
      </c>
      <c r="L3736" s="143">
        <v>180</v>
      </c>
      <c r="W3736" s="169" t="s">
        <v>3147</v>
      </c>
      <c r="X3736" s="143" t="s">
        <v>10536</v>
      </c>
      <c r="Y3736" s="169" t="s">
        <v>10533</v>
      </c>
      <c r="Z3736" s="143" t="s">
        <v>10536</v>
      </c>
    </row>
    <row r="3737" spans="1:26">
      <c r="A3737" s="143">
        <v>3700</v>
      </c>
      <c r="B3737" s="144">
        <v>46154</v>
      </c>
      <c r="C3737" s="169" t="s">
        <v>3148</v>
      </c>
      <c r="D3737" s="143" t="s">
        <v>41</v>
      </c>
      <c r="F3737" s="143" t="s">
        <v>10538</v>
      </c>
      <c r="H3737" s="143" t="s">
        <v>10539</v>
      </c>
      <c r="I3737" s="143" t="s">
        <v>3390</v>
      </c>
      <c r="J3737" s="143" t="s">
        <v>2776</v>
      </c>
      <c r="K3737" s="143">
        <v>150</v>
      </c>
      <c r="L3737" s="143">
        <v>280</v>
      </c>
      <c r="W3737" s="169" t="s">
        <v>3147</v>
      </c>
      <c r="X3737" s="143" t="s">
        <v>10538</v>
      </c>
      <c r="Y3737" s="169" t="s">
        <v>10533</v>
      </c>
      <c r="Z3737" s="143" t="s">
        <v>10538</v>
      </c>
    </row>
    <row r="3738" spans="1:26">
      <c r="A3738" s="143">
        <v>3701</v>
      </c>
      <c r="B3738" s="144">
        <v>46154</v>
      </c>
      <c r="C3738" s="169" t="s">
        <v>3148</v>
      </c>
      <c r="D3738" s="143" t="s">
        <v>41</v>
      </c>
      <c r="F3738" s="143" t="s">
        <v>10540</v>
      </c>
      <c r="H3738" s="143" t="s">
        <v>10541</v>
      </c>
      <c r="K3738" s="143">
        <v>150</v>
      </c>
      <c r="L3738" s="143">
        <v>270</v>
      </c>
      <c r="W3738" s="169" t="s">
        <v>3147</v>
      </c>
      <c r="X3738" s="143" t="s">
        <v>10540</v>
      </c>
      <c r="Y3738" s="169" t="s">
        <v>10533</v>
      </c>
      <c r="Z3738" s="143" t="s">
        <v>10540</v>
      </c>
    </row>
    <row r="3739" spans="1:26">
      <c r="A3739" s="143">
        <v>3702</v>
      </c>
      <c r="B3739" s="144">
        <v>46154</v>
      </c>
      <c r="C3739" s="169" t="s">
        <v>3148</v>
      </c>
      <c r="D3739" s="143" t="s">
        <v>41</v>
      </c>
      <c r="F3739" s="143" t="s">
        <v>10542</v>
      </c>
      <c r="H3739" s="143" t="s">
        <v>10543</v>
      </c>
      <c r="I3739" s="143" t="s">
        <v>3218</v>
      </c>
      <c r="J3739" s="143" t="s">
        <v>1577</v>
      </c>
      <c r="K3739" s="143">
        <v>150</v>
      </c>
      <c r="L3739" s="143">
        <v>210</v>
      </c>
      <c r="W3739" s="169" t="s">
        <v>3147</v>
      </c>
      <c r="X3739" s="143" t="s">
        <v>10542</v>
      </c>
      <c r="Y3739" s="169" t="s">
        <v>10533</v>
      </c>
      <c r="Z3739" s="143" t="s">
        <v>10542</v>
      </c>
    </row>
    <row r="3740" spans="1:26">
      <c r="A3740" s="143">
        <v>3703</v>
      </c>
      <c r="B3740" s="144">
        <v>46154</v>
      </c>
      <c r="C3740" s="169" t="s">
        <v>3148</v>
      </c>
      <c r="D3740" s="143" t="s">
        <v>41</v>
      </c>
      <c r="F3740" s="143" t="s">
        <v>10544</v>
      </c>
      <c r="H3740" s="143" t="s">
        <v>10545</v>
      </c>
      <c r="I3740" s="143" t="s">
        <v>10546</v>
      </c>
      <c r="J3740" s="143" t="s">
        <v>3727</v>
      </c>
      <c r="K3740" s="143">
        <v>150</v>
      </c>
      <c r="L3740" s="143">
        <v>260</v>
      </c>
      <c r="W3740" s="169" t="s">
        <v>3147</v>
      </c>
      <c r="X3740" s="143" t="s">
        <v>10544</v>
      </c>
      <c r="Y3740" s="169" t="s">
        <v>10533</v>
      </c>
      <c r="Z3740" s="143" t="s">
        <v>10544</v>
      </c>
    </row>
    <row r="3741" spans="1:26">
      <c r="A3741" s="143">
        <v>3704</v>
      </c>
      <c r="B3741" s="144">
        <v>46154</v>
      </c>
      <c r="C3741" s="169" t="s">
        <v>3148</v>
      </c>
      <c r="D3741" s="143" t="s">
        <v>41</v>
      </c>
      <c r="F3741" s="143" t="s">
        <v>10547</v>
      </c>
      <c r="H3741" s="143" t="s">
        <v>10548</v>
      </c>
      <c r="I3741" s="143" t="s">
        <v>10546</v>
      </c>
      <c r="J3741" s="143" t="s">
        <v>3727</v>
      </c>
      <c r="K3741" s="143">
        <v>150</v>
      </c>
      <c r="L3741" s="143">
        <v>270</v>
      </c>
      <c r="W3741" s="169" t="s">
        <v>3147</v>
      </c>
      <c r="X3741" s="143" t="s">
        <v>10547</v>
      </c>
      <c r="Y3741" s="169" t="s">
        <v>10533</v>
      </c>
      <c r="Z3741" s="143" t="s">
        <v>10547</v>
      </c>
    </row>
    <row r="3742" spans="1:26">
      <c r="A3742" s="143">
        <v>3705</v>
      </c>
      <c r="B3742" s="144">
        <v>46154</v>
      </c>
      <c r="C3742" s="169" t="s">
        <v>3148</v>
      </c>
      <c r="D3742" s="143" t="s">
        <v>41</v>
      </c>
      <c r="F3742" s="169" t="s">
        <v>10549</v>
      </c>
      <c r="H3742" s="143" t="s">
        <v>10550</v>
      </c>
      <c r="I3742" s="143" t="s">
        <v>3218</v>
      </c>
      <c r="J3742" s="143" t="s">
        <v>1577</v>
      </c>
      <c r="K3742" s="143">
        <v>150</v>
      </c>
      <c r="L3742" s="143">
        <v>130</v>
      </c>
      <c r="W3742" s="169" t="s">
        <v>3147</v>
      </c>
      <c r="X3742" s="169" t="s">
        <v>10549</v>
      </c>
      <c r="Y3742" s="169" t="s">
        <v>10551</v>
      </c>
      <c r="Z3742" s="169" t="s">
        <v>10549</v>
      </c>
    </row>
    <row r="3743" spans="1:26">
      <c r="A3743" s="143">
        <v>3706</v>
      </c>
      <c r="B3743" s="144">
        <v>46154</v>
      </c>
      <c r="C3743" s="169" t="s">
        <v>3148</v>
      </c>
      <c r="D3743" s="143" t="s">
        <v>41</v>
      </c>
      <c r="F3743" s="169" t="s">
        <v>10552</v>
      </c>
      <c r="H3743" s="143" t="s">
        <v>10553</v>
      </c>
      <c r="I3743" s="143" t="s">
        <v>3218</v>
      </c>
      <c r="J3743" s="143" t="s">
        <v>1577</v>
      </c>
      <c r="K3743" s="143">
        <v>150</v>
      </c>
      <c r="L3743" s="143">
        <v>130</v>
      </c>
      <c r="W3743" s="169" t="s">
        <v>3147</v>
      </c>
      <c r="X3743" s="169" t="s">
        <v>10552</v>
      </c>
      <c r="Y3743" s="169" t="s">
        <v>10551</v>
      </c>
      <c r="Z3743" s="169" t="s">
        <v>10552</v>
      </c>
    </row>
    <row r="3744" spans="1:26">
      <c r="A3744" s="143">
        <v>3707</v>
      </c>
      <c r="B3744" s="144">
        <v>46154</v>
      </c>
      <c r="C3744" s="169" t="s">
        <v>3148</v>
      </c>
      <c r="D3744" s="143" t="s">
        <v>41</v>
      </c>
      <c r="F3744" s="169" t="s">
        <v>10554</v>
      </c>
      <c r="H3744" s="143" t="s">
        <v>10555</v>
      </c>
      <c r="I3744" s="143" t="s">
        <v>4238</v>
      </c>
      <c r="J3744" s="143" t="s">
        <v>5602</v>
      </c>
      <c r="K3744" s="143">
        <v>150</v>
      </c>
      <c r="L3744" s="143">
        <v>150</v>
      </c>
      <c r="W3744" s="169" t="s">
        <v>3147</v>
      </c>
      <c r="X3744" s="169" t="s">
        <v>10554</v>
      </c>
      <c r="Y3744" s="169" t="s">
        <v>10551</v>
      </c>
      <c r="Z3744" s="169" t="s">
        <v>10554</v>
      </c>
    </row>
    <row r="3745" spans="1:27">
      <c r="A3745" s="143">
        <v>3708</v>
      </c>
      <c r="B3745" s="144">
        <v>46154</v>
      </c>
      <c r="C3745" s="169" t="s">
        <v>3148</v>
      </c>
      <c r="D3745" s="143" t="s">
        <v>41</v>
      </c>
      <c r="F3745" s="169" t="s">
        <v>10556</v>
      </c>
      <c r="H3745" s="143" t="s">
        <v>10557</v>
      </c>
      <c r="I3745" s="143" t="s">
        <v>3218</v>
      </c>
      <c r="J3745" s="143" t="s">
        <v>1577</v>
      </c>
      <c r="K3745" s="143">
        <v>150</v>
      </c>
      <c r="L3745" s="143">
        <v>135</v>
      </c>
      <c r="W3745" s="169" t="s">
        <v>3147</v>
      </c>
      <c r="X3745" s="169" t="s">
        <v>10556</v>
      </c>
      <c r="Y3745" s="169" t="s">
        <v>10551</v>
      </c>
      <c r="Z3745" s="169" t="s">
        <v>10556</v>
      </c>
    </row>
    <row r="3746" spans="1:27">
      <c r="A3746" s="143">
        <v>3709</v>
      </c>
      <c r="B3746" s="144">
        <v>46154</v>
      </c>
      <c r="C3746" s="169" t="s">
        <v>3148</v>
      </c>
      <c r="D3746" s="143" t="s">
        <v>41</v>
      </c>
      <c r="F3746" s="143" t="s">
        <v>10558</v>
      </c>
      <c r="H3746" s="143" t="s">
        <v>10559</v>
      </c>
      <c r="I3746" s="143" t="s">
        <v>10546</v>
      </c>
      <c r="J3746" s="143" t="s">
        <v>3727</v>
      </c>
      <c r="K3746" s="143">
        <v>150</v>
      </c>
      <c r="L3746" s="143">
        <v>280</v>
      </c>
      <c r="W3746" s="169" t="s">
        <v>3147</v>
      </c>
      <c r="X3746" s="143" t="s">
        <v>10558</v>
      </c>
      <c r="Y3746" s="169" t="s">
        <v>10533</v>
      </c>
      <c r="Z3746" s="143" t="s">
        <v>10558</v>
      </c>
    </row>
    <row r="3747" spans="1:27">
      <c r="A3747" s="143">
        <v>3710</v>
      </c>
      <c r="B3747" s="144">
        <v>46154</v>
      </c>
      <c r="C3747" s="169" t="s">
        <v>3148</v>
      </c>
      <c r="D3747" s="143" t="s">
        <v>41</v>
      </c>
      <c r="F3747" s="169" t="s">
        <v>10560</v>
      </c>
      <c r="H3747" s="143" t="s">
        <v>10561</v>
      </c>
      <c r="I3747" s="143" t="s">
        <v>3218</v>
      </c>
      <c r="J3747" s="143" t="s">
        <v>1577</v>
      </c>
      <c r="K3747" s="143">
        <v>150</v>
      </c>
      <c r="L3747" s="143">
        <v>65</v>
      </c>
      <c r="W3747" s="169" t="s">
        <v>3147</v>
      </c>
      <c r="X3747" s="169" t="s">
        <v>10560</v>
      </c>
      <c r="Y3747" s="169" t="s">
        <v>10562</v>
      </c>
      <c r="Z3747" s="169" t="s">
        <v>10560</v>
      </c>
    </row>
    <row r="3748" spans="1:27">
      <c r="A3748" s="143">
        <v>3711</v>
      </c>
      <c r="B3748" s="144">
        <v>46154</v>
      </c>
      <c r="C3748" s="169" t="s">
        <v>3148</v>
      </c>
      <c r="D3748" s="143" t="s">
        <v>41</v>
      </c>
      <c r="F3748" s="169" t="s">
        <v>10563</v>
      </c>
      <c r="H3748" s="143" t="s">
        <v>10564</v>
      </c>
      <c r="I3748" s="143" t="s">
        <v>3218</v>
      </c>
      <c r="J3748" s="143" t="s">
        <v>1577</v>
      </c>
      <c r="K3748" s="143">
        <v>150</v>
      </c>
      <c r="L3748" s="143">
        <v>85</v>
      </c>
      <c r="W3748" s="169" t="s">
        <v>3147</v>
      </c>
      <c r="X3748" s="169" t="s">
        <v>10563</v>
      </c>
      <c r="Y3748" s="169" t="s">
        <v>10562</v>
      </c>
      <c r="Z3748" s="169" t="s">
        <v>10563</v>
      </c>
    </row>
    <row r="3749" spans="1:27">
      <c r="A3749" s="143">
        <v>3712</v>
      </c>
      <c r="B3749" s="144">
        <v>46154</v>
      </c>
      <c r="C3749" s="169" t="s">
        <v>3148</v>
      </c>
      <c r="D3749" s="143" t="s">
        <v>41</v>
      </c>
      <c r="F3749" s="143" t="s">
        <v>10565</v>
      </c>
      <c r="H3749" s="143" t="s">
        <v>10566</v>
      </c>
      <c r="I3749" s="143" t="s">
        <v>3218</v>
      </c>
      <c r="J3749" s="143" t="s">
        <v>1577</v>
      </c>
      <c r="K3749" s="143">
        <v>150</v>
      </c>
      <c r="L3749" s="143">
        <v>65</v>
      </c>
      <c r="W3749" s="169" t="s">
        <v>3147</v>
      </c>
      <c r="X3749" s="143" t="s">
        <v>10565</v>
      </c>
      <c r="Y3749" s="169" t="s">
        <v>10562</v>
      </c>
      <c r="Z3749" s="143" t="s">
        <v>10565</v>
      </c>
    </row>
    <row r="3750" spans="1:27">
      <c r="A3750" s="143">
        <v>3713</v>
      </c>
      <c r="B3750" s="144">
        <v>46155</v>
      </c>
      <c r="C3750" s="169" t="s">
        <v>3148</v>
      </c>
      <c r="D3750" s="143" t="s">
        <v>41</v>
      </c>
      <c r="F3750" s="143" t="s">
        <v>10567</v>
      </c>
      <c r="H3750" s="143" t="s">
        <v>10568</v>
      </c>
      <c r="I3750" s="143" t="s">
        <v>3218</v>
      </c>
      <c r="J3750" s="143" t="s">
        <v>1577</v>
      </c>
      <c r="K3750" s="143">
        <v>145</v>
      </c>
      <c r="W3750" s="143" t="s">
        <v>294</v>
      </c>
      <c r="X3750" s="143" t="s">
        <v>10567</v>
      </c>
      <c r="Y3750" s="169" t="s">
        <v>10569</v>
      </c>
      <c r="Z3750" s="143" t="s">
        <v>10567</v>
      </c>
    </row>
    <row r="3751" spans="1:27">
      <c r="A3751" s="143">
        <v>3714</v>
      </c>
      <c r="B3751" s="144">
        <v>46155</v>
      </c>
      <c r="C3751" s="169" t="s">
        <v>3148</v>
      </c>
      <c r="D3751" s="143" t="s">
        <v>41</v>
      </c>
      <c r="F3751" s="143" t="s">
        <v>10570</v>
      </c>
      <c r="H3751" s="143" t="s">
        <v>10571</v>
      </c>
      <c r="I3751" s="143" t="s">
        <v>3218</v>
      </c>
      <c r="J3751" s="143" t="s">
        <v>1577</v>
      </c>
      <c r="K3751" s="143">
        <v>150</v>
      </c>
      <c r="W3751" s="143" t="s">
        <v>294</v>
      </c>
      <c r="X3751" s="143" t="s">
        <v>10570</v>
      </c>
      <c r="Y3751" s="169" t="s">
        <v>10569</v>
      </c>
      <c r="Z3751" s="143" t="s">
        <v>10570</v>
      </c>
    </row>
    <row r="3752" spans="1:27">
      <c r="A3752" s="143">
        <v>3715</v>
      </c>
      <c r="B3752" s="144">
        <v>46155</v>
      </c>
      <c r="C3752" s="169" t="s">
        <v>3148</v>
      </c>
      <c r="D3752" s="143" t="s">
        <v>41</v>
      </c>
      <c r="F3752" s="143" t="s">
        <v>10572</v>
      </c>
      <c r="H3752" s="143" t="s">
        <v>10573</v>
      </c>
      <c r="I3752" s="143" t="s">
        <v>3218</v>
      </c>
      <c r="J3752" s="143" t="s">
        <v>1577</v>
      </c>
      <c r="K3752" s="143">
        <v>150</v>
      </c>
      <c r="W3752" s="143" t="s">
        <v>294</v>
      </c>
      <c r="X3752" s="143" t="s">
        <v>10572</v>
      </c>
      <c r="Y3752" s="169" t="s">
        <v>10569</v>
      </c>
      <c r="Z3752" s="143" t="s">
        <v>10572</v>
      </c>
    </row>
    <row r="3753" spans="1:27">
      <c r="A3753" s="143">
        <v>3716</v>
      </c>
      <c r="B3753" s="144">
        <v>46155</v>
      </c>
      <c r="C3753" s="169" t="s">
        <v>3148</v>
      </c>
      <c r="D3753" s="143" t="s">
        <v>41</v>
      </c>
      <c r="F3753" s="143" t="s">
        <v>10574</v>
      </c>
      <c r="H3753" s="143" t="s">
        <v>10575</v>
      </c>
      <c r="I3753" s="143" t="s">
        <v>3218</v>
      </c>
      <c r="J3753" s="143" t="s">
        <v>1577</v>
      </c>
      <c r="K3753" s="143">
        <v>150</v>
      </c>
      <c r="W3753" s="143" t="s">
        <v>294</v>
      </c>
      <c r="X3753" s="143" t="s">
        <v>10574</v>
      </c>
      <c r="Y3753" s="169" t="s">
        <v>10569</v>
      </c>
      <c r="Z3753" s="143" t="s">
        <v>10574</v>
      </c>
    </row>
    <row r="3754" spans="1:27">
      <c r="A3754" s="143">
        <v>3717</v>
      </c>
      <c r="B3754" s="144">
        <v>46155</v>
      </c>
      <c r="C3754" s="169" t="s">
        <v>3148</v>
      </c>
      <c r="D3754" s="143" t="s">
        <v>41</v>
      </c>
      <c r="F3754" s="143" t="s">
        <v>10576</v>
      </c>
      <c r="H3754" s="143" t="s">
        <v>10577</v>
      </c>
      <c r="I3754" s="143" t="s">
        <v>10578</v>
      </c>
      <c r="J3754" s="143" t="s">
        <v>10579</v>
      </c>
      <c r="K3754" s="143">
        <v>145</v>
      </c>
      <c r="W3754" s="143" t="s">
        <v>294</v>
      </c>
      <c r="X3754" s="143" t="s">
        <v>10576</v>
      </c>
      <c r="Y3754" s="169" t="s">
        <v>10569</v>
      </c>
      <c r="Z3754" s="143" t="s">
        <v>10576</v>
      </c>
    </row>
    <row r="3755" spans="1:27">
      <c r="A3755" s="143">
        <v>3718</v>
      </c>
      <c r="B3755" s="144">
        <v>46155</v>
      </c>
      <c r="C3755" s="169" t="s">
        <v>3148</v>
      </c>
      <c r="D3755" s="143" t="s">
        <v>41</v>
      </c>
      <c r="F3755" s="143" t="s">
        <v>10580</v>
      </c>
      <c r="H3755" s="143" t="s">
        <v>10581</v>
      </c>
      <c r="I3755" s="143" t="s">
        <v>3218</v>
      </c>
      <c r="J3755" s="143" t="s">
        <v>1577</v>
      </c>
      <c r="K3755" s="143">
        <v>135</v>
      </c>
      <c r="W3755" s="143" t="s">
        <v>294</v>
      </c>
      <c r="X3755" s="143" t="s">
        <v>10580</v>
      </c>
      <c r="Y3755" s="169" t="s">
        <v>10569</v>
      </c>
      <c r="Z3755" s="143" t="s">
        <v>10580</v>
      </c>
    </row>
    <row r="3756" spans="1:27">
      <c r="A3756" s="143">
        <v>3719</v>
      </c>
      <c r="B3756" s="144">
        <v>46155</v>
      </c>
      <c r="C3756" s="169" t="s">
        <v>3148</v>
      </c>
      <c r="D3756" s="143" t="s">
        <v>41</v>
      </c>
      <c r="F3756" s="143" t="s">
        <v>10582</v>
      </c>
      <c r="H3756" s="143" t="s">
        <v>10583</v>
      </c>
      <c r="I3756" s="143" t="s">
        <v>10584</v>
      </c>
      <c r="K3756" s="143">
        <v>150</v>
      </c>
      <c r="W3756" s="143" t="s">
        <v>294</v>
      </c>
      <c r="X3756" s="143" t="s">
        <v>10582</v>
      </c>
      <c r="Y3756" s="169" t="s">
        <v>10569</v>
      </c>
      <c r="Z3756" s="143" t="s">
        <v>10582</v>
      </c>
    </row>
    <row r="3757" ht="15" spans="1:27">
      <c r="A3757" s="143">
        <v>3720</v>
      </c>
      <c r="B3757" s="144">
        <v>46155</v>
      </c>
      <c r="C3757" s="169" t="s">
        <v>3148</v>
      </c>
      <c r="D3757" s="143" t="s">
        <v>41</v>
      </c>
      <c r="F3757" s="143" t="s">
        <v>10585</v>
      </c>
      <c r="H3757" s="143" t="s">
        <v>10586</v>
      </c>
      <c r="I3757" s="143" t="s">
        <v>3218</v>
      </c>
      <c r="J3757" s="143" t="s">
        <v>1577</v>
      </c>
      <c r="K3757" s="143">
        <v>150</v>
      </c>
      <c r="Q3757" s="204"/>
      <c r="W3757" s="143" t="s">
        <v>294</v>
      </c>
      <c r="X3757" s="143" t="s">
        <v>10585</v>
      </c>
      <c r="Y3757" s="169" t="s">
        <v>10569</v>
      </c>
      <c r="Z3757" s="143" t="s">
        <v>10585</v>
      </c>
    </row>
    <row r="3758" ht="15" spans="1:27">
      <c r="A3758" s="143">
        <v>3721</v>
      </c>
      <c r="B3758" s="144">
        <v>46155</v>
      </c>
      <c r="C3758" s="169" t="s">
        <v>3148</v>
      </c>
      <c r="D3758" s="143" t="s">
        <v>41</v>
      </c>
      <c r="F3758" s="143" t="s">
        <v>10587</v>
      </c>
      <c r="H3758" s="143" t="s">
        <v>10588</v>
      </c>
      <c r="I3758" s="143" t="s">
        <v>3218</v>
      </c>
      <c r="J3758" s="143" t="s">
        <v>1577</v>
      </c>
      <c r="K3758" s="143">
        <v>135</v>
      </c>
      <c r="W3758" s="143" t="s">
        <v>294</v>
      </c>
      <c r="X3758" s="143" t="s">
        <v>10587</v>
      </c>
      <c r="Y3758" s="169" t="s">
        <v>10569</v>
      </c>
      <c r="Z3758" s="143" t="s">
        <v>10587</v>
      </c>
      <c r="AA3758" s="173"/>
    </row>
    <row r="3759" spans="1:27">
      <c r="A3759" s="143">
        <v>3722</v>
      </c>
      <c r="B3759" s="144">
        <v>46155</v>
      </c>
      <c r="C3759" s="169" t="s">
        <v>3148</v>
      </c>
      <c r="D3759" s="143" t="s">
        <v>41</v>
      </c>
      <c r="F3759" s="143" t="s">
        <v>10589</v>
      </c>
      <c r="H3759" s="143" t="s">
        <v>10590</v>
      </c>
      <c r="I3759" s="143" t="s">
        <v>3218</v>
      </c>
      <c r="J3759" s="143" t="s">
        <v>1577</v>
      </c>
      <c r="K3759" s="143">
        <v>145</v>
      </c>
      <c r="W3759" s="143" t="s">
        <v>294</v>
      </c>
      <c r="X3759" s="143" t="s">
        <v>10589</v>
      </c>
      <c r="Y3759" s="169" t="s">
        <v>10569</v>
      </c>
      <c r="Z3759" s="143" t="s">
        <v>10589</v>
      </c>
    </row>
    <row r="3760" spans="1:27">
      <c r="A3760" s="143">
        <v>3723</v>
      </c>
      <c r="B3760" s="144">
        <v>46155</v>
      </c>
      <c r="C3760" s="169" t="s">
        <v>3148</v>
      </c>
      <c r="D3760" s="143" t="s">
        <v>41</v>
      </c>
      <c r="F3760" s="143" t="s">
        <v>10591</v>
      </c>
      <c r="H3760" s="143" t="s">
        <v>10592</v>
      </c>
      <c r="I3760" s="143" t="s">
        <v>3218</v>
      </c>
      <c r="J3760" s="143" t="s">
        <v>1577</v>
      </c>
      <c r="K3760" s="143">
        <v>135</v>
      </c>
      <c r="W3760" s="143" t="s">
        <v>294</v>
      </c>
      <c r="X3760" s="143" t="s">
        <v>10591</v>
      </c>
      <c r="Y3760" s="169" t="s">
        <v>10569</v>
      </c>
      <c r="Z3760" s="143" t="s">
        <v>10591</v>
      </c>
    </row>
    <row r="3761" spans="1:26">
      <c r="A3761" s="143">
        <v>3724</v>
      </c>
      <c r="B3761" s="144">
        <v>46155</v>
      </c>
      <c r="C3761" s="169" t="s">
        <v>3148</v>
      </c>
      <c r="D3761" s="143" t="s">
        <v>41</v>
      </c>
      <c r="F3761" s="143" t="s">
        <v>10593</v>
      </c>
      <c r="H3761" s="143" t="s">
        <v>10594</v>
      </c>
      <c r="I3761" s="143" t="s">
        <v>3218</v>
      </c>
      <c r="J3761" s="143" t="s">
        <v>1577</v>
      </c>
      <c r="K3761" s="143">
        <v>150</v>
      </c>
      <c r="W3761" s="143" t="s">
        <v>294</v>
      </c>
      <c r="X3761" s="143" t="s">
        <v>10593</v>
      </c>
      <c r="Y3761" s="169" t="s">
        <v>10569</v>
      </c>
      <c r="Z3761" s="143" t="s">
        <v>10593</v>
      </c>
    </row>
    <row r="3762" spans="1:26">
      <c r="A3762" s="143">
        <v>3725</v>
      </c>
      <c r="B3762" s="144">
        <v>46155</v>
      </c>
      <c r="C3762" s="169" t="s">
        <v>3148</v>
      </c>
      <c r="D3762" s="143" t="s">
        <v>41</v>
      </c>
      <c r="F3762" s="143" t="s">
        <v>10595</v>
      </c>
      <c r="H3762" s="143" t="s">
        <v>10596</v>
      </c>
      <c r="I3762" s="143" t="s">
        <v>10597</v>
      </c>
      <c r="J3762" s="143" t="s">
        <v>10598</v>
      </c>
      <c r="K3762" s="143">
        <v>135</v>
      </c>
      <c r="W3762" s="143" t="s">
        <v>294</v>
      </c>
      <c r="X3762" s="143" t="s">
        <v>10595</v>
      </c>
      <c r="Y3762" s="169" t="s">
        <v>10569</v>
      </c>
      <c r="Z3762" s="143" t="s">
        <v>10595</v>
      </c>
    </row>
    <row r="3763" spans="1:26">
      <c r="A3763" s="143">
        <v>3726</v>
      </c>
      <c r="B3763" s="144">
        <v>46155</v>
      </c>
      <c r="C3763" s="169" t="s">
        <v>3148</v>
      </c>
      <c r="D3763" s="143" t="s">
        <v>41</v>
      </c>
      <c r="F3763" s="143" t="s">
        <v>10599</v>
      </c>
      <c r="H3763" s="143" t="s">
        <v>10600</v>
      </c>
      <c r="I3763" s="143" t="s">
        <v>10601</v>
      </c>
      <c r="J3763" s="143" t="s">
        <v>10602</v>
      </c>
      <c r="K3763" s="143">
        <v>135</v>
      </c>
      <c r="W3763" s="143" t="s">
        <v>294</v>
      </c>
      <c r="X3763" s="143" t="s">
        <v>10599</v>
      </c>
      <c r="Y3763" s="169" t="s">
        <v>10569</v>
      </c>
      <c r="Z3763" s="143" t="s">
        <v>10599</v>
      </c>
    </row>
    <row r="3764" spans="1:26">
      <c r="A3764" s="143">
        <v>3727</v>
      </c>
      <c r="B3764" s="144">
        <v>46155</v>
      </c>
      <c r="C3764" s="169" t="s">
        <v>3148</v>
      </c>
      <c r="D3764" s="143" t="s">
        <v>41</v>
      </c>
      <c r="F3764" s="143" t="s">
        <v>10603</v>
      </c>
      <c r="H3764" s="143" t="s">
        <v>10604</v>
      </c>
      <c r="I3764" s="143" t="s">
        <v>3218</v>
      </c>
      <c r="J3764" s="143" t="s">
        <v>1577</v>
      </c>
      <c r="K3764" s="143">
        <v>150</v>
      </c>
      <c r="W3764" s="143" t="s">
        <v>294</v>
      </c>
      <c r="X3764" s="143" t="s">
        <v>10603</v>
      </c>
      <c r="Y3764" s="169" t="s">
        <v>10569</v>
      </c>
      <c r="Z3764" s="143" t="s">
        <v>10603</v>
      </c>
    </row>
    <row r="3765" spans="1:26">
      <c r="A3765" s="143">
        <v>3728</v>
      </c>
      <c r="B3765" s="144">
        <v>46155</v>
      </c>
      <c r="C3765" s="169" t="s">
        <v>3148</v>
      </c>
      <c r="D3765" s="143" t="s">
        <v>41</v>
      </c>
      <c r="F3765" s="143" t="s">
        <v>10605</v>
      </c>
      <c r="H3765" s="143" t="s">
        <v>10606</v>
      </c>
      <c r="K3765" s="143">
        <v>150</v>
      </c>
      <c r="W3765" s="143" t="s">
        <v>294</v>
      </c>
      <c r="X3765" s="143" t="s">
        <v>10605</v>
      </c>
      <c r="Y3765" s="169" t="s">
        <v>10607</v>
      </c>
      <c r="Z3765" s="143" t="s">
        <v>10605</v>
      </c>
    </row>
    <row r="3766" spans="1:26">
      <c r="A3766" s="143">
        <v>3729</v>
      </c>
      <c r="B3766" s="144">
        <v>46155</v>
      </c>
      <c r="C3766" s="169" t="s">
        <v>3148</v>
      </c>
      <c r="D3766" s="143" t="s">
        <v>41</v>
      </c>
      <c r="F3766" s="143" t="s">
        <v>10608</v>
      </c>
      <c r="H3766" s="143" t="s">
        <v>10609</v>
      </c>
      <c r="I3766" s="143" t="s">
        <v>3218</v>
      </c>
      <c r="J3766" s="143" t="s">
        <v>1577</v>
      </c>
      <c r="K3766" s="143">
        <v>135</v>
      </c>
      <c r="W3766" s="143" t="s">
        <v>294</v>
      </c>
      <c r="X3766" s="143" t="s">
        <v>10608</v>
      </c>
      <c r="Y3766" s="169" t="s">
        <v>10607</v>
      </c>
      <c r="Z3766" s="143" t="s">
        <v>10608</v>
      </c>
    </row>
    <row r="3767" spans="1:26">
      <c r="A3767" s="143">
        <v>3730</v>
      </c>
      <c r="B3767" s="144">
        <v>46155</v>
      </c>
      <c r="C3767" s="169" t="s">
        <v>3148</v>
      </c>
      <c r="D3767" s="143" t="s">
        <v>41</v>
      </c>
      <c r="F3767" s="143" t="s">
        <v>10610</v>
      </c>
      <c r="H3767" s="143" t="s">
        <v>10611</v>
      </c>
      <c r="I3767" s="143" t="s">
        <v>10612</v>
      </c>
      <c r="J3767" s="143" t="s">
        <v>10612</v>
      </c>
      <c r="K3767" s="143">
        <v>148</v>
      </c>
      <c r="L3767" s="143">
        <v>140</v>
      </c>
      <c r="W3767" s="143" t="s">
        <v>294</v>
      </c>
      <c r="X3767" s="143" t="s">
        <v>10610</v>
      </c>
      <c r="Y3767" s="169" t="s">
        <v>10607</v>
      </c>
      <c r="Z3767" s="143" t="s">
        <v>10610</v>
      </c>
    </row>
    <row r="3768" spans="1:26">
      <c r="A3768" s="143">
        <v>3731</v>
      </c>
      <c r="B3768" s="144">
        <v>46155</v>
      </c>
      <c r="C3768" s="169" t="s">
        <v>3148</v>
      </c>
      <c r="D3768" s="143" t="s">
        <v>41</v>
      </c>
      <c r="F3768" s="143" t="s">
        <v>10613</v>
      </c>
      <c r="H3768" s="143" t="s">
        <v>10614</v>
      </c>
      <c r="I3768" s="143" t="s">
        <v>3218</v>
      </c>
      <c r="J3768" s="143" t="s">
        <v>1577</v>
      </c>
      <c r="K3768" s="143">
        <v>135</v>
      </c>
      <c r="L3768" s="143">
        <v>70</v>
      </c>
      <c r="W3768" s="143" t="s">
        <v>294</v>
      </c>
      <c r="X3768" s="143" t="s">
        <v>10613</v>
      </c>
      <c r="Y3768" s="169" t="s">
        <v>10607</v>
      </c>
      <c r="Z3768" s="143" t="s">
        <v>10613</v>
      </c>
    </row>
    <row r="3769" spans="1:26">
      <c r="A3769" s="143">
        <v>3732</v>
      </c>
      <c r="B3769" s="144">
        <v>46155</v>
      </c>
      <c r="C3769" s="169" t="s">
        <v>3148</v>
      </c>
      <c r="D3769" s="143" t="s">
        <v>41</v>
      </c>
      <c r="F3769" s="143" t="s">
        <v>10615</v>
      </c>
      <c r="H3769" s="143" t="s">
        <v>10616</v>
      </c>
      <c r="I3769" s="143" t="s">
        <v>3218</v>
      </c>
      <c r="J3769" s="143" t="s">
        <v>1577</v>
      </c>
      <c r="K3769" s="143">
        <v>145</v>
      </c>
      <c r="L3769" s="143">
        <v>58</v>
      </c>
      <c r="W3769" s="143" t="s">
        <v>294</v>
      </c>
      <c r="X3769" s="143" t="s">
        <v>10615</v>
      </c>
      <c r="Y3769" s="169" t="s">
        <v>10607</v>
      </c>
      <c r="Z3769" s="143" t="s">
        <v>10615</v>
      </c>
    </row>
    <row r="3770" spans="1:26">
      <c r="A3770" s="143">
        <v>3733</v>
      </c>
      <c r="B3770" s="144">
        <v>46155</v>
      </c>
      <c r="C3770" s="169" t="s">
        <v>3148</v>
      </c>
      <c r="D3770" s="143" t="s">
        <v>41</v>
      </c>
      <c r="F3770" s="143" t="s">
        <v>10617</v>
      </c>
      <c r="H3770" s="143" t="s">
        <v>10618</v>
      </c>
      <c r="I3770" s="143" t="s">
        <v>10619</v>
      </c>
      <c r="J3770" s="143" t="s">
        <v>10620</v>
      </c>
      <c r="K3770" s="143">
        <v>150</v>
      </c>
      <c r="L3770" s="143">
        <v>60</v>
      </c>
      <c r="W3770" s="143" t="s">
        <v>294</v>
      </c>
      <c r="X3770" s="143" t="s">
        <v>10617</v>
      </c>
      <c r="Y3770" s="169" t="s">
        <v>10607</v>
      </c>
      <c r="Z3770" s="143" t="s">
        <v>10617</v>
      </c>
    </row>
    <row r="3771" spans="1:26">
      <c r="A3771" s="143">
        <v>3734</v>
      </c>
      <c r="B3771" s="144">
        <v>46155</v>
      </c>
      <c r="C3771" s="169" t="s">
        <v>3148</v>
      </c>
      <c r="D3771" s="143" t="s">
        <v>41</v>
      </c>
      <c r="F3771" s="143" t="s">
        <v>10621</v>
      </c>
      <c r="H3771" s="143" t="s">
        <v>10622</v>
      </c>
      <c r="I3771" s="143" t="s">
        <v>10623</v>
      </c>
      <c r="J3771" s="143" t="s">
        <v>10624</v>
      </c>
      <c r="K3771" s="143">
        <v>145</v>
      </c>
      <c r="L3771" s="143">
        <v>50</v>
      </c>
      <c r="W3771" s="143" t="s">
        <v>294</v>
      </c>
      <c r="X3771" s="143" t="s">
        <v>10621</v>
      </c>
      <c r="Y3771" s="169" t="s">
        <v>10607</v>
      </c>
      <c r="Z3771" s="143" t="s">
        <v>10621</v>
      </c>
    </row>
    <row r="3772" spans="1:26">
      <c r="A3772" s="143">
        <v>3735</v>
      </c>
      <c r="B3772" s="144">
        <v>46155</v>
      </c>
      <c r="C3772" s="169" t="s">
        <v>3148</v>
      </c>
      <c r="D3772" s="143" t="s">
        <v>41</v>
      </c>
      <c r="F3772" s="143" t="s">
        <v>10625</v>
      </c>
      <c r="H3772" s="143" t="s">
        <v>10626</v>
      </c>
      <c r="I3772" s="143" t="s">
        <v>10627</v>
      </c>
      <c r="K3772" s="143">
        <v>147</v>
      </c>
      <c r="L3772" s="143">
        <v>80</v>
      </c>
      <c r="W3772" s="143" t="s">
        <v>294</v>
      </c>
      <c r="X3772" s="143" t="s">
        <v>10625</v>
      </c>
      <c r="Y3772" s="169" t="s">
        <v>10607</v>
      </c>
      <c r="Z3772" s="143" t="s">
        <v>10625</v>
      </c>
    </row>
    <row r="3773" spans="1:26">
      <c r="A3773" s="143">
        <v>3736</v>
      </c>
      <c r="B3773" s="144">
        <v>46155</v>
      </c>
      <c r="C3773" s="169" t="s">
        <v>3148</v>
      </c>
      <c r="D3773" s="143" t="s">
        <v>41</v>
      </c>
      <c r="F3773" s="143" t="s">
        <v>10628</v>
      </c>
      <c r="H3773" s="143" t="s">
        <v>10629</v>
      </c>
      <c r="I3773" s="143" t="s">
        <v>10630</v>
      </c>
      <c r="K3773" s="143">
        <v>140</v>
      </c>
      <c r="L3773" s="143">
        <v>55</v>
      </c>
      <c r="W3773" s="143" t="s">
        <v>294</v>
      </c>
      <c r="X3773" s="143" t="s">
        <v>10628</v>
      </c>
      <c r="Y3773" s="169" t="s">
        <v>10607</v>
      </c>
      <c r="Z3773" s="143" t="s">
        <v>10628</v>
      </c>
    </row>
    <row r="3774" spans="1:26">
      <c r="A3774" s="143">
        <v>3737</v>
      </c>
      <c r="B3774" s="144">
        <v>46155</v>
      </c>
      <c r="C3774" s="169" t="s">
        <v>3148</v>
      </c>
      <c r="D3774" s="143" t="s">
        <v>41</v>
      </c>
      <c r="F3774" s="143" t="s">
        <v>10631</v>
      </c>
      <c r="H3774" s="143" t="s">
        <v>10632</v>
      </c>
      <c r="I3774" s="143" t="s">
        <v>3157</v>
      </c>
      <c r="J3774" s="143" t="s">
        <v>3684</v>
      </c>
      <c r="K3774" s="143">
        <v>145</v>
      </c>
      <c r="L3774" s="143">
        <v>120</v>
      </c>
      <c r="W3774" s="143" t="s">
        <v>294</v>
      </c>
      <c r="X3774" s="143" t="s">
        <v>10631</v>
      </c>
      <c r="Y3774" s="169" t="s">
        <v>10633</v>
      </c>
      <c r="Z3774" s="143" t="s">
        <v>10631</v>
      </c>
    </row>
    <row r="3775" spans="1:26">
      <c r="A3775" s="143">
        <v>3738</v>
      </c>
      <c r="B3775" s="144">
        <v>46155</v>
      </c>
      <c r="C3775" s="169" t="s">
        <v>3148</v>
      </c>
      <c r="D3775" s="143" t="s">
        <v>41</v>
      </c>
      <c r="F3775" s="143" t="s">
        <v>10634</v>
      </c>
      <c r="H3775" s="143" t="s">
        <v>10635</v>
      </c>
      <c r="I3775" s="143" t="s">
        <v>3157</v>
      </c>
      <c r="J3775" s="143" t="s">
        <v>3684</v>
      </c>
      <c r="K3775" s="143">
        <v>145</v>
      </c>
      <c r="L3775" s="143">
        <v>125</v>
      </c>
      <c r="W3775" s="143" t="s">
        <v>294</v>
      </c>
      <c r="X3775" s="143" t="s">
        <v>10634</v>
      </c>
      <c r="Y3775" s="169" t="s">
        <v>10633</v>
      </c>
      <c r="Z3775" s="143" t="s">
        <v>10634</v>
      </c>
    </row>
    <row r="3776" spans="1:26">
      <c r="A3776" s="143">
        <v>3739</v>
      </c>
      <c r="B3776" s="144">
        <v>46155</v>
      </c>
      <c r="C3776" s="169" t="s">
        <v>3148</v>
      </c>
      <c r="D3776" s="143" t="s">
        <v>41</v>
      </c>
      <c r="F3776" s="143" t="s">
        <v>10636</v>
      </c>
      <c r="H3776" s="143" t="s">
        <v>10637</v>
      </c>
      <c r="I3776" s="143" t="s">
        <v>10638</v>
      </c>
      <c r="K3776" s="143">
        <v>155</v>
      </c>
      <c r="L3776" s="143">
        <v>150</v>
      </c>
      <c r="W3776" s="143" t="s">
        <v>294</v>
      </c>
      <c r="X3776" s="143" t="s">
        <v>10636</v>
      </c>
      <c r="Y3776" s="169" t="s">
        <v>10633</v>
      </c>
      <c r="Z3776" s="143" t="s">
        <v>10636</v>
      </c>
    </row>
    <row r="3777" spans="1:26">
      <c r="A3777" s="143">
        <v>3740</v>
      </c>
      <c r="B3777" s="144">
        <v>46155</v>
      </c>
      <c r="C3777" s="169" t="s">
        <v>3148</v>
      </c>
      <c r="D3777" s="143" t="s">
        <v>41</v>
      </c>
      <c r="F3777" s="143" t="s">
        <v>10639</v>
      </c>
      <c r="H3777" s="143" t="s">
        <v>10640</v>
      </c>
      <c r="I3777" s="143" t="s">
        <v>10641</v>
      </c>
      <c r="K3777" s="143">
        <v>145</v>
      </c>
      <c r="W3777" s="143" t="s">
        <v>294</v>
      </c>
      <c r="X3777" s="143" t="s">
        <v>10639</v>
      </c>
      <c r="Y3777" s="169" t="s">
        <v>10633</v>
      </c>
      <c r="Z3777" s="143" t="s">
        <v>10639</v>
      </c>
    </row>
    <row r="3778" spans="1:26">
      <c r="A3778" s="143">
        <v>3741</v>
      </c>
      <c r="B3778" s="144">
        <v>46155</v>
      </c>
      <c r="C3778" s="169" t="s">
        <v>3148</v>
      </c>
      <c r="D3778" s="143" t="s">
        <v>41</v>
      </c>
      <c r="F3778" s="143" t="s">
        <v>10642</v>
      </c>
      <c r="H3778" s="143" t="s">
        <v>10643</v>
      </c>
      <c r="I3778" s="143" t="s">
        <v>3157</v>
      </c>
      <c r="J3778" s="143" t="s">
        <v>3684</v>
      </c>
      <c r="K3778" s="143">
        <v>145</v>
      </c>
      <c r="L3778" s="143">
        <v>120</v>
      </c>
      <c r="W3778" s="143" t="s">
        <v>294</v>
      </c>
      <c r="X3778" s="143" t="s">
        <v>10642</v>
      </c>
      <c r="Y3778" s="169" t="s">
        <v>10633</v>
      </c>
      <c r="Z3778" s="143" t="s">
        <v>10642</v>
      </c>
    </row>
    <row r="3779" spans="1:26">
      <c r="A3779" s="143">
        <v>3742</v>
      </c>
      <c r="B3779" s="144">
        <v>46155</v>
      </c>
      <c r="C3779" s="169" t="s">
        <v>3148</v>
      </c>
      <c r="D3779" s="143" t="s">
        <v>41</v>
      </c>
      <c r="F3779" s="143" t="s">
        <v>10644</v>
      </c>
      <c r="H3779" s="143" t="s">
        <v>10645</v>
      </c>
      <c r="I3779" s="143" t="s">
        <v>10646</v>
      </c>
      <c r="K3779" s="143">
        <v>150</v>
      </c>
      <c r="L3779" s="143">
        <v>95</v>
      </c>
      <c r="W3779" s="143" t="s">
        <v>294</v>
      </c>
      <c r="X3779" s="143" t="s">
        <v>10644</v>
      </c>
      <c r="Y3779" s="169" t="s">
        <v>10633</v>
      </c>
      <c r="Z3779" s="143" t="s">
        <v>10644</v>
      </c>
    </row>
    <row r="3780" spans="1:26">
      <c r="A3780" s="143">
        <v>3743</v>
      </c>
      <c r="B3780" s="144">
        <v>46155</v>
      </c>
      <c r="C3780" s="169" t="s">
        <v>3148</v>
      </c>
      <c r="D3780" s="143" t="s">
        <v>41</v>
      </c>
      <c r="F3780" s="169" t="s">
        <v>10647</v>
      </c>
      <c r="H3780" s="143" t="s">
        <v>10648</v>
      </c>
      <c r="I3780" s="143" t="s">
        <v>3218</v>
      </c>
      <c r="J3780" s="143" t="s">
        <v>1577</v>
      </c>
      <c r="K3780" s="143">
        <v>150</v>
      </c>
      <c r="L3780" s="143">
        <v>180</v>
      </c>
      <c r="W3780" s="143" t="s">
        <v>294</v>
      </c>
      <c r="X3780" s="169" t="s">
        <v>10647</v>
      </c>
      <c r="Y3780" s="169" t="s">
        <v>7850</v>
      </c>
      <c r="Z3780" s="169" t="s">
        <v>10647</v>
      </c>
    </row>
    <row r="3781" spans="1:26">
      <c r="A3781" s="143">
        <v>3744</v>
      </c>
      <c r="B3781" s="144">
        <v>46155</v>
      </c>
      <c r="C3781" s="169" t="s">
        <v>3148</v>
      </c>
      <c r="D3781" s="143" t="s">
        <v>41</v>
      </c>
      <c r="F3781" s="169" t="s">
        <v>10649</v>
      </c>
      <c r="H3781" s="143" t="s">
        <v>10650</v>
      </c>
      <c r="I3781" s="143" t="s">
        <v>3218</v>
      </c>
      <c r="J3781" s="143" t="s">
        <v>1577</v>
      </c>
      <c r="K3781" s="143">
        <v>150</v>
      </c>
      <c r="L3781" s="143">
        <v>180</v>
      </c>
      <c r="W3781" s="143" t="s">
        <v>294</v>
      </c>
      <c r="X3781" s="169" t="s">
        <v>10649</v>
      </c>
      <c r="Y3781" s="169" t="s">
        <v>7850</v>
      </c>
      <c r="Z3781" s="169" t="s">
        <v>10649</v>
      </c>
    </row>
    <row r="3782" spans="1:26">
      <c r="A3782" s="143">
        <v>3745</v>
      </c>
      <c r="B3782" s="144">
        <v>46155</v>
      </c>
      <c r="C3782" s="169" t="s">
        <v>3148</v>
      </c>
      <c r="D3782" s="143" t="s">
        <v>41</v>
      </c>
      <c r="F3782" s="169" t="s">
        <v>2626</v>
      </c>
      <c r="H3782" s="143" t="s">
        <v>10651</v>
      </c>
      <c r="I3782" s="143" t="s">
        <v>3218</v>
      </c>
      <c r="J3782" s="143" t="s">
        <v>1577</v>
      </c>
      <c r="K3782" s="143">
        <v>150</v>
      </c>
      <c r="L3782" s="143">
        <v>250</v>
      </c>
      <c r="W3782" s="143" t="s">
        <v>294</v>
      </c>
      <c r="X3782" s="169" t="s">
        <v>2626</v>
      </c>
      <c r="Y3782" s="169" t="s">
        <v>7850</v>
      </c>
      <c r="Z3782" s="169" t="s">
        <v>2626</v>
      </c>
    </row>
    <row r="3783" spans="1:26">
      <c r="A3783" s="143">
        <v>3746</v>
      </c>
      <c r="B3783" s="144">
        <v>46155</v>
      </c>
      <c r="C3783" s="169" t="s">
        <v>3148</v>
      </c>
      <c r="D3783" s="143" t="s">
        <v>41</v>
      </c>
      <c r="F3783" s="143" t="s">
        <v>9277</v>
      </c>
      <c r="H3783" s="143" t="s">
        <v>10652</v>
      </c>
      <c r="I3783" s="143" t="s">
        <v>5653</v>
      </c>
      <c r="J3783" s="143" t="s">
        <v>5576</v>
      </c>
      <c r="K3783" s="143">
        <v>150</v>
      </c>
      <c r="L3783" s="143">
        <v>270</v>
      </c>
      <c r="W3783" s="143" t="s">
        <v>294</v>
      </c>
      <c r="X3783" s="143" t="s">
        <v>9277</v>
      </c>
      <c r="Y3783" s="169" t="s">
        <v>7850</v>
      </c>
      <c r="Z3783" s="143" t="s">
        <v>9277</v>
      </c>
    </row>
    <row r="3784" spans="1:26">
      <c r="A3784" s="143">
        <v>3747</v>
      </c>
      <c r="B3784" s="144">
        <v>46155</v>
      </c>
      <c r="C3784" s="169" t="s">
        <v>3148</v>
      </c>
      <c r="D3784" s="143" t="s">
        <v>41</v>
      </c>
      <c r="F3784" s="169" t="s">
        <v>10653</v>
      </c>
      <c r="H3784" s="143" t="s">
        <v>10654</v>
      </c>
      <c r="I3784" s="143" t="s">
        <v>10655</v>
      </c>
      <c r="K3784" s="143">
        <v>150</v>
      </c>
      <c r="L3784" s="143">
        <v>235</v>
      </c>
      <c r="W3784" s="143" t="s">
        <v>294</v>
      </c>
      <c r="X3784" s="169" t="s">
        <v>10653</v>
      </c>
      <c r="Y3784" s="169" t="s">
        <v>7850</v>
      </c>
      <c r="Z3784" s="169" t="s">
        <v>10653</v>
      </c>
    </row>
    <row r="3785" spans="1:26">
      <c r="A3785" s="143">
        <v>3748</v>
      </c>
      <c r="B3785" s="144">
        <v>46155</v>
      </c>
      <c r="C3785" s="169" t="s">
        <v>3148</v>
      </c>
      <c r="D3785" s="143" t="s">
        <v>41</v>
      </c>
      <c r="F3785" s="169" t="s">
        <v>10656</v>
      </c>
      <c r="H3785" s="143" t="s">
        <v>10657</v>
      </c>
      <c r="I3785" s="143" t="s">
        <v>10658</v>
      </c>
      <c r="J3785" s="143" t="s">
        <v>10659</v>
      </c>
      <c r="K3785" s="143">
        <v>150</v>
      </c>
      <c r="L3785" s="143">
        <v>150</v>
      </c>
      <c r="W3785" s="143" t="s">
        <v>294</v>
      </c>
      <c r="X3785" s="169" t="s">
        <v>10656</v>
      </c>
      <c r="Y3785" s="169" t="s">
        <v>7850</v>
      </c>
      <c r="Z3785" s="169" t="s">
        <v>10656</v>
      </c>
    </row>
    <row r="3786" spans="1:26">
      <c r="A3786" s="143">
        <v>3749</v>
      </c>
      <c r="B3786" s="144">
        <v>46155</v>
      </c>
      <c r="C3786" s="169" t="s">
        <v>3148</v>
      </c>
      <c r="D3786" s="143" t="s">
        <v>41</v>
      </c>
      <c r="F3786" s="169" t="s">
        <v>10660</v>
      </c>
      <c r="H3786" s="143" t="s">
        <v>10661</v>
      </c>
      <c r="I3786" s="143" t="s">
        <v>10662</v>
      </c>
      <c r="J3786" s="143" t="s">
        <v>10663</v>
      </c>
      <c r="K3786" s="143">
        <v>150</v>
      </c>
      <c r="L3786" s="143">
        <v>190</v>
      </c>
      <c r="W3786" s="143" t="s">
        <v>294</v>
      </c>
      <c r="X3786" s="169" t="s">
        <v>10660</v>
      </c>
      <c r="Y3786" s="169" t="s">
        <v>7850</v>
      </c>
      <c r="Z3786" s="169" t="s">
        <v>10660</v>
      </c>
    </row>
    <row r="3787" spans="1:26">
      <c r="A3787" s="143">
        <v>3750</v>
      </c>
      <c r="B3787" s="144">
        <v>46155</v>
      </c>
      <c r="C3787" s="169" t="s">
        <v>3148</v>
      </c>
      <c r="D3787" s="143" t="s">
        <v>41</v>
      </c>
      <c r="F3787" s="169" t="s">
        <v>10664</v>
      </c>
      <c r="H3787" s="143" t="s">
        <v>10665</v>
      </c>
      <c r="I3787" s="143" t="s">
        <v>377</v>
      </c>
      <c r="J3787" s="143" t="s">
        <v>3657</v>
      </c>
      <c r="K3787" s="143">
        <v>150</v>
      </c>
      <c r="L3787" s="143">
        <v>275</v>
      </c>
      <c r="W3787" s="143" t="s">
        <v>294</v>
      </c>
      <c r="X3787" s="169" t="s">
        <v>10664</v>
      </c>
      <c r="Y3787" s="169" t="s">
        <v>7850</v>
      </c>
      <c r="Z3787" s="169" t="s">
        <v>10664</v>
      </c>
    </row>
    <row r="3788" spans="1:26">
      <c r="A3788" s="143">
        <v>3751</v>
      </c>
      <c r="B3788" s="144">
        <v>46155</v>
      </c>
      <c r="C3788" s="169" t="s">
        <v>3148</v>
      </c>
      <c r="D3788" s="143" t="s">
        <v>41</v>
      </c>
      <c r="F3788" s="169" t="s">
        <v>10666</v>
      </c>
      <c r="H3788" s="143" t="s">
        <v>10667</v>
      </c>
      <c r="I3788" s="143" t="s">
        <v>10668</v>
      </c>
      <c r="J3788" s="143" t="s">
        <v>10669</v>
      </c>
      <c r="K3788" s="143">
        <v>150</v>
      </c>
      <c r="L3788" s="143">
        <v>190</v>
      </c>
      <c r="W3788" s="143" t="s">
        <v>294</v>
      </c>
      <c r="X3788" s="169" t="s">
        <v>10666</v>
      </c>
      <c r="Y3788" s="169" t="s">
        <v>7850</v>
      </c>
      <c r="Z3788" s="169" t="s">
        <v>10666</v>
      </c>
    </row>
    <row r="3789" spans="1:26">
      <c r="A3789" s="143">
        <v>3752</v>
      </c>
      <c r="B3789" s="144">
        <v>46155</v>
      </c>
      <c r="C3789" s="169" t="s">
        <v>9603</v>
      </c>
      <c r="D3789" s="169" t="s">
        <v>9776</v>
      </c>
      <c r="F3789" s="143" t="s">
        <v>10670</v>
      </c>
      <c r="H3789" s="143" t="s">
        <v>10671</v>
      </c>
      <c r="I3789" s="143" t="s">
        <v>10672</v>
      </c>
      <c r="J3789" s="143" t="s">
        <v>10673</v>
      </c>
      <c r="K3789" s="143">
        <v>150</v>
      </c>
      <c r="L3789" s="143">
        <v>145</v>
      </c>
      <c r="W3789" s="169" t="s">
        <v>294</v>
      </c>
      <c r="X3789" s="143" t="s">
        <v>10670</v>
      </c>
      <c r="Y3789" s="169" t="s">
        <v>10674</v>
      </c>
      <c r="Z3789" s="143" t="s">
        <v>10670</v>
      </c>
    </row>
    <row r="3790" spans="1:26">
      <c r="A3790" s="143">
        <v>3753</v>
      </c>
      <c r="B3790" s="144">
        <v>46155</v>
      </c>
      <c r="C3790" s="169" t="s">
        <v>9603</v>
      </c>
      <c r="D3790" s="169" t="s">
        <v>9776</v>
      </c>
      <c r="F3790" s="143" t="s">
        <v>10675</v>
      </c>
      <c r="H3790" s="143" t="s">
        <v>10676</v>
      </c>
      <c r="I3790" s="143" t="s">
        <v>10677</v>
      </c>
      <c r="J3790" s="143" t="s">
        <v>10678</v>
      </c>
      <c r="K3790" s="143">
        <v>148</v>
      </c>
      <c r="L3790" s="143">
        <v>100</v>
      </c>
      <c r="W3790" s="169" t="s">
        <v>294</v>
      </c>
      <c r="X3790" s="143" t="s">
        <v>10675</v>
      </c>
      <c r="Y3790" s="169" t="s">
        <v>10674</v>
      </c>
      <c r="Z3790" s="143" t="s">
        <v>10675</v>
      </c>
    </row>
    <row r="3791" spans="1:26">
      <c r="A3791" s="143">
        <v>3754</v>
      </c>
      <c r="B3791" s="144">
        <v>46155</v>
      </c>
      <c r="C3791" s="169" t="s">
        <v>9603</v>
      </c>
      <c r="D3791" s="169" t="s">
        <v>9776</v>
      </c>
      <c r="F3791" s="143" t="s">
        <v>10679</v>
      </c>
      <c r="H3791" s="143" t="s">
        <v>10680</v>
      </c>
      <c r="I3791" s="143" t="s">
        <v>10677</v>
      </c>
      <c r="J3791" s="143" t="s">
        <v>10678</v>
      </c>
      <c r="K3791" s="143">
        <v>148</v>
      </c>
      <c r="L3791" s="143">
        <v>100</v>
      </c>
      <c r="W3791" s="169" t="s">
        <v>294</v>
      </c>
      <c r="X3791" s="143" t="s">
        <v>10681</v>
      </c>
      <c r="Y3791" s="169" t="s">
        <v>10674</v>
      </c>
      <c r="Z3791" s="143" t="s">
        <v>10681</v>
      </c>
    </row>
    <row r="3792" spans="1:26">
      <c r="A3792" s="143">
        <v>3755</v>
      </c>
      <c r="B3792" s="144">
        <v>46156</v>
      </c>
      <c r="C3792" s="169" t="s">
        <v>9603</v>
      </c>
      <c r="F3792" s="143" t="s">
        <v>10682</v>
      </c>
      <c r="H3792" s="143" t="s">
        <v>10683</v>
      </c>
      <c r="I3792" s="143" t="s">
        <v>10684</v>
      </c>
      <c r="J3792" s="143" t="s">
        <v>10685</v>
      </c>
      <c r="K3792" s="143">
        <v>145</v>
      </c>
      <c r="L3792" s="143">
        <v>110</v>
      </c>
      <c r="W3792" s="169" t="s">
        <v>3147</v>
      </c>
      <c r="X3792" s="143" t="s">
        <v>10682</v>
      </c>
      <c r="Y3792" s="169" t="s">
        <v>10686</v>
      </c>
      <c r="Z3792" s="143" t="s">
        <v>10682</v>
      </c>
    </row>
    <row r="3793" spans="1:26">
      <c r="A3793" s="143">
        <v>3756</v>
      </c>
      <c r="B3793" s="144">
        <v>46156</v>
      </c>
      <c r="C3793" s="169" t="s">
        <v>9603</v>
      </c>
      <c r="F3793" s="143" t="s">
        <v>10687</v>
      </c>
      <c r="H3793" s="143" t="s">
        <v>10688</v>
      </c>
      <c r="I3793" s="143" t="s">
        <v>10684</v>
      </c>
      <c r="J3793" s="143" t="s">
        <v>10685</v>
      </c>
      <c r="K3793" s="143">
        <v>145</v>
      </c>
      <c r="L3793" s="143">
        <v>110</v>
      </c>
      <c r="W3793" s="169" t="s">
        <v>3147</v>
      </c>
      <c r="X3793" s="143" t="s">
        <v>10687</v>
      </c>
      <c r="Y3793" s="169" t="s">
        <v>10689</v>
      </c>
      <c r="Z3793" s="143" t="s">
        <v>10687</v>
      </c>
    </row>
    <row r="3794" spans="1:26">
      <c r="A3794" s="143">
        <v>3757</v>
      </c>
      <c r="B3794" s="144">
        <v>46156</v>
      </c>
      <c r="C3794" s="169" t="s">
        <v>9603</v>
      </c>
      <c r="F3794" s="143">
        <v>3725</v>
      </c>
      <c r="H3794" s="143" t="s">
        <v>10690</v>
      </c>
      <c r="K3794" s="143">
        <v>170</v>
      </c>
      <c r="L3794" s="143">
        <v>210</v>
      </c>
      <c r="W3794" s="169" t="s">
        <v>3147</v>
      </c>
      <c r="X3794" s="143">
        <v>3725</v>
      </c>
      <c r="Y3794" s="169" t="s">
        <v>10691</v>
      </c>
      <c r="Z3794" s="143">
        <v>3725</v>
      </c>
    </row>
    <row r="3795" spans="1:26">
      <c r="A3795" s="143">
        <v>3758</v>
      </c>
      <c r="B3795" s="144">
        <v>46156</v>
      </c>
      <c r="C3795" s="169" t="s">
        <v>9603</v>
      </c>
      <c r="F3795" s="143" t="s">
        <v>10692</v>
      </c>
      <c r="H3795" s="143" t="s">
        <v>10693</v>
      </c>
      <c r="K3795" s="143">
        <v>146</v>
      </c>
      <c r="L3795" s="143">
        <v>165</v>
      </c>
      <c r="W3795" s="169" t="s">
        <v>3147</v>
      </c>
      <c r="X3795" s="143" t="s">
        <v>10692</v>
      </c>
      <c r="Y3795" s="169" t="s">
        <v>10691</v>
      </c>
      <c r="Z3795" s="143" t="s">
        <v>10692</v>
      </c>
    </row>
    <row r="3796" spans="1:26">
      <c r="A3796" s="143">
        <v>3759</v>
      </c>
      <c r="B3796" s="144">
        <v>46156</v>
      </c>
      <c r="C3796" s="169" t="s">
        <v>9603</v>
      </c>
      <c r="F3796" s="143" t="s">
        <v>10694</v>
      </c>
      <c r="H3796" s="143" t="s">
        <v>10695</v>
      </c>
      <c r="I3796" s="143" t="s">
        <v>1552</v>
      </c>
      <c r="J3796" s="143" t="s">
        <v>10696</v>
      </c>
      <c r="K3796" s="143">
        <v>145</v>
      </c>
      <c r="W3796" s="169" t="s">
        <v>3147</v>
      </c>
      <c r="X3796" s="143" t="s">
        <v>10694</v>
      </c>
      <c r="Y3796" s="169" t="s">
        <v>10697</v>
      </c>
      <c r="Z3796" s="143" t="s">
        <v>10694</v>
      </c>
    </row>
    <row r="3797" spans="1:26">
      <c r="A3797" s="143">
        <v>3760</v>
      </c>
      <c r="B3797" s="144">
        <v>46156</v>
      </c>
      <c r="C3797" s="169" t="s">
        <v>9603</v>
      </c>
      <c r="F3797" s="143" t="s">
        <v>10698</v>
      </c>
      <c r="H3797" s="143" t="s">
        <v>10699</v>
      </c>
      <c r="I3797" s="143" t="s">
        <v>1552</v>
      </c>
      <c r="J3797" s="143" t="s">
        <v>10696</v>
      </c>
      <c r="K3797" s="143">
        <v>145</v>
      </c>
      <c r="W3797" s="169" t="s">
        <v>3147</v>
      </c>
      <c r="X3797" s="143" t="s">
        <v>10698</v>
      </c>
      <c r="Y3797" s="169" t="s">
        <v>10697</v>
      </c>
      <c r="Z3797" s="143" t="s">
        <v>10698</v>
      </c>
    </row>
    <row r="3798" spans="1:26">
      <c r="A3798" s="143">
        <v>3761</v>
      </c>
      <c r="B3798" s="144">
        <v>46156</v>
      </c>
      <c r="C3798" s="169" t="s">
        <v>9603</v>
      </c>
      <c r="F3798" s="143" t="s">
        <v>10700</v>
      </c>
      <c r="H3798" s="143" t="s">
        <v>10701</v>
      </c>
      <c r="I3798" s="143" t="s">
        <v>324</v>
      </c>
      <c r="J3798" s="143" t="s">
        <v>10163</v>
      </c>
      <c r="K3798" s="143">
        <v>150</v>
      </c>
      <c r="W3798" s="169" t="s">
        <v>3147</v>
      </c>
      <c r="X3798" s="143" t="s">
        <v>10700</v>
      </c>
      <c r="Y3798" s="169" t="s">
        <v>10702</v>
      </c>
      <c r="Z3798" s="143" t="s">
        <v>10700</v>
      </c>
    </row>
    <row r="3799" spans="1:26">
      <c r="A3799" s="143">
        <v>3762</v>
      </c>
      <c r="B3799" s="144">
        <v>46156</v>
      </c>
      <c r="C3799" s="169" t="s">
        <v>9603</v>
      </c>
      <c r="F3799" s="143" t="s">
        <v>10703</v>
      </c>
      <c r="H3799" s="143" t="s">
        <v>10704</v>
      </c>
      <c r="I3799" s="143" t="s">
        <v>324</v>
      </c>
      <c r="J3799" s="143" t="s">
        <v>10163</v>
      </c>
      <c r="K3799" s="143">
        <v>150</v>
      </c>
      <c r="W3799" s="169" t="s">
        <v>3147</v>
      </c>
      <c r="X3799" s="143" t="s">
        <v>10703</v>
      </c>
      <c r="Y3799" s="169" t="s">
        <v>10702</v>
      </c>
      <c r="Z3799" s="143" t="s">
        <v>10703</v>
      </c>
    </row>
    <row r="3800" spans="1:26">
      <c r="A3800" s="143">
        <v>3763</v>
      </c>
      <c r="B3800" s="144">
        <v>46156</v>
      </c>
      <c r="C3800" s="169" t="s">
        <v>9603</v>
      </c>
      <c r="F3800" s="143" t="s">
        <v>10703</v>
      </c>
      <c r="H3800" s="143" t="s">
        <v>10705</v>
      </c>
      <c r="I3800" s="143" t="s">
        <v>324</v>
      </c>
      <c r="J3800" s="143" t="s">
        <v>10163</v>
      </c>
      <c r="K3800" s="143">
        <v>150</v>
      </c>
      <c r="W3800" s="169" t="s">
        <v>3147</v>
      </c>
      <c r="X3800" s="143" t="s">
        <v>10703</v>
      </c>
      <c r="Y3800" s="169" t="s">
        <v>10702</v>
      </c>
      <c r="Z3800" s="143" t="s">
        <v>10703</v>
      </c>
    </row>
    <row r="3801" spans="1:26">
      <c r="A3801" s="143">
        <v>3764</v>
      </c>
      <c r="B3801" s="144">
        <v>46156</v>
      </c>
      <c r="C3801" s="169" t="s">
        <v>9603</v>
      </c>
      <c r="F3801" s="143" t="s">
        <v>10706</v>
      </c>
      <c r="H3801" s="143" t="s">
        <v>10707</v>
      </c>
      <c r="W3801" s="169" t="s">
        <v>3147</v>
      </c>
      <c r="X3801" s="143" t="s">
        <v>10706</v>
      </c>
      <c r="Y3801" s="169" t="s">
        <v>10708</v>
      </c>
      <c r="Z3801" s="143" t="s">
        <v>10706</v>
      </c>
    </row>
    <row r="3802" spans="1:26">
      <c r="A3802" s="143">
        <v>3765</v>
      </c>
      <c r="B3802" s="144">
        <v>46156</v>
      </c>
      <c r="C3802" s="169" t="s">
        <v>9603</v>
      </c>
      <c r="F3802" s="143" t="s">
        <v>10709</v>
      </c>
      <c r="H3802" s="143" t="s">
        <v>10710</v>
      </c>
      <c r="I3802" s="143" t="s">
        <v>45</v>
      </c>
      <c r="J3802" s="143" t="s">
        <v>105</v>
      </c>
      <c r="W3802" s="169" t="s">
        <v>3147</v>
      </c>
      <c r="X3802" s="143" t="s">
        <v>10709</v>
      </c>
      <c r="Y3802" s="169" t="s">
        <v>10711</v>
      </c>
      <c r="Z3802" s="143" t="s">
        <v>10709</v>
      </c>
    </row>
    <row r="3803" spans="1:26">
      <c r="A3803" s="143">
        <v>3766</v>
      </c>
      <c r="B3803" s="144">
        <v>46156</v>
      </c>
      <c r="C3803" s="169" t="s">
        <v>9603</v>
      </c>
      <c r="F3803" s="143" t="s">
        <v>10712</v>
      </c>
      <c r="H3803" s="143" t="s">
        <v>10713</v>
      </c>
      <c r="W3803" s="169" t="s">
        <v>3147</v>
      </c>
      <c r="X3803" s="143" t="s">
        <v>10712</v>
      </c>
      <c r="Y3803" s="169" t="s">
        <v>10708</v>
      </c>
      <c r="Z3803" s="143" t="s">
        <v>10712</v>
      </c>
    </row>
    <row r="3804" spans="1:26">
      <c r="A3804" s="143">
        <v>3767</v>
      </c>
      <c r="B3804" s="144">
        <v>46156</v>
      </c>
      <c r="C3804" s="169" t="s">
        <v>9603</v>
      </c>
      <c r="F3804" s="143" t="s">
        <v>10714</v>
      </c>
      <c r="H3804" s="143" t="s">
        <v>10715</v>
      </c>
      <c r="W3804" s="169" t="s">
        <v>3147</v>
      </c>
      <c r="X3804" s="143" t="s">
        <v>10714</v>
      </c>
      <c r="Y3804" s="169" t="s">
        <v>10708</v>
      </c>
      <c r="Z3804" s="143" t="s">
        <v>10714</v>
      </c>
    </row>
    <row r="3805" spans="1:26">
      <c r="A3805" s="143">
        <v>3768</v>
      </c>
      <c r="B3805" s="144">
        <v>46156</v>
      </c>
      <c r="C3805" s="169" t="s">
        <v>9603</v>
      </c>
      <c r="F3805" s="143" t="s">
        <v>10706</v>
      </c>
      <c r="H3805" s="143" t="s">
        <v>10716</v>
      </c>
      <c r="W3805" s="169" t="s">
        <v>3147</v>
      </c>
      <c r="X3805" s="143" t="s">
        <v>10706</v>
      </c>
      <c r="Y3805" s="169" t="s">
        <v>10708</v>
      </c>
      <c r="Z3805" s="143" t="s">
        <v>10706</v>
      </c>
    </row>
    <row r="3806" spans="1:26">
      <c r="A3806" s="143">
        <v>3769</v>
      </c>
      <c r="B3806" s="144">
        <v>46156</v>
      </c>
      <c r="C3806" s="169" t="s">
        <v>9603</v>
      </c>
      <c r="F3806" s="143" t="s">
        <v>10717</v>
      </c>
      <c r="H3806" s="143" t="s">
        <v>10718</v>
      </c>
      <c r="I3806" s="143" t="s">
        <v>324</v>
      </c>
      <c r="J3806" s="143" t="s">
        <v>10163</v>
      </c>
      <c r="K3806" s="143">
        <v>150</v>
      </c>
      <c r="L3806" s="143">
        <v>90</v>
      </c>
      <c r="W3806" s="169" t="s">
        <v>3147</v>
      </c>
      <c r="X3806" s="143" t="s">
        <v>10717</v>
      </c>
      <c r="Y3806" s="169" t="s">
        <v>10719</v>
      </c>
      <c r="Z3806" s="143" t="s">
        <v>10717</v>
      </c>
    </row>
    <row r="3807" spans="1:26">
      <c r="A3807" s="143">
        <v>3770</v>
      </c>
      <c r="B3807" s="144">
        <v>46156</v>
      </c>
      <c r="C3807" s="169" t="s">
        <v>9603</v>
      </c>
      <c r="F3807" s="143" t="s">
        <v>10720</v>
      </c>
      <c r="H3807" s="143" t="s">
        <v>10721</v>
      </c>
      <c r="W3807" s="169" t="s">
        <v>3147</v>
      </c>
      <c r="X3807" s="143" t="s">
        <v>10720</v>
      </c>
      <c r="Y3807" s="169" t="s">
        <v>10708</v>
      </c>
      <c r="Z3807" s="143" t="s">
        <v>10720</v>
      </c>
    </row>
    <row r="3808" spans="1:26">
      <c r="A3808" s="143">
        <v>3771</v>
      </c>
      <c r="B3808" s="144">
        <v>46156</v>
      </c>
      <c r="C3808" s="169" t="s">
        <v>9603</v>
      </c>
      <c r="F3808" s="169" t="s">
        <v>10722</v>
      </c>
      <c r="H3808" s="143" t="s">
        <v>10723</v>
      </c>
      <c r="W3808" s="169" t="s">
        <v>3147</v>
      </c>
      <c r="X3808" s="169" t="s">
        <v>10722</v>
      </c>
      <c r="Y3808" s="169" t="s">
        <v>10724</v>
      </c>
      <c r="Z3808" s="169" t="s">
        <v>10722</v>
      </c>
    </row>
    <row r="3809" spans="1:26">
      <c r="A3809" s="143">
        <v>3772</v>
      </c>
      <c r="B3809" s="144">
        <v>46156</v>
      </c>
      <c r="C3809" s="169" t="s">
        <v>9603</v>
      </c>
      <c r="F3809" s="143" t="s">
        <v>10725</v>
      </c>
      <c r="H3809" s="143" t="s">
        <v>10726</v>
      </c>
      <c r="K3809" s="143">
        <v>145</v>
      </c>
      <c r="L3809" s="143">
        <v>90</v>
      </c>
      <c r="W3809" s="169" t="s">
        <v>3147</v>
      </c>
      <c r="X3809" s="143" t="s">
        <v>10725</v>
      </c>
      <c r="Y3809" s="169" t="s">
        <v>10727</v>
      </c>
      <c r="Z3809" s="143" t="s">
        <v>10725</v>
      </c>
    </row>
    <row r="3810" spans="1:26">
      <c r="A3810" s="143">
        <v>3773</v>
      </c>
      <c r="B3810" s="144">
        <v>46156</v>
      </c>
      <c r="C3810" s="169" t="s">
        <v>9603</v>
      </c>
      <c r="F3810" s="143" t="s">
        <v>10728</v>
      </c>
      <c r="H3810" s="143" t="s">
        <v>10729</v>
      </c>
      <c r="I3810" s="143" t="s">
        <v>45</v>
      </c>
      <c r="J3810" s="143" t="s">
        <v>105</v>
      </c>
      <c r="K3810" s="143">
        <v>145</v>
      </c>
      <c r="W3810" s="169" t="s">
        <v>3147</v>
      </c>
      <c r="X3810" s="143" t="s">
        <v>10728</v>
      </c>
      <c r="Y3810" s="169" t="s">
        <v>3174</v>
      </c>
      <c r="Z3810" s="143" t="s">
        <v>10728</v>
      </c>
    </row>
    <row r="3811" spans="1:26">
      <c r="A3811" s="143">
        <v>3774</v>
      </c>
      <c r="B3811" s="144">
        <v>46156</v>
      </c>
      <c r="C3811" s="169" t="s">
        <v>9603</v>
      </c>
      <c r="F3811" s="143" t="s">
        <v>10730</v>
      </c>
      <c r="H3811" s="143" t="s">
        <v>10731</v>
      </c>
      <c r="K3811" s="143">
        <v>150</v>
      </c>
      <c r="L3811" s="143">
        <v>140</v>
      </c>
      <c r="W3811" s="169" t="s">
        <v>3147</v>
      </c>
      <c r="X3811" s="143" t="s">
        <v>10730</v>
      </c>
      <c r="Y3811" s="169" t="s">
        <v>10719</v>
      </c>
      <c r="Z3811" s="143" t="s">
        <v>10730</v>
      </c>
    </row>
    <row r="3812" spans="1:26">
      <c r="A3812" s="143">
        <v>3775</v>
      </c>
      <c r="B3812" s="144">
        <v>46156</v>
      </c>
      <c r="C3812" s="169" t="s">
        <v>9603</v>
      </c>
      <c r="F3812" s="143" t="s">
        <v>10732</v>
      </c>
      <c r="H3812" s="143" t="s">
        <v>10733</v>
      </c>
      <c r="I3812" s="143" t="s">
        <v>324</v>
      </c>
      <c r="J3812" s="143" t="s">
        <v>10163</v>
      </c>
      <c r="K3812" s="143">
        <v>150</v>
      </c>
      <c r="L3812" s="143">
        <v>90</v>
      </c>
      <c r="W3812" s="169" t="s">
        <v>3147</v>
      </c>
      <c r="X3812" s="143" t="s">
        <v>10732</v>
      </c>
      <c r="Y3812" s="169" t="s">
        <v>10719</v>
      </c>
      <c r="Z3812" s="143" t="s">
        <v>10732</v>
      </c>
    </row>
    <row r="3813" spans="1:26">
      <c r="A3813" s="143">
        <v>3776</v>
      </c>
      <c r="B3813" s="144">
        <v>46156</v>
      </c>
      <c r="C3813" s="169" t="s">
        <v>9603</v>
      </c>
      <c r="F3813" s="143" t="s">
        <v>10734</v>
      </c>
      <c r="H3813" s="143" t="s">
        <v>10735</v>
      </c>
      <c r="I3813" s="143" t="s">
        <v>45</v>
      </c>
      <c r="J3813" s="143" t="s">
        <v>105</v>
      </c>
      <c r="K3813" s="143">
        <v>145</v>
      </c>
      <c r="W3813" s="169" t="s">
        <v>3147</v>
      </c>
      <c r="X3813" s="143" t="s">
        <v>10734</v>
      </c>
      <c r="Y3813" s="169" t="s">
        <v>3174</v>
      </c>
      <c r="Z3813" s="143" t="s">
        <v>10734</v>
      </c>
    </row>
    <row r="3814" spans="1:26">
      <c r="A3814" s="143">
        <v>3777</v>
      </c>
      <c r="B3814" s="144">
        <v>46156</v>
      </c>
      <c r="C3814" s="169" t="s">
        <v>9603</v>
      </c>
      <c r="F3814" s="143" t="s">
        <v>10736</v>
      </c>
      <c r="H3814" s="143" t="s">
        <v>10737</v>
      </c>
      <c r="W3814" s="169" t="s">
        <v>3147</v>
      </c>
      <c r="X3814" s="143" t="s">
        <v>10736</v>
      </c>
      <c r="Y3814" s="169" t="s">
        <v>10738</v>
      </c>
      <c r="Z3814" s="143" t="s">
        <v>10736</v>
      </c>
    </row>
    <row r="3815" spans="1:26">
      <c r="A3815" s="143">
        <v>3778</v>
      </c>
      <c r="B3815" s="144">
        <v>46156</v>
      </c>
      <c r="C3815" s="169" t="s">
        <v>9603</v>
      </c>
      <c r="F3815" s="143" t="s">
        <v>10739</v>
      </c>
      <c r="H3815" s="143" t="s">
        <v>10740</v>
      </c>
      <c r="I3815" s="143" t="s">
        <v>324</v>
      </c>
      <c r="J3815" s="143" t="s">
        <v>10163</v>
      </c>
      <c r="K3815" s="143">
        <v>150</v>
      </c>
      <c r="W3815" s="169" t="s">
        <v>3147</v>
      </c>
      <c r="X3815" s="143" t="s">
        <v>10739</v>
      </c>
      <c r="Y3815" s="169" t="s">
        <v>10741</v>
      </c>
      <c r="Z3815" s="143" t="s">
        <v>10739</v>
      </c>
    </row>
    <row r="3816" spans="1:26">
      <c r="A3816" s="143">
        <v>3779</v>
      </c>
      <c r="B3816" s="144">
        <v>46156</v>
      </c>
      <c r="C3816" s="169" t="s">
        <v>9603</v>
      </c>
      <c r="F3816" s="143" t="s">
        <v>10742</v>
      </c>
      <c r="H3816" s="143" t="s">
        <v>10743</v>
      </c>
      <c r="K3816" s="143">
        <v>150</v>
      </c>
      <c r="L3816" s="143">
        <v>125</v>
      </c>
      <c r="W3816" s="169" t="s">
        <v>3147</v>
      </c>
      <c r="X3816" s="143" t="s">
        <v>10742</v>
      </c>
      <c r="Y3816" s="169" t="s">
        <v>10719</v>
      </c>
      <c r="Z3816" s="143" t="s">
        <v>10742</v>
      </c>
    </row>
    <row r="3817" spans="1:26">
      <c r="A3817" s="143">
        <v>3780</v>
      </c>
      <c r="B3817" s="144">
        <v>46156</v>
      </c>
      <c r="C3817" s="169" t="s">
        <v>9603</v>
      </c>
      <c r="F3817" s="143" t="s">
        <v>10744</v>
      </c>
      <c r="H3817" s="143" t="s">
        <v>10745</v>
      </c>
      <c r="I3817" s="143" t="s">
        <v>324</v>
      </c>
      <c r="J3817" s="143" t="s">
        <v>10163</v>
      </c>
      <c r="K3817" s="143">
        <v>150</v>
      </c>
      <c r="W3817" s="169" t="s">
        <v>3147</v>
      </c>
      <c r="X3817" s="143" t="s">
        <v>10744</v>
      </c>
      <c r="Y3817" s="169" t="s">
        <v>10741</v>
      </c>
      <c r="Z3817" s="143" t="s">
        <v>10744</v>
      </c>
    </row>
    <row r="3818" spans="1:26">
      <c r="A3818" s="143">
        <v>3781</v>
      </c>
      <c r="B3818" s="144">
        <v>46156</v>
      </c>
      <c r="C3818" s="169" t="s">
        <v>9603</v>
      </c>
      <c r="F3818" s="143">
        <v>13315</v>
      </c>
      <c r="H3818" s="143" t="s">
        <v>10746</v>
      </c>
      <c r="I3818" s="143" t="s">
        <v>535</v>
      </c>
      <c r="J3818" s="143" t="s">
        <v>330</v>
      </c>
      <c r="L3818" s="143">
        <v>115</v>
      </c>
      <c r="W3818" s="169" t="s">
        <v>3147</v>
      </c>
      <c r="X3818" s="143">
        <v>13315</v>
      </c>
      <c r="Y3818" s="169" t="s">
        <v>3690</v>
      </c>
      <c r="Z3818" s="143">
        <v>13315</v>
      </c>
    </row>
    <row r="3819" spans="1:26">
      <c r="A3819" s="143">
        <v>3782</v>
      </c>
      <c r="B3819" s="144">
        <v>46156</v>
      </c>
      <c r="C3819" s="169" t="s">
        <v>9603</v>
      </c>
      <c r="F3819" s="143" t="s">
        <v>10747</v>
      </c>
      <c r="H3819" s="143" t="s">
        <v>10748</v>
      </c>
      <c r="I3819" s="143" t="s">
        <v>324</v>
      </c>
      <c r="J3819" s="143" t="s">
        <v>10163</v>
      </c>
      <c r="K3819" s="143">
        <v>150</v>
      </c>
      <c r="W3819" s="169" t="s">
        <v>3147</v>
      </c>
      <c r="X3819" s="143" t="s">
        <v>10747</v>
      </c>
      <c r="Y3819" s="169" t="s">
        <v>10741</v>
      </c>
      <c r="Z3819" s="143" t="s">
        <v>10747</v>
      </c>
    </row>
    <row r="3820" spans="1:26">
      <c r="A3820" s="143">
        <v>3783</v>
      </c>
      <c r="B3820" s="144">
        <v>46156</v>
      </c>
      <c r="C3820" s="169" t="s">
        <v>9603</v>
      </c>
      <c r="F3820" s="143" t="s">
        <v>10749</v>
      </c>
      <c r="H3820" s="143" t="s">
        <v>10750</v>
      </c>
      <c r="I3820" s="143" t="s">
        <v>324</v>
      </c>
      <c r="J3820" s="143" t="s">
        <v>10163</v>
      </c>
      <c r="K3820" s="143">
        <v>148</v>
      </c>
      <c r="W3820" s="169" t="s">
        <v>3147</v>
      </c>
      <c r="X3820" s="143" t="s">
        <v>10749</v>
      </c>
      <c r="Y3820" s="169" t="s">
        <v>10751</v>
      </c>
      <c r="Z3820" s="143" t="s">
        <v>10749</v>
      </c>
    </row>
    <row r="3821" spans="1:26">
      <c r="A3821" s="143">
        <v>3784</v>
      </c>
      <c r="B3821" s="144">
        <v>46156</v>
      </c>
      <c r="C3821" s="169" t="s">
        <v>9603</v>
      </c>
      <c r="F3821" s="143">
        <v>2139</v>
      </c>
      <c r="H3821" s="143" t="s">
        <v>10752</v>
      </c>
      <c r="I3821" s="143" t="s">
        <v>890</v>
      </c>
      <c r="J3821" s="143" t="s">
        <v>10753</v>
      </c>
      <c r="K3821" s="143">
        <v>150</v>
      </c>
      <c r="Q3821" s="143" t="s">
        <v>10754</v>
      </c>
      <c r="W3821" s="169" t="s">
        <v>3147</v>
      </c>
      <c r="X3821" s="143">
        <v>2139</v>
      </c>
      <c r="Y3821" s="169" t="s">
        <v>10755</v>
      </c>
      <c r="Z3821" s="143">
        <v>2139</v>
      </c>
    </row>
    <row r="3822" spans="1:26">
      <c r="A3822" s="143">
        <v>3785</v>
      </c>
      <c r="B3822" s="144">
        <v>46156</v>
      </c>
      <c r="C3822" s="169" t="s">
        <v>9603</v>
      </c>
      <c r="F3822" s="143" t="s">
        <v>10756</v>
      </c>
      <c r="H3822" s="143" t="s">
        <v>10757</v>
      </c>
      <c r="I3822" s="143" t="s">
        <v>10758</v>
      </c>
      <c r="J3822" s="182" t="s">
        <v>10759</v>
      </c>
      <c r="W3822" s="169" t="s">
        <v>3147</v>
      </c>
      <c r="X3822" s="143" t="s">
        <v>10756</v>
      </c>
      <c r="Y3822" s="169" t="s">
        <v>3764</v>
      </c>
      <c r="Z3822" s="143" t="s">
        <v>10756</v>
      </c>
    </row>
    <row r="3823" spans="1:26">
      <c r="A3823" s="143">
        <v>3786</v>
      </c>
      <c r="B3823" s="144">
        <v>46156</v>
      </c>
      <c r="C3823" s="169" t="s">
        <v>9603</v>
      </c>
      <c r="F3823" s="143">
        <v>3009</v>
      </c>
      <c r="H3823" s="143" t="s">
        <v>10760</v>
      </c>
      <c r="W3823" s="169" t="s">
        <v>3147</v>
      </c>
      <c r="X3823" s="143">
        <v>3009</v>
      </c>
      <c r="Y3823" s="169" t="s">
        <v>10761</v>
      </c>
      <c r="Z3823" s="143">
        <v>3009</v>
      </c>
    </row>
    <row r="3824" spans="1:26">
      <c r="A3824" s="143">
        <v>3787</v>
      </c>
      <c r="B3824" s="144">
        <v>46156</v>
      </c>
      <c r="C3824" s="169" t="s">
        <v>9603</v>
      </c>
      <c r="F3824" s="169" t="s">
        <v>10762</v>
      </c>
      <c r="H3824" s="143" t="s">
        <v>10763</v>
      </c>
      <c r="I3824" s="143" t="s">
        <v>324</v>
      </c>
      <c r="J3824" s="143" t="s">
        <v>10163</v>
      </c>
      <c r="L3824" s="143">
        <v>165</v>
      </c>
      <c r="W3824" s="169" t="s">
        <v>3147</v>
      </c>
      <c r="X3824" s="169" t="s">
        <v>10762</v>
      </c>
      <c r="Y3824" s="169" t="s">
        <v>10764</v>
      </c>
      <c r="Z3824" s="169" t="s">
        <v>10762</v>
      </c>
    </row>
    <row r="3825" spans="1:26">
      <c r="A3825" s="143">
        <v>3788</v>
      </c>
      <c r="B3825" s="144">
        <v>46156</v>
      </c>
      <c r="C3825" s="169" t="s">
        <v>9603</v>
      </c>
      <c r="F3825" s="143" t="s">
        <v>10765</v>
      </c>
      <c r="H3825" s="143" t="s">
        <v>10766</v>
      </c>
      <c r="K3825" s="143">
        <v>150</v>
      </c>
      <c r="L3825" s="143">
        <v>200</v>
      </c>
      <c r="W3825" s="169" t="s">
        <v>3147</v>
      </c>
      <c r="X3825" s="143" t="s">
        <v>10765</v>
      </c>
      <c r="Y3825" s="169" t="s">
        <v>10767</v>
      </c>
      <c r="Z3825" s="143" t="s">
        <v>10765</v>
      </c>
    </row>
    <row r="3826" spans="1:26">
      <c r="A3826" s="143">
        <v>3789</v>
      </c>
      <c r="B3826" s="144">
        <v>46156</v>
      </c>
      <c r="C3826" s="169" t="s">
        <v>9603</v>
      </c>
      <c r="F3826" s="143">
        <v>1126</v>
      </c>
      <c r="H3826" s="143" t="s">
        <v>10768</v>
      </c>
      <c r="I3826" s="169" t="s">
        <v>10769</v>
      </c>
      <c r="K3826" s="143">
        <v>150</v>
      </c>
      <c r="L3826" s="143">
        <v>230</v>
      </c>
      <c r="W3826" s="169" t="s">
        <v>3147</v>
      </c>
      <c r="X3826" s="143">
        <v>1126</v>
      </c>
      <c r="Y3826" s="169" t="s">
        <v>10764</v>
      </c>
      <c r="Z3826" s="143">
        <v>1126</v>
      </c>
    </row>
    <row r="3827" spans="1:26">
      <c r="A3827" s="143">
        <v>3790</v>
      </c>
      <c r="B3827" s="144">
        <v>46156</v>
      </c>
      <c r="C3827" s="169" t="s">
        <v>9603</v>
      </c>
      <c r="F3827" s="143" t="s">
        <v>10770</v>
      </c>
      <c r="H3827" s="143" t="s">
        <v>10771</v>
      </c>
      <c r="K3827" s="143">
        <v>150</v>
      </c>
      <c r="L3827" s="143">
        <v>180</v>
      </c>
      <c r="W3827" s="169" t="s">
        <v>3147</v>
      </c>
      <c r="X3827" s="143" t="s">
        <v>10772</v>
      </c>
      <c r="Y3827" s="169" t="s">
        <v>10767</v>
      </c>
      <c r="Z3827" s="143" t="s">
        <v>10770</v>
      </c>
    </row>
    <row r="3828" spans="1:26">
      <c r="A3828" s="143">
        <v>3791</v>
      </c>
      <c r="B3828" s="144">
        <v>46156</v>
      </c>
      <c r="C3828" s="169" t="s">
        <v>9603</v>
      </c>
      <c r="F3828" s="143" t="s">
        <v>10773</v>
      </c>
      <c r="H3828" s="143" t="s">
        <v>10774</v>
      </c>
      <c r="I3828" s="143" t="s">
        <v>324</v>
      </c>
      <c r="J3828" s="143" t="s">
        <v>10163</v>
      </c>
      <c r="K3828" s="143">
        <v>160</v>
      </c>
      <c r="L3828" s="143">
        <v>190</v>
      </c>
      <c r="W3828" s="169" t="s">
        <v>3147</v>
      </c>
      <c r="X3828" s="143" t="s">
        <v>10773</v>
      </c>
      <c r="Y3828" s="169" t="s">
        <v>10775</v>
      </c>
      <c r="Z3828" s="143" t="s">
        <v>10773</v>
      </c>
    </row>
    <row r="3829" spans="1:26">
      <c r="A3829" s="143">
        <v>3792</v>
      </c>
      <c r="B3829" s="144">
        <v>46156</v>
      </c>
      <c r="C3829" s="169" t="s">
        <v>9603</v>
      </c>
      <c r="F3829" s="169" t="s">
        <v>10776</v>
      </c>
      <c r="H3829" s="143" t="s">
        <v>10777</v>
      </c>
      <c r="K3829" s="143">
        <v>150</v>
      </c>
      <c r="W3829" s="169" t="s">
        <v>3147</v>
      </c>
      <c r="X3829" s="169" t="s">
        <v>10776</v>
      </c>
      <c r="Y3829" s="169" t="s">
        <v>10778</v>
      </c>
      <c r="Z3829" s="169" t="s">
        <v>10776</v>
      </c>
    </row>
    <row r="3830" spans="1:26">
      <c r="A3830" s="143">
        <v>3793</v>
      </c>
      <c r="B3830" s="144">
        <v>46156</v>
      </c>
      <c r="C3830" s="169" t="s">
        <v>9603</v>
      </c>
      <c r="F3830" s="143" t="s">
        <v>10779</v>
      </c>
      <c r="H3830" s="143" t="s">
        <v>10780</v>
      </c>
      <c r="I3830" s="143" t="s">
        <v>324</v>
      </c>
      <c r="J3830" s="143" t="s">
        <v>10163</v>
      </c>
      <c r="K3830" s="143">
        <v>150</v>
      </c>
      <c r="W3830" s="169" t="s">
        <v>3147</v>
      </c>
      <c r="X3830" s="143" t="s">
        <v>10779</v>
      </c>
      <c r="Y3830" s="169" t="s">
        <v>4197</v>
      </c>
      <c r="Z3830" s="143" t="s">
        <v>10779</v>
      </c>
    </row>
    <row r="3831" spans="1:26">
      <c r="A3831" s="143">
        <v>3794</v>
      </c>
      <c r="B3831" s="144">
        <v>46156</v>
      </c>
      <c r="C3831" s="169" t="s">
        <v>9603</v>
      </c>
      <c r="F3831" s="143" t="s">
        <v>10781</v>
      </c>
      <c r="H3831" s="143" t="s">
        <v>10782</v>
      </c>
      <c r="I3831" s="143" t="s">
        <v>324</v>
      </c>
      <c r="J3831" s="143" t="s">
        <v>10163</v>
      </c>
      <c r="K3831" s="143">
        <v>140</v>
      </c>
      <c r="W3831" s="169" t="s">
        <v>3147</v>
      </c>
      <c r="X3831" s="143" t="s">
        <v>10781</v>
      </c>
      <c r="Y3831" s="169" t="s">
        <v>4197</v>
      </c>
      <c r="Z3831" s="143" t="s">
        <v>10781</v>
      </c>
    </row>
    <row r="3832" spans="1:26">
      <c r="A3832" s="143">
        <v>3795</v>
      </c>
      <c r="B3832" s="144">
        <v>46156</v>
      </c>
      <c r="C3832" s="169" t="s">
        <v>9603</v>
      </c>
      <c r="F3832" s="143" t="s">
        <v>10783</v>
      </c>
      <c r="H3832" s="143" t="s">
        <v>10784</v>
      </c>
      <c r="I3832" s="143" t="s">
        <v>324</v>
      </c>
      <c r="J3832" s="143" t="s">
        <v>10163</v>
      </c>
      <c r="K3832" s="143">
        <v>150</v>
      </c>
      <c r="W3832" s="169" t="s">
        <v>3147</v>
      </c>
      <c r="X3832" s="143" t="s">
        <v>10783</v>
      </c>
      <c r="Y3832" s="169" t="s">
        <v>10785</v>
      </c>
      <c r="Z3832" s="143" t="s">
        <v>10783</v>
      </c>
    </row>
    <row r="3833" spans="1:26">
      <c r="A3833" s="143">
        <v>3796</v>
      </c>
      <c r="B3833" s="144">
        <v>46156</v>
      </c>
      <c r="C3833" s="169" t="s">
        <v>9603</v>
      </c>
      <c r="F3833" s="169" t="s">
        <v>10786</v>
      </c>
      <c r="H3833" s="143" t="s">
        <v>10787</v>
      </c>
      <c r="W3833" s="169" t="s">
        <v>3147</v>
      </c>
      <c r="X3833" s="169" t="s">
        <v>10786</v>
      </c>
      <c r="Y3833" s="169" t="s">
        <v>10788</v>
      </c>
      <c r="Z3833" s="169" t="s">
        <v>10786</v>
      </c>
    </row>
    <row r="3834" spans="1:26">
      <c r="A3834" s="143">
        <v>3797</v>
      </c>
      <c r="B3834" s="144">
        <v>46156</v>
      </c>
      <c r="C3834" s="169" t="s">
        <v>9603</v>
      </c>
      <c r="F3834" s="143" t="s">
        <v>10789</v>
      </c>
      <c r="H3834" s="143" t="s">
        <v>10790</v>
      </c>
      <c r="I3834" s="143" t="s">
        <v>10791</v>
      </c>
      <c r="J3834" s="143" t="s">
        <v>10792</v>
      </c>
      <c r="K3834" s="143">
        <v>140</v>
      </c>
      <c r="L3834" s="143">
        <v>70</v>
      </c>
      <c r="W3834" s="169" t="s">
        <v>3147</v>
      </c>
      <c r="X3834" s="143" t="s">
        <v>10789</v>
      </c>
      <c r="Y3834" s="143" t="s">
        <v>10793</v>
      </c>
      <c r="Z3834" s="143" t="s">
        <v>10789</v>
      </c>
    </row>
    <row r="3835" spans="1:26">
      <c r="A3835" s="143">
        <v>3798</v>
      </c>
      <c r="B3835" s="144">
        <v>46156</v>
      </c>
      <c r="C3835" s="169" t="s">
        <v>9603</v>
      </c>
      <c r="F3835" s="143" t="s">
        <v>10794</v>
      </c>
      <c r="H3835" s="143" t="s">
        <v>10795</v>
      </c>
      <c r="W3835" s="169" t="s">
        <v>3147</v>
      </c>
      <c r="X3835" s="143" t="s">
        <v>10794</v>
      </c>
      <c r="Y3835" s="169" t="s">
        <v>10796</v>
      </c>
      <c r="Z3835" s="143" t="s">
        <v>10794</v>
      </c>
    </row>
    <row r="3836" spans="1:26">
      <c r="A3836" s="143">
        <v>3799</v>
      </c>
      <c r="B3836" s="144">
        <v>46156</v>
      </c>
      <c r="C3836" s="169" t="s">
        <v>9603</v>
      </c>
      <c r="F3836" s="143" t="s">
        <v>10797</v>
      </c>
      <c r="H3836" s="143" t="s">
        <v>10798</v>
      </c>
      <c r="I3836" s="143" t="s">
        <v>324</v>
      </c>
      <c r="J3836" s="143" t="s">
        <v>10163</v>
      </c>
      <c r="K3836" s="143">
        <v>148</v>
      </c>
      <c r="W3836" s="169" t="s">
        <v>3147</v>
      </c>
      <c r="X3836" s="143" t="s">
        <v>10797</v>
      </c>
      <c r="Y3836" s="169" t="s">
        <v>4197</v>
      </c>
      <c r="Z3836" s="143" t="s">
        <v>10797</v>
      </c>
    </row>
    <row r="3837" spans="1:26">
      <c r="A3837" s="143">
        <v>3800</v>
      </c>
      <c r="B3837" s="144">
        <v>46156</v>
      </c>
      <c r="C3837" s="169" t="s">
        <v>9603</v>
      </c>
      <c r="F3837" s="143" t="s">
        <v>10799</v>
      </c>
      <c r="H3837" s="143" t="s">
        <v>10800</v>
      </c>
      <c r="K3837" s="143">
        <v>145</v>
      </c>
      <c r="W3837" s="169" t="s">
        <v>3147</v>
      </c>
      <c r="X3837" s="143" t="s">
        <v>10799</v>
      </c>
      <c r="Y3837" s="169" t="s">
        <v>10801</v>
      </c>
      <c r="Z3837" s="143" t="s">
        <v>10799</v>
      </c>
    </row>
    <row r="3838" spans="1:26">
      <c r="A3838" s="143">
        <v>3801</v>
      </c>
      <c r="B3838" s="144">
        <v>46156</v>
      </c>
      <c r="C3838" s="169" t="s">
        <v>9603</v>
      </c>
      <c r="F3838" s="143" t="s">
        <v>10802</v>
      </c>
      <c r="H3838" s="143" t="s">
        <v>10803</v>
      </c>
      <c r="K3838" s="143">
        <v>135</v>
      </c>
      <c r="W3838" s="169" t="s">
        <v>3147</v>
      </c>
      <c r="X3838" s="143" t="s">
        <v>10802</v>
      </c>
      <c r="Y3838" s="169" t="s">
        <v>10804</v>
      </c>
      <c r="Z3838" s="143" t="s">
        <v>10802</v>
      </c>
    </row>
    <row r="3839" spans="1:26">
      <c r="A3839" s="143">
        <v>3802</v>
      </c>
      <c r="B3839" s="144">
        <v>46156</v>
      </c>
      <c r="C3839" s="169" t="s">
        <v>9603</v>
      </c>
      <c r="F3839" s="143" t="s">
        <v>10805</v>
      </c>
      <c r="H3839" s="143" t="s">
        <v>10806</v>
      </c>
      <c r="I3839" s="143" t="s">
        <v>10807</v>
      </c>
      <c r="K3839" s="143">
        <v>160</v>
      </c>
      <c r="W3839" s="169" t="s">
        <v>3147</v>
      </c>
      <c r="X3839" s="143" t="s">
        <v>10805</v>
      </c>
      <c r="Y3839" s="143" t="s">
        <v>10808</v>
      </c>
      <c r="Z3839" s="143" t="s">
        <v>10805</v>
      </c>
    </row>
    <row r="3840" spans="1:26">
      <c r="A3840" s="143">
        <v>3803</v>
      </c>
      <c r="B3840" s="144">
        <v>46156</v>
      </c>
      <c r="C3840" s="169" t="s">
        <v>9603</v>
      </c>
      <c r="F3840" s="143" t="s">
        <v>10809</v>
      </c>
      <c r="H3840" s="143" t="s">
        <v>10810</v>
      </c>
      <c r="I3840" s="143" t="s">
        <v>9118</v>
      </c>
      <c r="J3840" s="143" t="s">
        <v>9119</v>
      </c>
      <c r="K3840" s="143">
        <v>155</v>
      </c>
      <c r="W3840" s="169" t="s">
        <v>3147</v>
      </c>
      <c r="X3840" s="143" t="s">
        <v>10809</v>
      </c>
      <c r="Y3840" s="143" t="s">
        <v>10808</v>
      </c>
      <c r="Z3840" s="143" t="s">
        <v>10809</v>
      </c>
    </row>
    <row r="3841" spans="1:26">
      <c r="A3841" s="143">
        <v>3804</v>
      </c>
      <c r="B3841" s="144">
        <v>46156</v>
      </c>
      <c r="C3841" s="169" t="s">
        <v>9603</v>
      </c>
      <c r="F3841" s="169" t="s">
        <v>10811</v>
      </c>
      <c r="H3841" s="143" t="s">
        <v>10812</v>
      </c>
      <c r="I3841" s="143" t="s">
        <v>10813</v>
      </c>
      <c r="J3841" s="143" t="s">
        <v>10814</v>
      </c>
      <c r="K3841" s="143">
        <v>160</v>
      </c>
      <c r="W3841" s="169" t="s">
        <v>3147</v>
      </c>
      <c r="X3841" s="169" t="s">
        <v>10811</v>
      </c>
      <c r="Y3841" s="143" t="s">
        <v>10808</v>
      </c>
      <c r="Z3841" s="169" t="s">
        <v>10811</v>
      </c>
    </row>
    <row r="3842" spans="1:26">
      <c r="A3842" s="143">
        <v>3805</v>
      </c>
      <c r="B3842" s="144">
        <v>46156</v>
      </c>
      <c r="C3842" s="169" t="s">
        <v>9603</v>
      </c>
      <c r="F3842" s="169" t="s">
        <v>10815</v>
      </c>
      <c r="H3842" s="143" t="s">
        <v>10816</v>
      </c>
      <c r="I3842" s="143" t="s">
        <v>10817</v>
      </c>
      <c r="J3842" s="143" t="s">
        <v>10814</v>
      </c>
      <c r="K3842" s="143">
        <v>160</v>
      </c>
      <c r="W3842" s="169" t="s">
        <v>3147</v>
      </c>
      <c r="X3842" s="169" t="s">
        <v>10815</v>
      </c>
      <c r="Y3842" s="143" t="s">
        <v>10808</v>
      </c>
      <c r="Z3842" s="169" t="s">
        <v>10815</v>
      </c>
    </row>
    <row r="3843" spans="1:26">
      <c r="A3843" s="143">
        <v>3806</v>
      </c>
      <c r="B3843" s="144">
        <v>46156</v>
      </c>
      <c r="C3843" s="169" t="s">
        <v>9603</v>
      </c>
      <c r="F3843" s="143" t="s">
        <v>10818</v>
      </c>
      <c r="H3843" s="143" t="s">
        <v>10819</v>
      </c>
      <c r="I3843" s="143" t="s">
        <v>10817</v>
      </c>
      <c r="J3843" s="143" t="s">
        <v>10814</v>
      </c>
      <c r="K3843" s="143">
        <v>160</v>
      </c>
      <c r="W3843" s="169" t="s">
        <v>3147</v>
      </c>
      <c r="X3843" s="143" t="s">
        <v>10818</v>
      </c>
      <c r="Y3843" s="169" t="s">
        <v>10820</v>
      </c>
      <c r="Z3843" s="143" t="s">
        <v>10818</v>
      </c>
    </row>
    <row r="3844" spans="1:26">
      <c r="A3844" s="143">
        <v>3807</v>
      </c>
      <c r="B3844" s="144">
        <v>46156</v>
      </c>
      <c r="C3844" s="169" t="s">
        <v>9603</v>
      </c>
      <c r="F3844" s="143" t="s">
        <v>10821</v>
      </c>
      <c r="H3844" s="143" t="s">
        <v>10822</v>
      </c>
      <c r="L3844" s="143">
        <v>85</v>
      </c>
      <c r="W3844" s="169" t="s">
        <v>3147</v>
      </c>
      <c r="X3844" s="143" t="s">
        <v>10821</v>
      </c>
      <c r="Y3844" s="169" t="s">
        <v>10823</v>
      </c>
      <c r="Z3844" s="143" t="s">
        <v>10821</v>
      </c>
    </row>
    <row r="3845" spans="1:26">
      <c r="A3845" s="143">
        <v>3808</v>
      </c>
      <c r="B3845" s="144">
        <v>46156</v>
      </c>
      <c r="C3845" s="169" t="s">
        <v>9603</v>
      </c>
      <c r="F3845" s="143" t="s">
        <v>10824</v>
      </c>
      <c r="H3845" s="143" t="s">
        <v>10825</v>
      </c>
      <c r="K3845" s="143">
        <v>150</v>
      </c>
      <c r="L3845" s="143">
        <v>140</v>
      </c>
      <c r="W3845" s="169" t="s">
        <v>3147</v>
      </c>
      <c r="X3845" s="143" t="s">
        <v>10824</v>
      </c>
      <c r="Y3845" s="169" t="s">
        <v>10767</v>
      </c>
      <c r="Z3845" s="143" t="s">
        <v>10824</v>
      </c>
    </row>
    <row r="3846" spans="1:26">
      <c r="A3846" s="143">
        <v>3809</v>
      </c>
      <c r="B3846" s="144">
        <v>46156</v>
      </c>
      <c r="C3846" s="169" t="s">
        <v>3148</v>
      </c>
      <c r="D3846" s="143" t="s">
        <v>41</v>
      </c>
      <c r="F3846" s="143" t="s">
        <v>10826</v>
      </c>
      <c r="H3846" s="143" t="s">
        <v>10827</v>
      </c>
      <c r="W3846" s="169" t="s">
        <v>3147</v>
      </c>
      <c r="Y3846" s="169" t="s">
        <v>10120</v>
      </c>
    </row>
    <row r="3847" spans="1:26">
      <c r="A3847" s="143">
        <v>3810</v>
      </c>
      <c r="B3847" s="144">
        <v>46156</v>
      </c>
      <c r="C3847" s="169" t="s">
        <v>3148</v>
      </c>
      <c r="D3847" s="143" t="s">
        <v>41</v>
      </c>
      <c r="F3847" s="143" t="s">
        <v>10828</v>
      </c>
      <c r="H3847" s="143" t="s">
        <v>10829</v>
      </c>
      <c r="W3847" s="169" t="s">
        <v>3147</v>
      </c>
      <c r="Y3847" s="169" t="s">
        <v>10120</v>
      </c>
    </row>
    <row r="3848" spans="1:26">
      <c r="A3848" s="143">
        <v>3811</v>
      </c>
      <c r="B3848" s="144">
        <v>46156</v>
      </c>
      <c r="C3848" s="169" t="s">
        <v>3148</v>
      </c>
      <c r="D3848" s="143" t="s">
        <v>41</v>
      </c>
      <c r="F3848" s="143" t="s">
        <v>10830</v>
      </c>
      <c r="H3848" s="143" t="s">
        <v>10831</v>
      </c>
      <c r="W3848" s="169" t="s">
        <v>3147</v>
      </c>
      <c r="Y3848" s="169" t="s">
        <v>10120</v>
      </c>
    </row>
    <row r="3849" spans="1:26">
      <c r="A3849" s="143">
        <v>3812</v>
      </c>
      <c r="B3849" s="144">
        <v>46156</v>
      </c>
      <c r="C3849" s="169" t="s">
        <v>3148</v>
      </c>
      <c r="D3849" s="143" t="s">
        <v>41</v>
      </c>
      <c r="F3849" s="143" t="s">
        <v>10832</v>
      </c>
      <c r="H3849" s="143" t="s">
        <v>10833</v>
      </c>
      <c r="W3849" s="169" t="s">
        <v>3147</v>
      </c>
      <c r="Y3849" s="169" t="s">
        <v>10120</v>
      </c>
    </row>
    <row r="3850" spans="1:26">
      <c r="A3850" s="143">
        <v>3813</v>
      </c>
      <c r="B3850" s="144">
        <v>46156</v>
      </c>
      <c r="C3850" s="169" t="s">
        <v>3148</v>
      </c>
      <c r="D3850" s="143" t="s">
        <v>41</v>
      </c>
      <c r="F3850" s="143" t="s">
        <v>10834</v>
      </c>
      <c r="H3850" s="143" t="s">
        <v>10835</v>
      </c>
      <c r="W3850" s="169" t="s">
        <v>3147</v>
      </c>
      <c r="Y3850" s="169" t="s">
        <v>10120</v>
      </c>
    </row>
    <row r="3851" spans="1:26">
      <c r="A3851" s="143">
        <v>3814</v>
      </c>
      <c r="B3851" s="144">
        <v>46156</v>
      </c>
      <c r="C3851" s="169" t="s">
        <v>3148</v>
      </c>
      <c r="D3851" s="143" t="s">
        <v>41</v>
      </c>
      <c r="F3851" s="143">
        <v>12628</v>
      </c>
      <c r="H3851" s="143" t="s">
        <v>10836</v>
      </c>
      <c r="I3851" s="143" t="s">
        <v>10837</v>
      </c>
      <c r="K3851" s="143">
        <v>145</v>
      </c>
      <c r="L3851" s="143">
        <v>100</v>
      </c>
      <c r="W3851" s="169" t="s">
        <v>3147</v>
      </c>
      <c r="Y3851" s="169" t="s">
        <v>3690</v>
      </c>
    </row>
    <row r="3852" spans="1:26">
      <c r="A3852" s="143">
        <v>3815</v>
      </c>
      <c r="B3852" s="144">
        <v>46156</v>
      </c>
      <c r="C3852" s="169" t="s">
        <v>3148</v>
      </c>
      <c r="D3852" s="143" t="s">
        <v>41</v>
      </c>
      <c r="F3852" s="143">
        <v>11722</v>
      </c>
      <c r="H3852" s="143" t="s">
        <v>10838</v>
      </c>
      <c r="I3852" s="143" t="s">
        <v>10839</v>
      </c>
      <c r="J3852" s="143" t="s">
        <v>10840</v>
      </c>
      <c r="K3852" s="143">
        <v>145</v>
      </c>
      <c r="L3852" s="143">
        <v>80</v>
      </c>
      <c r="W3852" s="169" t="s">
        <v>3147</v>
      </c>
      <c r="Y3852" s="169" t="s">
        <v>3690</v>
      </c>
    </row>
    <row r="3853" spans="1:26">
      <c r="A3853" s="143">
        <v>3816</v>
      </c>
      <c r="B3853" s="144">
        <v>46156</v>
      </c>
      <c r="C3853" s="169" t="s">
        <v>3148</v>
      </c>
      <c r="D3853" s="143" t="s">
        <v>41</v>
      </c>
      <c r="F3853" s="143">
        <v>13039</v>
      </c>
      <c r="H3853" s="143" t="s">
        <v>10841</v>
      </c>
      <c r="I3853" s="143" t="s">
        <v>10842</v>
      </c>
      <c r="J3853" s="143" t="s">
        <v>10843</v>
      </c>
      <c r="K3853" s="143">
        <v>135</v>
      </c>
      <c r="L3853" s="143">
        <v>150</v>
      </c>
      <c r="W3853" s="169" t="s">
        <v>3147</v>
      </c>
      <c r="Y3853" s="169" t="s">
        <v>3690</v>
      </c>
    </row>
    <row r="3854" spans="1:26">
      <c r="A3854" s="143">
        <v>3817</v>
      </c>
      <c r="B3854" s="144">
        <v>46156</v>
      </c>
      <c r="C3854" s="169" t="s">
        <v>3148</v>
      </c>
      <c r="D3854" s="143" t="s">
        <v>41</v>
      </c>
      <c r="F3854" s="143" t="s">
        <v>10844</v>
      </c>
      <c r="H3854" s="143" t="s">
        <v>10845</v>
      </c>
      <c r="I3854" s="143" t="s">
        <v>10846</v>
      </c>
      <c r="K3854" s="143">
        <v>150</v>
      </c>
      <c r="W3854" s="169" t="s">
        <v>3147</v>
      </c>
      <c r="Y3854" s="169" t="s">
        <v>10847</v>
      </c>
    </row>
    <row r="3855" spans="1:26">
      <c r="A3855" s="143">
        <v>3818</v>
      </c>
      <c r="B3855" s="144">
        <v>46156</v>
      </c>
      <c r="C3855" s="169" t="s">
        <v>3148</v>
      </c>
      <c r="D3855" s="143" t="s">
        <v>41</v>
      </c>
      <c r="F3855" s="143" t="s">
        <v>10848</v>
      </c>
      <c r="H3855" s="143" t="s">
        <v>10849</v>
      </c>
      <c r="I3855" s="143" t="s">
        <v>10850</v>
      </c>
      <c r="J3855" s="143" t="s">
        <v>10851</v>
      </c>
      <c r="K3855" s="143">
        <v>150</v>
      </c>
      <c r="W3855" s="169" t="s">
        <v>3147</v>
      </c>
      <c r="Y3855" s="169" t="s">
        <v>10847</v>
      </c>
    </row>
    <row r="3856" spans="1:26">
      <c r="A3856" s="143">
        <v>3819</v>
      </c>
      <c r="B3856" s="144">
        <v>46156</v>
      </c>
      <c r="C3856" s="169" t="s">
        <v>3148</v>
      </c>
      <c r="D3856" s="143" t="s">
        <v>41</v>
      </c>
      <c r="F3856" s="143" t="s">
        <v>10852</v>
      </c>
      <c r="H3856" s="143" t="s">
        <v>10853</v>
      </c>
      <c r="I3856" s="143" t="s">
        <v>10854</v>
      </c>
      <c r="J3856" s="143" t="s">
        <v>10851</v>
      </c>
      <c r="K3856" s="143">
        <v>150</v>
      </c>
      <c r="W3856" s="169" t="s">
        <v>3147</v>
      </c>
      <c r="Y3856" s="169" t="s">
        <v>10847</v>
      </c>
    </row>
    <row r="3857" spans="1:25">
      <c r="A3857" s="143">
        <v>3820</v>
      </c>
      <c r="B3857" s="144">
        <v>46156</v>
      </c>
      <c r="C3857" s="169" t="s">
        <v>3148</v>
      </c>
      <c r="D3857" s="143" t="s">
        <v>41</v>
      </c>
      <c r="F3857" s="143" t="s">
        <v>10855</v>
      </c>
      <c r="H3857" s="143" t="s">
        <v>10856</v>
      </c>
      <c r="I3857" s="143" t="s">
        <v>10857</v>
      </c>
      <c r="K3857" s="143">
        <v>150</v>
      </c>
      <c r="W3857" s="169" t="s">
        <v>3147</v>
      </c>
      <c r="Y3857" s="169" t="s">
        <v>10847</v>
      </c>
    </row>
    <row r="3858" spans="1:25">
      <c r="A3858" s="143">
        <v>3821</v>
      </c>
      <c r="B3858" s="144">
        <v>46156</v>
      </c>
      <c r="C3858" s="169" t="s">
        <v>3148</v>
      </c>
      <c r="D3858" s="143" t="s">
        <v>41</v>
      </c>
      <c r="F3858" s="143" t="s">
        <v>10858</v>
      </c>
      <c r="H3858" s="143" t="s">
        <v>10859</v>
      </c>
      <c r="I3858" s="143" t="s">
        <v>10860</v>
      </c>
      <c r="K3858" s="143">
        <v>150</v>
      </c>
      <c r="W3858" s="169" t="s">
        <v>3147</v>
      </c>
      <c r="Y3858" s="169" t="s">
        <v>10847</v>
      </c>
    </row>
    <row r="3859" spans="1:25">
      <c r="A3859" s="143">
        <v>3822</v>
      </c>
      <c r="B3859" s="144">
        <v>46156</v>
      </c>
      <c r="C3859" s="169" t="s">
        <v>3148</v>
      </c>
      <c r="D3859" s="143" t="s">
        <v>41</v>
      </c>
      <c r="F3859" s="143" t="s">
        <v>10861</v>
      </c>
      <c r="H3859" s="143" t="s">
        <v>10862</v>
      </c>
      <c r="K3859" s="143">
        <v>150</v>
      </c>
      <c r="W3859" s="169" t="s">
        <v>3147</v>
      </c>
      <c r="Y3859" s="169" t="s">
        <v>10863</v>
      </c>
    </row>
    <row r="3860" spans="1:25">
      <c r="A3860" s="143">
        <v>3823</v>
      </c>
      <c r="B3860" s="144">
        <v>46156</v>
      </c>
      <c r="C3860" s="169" t="s">
        <v>3148</v>
      </c>
      <c r="D3860" s="143" t="s">
        <v>41</v>
      </c>
      <c r="F3860" s="143" t="s">
        <v>10864</v>
      </c>
      <c r="H3860" s="143" t="s">
        <v>10865</v>
      </c>
      <c r="I3860" s="143" t="s">
        <v>10866</v>
      </c>
      <c r="J3860" s="143" t="s">
        <v>10867</v>
      </c>
      <c r="K3860" s="143">
        <v>150</v>
      </c>
      <c r="W3860" s="169" t="s">
        <v>3147</v>
      </c>
      <c r="Y3860" s="169" t="s">
        <v>10868</v>
      </c>
    </row>
    <row r="3861" spans="1:25">
      <c r="A3861" s="143">
        <v>3824</v>
      </c>
      <c r="B3861" s="144">
        <v>46156</v>
      </c>
      <c r="C3861" s="169" t="s">
        <v>3148</v>
      </c>
      <c r="D3861" s="143" t="s">
        <v>41</v>
      </c>
      <c r="F3861" s="143" t="s">
        <v>10869</v>
      </c>
      <c r="H3861" s="143" t="s">
        <v>10870</v>
      </c>
      <c r="K3861" s="143">
        <v>140</v>
      </c>
      <c r="W3861" s="169" t="s">
        <v>3147</v>
      </c>
      <c r="Y3861" s="169" t="s">
        <v>10871</v>
      </c>
    </row>
    <row r="3862" spans="1:25">
      <c r="A3862" s="143">
        <v>3825</v>
      </c>
      <c r="B3862" s="144">
        <v>46156</v>
      </c>
      <c r="C3862" s="169" t="s">
        <v>3148</v>
      </c>
      <c r="D3862" s="143" t="s">
        <v>41</v>
      </c>
      <c r="F3862" s="143" t="s">
        <v>10872</v>
      </c>
      <c r="H3862" s="143" t="s">
        <v>10873</v>
      </c>
      <c r="I3862" s="143" t="s">
        <v>324</v>
      </c>
      <c r="J3862" s="143" t="s">
        <v>1577</v>
      </c>
      <c r="K3862" s="143">
        <v>150</v>
      </c>
      <c r="W3862" s="169" t="s">
        <v>3147</v>
      </c>
      <c r="Y3862" s="143" t="s">
        <v>3441</v>
      </c>
    </row>
    <row r="3863" spans="1:25">
      <c r="A3863" s="143">
        <v>3826</v>
      </c>
      <c r="B3863" s="144">
        <v>46156</v>
      </c>
      <c r="C3863" s="169" t="s">
        <v>3148</v>
      </c>
      <c r="D3863" s="143" t="s">
        <v>41</v>
      </c>
      <c r="F3863" s="143" t="s">
        <v>10874</v>
      </c>
      <c r="H3863" s="143" t="s">
        <v>10875</v>
      </c>
      <c r="I3863" s="143" t="s">
        <v>3218</v>
      </c>
      <c r="J3863" s="143" t="s">
        <v>1577</v>
      </c>
      <c r="K3863" s="143">
        <v>150</v>
      </c>
      <c r="W3863" s="169" t="s">
        <v>3147</v>
      </c>
      <c r="Y3863" s="143" t="s">
        <v>3441</v>
      </c>
    </row>
    <row r="3864" spans="1:25">
      <c r="A3864" s="143">
        <v>3827</v>
      </c>
      <c r="B3864" s="144">
        <v>46156</v>
      </c>
      <c r="C3864" s="169" t="s">
        <v>3148</v>
      </c>
      <c r="D3864" s="143" t="s">
        <v>41</v>
      </c>
      <c r="F3864" s="143" t="s">
        <v>10876</v>
      </c>
      <c r="H3864" s="143" t="s">
        <v>10877</v>
      </c>
      <c r="I3864" s="143" t="s">
        <v>3218</v>
      </c>
      <c r="J3864" s="143" t="s">
        <v>1577</v>
      </c>
      <c r="K3864" s="143">
        <v>150</v>
      </c>
      <c r="W3864" s="169" t="s">
        <v>3147</v>
      </c>
      <c r="Y3864" s="169" t="s">
        <v>3441</v>
      </c>
    </row>
    <row r="3865" spans="1:25">
      <c r="A3865" s="143">
        <v>3828</v>
      </c>
      <c r="B3865" s="144">
        <v>46156</v>
      </c>
      <c r="C3865" s="169" t="s">
        <v>3148</v>
      </c>
      <c r="D3865" s="143" t="s">
        <v>41</v>
      </c>
      <c r="F3865" s="169" t="s">
        <v>10878</v>
      </c>
      <c r="H3865" s="143" t="s">
        <v>10879</v>
      </c>
      <c r="I3865" s="143" t="s">
        <v>3218</v>
      </c>
      <c r="J3865" s="143" t="s">
        <v>1577</v>
      </c>
      <c r="K3865" s="143">
        <v>145</v>
      </c>
      <c r="W3865" s="169" t="s">
        <v>3147</v>
      </c>
      <c r="Y3865" s="169" t="s">
        <v>10880</v>
      </c>
    </row>
    <row r="3866" spans="1:25">
      <c r="A3866" s="143">
        <v>3829</v>
      </c>
      <c r="B3866" s="144">
        <v>46156</v>
      </c>
      <c r="C3866" s="169" t="s">
        <v>3148</v>
      </c>
      <c r="D3866" s="143" t="s">
        <v>41</v>
      </c>
      <c r="F3866" s="169" t="s">
        <v>10881</v>
      </c>
      <c r="H3866" s="143" t="s">
        <v>10882</v>
      </c>
      <c r="I3866" s="143" t="s">
        <v>3218</v>
      </c>
      <c r="J3866" s="143" t="s">
        <v>1577</v>
      </c>
      <c r="K3866" s="143">
        <v>145</v>
      </c>
      <c r="W3866" s="169" t="s">
        <v>3147</v>
      </c>
      <c r="Y3866" s="169" t="s">
        <v>10880</v>
      </c>
    </row>
    <row r="3867" spans="1:25">
      <c r="A3867" s="143">
        <v>3830</v>
      </c>
      <c r="B3867" s="144">
        <v>46156</v>
      </c>
      <c r="C3867" s="169" t="s">
        <v>3148</v>
      </c>
      <c r="D3867" s="143" t="s">
        <v>41</v>
      </c>
      <c r="F3867" s="143" t="s">
        <v>10883</v>
      </c>
      <c r="H3867" s="143" t="s">
        <v>10884</v>
      </c>
      <c r="I3867" s="143" t="s">
        <v>10885</v>
      </c>
      <c r="J3867" s="143" t="s">
        <v>10886</v>
      </c>
      <c r="K3867" s="143">
        <v>150</v>
      </c>
      <c r="L3867" s="143">
        <v>60</v>
      </c>
      <c r="W3867" s="169" t="s">
        <v>3147</v>
      </c>
      <c r="Y3867" s="143" t="s">
        <v>10887</v>
      </c>
    </row>
    <row r="3868" spans="1:25">
      <c r="A3868" s="143">
        <v>3831</v>
      </c>
      <c r="B3868" s="144">
        <v>46156</v>
      </c>
      <c r="C3868" s="169" t="s">
        <v>3148</v>
      </c>
      <c r="D3868" s="143" t="s">
        <v>41</v>
      </c>
      <c r="F3868" s="143" t="s">
        <v>10888</v>
      </c>
      <c r="H3868" s="143" t="s">
        <v>10889</v>
      </c>
      <c r="W3868" s="169" t="s">
        <v>3147</v>
      </c>
      <c r="Y3868" s="169" t="s">
        <v>10890</v>
      </c>
    </row>
    <row r="3869" spans="1:25">
      <c r="A3869" s="143">
        <v>3832</v>
      </c>
      <c r="B3869" s="144">
        <v>46156</v>
      </c>
      <c r="C3869" s="169" t="s">
        <v>3148</v>
      </c>
      <c r="D3869" s="143" t="s">
        <v>41</v>
      </c>
      <c r="F3869" s="143" t="s">
        <v>10891</v>
      </c>
      <c r="H3869" s="143" t="s">
        <v>10892</v>
      </c>
      <c r="K3869" s="143">
        <v>148</v>
      </c>
      <c r="W3869" s="169" t="s">
        <v>3147</v>
      </c>
      <c r="Y3869" s="169" t="s">
        <v>10893</v>
      </c>
    </row>
    <row r="3870" spans="1:25">
      <c r="A3870" s="143">
        <v>3833</v>
      </c>
      <c r="B3870" s="144">
        <v>46156</v>
      </c>
      <c r="C3870" s="169" t="s">
        <v>3148</v>
      </c>
      <c r="D3870" s="143" t="s">
        <v>41</v>
      </c>
      <c r="F3870" s="169" t="s">
        <v>10894</v>
      </c>
      <c r="H3870" s="143" t="s">
        <v>10895</v>
      </c>
      <c r="I3870" s="143" t="s">
        <v>10896</v>
      </c>
      <c r="J3870" s="143" t="s">
        <v>10897</v>
      </c>
      <c r="K3870" s="143">
        <v>150</v>
      </c>
      <c r="L3870" s="143">
        <v>75</v>
      </c>
      <c r="W3870" s="169" t="s">
        <v>3147</v>
      </c>
      <c r="Y3870" s="169" t="s">
        <v>10898</v>
      </c>
    </row>
    <row r="3871" spans="1:25">
      <c r="A3871" s="143">
        <v>3834</v>
      </c>
      <c r="B3871" s="144">
        <v>46156</v>
      </c>
      <c r="C3871" s="169" t="s">
        <v>3148</v>
      </c>
      <c r="D3871" s="143" t="s">
        <v>41</v>
      </c>
      <c r="F3871" s="143" t="s">
        <v>10899</v>
      </c>
      <c r="H3871" s="143" t="s">
        <v>10900</v>
      </c>
      <c r="K3871" s="143">
        <v>145</v>
      </c>
      <c r="W3871" s="169" t="s">
        <v>3147</v>
      </c>
      <c r="Y3871" s="169" t="s">
        <v>10901</v>
      </c>
    </row>
    <row r="3872" spans="1:25">
      <c r="A3872" s="143">
        <v>3835</v>
      </c>
      <c r="B3872" s="144">
        <v>46156</v>
      </c>
      <c r="C3872" s="169" t="s">
        <v>3148</v>
      </c>
      <c r="D3872" s="143" t="s">
        <v>41</v>
      </c>
      <c r="F3872" s="143" t="s">
        <v>10902</v>
      </c>
      <c r="H3872" s="143" t="s">
        <v>10903</v>
      </c>
      <c r="I3872" s="143" t="s">
        <v>3218</v>
      </c>
      <c r="J3872" s="143" t="s">
        <v>1577</v>
      </c>
      <c r="K3872" s="143">
        <v>148</v>
      </c>
      <c r="L3872" s="143">
        <v>120</v>
      </c>
      <c r="W3872" s="169" t="s">
        <v>3147</v>
      </c>
      <c r="Y3872" s="169" t="s">
        <v>10708</v>
      </c>
    </row>
    <row r="3873" spans="1:25">
      <c r="A3873" s="143">
        <v>3836</v>
      </c>
      <c r="B3873" s="144">
        <v>46156</v>
      </c>
      <c r="C3873" s="169" t="s">
        <v>3148</v>
      </c>
      <c r="D3873" s="143" t="s">
        <v>41</v>
      </c>
      <c r="F3873" s="143" t="s">
        <v>10904</v>
      </c>
      <c r="H3873" s="143" t="s">
        <v>10905</v>
      </c>
      <c r="I3873" s="143" t="s">
        <v>3218</v>
      </c>
      <c r="J3873" s="143" t="s">
        <v>1577</v>
      </c>
      <c r="K3873" s="143">
        <v>148</v>
      </c>
      <c r="W3873" s="169" t="s">
        <v>3147</v>
      </c>
      <c r="Y3873" s="169" t="s">
        <v>10906</v>
      </c>
    </row>
    <row r="3874" spans="1:25">
      <c r="F3874" s="143">
        <v>9018</v>
      </c>
      <c r="H3874" s="143" t="s">
        <v>10907</v>
      </c>
      <c r="K3874" s="143">
        <v>130</v>
      </c>
      <c r="Y3874" s="169" t="s">
        <v>6087</v>
      </c>
    </row>
    <row r="3875" spans="1:25">
      <c r="F3875" s="143">
        <v>9087</v>
      </c>
      <c r="H3875" s="143" t="s">
        <v>10908</v>
      </c>
      <c r="K3875" s="143">
        <v>130</v>
      </c>
      <c r="Y3875" s="169" t="s">
        <v>6087</v>
      </c>
    </row>
    <row r="3876" spans="1:25">
      <c r="F3876" s="143">
        <v>8046</v>
      </c>
      <c r="H3876" s="143" t="s">
        <v>10909</v>
      </c>
      <c r="K3876" s="143">
        <v>130</v>
      </c>
      <c r="Y3876" s="169" t="s">
        <v>6087</v>
      </c>
    </row>
    <row r="3877" spans="1:25">
      <c r="F3877" s="143" t="s">
        <v>10910</v>
      </c>
      <c r="H3877" s="143" t="s">
        <v>10911</v>
      </c>
      <c r="K3877" s="143">
        <v>130</v>
      </c>
      <c r="Y3877" s="169" t="s">
        <v>6087</v>
      </c>
    </row>
    <row r="3878" spans="1:25">
      <c r="F3878" s="143" t="s">
        <v>10912</v>
      </c>
      <c r="H3878" s="143" t="s">
        <v>10913</v>
      </c>
      <c r="I3878" s="143" t="s">
        <v>3157</v>
      </c>
      <c r="J3878" s="143" t="s">
        <v>3684</v>
      </c>
      <c r="K3878" s="143">
        <v>135</v>
      </c>
      <c r="Y3878" s="169" t="s">
        <v>10914</v>
      </c>
    </row>
    <row r="3879" spans="1:25">
      <c r="F3879" s="143" t="s">
        <v>10915</v>
      </c>
      <c r="H3879" s="143" t="s">
        <v>10916</v>
      </c>
      <c r="I3879" s="143" t="s">
        <v>3157</v>
      </c>
      <c r="J3879" s="143" t="s">
        <v>3684</v>
      </c>
      <c r="K3879" s="143">
        <v>135</v>
      </c>
      <c r="Y3879" s="143" t="s">
        <v>10030</v>
      </c>
    </row>
    <row r="3880" spans="1:25">
      <c r="F3880" s="143" t="s">
        <v>10917</v>
      </c>
      <c r="H3880" s="143" t="s">
        <v>10918</v>
      </c>
      <c r="Y3880" s="169" t="s">
        <v>10919</v>
      </c>
    </row>
    <row r="3881" spans="1:25">
      <c r="F3881" s="143" t="s">
        <v>10920</v>
      </c>
      <c r="H3881" s="143" t="s">
        <v>10921</v>
      </c>
      <c r="K3881" s="143">
        <v>130</v>
      </c>
      <c r="Y3881" s="169" t="s">
        <v>10922</v>
      </c>
    </row>
    <row r="3882" spans="1:25">
      <c r="F3882" s="143" t="s">
        <v>10923</v>
      </c>
      <c r="H3882" s="143" t="s">
        <v>10924</v>
      </c>
      <c r="I3882" s="143" t="s">
        <v>3218</v>
      </c>
      <c r="J3882" s="143" t="s">
        <v>1577</v>
      </c>
      <c r="K3882" s="143">
        <v>145</v>
      </c>
      <c r="Y3882" s="143" t="s">
        <v>4627</v>
      </c>
    </row>
    <row r="3883" spans="1:25">
      <c r="F3883" s="143" t="s">
        <v>10925</v>
      </c>
      <c r="H3883" s="143" t="s">
        <v>10926</v>
      </c>
      <c r="I3883" s="143" t="s">
        <v>10927</v>
      </c>
      <c r="K3883" s="143">
        <v>145</v>
      </c>
      <c r="Y3883" s="169" t="s">
        <v>10928</v>
      </c>
    </row>
    <row r="3884" spans="1:25">
      <c r="F3884" s="143" t="s">
        <v>10929</v>
      </c>
      <c r="H3884" s="143" t="s">
        <v>10930</v>
      </c>
      <c r="I3884" s="143" t="s">
        <v>10931</v>
      </c>
      <c r="K3884" s="143">
        <v>145</v>
      </c>
      <c r="Y3884" s="169" t="s">
        <v>10928</v>
      </c>
    </row>
    <row r="3885" spans="1:25">
      <c r="F3885" s="169" t="s">
        <v>10932</v>
      </c>
      <c r="H3885" s="143" t="s">
        <v>10933</v>
      </c>
      <c r="K3885" s="143">
        <v>145</v>
      </c>
      <c r="Y3885" s="143" t="s">
        <v>5247</v>
      </c>
    </row>
    <row r="3886" spans="1:25">
      <c r="F3886" s="169" t="s">
        <v>10934</v>
      </c>
      <c r="H3886" s="143" t="s">
        <v>10935</v>
      </c>
      <c r="I3886" s="143" t="s">
        <v>324</v>
      </c>
      <c r="J3886" s="143" t="s">
        <v>1577</v>
      </c>
      <c r="K3886" s="143">
        <v>145</v>
      </c>
      <c r="Y3886" s="143" t="s">
        <v>5247</v>
      </c>
    </row>
    <row r="3887" spans="1:25">
      <c r="F3887" s="143" t="s">
        <v>10936</v>
      </c>
      <c r="H3887" s="143" t="s">
        <v>10937</v>
      </c>
      <c r="Y3887" s="143" t="s">
        <v>10778</v>
      </c>
    </row>
    <row r="3888" spans="1:25">
      <c r="F3888" s="143">
        <v>8789</v>
      </c>
      <c r="H3888" s="143" t="s">
        <v>10938</v>
      </c>
      <c r="K3888" s="143">
        <v>135</v>
      </c>
      <c r="Y3888" s="169" t="s">
        <v>10939</v>
      </c>
    </row>
    <row r="3889" spans="6:25">
      <c r="F3889" s="143" t="s">
        <v>10940</v>
      </c>
      <c r="H3889" s="143" t="s">
        <v>10941</v>
      </c>
      <c r="I3889" s="143" t="s">
        <v>3218</v>
      </c>
      <c r="J3889" s="143" t="s">
        <v>1577</v>
      </c>
      <c r="K3889" s="143">
        <v>150</v>
      </c>
      <c r="Y3889" s="169" t="s">
        <v>10738</v>
      </c>
    </row>
    <row r="3890" spans="6:25">
      <c r="F3890" s="143" t="s">
        <v>10942</v>
      </c>
      <c r="H3890" s="143" t="s">
        <v>10943</v>
      </c>
      <c r="I3890" s="143" t="s">
        <v>3218</v>
      </c>
      <c r="J3890" s="143" t="s">
        <v>1577</v>
      </c>
      <c r="K3890" s="143">
        <v>148</v>
      </c>
      <c r="Y3890" s="169" t="s">
        <v>6769</v>
      </c>
    </row>
    <row r="3891" spans="6:25">
      <c r="F3891" s="143" t="s">
        <v>10944</v>
      </c>
      <c r="H3891" s="143" t="s">
        <v>10945</v>
      </c>
      <c r="I3891" s="143" t="s">
        <v>3218</v>
      </c>
      <c r="J3891" s="143" t="s">
        <v>1577</v>
      </c>
      <c r="K3891" s="143">
        <v>148</v>
      </c>
      <c r="Y3891" s="169" t="s">
        <v>6769</v>
      </c>
    </row>
    <row r="3892" spans="6:25">
      <c r="F3892" s="143" t="s">
        <v>10946</v>
      </c>
      <c r="H3892" s="143" t="s">
        <v>10947</v>
      </c>
      <c r="I3892" s="143" t="s">
        <v>3218</v>
      </c>
      <c r="J3892" s="143" t="s">
        <v>1577</v>
      </c>
      <c r="K3892" s="143">
        <v>148</v>
      </c>
      <c r="Y3892" s="169" t="s">
        <v>6769</v>
      </c>
    </row>
    <row r="3893" spans="6:25">
      <c r="F3893" s="143" t="s">
        <v>10948</v>
      </c>
      <c r="H3893" s="143" t="s">
        <v>10949</v>
      </c>
      <c r="K3893" s="143">
        <v>150</v>
      </c>
      <c r="Y3893" s="169" t="s">
        <v>10950</v>
      </c>
    </row>
    <row r="3894" spans="6:25">
      <c r="F3894" s="143" t="s">
        <v>10951</v>
      </c>
      <c r="H3894" s="143" t="s">
        <v>10952</v>
      </c>
      <c r="Y3894" s="169" t="s">
        <v>10953</v>
      </c>
    </row>
    <row r="3895" spans="6:25">
      <c r="F3895" s="143" t="s">
        <v>10954</v>
      </c>
      <c r="H3895" s="143" t="s">
        <v>10955</v>
      </c>
      <c r="I3895" s="143" t="s">
        <v>9384</v>
      </c>
      <c r="K3895" s="143">
        <v>150</v>
      </c>
      <c r="Y3895" s="169" t="s">
        <v>9386</v>
      </c>
    </row>
    <row r="3896" spans="6:25">
      <c r="F3896" s="169" t="s">
        <v>10956</v>
      </c>
      <c r="H3896" s="143" t="s">
        <v>10957</v>
      </c>
      <c r="I3896" s="143" t="s">
        <v>10958</v>
      </c>
      <c r="J3896" s="143" t="s">
        <v>10959</v>
      </c>
      <c r="K3896" s="143">
        <v>150</v>
      </c>
      <c r="Y3896" s="143" t="s">
        <v>6607</v>
      </c>
    </row>
    <row r="3897" spans="6:25">
      <c r="F3897" s="169" t="s">
        <v>10960</v>
      </c>
      <c r="H3897" s="143" t="s">
        <v>10961</v>
      </c>
      <c r="I3897" s="143" t="s">
        <v>3218</v>
      </c>
      <c r="J3897" s="143" t="s">
        <v>1577</v>
      </c>
      <c r="K3897" s="143">
        <v>145</v>
      </c>
      <c r="Y3897" s="169" t="s">
        <v>10962</v>
      </c>
    </row>
    <row r="3898" spans="6:25">
      <c r="F3898" s="143" t="s">
        <v>10878</v>
      </c>
      <c r="H3898" s="143" t="s">
        <v>10963</v>
      </c>
      <c r="I3898" s="143" t="s">
        <v>3218</v>
      </c>
      <c r="J3898" s="143" t="s">
        <v>1577</v>
      </c>
      <c r="K3898" s="143">
        <v>145</v>
      </c>
      <c r="Y3898" s="169" t="s">
        <v>10962</v>
      </c>
    </row>
    <row r="3899" spans="6:25">
      <c r="F3899" s="169" t="s">
        <v>10964</v>
      </c>
      <c r="H3899" s="143" t="s">
        <v>10965</v>
      </c>
      <c r="I3899" s="143" t="s">
        <v>10966</v>
      </c>
      <c r="K3899" s="143">
        <v>148</v>
      </c>
      <c r="Y3899" s="143" t="s">
        <v>6663</v>
      </c>
    </row>
    <row r="3900" spans="6:25">
      <c r="F3900" s="169" t="s">
        <v>10967</v>
      </c>
      <c r="H3900" s="143" t="s">
        <v>10968</v>
      </c>
      <c r="I3900" s="143" t="s">
        <v>10969</v>
      </c>
      <c r="K3900" s="143">
        <v>130</v>
      </c>
      <c r="Y3900" s="143" t="s">
        <v>6183</v>
      </c>
    </row>
    <row r="3901" spans="6:25">
      <c r="F3901" s="143" t="s">
        <v>10970</v>
      </c>
      <c r="H3901" s="143" t="s">
        <v>10971</v>
      </c>
      <c r="I3901" s="143" t="s">
        <v>3157</v>
      </c>
      <c r="J3901" s="143" t="s">
        <v>3684</v>
      </c>
      <c r="Y3901" s="169" t="s">
        <v>10972</v>
      </c>
    </row>
    <row r="3902" spans="6:25">
      <c r="F3902" s="143" t="s">
        <v>10973</v>
      </c>
      <c r="H3902" s="143" t="s">
        <v>10974</v>
      </c>
      <c r="K3902" s="143">
        <v>150</v>
      </c>
      <c r="Y3902" s="169" t="s">
        <v>10972</v>
      </c>
    </row>
    <row r="3903" spans="6:25">
      <c r="F3903" s="143" t="s">
        <v>10975</v>
      </c>
      <c r="H3903" s="143" t="s">
        <v>10976</v>
      </c>
      <c r="I3903" s="143" t="s">
        <v>45</v>
      </c>
      <c r="J3903" s="143" t="s">
        <v>3684</v>
      </c>
      <c r="Y3903" s="169" t="s">
        <v>10972</v>
      </c>
    </row>
    <row r="3904" spans="6:25">
      <c r="F3904" s="143" t="s">
        <v>10977</v>
      </c>
      <c r="H3904" s="143" t="s">
        <v>10978</v>
      </c>
      <c r="K3904" s="143">
        <v>150</v>
      </c>
      <c r="Y3904" s="169" t="s">
        <v>10972</v>
      </c>
    </row>
    <row r="3905" spans="6:25">
      <c r="F3905" s="143" t="s">
        <v>10979</v>
      </c>
      <c r="H3905" s="143" t="s">
        <v>10980</v>
      </c>
      <c r="K3905" s="143">
        <v>150</v>
      </c>
      <c r="Y3905" s="169" t="s">
        <v>10972</v>
      </c>
    </row>
    <row r="3906" spans="6:25">
      <c r="F3906" s="143" t="s">
        <v>10981</v>
      </c>
      <c r="H3906" s="143" t="s">
        <v>10982</v>
      </c>
      <c r="I3906" s="143" t="s">
        <v>45</v>
      </c>
      <c r="J3906" s="143" t="s">
        <v>3684</v>
      </c>
      <c r="Y3906" s="169" t="s">
        <v>10972</v>
      </c>
    </row>
    <row r="3907" spans="6:25">
      <c r="F3907" s="143">
        <v>1358</v>
      </c>
      <c r="H3907" s="143" t="s">
        <v>10983</v>
      </c>
      <c r="K3907" s="143">
        <v>145</v>
      </c>
      <c r="Y3907" s="169" t="s">
        <v>10984</v>
      </c>
    </row>
    <row r="3908" spans="6:25">
      <c r="F3908" s="143" t="s">
        <v>10985</v>
      </c>
      <c r="H3908" s="143" t="s">
        <v>10986</v>
      </c>
      <c r="I3908" s="143" t="s">
        <v>478</v>
      </c>
      <c r="J3908" s="143" t="s">
        <v>2917</v>
      </c>
      <c r="K3908" s="143">
        <v>145</v>
      </c>
      <c r="Y3908" s="169" t="s">
        <v>10987</v>
      </c>
    </row>
    <row r="3909" spans="6:25">
      <c r="F3909" s="143" t="s">
        <v>10988</v>
      </c>
      <c r="H3909" s="143" t="s">
        <v>10989</v>
      </c>
      <c r="K3909" s="143">
        <v>142</v>
      </c>
      <c r="Y3909" s="143" t="s">
        <v>10893</v>
      </c>
    </row>
    <row r="3910" spans="6:25">
      <c r="F3910" s="143" t="s">
        <v>10990</v>
      </c>
      <c r="H3910" s="143" t="s">
        <v>10991</v>
      </c>
      <c r="I3910" s="143" t="s">
        <v>3218</v>
      </c>
      <c r="J3910" s="143" t="s">
        <v>1577</v>
      </c>
      <c r="K3910" s="143">
        <v>148</v>
      </c>
      <c r="Y3910" s="143" t="s">
        <v>10906</v>
      </c>
    </row>
    <row r="3911" spans="6:25">
      <c r="F3911" s="143" t="s">
        <v>10992</v>
      </c>
      <c r="H3911" s="143" t="s">
        <v>10993</v>
      </c>
      <c r="I3911" s="143" t="s">
        <v>3218</v>
      </c>
      <c r="J3911" s="143" t="s">
        <v>1577</v>
      </c>
      <c r="K3911" s="143">
        <v>148</v>
      </c>
      <c r="Y3911" s="143" t="s">
        <v>10906</v>
      </c>
    </row>
    <row r="3912" spans="6:25">
      <c r="F3912" s="143" t="s">
        <v>10994</v>
      </c>
      <c r="H3912" s="143" t="s">
        <v>10995</v>
      </c>
      <c r="I3912" s="143" t="s">
        <v>3218</v>
      </c>
      <c r="J3912" s="143" t="s">
        <v>1577</v>
      </c>
      <c r="K3912" s="143">
        <v>148</v>
      </c>
      <c r="Y3912" s="143" t="s">
        <v>10906</v>
      </c>
    </row>
    <row r="3913" spans="6:25">
      <c r="F3913" s="143" t="s">
        <v>10996</v>
      </c>
      <c r="H3913" s="143" t="s">
        <v>10997</v>
      </c>
      <c r="I3913" s="143" t="s">
        <v>478</v>
      </c>
      <c r="J3913" s="143" t="s">
        <v>2917</v>
      </c>
      <c r="Y3913" s="169" t="s">
        <v>10987</v>
      </c>
    </row>
    <row r="3914" spans="6:25">
      <c r="H3914" s="143" t="s">
        <v>10998</v>
      </c>
    </row>
    <row r="3915" spans="6:25">
      <c r="H3915" s="143" t="s">
        <v>10999</v>
      </c>
    </row>
    <row r="3916" spans="6:25">
      <c r="H3916" s="143" t="s">
        <v>11000</v>
      </c>
    </row>
    <row r="3917" spans="6:25">
      <c r="H3917" s="143" t="s">
        <v>11001</v>
      </c>
    </row>
    <row r="3918" spans="6:25">
      <c r="H3918" s="143" t="s">
        <v>11002</v>
      </c>
    </row>
    <row r="3919" spans="6:25">
      <c r="H3919" s="143" t="s">
        <v>11003</v>
      </c>
    </row>
    <row r="3920" spans="6:25">
      <c r="H3920" s="143" t="s">
        <v>11004</v>
      </c>
    </row>
    <row r="3921" spans="8:8">
      <c r="H3921" s="143" t="s">
        <v>11005</v>
      </c>
    </row>
    <row r="3922" spans="8:8">
      <c r="H3922" s="143" t="s">
        <v>11006</v>
      </c>
    </row>
    <row r="3923" spans="8:8">
      <c r="H3923" s="143" t="s">
        <v>11007</v>
      </c>
    </row>
    <row r="3924" spans="8:8">
      <c r="H3924" s="143" t="s">
        <v>11008</v>
      </c>
    </row>
    <row r="3925" spans="8:8">
      <c r="H3925" s="143" t="s">
        <v>11009</v>
      </c>
    </row>
    <row r="3926" spans="8:8">
      <c r="H3926" s="143" t="s">
        <v>11010</v>
      </c>
    </row>
    <row r="3927" spans="8:8">
      <c r="H3927" s="143" t="s">
        <v>11011</v>
      </c>
    </row>
    <row r="3928" spans="8:8">
      <c r="H3928" s="143" t="s">
        <v>11012</v>
      </c>
    </row>
    <row r="3929" spans="8:8">
      <c r="H3929" s="143" t="s">
        <v>11013</v>
      </c>
    </row>
    <row r="3930" spans="8:8">
      <c r="H3930" s="143" t="s">
        <v>11014</v>
      </c>
    </row>
    <row r="3931" spans="8:8">
      <c r="H3931" s="143" t="s">
        <v>11015</v>
      </c>
    </row>
    <row r="3932" spans="8:8">
      <c r="H3932" s="143" t="s">
        <v>11016</v>
      </c>
    </row>
    <row r="3933" spans="8:8">
      <c r="H3933" s="143" t="s">
        <v>11017</v>
      </c>
    </row>
    <row r="3934" spans="8:8">
      <c r="H3934" s="143" t="s">
        <v>11018</v>
      </c>
    </row>
    <row r="3935" spans="8:8">
      <c r="H3935" s="143" t="s">
        <v>11019</v>
      </c>
    </row>
    <row r="3936" spans="8:8">
      <c r="H3936" s="143" t="s">
        <v>11020</v>
      </c>
    </row>
    <row r="3937" spans="1:26">
      <c r="H3937" s="143" t="s">
        <v>11021</v>
      </c>
    </row>
    <row r="3939" spans="1:26">
      <c r="A3939" s="143">
        <v>3837</v>
      </c>
      <c r="B3939" s="144">
        <v>46156</v>
      </c>
      <c r="C3939" s="169" t="s">
        <v>9603</v>
      </c>
      <c r="D3939" s="143" t="s">
        <v>41</v>
      </c>
      <c r="F3939" s="143" t="s">
        <v>11022</v>
      </c>
      <c r="H3939" s="143" t="s">
        <v>11023</v>
      </c>
      <c r="I3939" s="143" t="s">
        <v>11024</v>
      </c>
      <c r="J3939" s="182" t="s">
        <v>11025</v>
      </c>
      <c r="K3939" s="143">
        <v>150</v>
      </c>
      <c r="L3939" s="143">
        <v>90</v>
      </c>
      <c r="W3939" s="169" t="s">
        <v>3147</v>
      </c>
      <c r="X3939" s="143" t="s">
        <v>11022</v>
      </c>
      <c r="Y3939" s="143" t="s">
        <v>10094</v>
      </c>
      <c r="Z3939" s="143" t="s">
        <v>11022</v>
      </c>
    </row>
    <row r="3940" spans="1:26">
      <c r="A3940" s="143">
        <v>3838</v>
      </c>
      <c r="B3940" s="144">
        <v>46156</v>
      </c>
      <c r="C3940" s="169" t="s">
        <v>9603</v>
      </c>
      <c r="D3940" s="143" t="s">
        <v>41</v>
      </c>
      <c r="F3940" s="143" t="s">
        <v>11026</v>
      </c>
      <c r="H3940" s="143" t="s">
        <v>11027</v>
      </c>
      <c r="K3940" s="143">
        <v>175</v>
      </c>
      <c r="L3940" s="143">
        <v>170</v>
      </c>
      <c r="W3940" s="169" t="s">
        <v>3147</v>
      </c>
      <c r="X3940" s="143" t="s">
        <v>11026</v>
      </c>
      <c r="Y3940" s="169" t="s">
        <v>11028</v>
      </c>
      <c r="Z3940" s="143" t="s">
        <v>11026</v>
      </c>
    </row>
    <row r="3941" spans="1:26">
      <c r="A3941" s="143">
        <v>3839</v>
      </c>
      <c r="B3941" s="144">
        <v>46156</v>
      </c>
      <c r="C3941" s="169" t="s">
        <v>9603</v>
      </c>
      <c r="D3941" s="143" t="s">
        <v>41</v>
      </c>
      <c r="F3941" s="143" t="s">
        <v>11029</v>
      </c>
      <c r="H3941" s="143" t="s">
        <v>11030</v>
      </c>
      <c r="I3941" s="143" t="s">
        <v>10104</v>
      </c>
      <c r="J3941" s="143" t="s">
        <v>11031</v>
      </c>
      <c r="K3941" s="143">
        <v>150</v>
      </c>
      <c r="L3941" s="143">
        <v>118</v>
      </c>
      <c r="W3941" s="169" t="s">
        <v>3147</v>
      </c>
      <c r="X3941" s="143" t="s">
        <v>11029</v>
      </c>
      <c r="Y3941" s="143" t="s">
        <v>10094</v>
      </c>
      <c r="Z3941" s="143" t="s">
        <v>11029</v>
      </c>
    </row>
    <row r="3942" spans="1:26">
      <c r="A3942" s="143">
        <v>3840</v>
      </c>
      <c r="B3942" s="144">
        <v>46156</v>
      </c>
      <c r="C3942" s="169" t="s">
        <v>9603</v>
      </c>
      <c r="D3942" s="143" t="s">
        <v>41</v>
      </c>
      <c r="F3942" s="143" t="s">
        <v>11032</v>
      </c>
      <c r="H3942" s="143" t="s">
        <v>11033</v>
      </c>
      <c r="I3942" s="143" t="s">
        <v>11034</v>
      </c>
      <c r="J3942" s="182" t="s">
        <v>11025</v>
      </c>
      <c r="K3942" s="143">
        <v>150</v>
      </c>
      <c r="L3942" s="143">
        <v>90</v>
      </c>
      <c r="W3942" s="169" t="s">
        <v>3147</v>
      </c>
      <c r="X3942" s="143" t="s">
        <v>11032</v>
      </c>
      <c r="Y3942" s="143" t="s">
        <v>10094</v>
      </c>
      <c r="Z3942" s="143" t="s">
        <v>11032</v>
      </c>
    </row>
    <row r="3943" spans="1:26">
      <c r="A3943" s="143">
        <v>3841</v>
      </c>
      <c r="B3943" s="144">
        <v>46156</v>
      </c>
      <c r="C3943" s="169" t="s">
        <v>9603</v>
      </c>
      <c r="D3943" s="143" t="s">
        <v>41</v>
      </c>
      <c r="F3943" s="143" t="s">
        <v>11035</v>
      </c>
      <c r="H3943" s="143" t="s">
        <v>11036</v>
      </c>
      <c r="K3943" s="143">
        <v>148</v>
      </c>
      <c r="W3943" s="169" t="s">
        <v>3147</v>
      </c>
      <c r="X3943" s="143" t="s">
        <v>11035</v>
      </c>
      <c r="Y3943" s="169" t="s">
        <v>7921</v>
      </c>
      <c r="Z3943" s="143" t="s">
        <v>11035</v>
      </c>
    </row>
    <row r="3944" spans="1:26">
      <c r="A3944" s="143">
        <v>3842</v>
      </c>
      <c r="B3944" s="144">
        <v>46156</v>
      </c>
      <c r="C3944" s="169" t="s">
        <v>9603</v>
      </c>
      <c r="D3944" s="143" t="s">
        <v>41</v>
      </c>
      <c r="F3944" s="143" t="s">
        <v>11037</v>
      </c>
      <c r="H3944" s="143" t="s">
        <v>11038</v>
      </c>
      <c r="K3944" s="143">
        <v>175</v>
      </c>
      <c r="L3944" s="143">
        <v>170</v>
      </c>
      <c r="W3944" s="169" t="s">
        <v>3147</v>
      </c>
      <c r="X3944" s="143" t="s">
        <v>11037</v>
      </c>
      <c r="Y3944" s="143" t="s">
        <v>11028</v>
      </c>
      <c r="Z3944" s="143" t="s">
        <v>11037</v>
      </c>
    </row>
    <row r="3945" spans="1:26">
      <c r="A3945" s="143">
        <v>3843</v>
      </c>
      <c r="B3945" s="144">
        <v>46156</v>
      </c>
      <c r="C3945" s="169" t="s">
        <v>9603</v>
      </c>
      <c r="D3945" s="143" t="s">
        <v>41</v>
      </c>
      <c r="F3945" s="143" t="s">
        <v>11039</v>
      </c>
      <c r="H3945" s="143" t="s">
        <v>11040</v>
      </c>
      <c r="I3945" s="143" t="s">
        <v>11041</v>
      </c>
      <c r="J3945" s="182" t="s">
        <v>11042</v>
      </c>
      <c r="K3945" s="143">
        <v>150</v>
      </c>
      <c r="W3945" s="169" t="s">
        <v>3147</v>
      </c>
      <c r="X3945" s="143" t="s">
        <v>11039</v>
      </c>
      <c r="Y3945" s="169" t="s">
        <v>10868</v>
      </c>
      <c r="Z3945" s="143" t="s">
        <v>11039</v>
      </c>
    </row>
    <row r="3946" spans="1:26">
      <c r="A3946" s="143">
        <v>3844</v>
      </c>
      <c r="B3946" s="144">
        <v>46156</v>
      </c>
      <c r="C3946" s="169" t="s">
        <v>9603</v>
      </c>
      <c r="D3946" s="143" t="s">
        <v>41</v>
      </c>
      <c r="F3946" s="143" t="s">
        <v>11043</v>
      </c>
      <c r="H3946" s="143" t="s">
        <v>11044</v>
      </c>
      <c r="I3946" s="143" t="s">
        <v>890</v>
      </c>
      <c r="J3946" s="143" t="s">
        <v>517</v>
      </c>
      <c r="K3946" s="143">
        <v>140</v>
      </c>
      <c r="W3946" s="169" t="s">
        <v>3147</v>
      </c>
      <c r="X3946" s="143" t="s">
        <v>11043</v>
      </c>
      <c r="Y3946" s="169" t="s">
        <v>11045</v>
      </c>
      <c r="Z3946" s="143" t="s">
        <v>11043</v>
      </c>
    </row>
    <row r="3947" spans="1:26">
      <c r="A3947" s="143">
        <v>3845</v>
      </c>
      <c r="B3947" s="144">
        <v>46156</v>
      </c>
      <c r="C3947" s="169" t="s">
        <v>9603</v>
      </c>
      <c r="D3947" s="143" t="s">
        <v>41</v>
      </c>
      <c r="F3947" s="143" t="s">
        <v>11046</v>
      </c>
      <c r="H3947" s="143" t="s">
        <v>11047</v>
      </c>
      <c r="I3947" s="143" t="s">
        <v>535</v>
      </c>
      <c r="J3947" s="143" t="s">
        <v>330</v>
      </c>
      <c r="W3947" s="169" t="s">
        <v>3147</v>
      </c>
      <c r="X3947" s="143" t="s">
        <v>11046</v>
      </c>
      <c r="Y3947" s="169" t="s">
        <v>11048</v>
      </c>
      <c r="Z3947" s="143" t="s">
        <v>11046</v>
      </c>
    </row>
    <row r="3948" spans="1:26">
      <c r="A3948" s="143">
        <v>3846</v>
      </c>
      <c r="B3948" s="144">
        <v>46156</v>
      </c>
      <c r="C3948" s="169" t="s">
        <v>9603</v>
      </c>
      <c r="D3948" s="143" t="s">
        <v>41</v>
      </c>
      <c r="F3948" s="143" t="s">
        <v>11049</v>
      </c>
      <c r="H3948" s="143" t="s">
        <v>11050</v>
      </c>
      <c r="I3948" s="143" t="s">
        <v>324</v>
      </c>
      <c r="J3948" s="143" t="s">
        <v>10163</v>
      </c>
      <c r="K3948" s="143">
        <v>148</v>
      </c>
      <c r="W3948" s="169" t="s">
        <v>3147</v>
      </c>
      <c r="X3948" s="143" t="s">
        <v>11049</v>
      </c>
      <c r="Y3948" s="169" t="s">
        <v>10751</v>
      </c>
      <c r="Z3948" s="143" t="s">
        <v>11049</v>
      </c>
    </row>
    <row r="3949" spans="1:26">
      <c r="A3949" s="143">
        <v>3847</v>
      </c>
      <c r="B3949" s="144">
        <v>46156</v>
      </c>
      <c r="C3949" s="169" t="s">
        <v>9603</v>
      </c>
      <c r="D3949" s="143" t="s">
        <v>41</v>
      </c>
      <c r="F3949" s="143" t="s">
        <v>11051</v>
      </c>
      <c r="H3949" s="143" t="s">
        <v>11052</v>
      </c>
      <c r="I3949" s="143" t="s">
        <v>324</v>
      </c>
      <c r="J3949" s="143" t="s">
        <v>10163</v>
      </c>
      <c r="K3949" s="143">
        <v>148</v>
      </c>
      <c r="W3949" s="169" t="s">
        <v>3147</v>
      </c>
      <c r="X3949" s="143" t="s">
        <v>11051</v>
      </c>
      <c r="Y3949" s="169" t="s">
        <v>10751</v>
      </c>
      <c r="Z3949" s="143" t="s">
        <v>11051</v>
      </c>
    </row>
    <row r="3950" spans="1:26">
      <c r="A3950" s="143">
        <v>3848</v>
      </c>
      <c r="B3950" s="144">
        <v>46156</v>
      </c>
      <c r="C3950" s="169" t="s">
        <v>9603</v>
      </c>
      <c r="D3950" s="143" t="s">
        <v>41</v>
      </c>
      <c r="F3950" s="143" t="s">
        <v>11053</v>
      </c>
      <c r="H3950" s="143" t="s">
        <v>11054</v>
      </c>
      <c r="I3950" s="143" t="s">
        <v>324</v>
      </c>
      <c r="J3950" s="143" t="s">
        <v>10163</v>
      </c>
      <c r="K3950" s="143">
        <v>148</v>
      </c>
      <c r="W3950" s="169" t="s">
        <v>3147</v>
      </c>
      <c r="X3950" s="143" t="s">
        <v>11053</v>
      </c>
      <c r="Y3950" s="169" t="s">
        <v>10751</v>
      </c>
      <c r="Z3950" s="143" t="s">
        <v>11053</v>
      </c>
    </row>
    <row r="3951" spans="1:26">
      <c r="A3951" s="143">
        <v>3849</v>
      </c>
      <c r="B3951" s="144">
        <v>46157</v>
      </c>
      <c r="C3951" s="169" t="s">
        <v>9603</v>
      </c>
      <c r="D3951" s="143" t="s">
        <v>41</v>
      </c>
      <c r="F3951" s="143" t="s">
        <v>11055</v>
      </c>
      <c r="H3951" s="143" t="s">
        <v>11056</v>
      </c>
      <c r="K3951" s="143">
        <v>145</v>
      </c>
      <c r="W3951" s="169" t="s">
        <v>3147</v>
      </c>
      <c r="X3951" s="143" t="s">
        <v>11055</v>
      </c>
      <c r="Y3951" s="169" t="s">
        <v>11057</v>
      </c>
      <c r="Z3951" s="143" t="s">
        <v>11055</v>
      </c>
    </row>
    <row r="3952" spans="1:26">
      <c r="A3952" s="143">
        <v>3850</v>
      </c>
      <c r="B3952" s="144">
        <v>46157</v>
      </c>
      <c r="C3952" s="169" t="s">
        <v>9603</v>
      </c>
      <c r="D3952" s="143" t="s">
        <v>41</v>
      </c>
      <c r="F3952" s="143" t="s">
        <v>11058</v>
      </c>
      <c r="H3952" s="143" t="s">
        <v>11059</v>
      </c>
      <c r="I3952" s="143" t="s">
        <v>11060</v>
      </c>
      <c r="J3952" s="143" t="s">
        <v>11061</v>
      </c>
      <c r="K3952" s="143">
        <v>150</v>
      </c>
      <c r="W3952" s="169" t="s">
        <v>3147</v>
      </c>
      <c r="X3952" s="143" t="s">
        <v>11058</v>
      </c>
      <c r="Y3952" s="169" t="s">
        <v>11062</v>
      </c>
      <c r="Z3952" s="143" t="s">
        <v>11058</v>
      </c>
    </row>
    <row r="3953" spans="1:26">
      <c r="A3953" s="143">
        <v>3851</v>
      </c>
      <c r="B3953" s="144">
        <v>46157</v>
      </c>
      <c r="C3953" s="169" t="s">
        <v>9603</v>
      </c>
      <c r="D3953" s="143" t="s">
        <v>41</v>
      </c>
      <c r="F3953" s="143">
        <v>99117</v>
      </c>
      <c r="H3953" s="143" t="s">
        <v>11063</v>
      </c>
      <c r="K3953" s="143">
        <v>145</v>
      </c>
      <c r="W3953" s="169" t="s">
        <v>3147</v>
      </c>
      <c r="X3953" s="143">
        <v>99117</v>
      </c>
      <c r="Y3953" s="169" t="s">
        <v>11064</v>
      </c>
      <c r="Z3953" s="143">
        <v>99117</v>
      </c>
    </row>
    <row r="3954" spans="1:26">
      <c r="A3954" s="143">
        <v>3852</v>
      </c>
      <c r="B3954" s="144">
        <v>46157</v>
      </c>
      <c r="C3954" s="169" t="s">
        <v>9603</v>
      </c>
      <c r="D3954" s="143" t="s">
        <v>41</v>
      </c>
      <c r="F3954" s="143" t="s">
        <v>11065</v>
      </c>
      <c r="H3954" s="143" t="s">
        <v>11066</v>
      </c>
      <c r="I3954" s="143" t="s">
        <v>324</v>
      </c>
      <c r="J3954" s="143" t="s">
        <v>10163</v>
      </c>
      <c r="K3954" s="143">
        <v>150</v>
      </c>
      <c r="L3954" s="143">
        <v>240</v>
      </c>
      <c r="W3954" s="169" t="s">
        <v>3147</v>
      </c>
      <c r="X3954" s="143" t="s">
        <v>11065</v>
      </c>
      <c r="Y3954" s="169" t="s">
        <v>10741</v>
      </c>
      <c r="Z3954" s="143" t="s">
        <v>11065</v>
      </c>
    </row>
    <row r="3955" spans="1:26">
      <c r="A3955" s="143">
        <v>3853</v>
      </c>
      <c r="B3955" s="144">
        <v>46157</v>
      </c>
      <c r="C3955" s="169" t="s">
        <v>9603</v>
      </c>
      <c r="D3955" s="143" t="s">
        <v>41</v>
      </c>
      <c r="F3955" s="143" t="s">
        <v>11067</v>
      </c>
      <c r="H3955" s="143" t="s">
        <v>11068</v>
      </c>
      <c r="I3955" s="143" t="s">
        <v>3390</v>
      </c>
      <c r="J3955" s="143" t="s">
        <v>10814</v>
      </c>
      <c r="K3955" s="143">
        <v>150</v>
      </c>
      <c r="L3955" s="143">
        <v>135</v>
      </c>
      <c r="W3955" s="169" t="s">
        <v>3147</v>
      </c>
      <c r="X3955" s="143" t="s">
        <v>11067</v>
      </c>
      <c r="Y3955" s="169" t="s">
        <v>10741</v>
      </c>
      <c r="Z3955" s="143" t="s">
        <v>11067</v>
      </c>
    </row>
    <row r="3956" spans="1:26">
      <c r="A3956" s="143">
        <v>3854</v>
      </c>
      <c r="B3956" s="144">
        <v>46157</v>
      </c>
      <c r="C3956" s="169" t="s">
        <v>9603</v>
      </c>
      <c r="D3956" s="143" t="s">
        <v>41</v>
      </c>
      <c r="F3956" s="143" t="s">
        <v>11069</v>
      </c>
      <c r="H3956" s="143" t="s">
        <v>11070</v>
      </c>
      <c r="I3956" s="143" t="s">
        <v>11071</v>
      </c>
      <c r="J3956" s="143" t="s">
        <v>11072</v>
      </c>
      <c r="K3956" s="143">
        <v>150</v>
      </c>
      <c r="L3956" s="143">
        <v>140</v>
      </c>
      <c r="W3956" s="169" t="s">
        <v>3147</v>
      </c>
      <c r="X3956" s="143" t="s">
        <v>11069</v>
      </c>
      <c r="Y3956" s="169" t="s">
        <v>11073</v>
      </c>
      <c r="Z3956" s="143" t="s">
        <v>11069</v>
      </c>
    </row>
    <row r="3957" spans="1:26">
      <c r="A3957" s="143">
        <v>3855</v>
      </c>
      <c r="B3957" s="144">
        <v>46157</v>
      </c>
      <c r="C3957" s="169" t="s">
        <v>9603</v>
      </c>
      <c r="D3957" s="143" t="s">
        <v>41</v>
      </c>
      <c r="F3957" s="143" t="s">
        <v>11074</v>
      </c>
      <c r="H3957" s="143" t="s">
        <v>11075</v>
      </c>
      <c r="I3957" s="143" t="s">
        <v>324</v>
      </c>
      <c r="J3957" s="143" t="s">
        <v>10163</v>
      </c>
      <c r="K3957" s="143">
        <v>150</v>
      </c>
      <c r="L3957" s="143">
        <v>115</v>
      </c>
      <c r="W3957" s="169" t="s">
        <v>3147</v>
      </c>
      <c r="X3957" s="143" t="s">
        <v>11074</v>
      </c>
      <c r="Y3957" s="169" t="s">
        <v>10741</v>
      </c>
      <c r="Z3957" s="143" t="s">
        <v>11074</v>
      </c>
    </row>
    <row r="3958" spans="1:26">
      <c r="A3958" s="143">
        <v>3856</v>
      </c>
      <c r="B3958" s="144">
        <v>46157</v>
      </c>
      <c r="C3958" s="169" t="s">
        <v>9603</v>
      </c>
      <c r="D3958" s="143" t="s">
        <v>41</v>
      </c>
      <c r="F3958" s="143" t="s">
        <v>11076</v>
      </c>
      <c r="H3958" s="143" t="s">
        <v>11077</v>
      </c>
      <c r="I3958" s="143" t="s">
        <v>324</v>
      </c>
      <c r="J3958" s="143" t="s">
        <v>10163</v>
      </c>
      <c r="K3958" s="143">
        <v>150</v>
      </c>
      <c r="L3958" s="143">
        <v>240</v>
      </c>
      <c r="W3958" s="169" t="s">
        <v>3147</v>
      </c>
      <c r="X3958" s="143" t="s">
        <v>11076</v>
      </c>
      <c r="Y3958" s="169" t="s">
        <v>10741</v>
      </c>
      <c r="Z3958" s="143" t="s">
        <v>11076</v>
      </c>
    </row>
    <row r="3959" spans="1:26">
      <c r="A3959" s="143">
        <v>3857</v>
      </c>
      <c r="B3959" s="144">
        <v>46157</v>
      </c>
      <c r="C3959" s="169" t="s">
        <v>9603</v>
      </c>
      <c r="D3959" s="143" t="s">
        <v>41</v>
      </c>
      <c r="F3959" s="143" t="s">
        <v>11078</v>
      </c>
      <c r="H3959" s="143" t="s">
        <v>11079</v>
      </c>
      <c r="I3959" s="143" t="s">
        <v>3390</v>
      </c>
      <c r="J3959" s="143" t="s">
        <v>10814</v>
      </c>
      <c r="K3959" s="143">
        <v>150</v>
      </c>
      <c r="L3959" s="143">
        <v>145</v>
      </c>
      <c r="W3959" s="169" t="s">
        <v>3147</v>
      </c>
      <c r="X3959" s="143" t="s">
        <v>11078</v>
      </c>
      <c r="Y3959" s="169" t="s">
        <v>10741</v>
      </c>
      <c r="Z3959" s="143" t="s">
        <v>11078</v>
      </c>
    </row>
    <row r="3960" spans="1:26">
      <c r="A3960" s="143">
        <v>3858</v>
      </c>
      <c r="B3960" s="144">
        <v>46157</v>
      </c>
      <c r="C3960" s="169" t="s">
        <v>9603</v>
      </c>
      <c r="D3960" s="143" t="s">
        <v>41</v>
      </c>
      <c r="F3960" s="143" t="s">
        <v>11080</v>
      </c>
      <c r="H3960" s="143" t="s">
        <v>11081</v>
      </c>
      <c r="K3960" s="143">
        <v>160</v>
      </c>
      <c r="L3960" s="143">
        <v>230</v>
      </c>
      <c r="W3960" s="169" t="s">
        <v>3147</v>
      </c>
      <c r="X3960" s="143" t="s">
        <v>11080</v>
      </c>
      <c r="Y3960" s="169" t="s">
        <v>11082</v>
      </c>
      <c r="Z3960" s="143" t="s">
        <v>11080</v>
      </c>
    </row>
    <row r="3961" spans="1:26">
      <c r="A3961" s="143">
        <v>3859</v>
      </c>
      <c r="B3961" s="144">
        <v>46157</v>
      </c>
      <c r="C3961" s="169" t="s">
        <v>9603</v>
      </c>
      <c r="D3961" s="143" t="s">
        <v>41</v>
      </c>
      <c r="F3961" s="143" t="s">
        <v>11083</v>
      </c>
      <c r="H3961" s="143" t="s">
        <v>11084</v>
      </c>
      <c r="I3961" s="143" t="s">
        <v>324</v>
      </c>
      <c r="J3961" s="143" t="s">
        <v>10163</v>
      </c>
      <c r="K3961" s="143">
        <v>150</v>
      </c>
      <c r="L3961" s="143">
        <v>220</v>
      </c>
      <c r="W3961" s="169" t="s">
        <v>3147</v>
      </c>
      <c r="X3961" s="143" t="s">
        <v>11083</v>
      </c>
      <c r="Y3961" s="169" t="s">
        <v>10741</v>
      </c>
      <c r="Z3961" s="143" t="s">
        <v>11083</v>
      </c>
    </row>
    <row r="3962" spans="1:26">
      <c r="A3962" s="143">
        <v>3860</v>
      </c>
      <c r="B3962" s="144">
        <v>46157</v>
      </c>
      <c r="C3962" s="169" t="s">
        <v>9603</v>
      </c>
      <c r="D3962" s="143" t="s">
        <v>41</v>
      </c>
      <c r="F3962" s="143" t="s">
        <v>11085</v>
      </c>
      <c r="H3962" s="143" t="s">
        <v>11086</v>
      </c>
      <c r="K3962" s="143">
        <v>150</v>
      </c>
      <c r="L3962" s="143">
        <v>230</v>
      </c>
      <c r="W3962" s="169" t="s">
        <v>3147</v>
      </c>
      <c r="X3962" s="143" t="s">
        <v>11087</v>
      </c>
      <c r="Y3962" s="169" t="s">
        <v>11082</v>
      </c>
      <c r="Z3962" s="143" t="s">
        <v>11088</v>
      </c>
    </row>
    <row r="3963" spans="1:26">
      <c r="A3963" s="143">
        <v>3861</v>
      </c>
      <c r="B3963" s="144">
        <v>46157</v>
      </c>
      <c r="C3963" s="169" t="s">
        <v>9603</v>
      </c>
      <c r="D3963" s="143" t="s">
        <v>41</v>
      </c>
      <c r="F3963" s="143" t="s">
        <v>11089</v>
      </c>
      <c r="H3963" s="143" t="s">
        <v>11090</v>
      </c>
      <c r="K3963" s="143">
        <v>150</v>
      </c>
      <c r="W3963" s="169" t="s">
        <v>3147</v>
      </c>
      <c r="X3963" s="143" t="s">
        <v>11089</v>
      </c>
      <c r="Y3963" s="169" t="s">
        <v>11091</v>
      </c>
      <c r="Z3963" s="143" t="s">
        <v>11089</v>
      </c>
    </row>
    <row r="3964" spans="1:26">
      <c r="A3964" s="143">
        <v>3862</v>
      </c>
      <c r="B3964" s="144">
        <v>46157</v>
      </c>
      <c r="C3964" s="169" t="s">
        <v>9603</v>
      </c>
      <c r="D3964" s="143" t="s">
        <v>41</v>
      </c>
      <c r="F3964" s="143" t="s">
        <v>11092</v>
      </c>
      <c r="H3964" s="143" t="s">
        <v>11093</v>
      </c>
      <c r="K3964" s="143">
        <v>150</v>
      </c>
      <c r="L3964" s="143">
        <v>250</v>
      </c>
      <c r="W3964" s="169" t="s">
        <v>3147</v>
      </c>
      <c r="X3964" s="143" t="s">
        <v>11094</v>
      </c>
      <c r="Y3964" s="169" t="s">
        <v>11082</v>
      </c>
      <c r="Z3964" s="143" t="s">
        <v>11094</v>
      </c>
    </row>
    <row r="3965" spans="1:26">
      <c r="A3965" s="143">
        <v>3863</v>
      </c>
      <c r="B3965" s="144">
        <v>46157</v>
      </c>
      <c r="C3965" s="169" t="s">
        <v>9603</v>
      </c>
      <c r="D3965" s="143" t="s">
        <v>41</v>
      </c>
      <c r="F3965" s="143">
        <v>30727</v>
      </c>
      <c r="H3965" s="143" t="s">
        <v>11095</v>
      </c>
      <c r="I3965" s="143" t="s">
        <v>11096</v>
      </c>
      <c r="J3965" s="143" t="s">
        <v>11097</v>
      </c>
      <c r="K3965" s="143">
        <v>150</v>
      </c>
      <c r="L3965" s="143">
        <v>255</v>
      </c>
      <c r="W3965" s="169" t="s">
        <v>3147</v>
      </c>
      <c r="X3965" s="143">
        <v>30727</v>
      </c>
      <c r="Y3965" s="169" t="s">
        <v>11098</v>
      </c>
    </row>
    <row r="3966" spans="1:26">
      <c r="A3966" s="143">
        <v>3864</v>
      </c>
      <c r="B3966" s="144">
        <v>46157</v>
      </c>
      <c r="C3966" s="169" t="s">
        <v>9603</v>
      </c>
      <c r="D3966" s="143" t="s">
        <v>41</v>
      </c>
      <c r="F3966" s="143" t="s">
        <v>11099</v>
      </c>
      <c r="H3966" s="143" t="s">
        <v>11100</v>
      </c>
      <c r="I3966" s="143" t="s">
        <v>11101</v>
      </c>
      <c r="J3966" s="143" t="s">
        <v>11102</v>
      </c>
      <c r="K3966" s="143">
        <v>150</v>
      </c>
      <c r="W3966" s="169" t="s">
        <v>3147</v>
      </c>
      <c r="X3966" s="143" t="s">
        <v>11099</v>
      </c>
      <c r="Y3966" s="169" t="s">
        <v>10738</v>
      </c>
    </row>
    <row r="3967" spans="1:26">
      <c r="A3967" s="143">
        <v>3865</v>
      </c>
      <c r="B3967" s="144">
        <v>46157</v>
      </c>
      <c r="C3967" s="169" t="s">
        <v>9603</v>
      </c>
      <c r="D3967" s="143" t="s">
        <v>41</v>
      </c>
      <c r="F3967" s="143" t="s">
        <v>11103</v>
      </c>
      <c r="H3967" s="143" t="s">
        <v>11104</v>
      </c>
      <c r="I3967" s="169" t="s">
        <v>11105</v>
      </c>
      <c r="K3967" s="143">
        <v>145</v>
      </c>
      <c r="W3967" s="169" t="s">
        <v>3147</v>
      </c>
      <c r="X3967" s="143" t="s">
        <v>11103</v>
      </c>
      <c r="Y3967" s="169" t="s">
        <v>11106</v>
      </c>
    </row>
    <row r="3968" spans="1:26">
      <c r="A3968" s="143">
        <v>3866</v>
      </c>
      <c r="B3968" s="144">
        <v>46157</v>
      </c>
      <c r="C3968" s="169" t="s">
        <v>9603</v>
      </c>
      <c r="D3968" s="143" t="s">
        <v>41</v>
      </c>
      <c r="F3968" s="143" t="s">
        <v>11107</v>
      </c>
      <c r="H3968" s="143" t="s">
        <v>11108</v>
      </c>
      <c r="I3968" s="143" t="s">
        <v>9225</v>
      </c>
      <c r="J3968" s="143" t="s">
        <v>779</v>
      </c>
      <c r="K3968" s="143">
        <v>150</v>
      </c>
      <c r="W3968" s="169" t="s">
        <v>3147</v>
      </c>
      <c r="X3968" s="143" t="s">
        <v>11107</v>
      </c>
      <c r="Y3968" s="169" t="s">
        <v>11109</v>
      </c>
    </row>
    <row r="3969" spans="1:25">
      <c r="A3969" s="143">
        <v>3867</v>
      </c>
      <c r="B3969" s="144">
        <v>46157</v>
      </c>
      <c r="C3969" s="169" t="s">
        <v>9603</v>
      </c>
      <c r="D3969" s="143" t="s">
        <v>41</v>
      </c>
      <c r="F3969" s="143" t="s">
        <v>11110</v>
      </c>
      <c r="H3969" s="143" t="s">
        <v>11111</v>
      </c>
      <c r="I3969" s="143" t="s">
        <v>11112</v>
      </c>
      <c r="J3969" s="143" t="s">
        <v>11113</v>
      </c>
      <c r="K3969" s="143">
        <v>150</v>
      </c>
      <c r="W3969" s="169" t="s">
        <v>3147</v>
      </c>
      <c r="X3969" s="143" t="s">
        <v>11110</v>
      </c>
      <c r="Y3969" s="143" t="s">
        <v>11073</v>
      </c>
    </row>
    <row r="3970" spans="1:25">
      <c r="A3970" s="143">
        <v>3868</v>
      </c>
      <c r="B3970" s="144">
        <v>46157</v>
      </c>
      <c r="C3970" s="169" t="s">
        <v>9603</v>
      </c>
      <c r="D3970" s="143" t="s">
        <v>41</v>
      </c>
      <c r="F3970" s="143" t="s">
        <v>11114</v>
      </c>
      <c r="H3970" s="143" t="s">
        <v>11115</v>
      </c>
      <c r="I3970" s="143" t="s">
        <v>11116</v>
      </c>
      <c r="J3970" s="143" t="s">
        <v>11117</v>
      </c>
      <c r="K3970" s="143">
        <v>155</v>
      </c>
      <c r="L3970" s="143">
        <v>170</v>
      </c>
      <c r="W3970" s="169" t="s">
        <v>3147</v>
      </c>
      <c r="X3970" s="143" t="s">
        <v>11114</v>
      </c>
      <c r="Y3970" s="143" t="s">
        <v>4691</v>
      </c>
    </row>
    <row r="3971" spans="1:25">
      <c r="A3971" s="143">
        <v>3869</v>
      </c>
      <c r="B3971" s="144">
        <v>46157</v>
      </c>
      <c r="C3971" s="169" t="s">
        <v>9603</v>
      </c>
      <c r="D3971" s="143" t="s">
        <v>41</v>
      </c>
      <c r="F3971" s="143" t="s">
        <v>11118</v>
      </c>
      <c r="H3971" s="143" t="s">
        <v>11119</v>
      </c>
      <c r="I3971" s="143" t="s">
        <v>11120</v>
      </c>
      <c r="K3971" s="143">
        <v>145</v>
      </c>
      <c r="L3971" s="143">
        <v>68</v>
      </c>
      <c r="W3971" s="169" t="s">
        <v>3147</v>
      </c>
      <c r="X3971" s="143" t="s">
        <v>11118</v>
      </c>
      <c r="Y3971" s="169" t="s">
        <v>11121</v>
      </c>
    </row>
    <row r="3972" spans="1:25">
      <c r="A3972" s="143">
        <v>3870</v>
      </c>
      <c r="B3972" s="144">
        <v>46157</v>
      </c>
      <c r="C3972" s="169" t="s">
        <v>9603</v>
      </c>
      <c r="D3972" s="143" t="s">
        <v>41</v>
      </c>
      <c r="F3972" s="143" t="s">
        <v>11122</v>
      </c>
      <c r="H3972" s="143" t="s">
        <v>11123</v>
      </c>
      <c r="I3972" s="143" t="s">
        <v>11124</v>
      </c>
      <c r="J3972" s="143" t="s">
        <v>11125</v>
      </c>
      <c r="K3972" s="143">
        <v>150</v>
      </c>
      <c r="L3972" s="143">
        <v>130</v>
      </c>
      <c r="W3972" s="169" t="s">
        <v>3147</v>
      </c>
      <c r="X3972" s="143" t="s">
        <v>11122</v>
      </c>
      <c r="Y3972" s="169" t="s">
        <v>10788</v>
      </c>
    </row>
    <row r="3973" spans="1:25">
      <c r="A3973" s="143">
        <v>3871</v>
      </c>
      <c r="B3973" s="144">
        <v>46157</v>
      </c>
      <c r="C3973" s="169" t="s">
        <v>9603</v>
      </c>
      <c r="D3973" s="143" t="s">
        <v>41</v>
      </c>
      <c r="F3973" s="143" t="s">
        <v>11126</v>
      </c>
      <c r="H3973" s="143" t="s">
        <v>11127</v>
      </c>
      <c r="I3973" s="143" t="s">
        <v>11128</v>
      </c>
      <c r="J3973" s="143" t="s">
        <v>11129</v>
      </c>
      <c r="K3973" s="143">
        <v>150</v>
      </c>
      <c r="L3973" s="143">
        <v>85</v>
      </c>
      <c r="W3973" s="169" t="s">
        <v>3147</v>
      </c>
      <c r="X3973" s="143" t="s">
        <v>11126</v>
      </c>
      <c r="Y3973" s="169" t="s">
        <v>11121</v>
      </c>
    </row>
    <row r="3974" spans="1:25">
      <c r="A3974" s="143">
        <v>3872</v>
      </c>
      <c r="B3974" s="144">
        <v>46157</v>
      </c>
      <c r="C3974" s="169" t="s">
        <v>9603</v>
      </c>
      <c r="D3974" s="143" t="s">
        <v>41</v>
      </c>
      <c r="F3974" s="143" t="s">
        <v>11130</v>
      </c>
      <c r="H3974" s="143" t="s">
        <v>11131</v>
      </c>
      <c r="I3974" s="143" t="s">
        <v>11132</v>
      </c>
      <c r="J3974" s="143" t="s">
        <v>11133</v>
      </c>
      <c r="K3974" s="143">
        <v>140</v>
      </c>
      <c r="L3974" s="143">
        <v>135</v>
      </c>
      <c r="W3974" s="169" t="s">
        <v>3147</v>
      </c>
      <c r="X3974" s="143" t="s">
        <v>11130</v>
      </c>
      <c r="Y3974" s="169" t="s">
        <v>11121</v>
      </c>
    </row>
    <row r="3975" spans="1:25">
      <c r="A3975" s="143">
        <v>3873</v>
      </c>
      <c r="B3975" s="144">
        <v>46157</v>
      </c>
      <c r="C3975" s="169" t="s">
        <v>9603</v>
      </c>
      <c r="D3975" s="143" t="s">
        <v>41</v>
      </c>
      <c r="F3975" s="143" t="s">
        <v>11134</v>
      </c>
      <c r="H3975" s="143" t="s">
        <v>11135</v>
      </c>
      <c r="I3975" s="143" t="s">
        <v>535</v>
      </c>
      <c r="J3975" s="143" t="s">
        <v>779</v>
      </c>
      <c r="K3975" s="143">
        <v>150</v>
      </c>
      <c r="L3975" s="143">
        <v>160</v>
      </c>
      <c r="W3975" s="169" t="s">
        <v>3147</v>
      </c>
      <c r="X3975" s="143" t="s">
        <v>11134</v>
      </c>
      <c r="Y3975" s="169" t="s">
        <v>11136</v>
      </c>
    </row>
    <row r="3976" spans="1:25">
      <c r="A3976" s="143">
        <v>3874</v>
      </c>
      <c r="B3976" s="144">
        <v>46157</v>
      </c>
      <c r="C3976" s="169" t="s">
        <v>9603</v>
      </c>
      <c r="D3976" s="143" t="s">
        <v>41</v>
      </c>
      <c r="F3976" s="143" t="s">
        <v>11137</v>
      </c>
      <c r="H3976" s="143" t="s">
        <v>11138</v>
      </c>
      <c r="I3976" s="143" t="s">
        <v>11139</v>
      </c>
      <c r="J3976" s="182" t="s">
        <v>10696</v>
      </c>
      <c r="K3976" s="143">
        <v>150</v>
      </c>
      <c r="W3976" s="169" t="s">
        <v>3147</v>
      </c>
      <c r="X3976" s="143" t="s">
        <v>11137</v>
      </c>
      <c r="Y3976" s="169" t="s">
        <v>11136</v>
      </c>
    </row>
    <row r="3977" spans="1:25">
      <c r="A3977" s="143">
        <v>3875</v>
      </c>
      <c r="B3977" s="144">
        <v>46157</v>
      </c>
      <c r="C3977" s="169" t="s">
        <v>9603</v>
      </c>
      <c r="D3977" s="143" t="s">
        <v>41</v>
      </c>
      <c r="F3977" s="143" t="s">
        <v>11140</v>
      </c>
      <c r="H3977" s="143" t="s">
        <v>11141</v>
      </c>
      <c r="I3977" s="143" t="s">
        <v>11139</v>
      </c>
      <c r="J3977" s="182" t="s">
        <v>10696</v>
      </c>
      <c r="K3977" s="143">
        <v>148</v>
      </c>
      <c r="L3977" s="143">
        <v>110</v>
      </c>
      <c r="W3977" s="169" t="s">
        <v>3147</v>
      </c>
      <c r="X3977" s="143" t="s">
        <v>11140</v>
      </c>
      <c r="Y3977" s="169" t="s">
        <v>11142</v>
      </c>
    </row>
    <row r="3978" spans="1:25">
      <c r="A3978" s="143">
        <v>3876</v>
      </c>
      <c r="B3978" s="144">
        <v>46157</v>
      </c>
      <c r="C3978" s="169" t="s">
        <v>9603</v>
      </c>
      <c r="D3978" s="143" t="s">
        <v>41</v>
      </c>
      <c r="F3978" s="143" t="s">
        <v>11143</v>
      </c>
      <c r="H3978" s="143" t="s">
        <v>11144</v>
      </c>
      <c r="I3978" s="143" t="s">
        <v>535</v>
      </c>
      <c r="J3978" s="143" t="s">
        <v>330</v>
      </c>
      <c r="K3978" s="143">
        <v>145</v>
      </c>
      <c r="W3978" s="169" t="s">
        <v>3147</v>
      </c>
      <c r="X3978" s="143" t="s">
        <v>11143</v>
      </c>
      <c r="Y3978" s="169" t="s">
        <v>11109</v>
      </c>
    </row>
    <row r="3979" spans="1:25">
      <c r="A3979" s="143">
        <v>3877</v>
      </c>
      <c r="B3979" s="144">
        <v>46157</v>
      </c>
      <c r="C3979" s="169" t="s">
        <v>9603</v>
      </c>
      <c r="D3979" s="143" t="s">
        <v>41</v>
      </c>
      <c r="F3979" s="143" t="s">
        <v>11145</v>
      </c>
      <c r="H3979" s="143" t="s">
        <v>11146</v>
      </c>
      <c r="I3979" s="143" t="s">
        <v>535</v>
      </c>
      <c r="J3979" s="143" t="s">
        <v>330</v>
      </c>
      <c r="K3979" s="143">
        <v>150</v>
      </c>
      <c r="W3979" s="169" t="s">
        <v>3147</v>
      </c>
      <c r="X3979" s="143" t="s">
        <v>11145</v>
      </c>
      <c r="Y3979" s="169" t="s">
        <v>11109</v>
      </c>
    </row>
    <row r="3980" spans="1:25">
      <c r="A3980" s="143">
        <v>3878</v>
      </c>
      <c r="B3980" s="144">
        <v>46157</v>
      </c>
      <c r="C3980" s="169" t="s">
        <v>9603</v>
      </c>
      <c r="D3980" s="143" t="s">
        <v>41</v>
      </c>
      <c r="F3980" s="143" t="s">
        <v>11147</v>
      </c>
      <c r="H3980" s="143" t="s">
        <v>11148</v>
      </c>
      <c r="I3980" s="143" t="s">
        <v>324</v>
      </c>
      <c r="J3980" s="143" t="s">
        <v>10163</v>
      </c>
      <c r="K3980" s="143">
        <v>148</v>
      </c>
      <c r="L3980" s="143">
        <v>100</v>
      </c>
      <c r="W3980" s="169" t="s">
        <v>3147</v>
      </c>
      <c r="X3980" s="143" t="s">
        <v>11147</v>
      </c>
      <c r="Y3980" s="169" t="s">
        <v>11142</v>
      </c>
    </row>
    <row r="3981" spans="1:25">
      <c r="A3981" s="143">
        <v>3879</v>
      </c>
      <c r="B3981" s="144">
        <v>46157</v>
      </c>
      <c r="C3981" s="169" t="s">
        <v>9603</v>
      </c>
      <c r="D3981" s="143" t="s">
        <v>41</v>
      </c>
      <c r="F3981" s="143" t="s">
        <v>11149</v>
      </c>
      <c r="H3981" s="143" t="s">
        <v>11150</v>
      </c>
      <c r="I3981" s="143" t="s">
        <v>815</v>
      </c>
      <c r="J3981" s="143" t="s">
        <v>11151</v>
      </c>
      <c r="K3981" s="143">
        <v>150</v>
      </c>
      <c r="W3981" s="169" t="s">
        <v>3147</v>
      </c>
      <c r="X3981" s="143" t="s">
        <v>11149</v>
      </c>
      <c r="Y3981" s="169" t="s">
        <v>11136</v>
      </c>
    </row>
    <row r="3982" spans="1:25">
      <c r="A3982" s="143">
        <v>3880</v>
      </c>
      <c r="B3982" s="144">
        <v>46157</v>
      </c>
      <c r="C3982" s="169" t="s">
        <v>9603</v>
      </c>
      <c r="D3982" s="143" t="s">
        <v>41</v>
      </c>
      <c r="F3982" s="143" t="s">
        <v>11152</v>
      </c>
      <c r="H3982" s="143" t="s">
        <v>11153</v>
      </c>
      <c r="I3982" s="143" t="s">
        <v>11154</v>
      </c>
      <c r="J3982" s="143" t="s">
        <v>10696</v>
      </c>
      <c r="K3982" s="143">
        <v>150</v>
      </c>
      <c r="L3982" s="143">
        <v>120</v>
      </c>
      <c r="W3982" s="169" t="s">
        <v>3147</v>
      </c>
      <c r="X3982" s="143" t="s">
        <v>11152</v>
      </c>
      <c r="Y3982" s="169" t="s">
        <v>11136</v>
      </c>
    </row>
    <row r="3983" spans="1:25">
      <c r="A3983" s="143">
        <v>3881</v>
      </c>
      <c r="B3983" s="144">
        <v>46157</v>
      </c>
      <c r="C3983" s="169" t="s">
        <v>9603</v>
      </c>
      <c r="D3983" s="143" t="s">
        <v>41</v>
      </c>
      <c r="F3983" s="143" t="s">
        <v>11134</v>
      </c>
      <c r="H3983" s="143" t="s">
        <v>11155</v>
      </c>
      <c r="I3983" s="143" t="s">
        <v>535</v>
      </c>
      <c r="J3983" s="143" t="s">
        <v>330</v>
      </c>
      <c r="K3983" s="143">
        <v>150</v>
      </c>
      <c r="L3983" s="143">
        <v>160</v>
      </c>
      <c r="W3983" s="169" t="s">
        <v>3147</v>
      </c>
      <c r="X3983" s="143" t="s">
        <v>11134</v>
      </c>
      <c r="Y3983" s="169" t="s">
        <v>11136</v>
      </c>
    </row>
    <row r="3984" spans="1:25">
      <c r="A3984" s="143">
        <v>3882</v>
      </c>
      <c r="B3984" s="144">
        <v>46157</v>
      </c>
      <c r="C3984" s="169" t="s">
        <v>9603</v>
      </c>
      <c r="D3984" s="143" t="s">
        <v>41</v>
      </c>
      <c r="F3984" s="143" t="s">
        <v>11156</v>
      </c>
      <c r="H3984" s="143" t="s">
        <v>11157</v>
      </c>
      <c r="I3984" s="143" t="s">
        <v>11158</v>
      </c>
      <c r="K3984" s="143">
        <v>150</v>
      </c>
      <c r="L3984" s="143">
        <v>150</v>
      </c>
      <c r="W3984" s="169" t="s">
        <v>3147</v>
      </c>
      <c r="X3984" s="143" t="s">
        <v>11156</v>
      </c>
      <c r="Y3984" s="169" t="s">
        <v>11159</v>
      </c>
    </row>
    <row r="3985" spans="1:25">
      <c r="A3985" s="143">
        <v>3883</v>
      </c>
      <c r="B3985" s="144">
        <v>46157</v>
      </c>
      <c r="C3985" s="169" t="s">
        <v>9603</v>
      </c>
      <c r="D3985" s="143" t="s">
        <v>41</v>
      </c>
      <c r="F3985" s="143" t="s">
        <v>11160</v>
      </c>
      <c r="H3985" s="143" t="s">
        <v>11161</v>
      </c>
      <c r="I3985" s="182" t="s">
        <v>11162</v>
      </c>
      <c r="K3985" s="143">
        <v>150</v>
      </c>
      <c r="L3985" s="143">
        <v>90</v>
      </c>
      <c r="W3985" s="169" t="s">
        <v>3147</v>
      </c>
      <c r="X3985" s="143" t="s">
        <v>11160</v>
      </c>
      <c r="Y3985" s="169" t="s">
        <v>11073</v>
      </c>
    </row>
    <row r="3986" spans="1:25">
      <c r="A3986" s="143">
        <v>3884</v>
      </c>
      <c r="B3986" s="144">
        <v>46160</v>
      </c>
      <c r="C3986" s="169" t="s">
        <v>9603</v>
      </c>
      <c r="D3986" s="143" t="s">
        <v>41</v>
      </c>
      <c r="F3986" s="143" t="s">
        <v>11163</v>
      </c>
      <c r="H3986" s="143" t="s">
        <v>11164</v>
      </c>
      <c r="I3986" s="182" t="s">
        <v>1197</v>
      </c>
      <c r="J3986" s="143" t="s">
        <v>11165</v>
      </c>
      <c r="K3986" s="143">
        <v>145</v>
      </c>
      <c r="L3986" s="143">
        <v>90</v>
      </c>
      <c r="W3986" s="169" t="s">
        <v>3147</v>
      </c>
      <c r="X3986" s="143" t="s">
        <v>11163</v>
      </c>
      <c r="Y3986" s="169" t="s">
        <v>11166</v>
      </c>
    </row>
    <row r="3987" spans="1:25">
      <c r="A3987" s="143">
        <v>3885</v>
      </c>
      <c r="B3987" s="144">
        <v>46160</v>
      </c>
      <c r="C3987" s="169" t="s">
        <v>9603</v>
      </c>
      <c r="D3987" s="143" t="s">
        <v>41</v>
      </c>
      <c r="F3987" s="143" t="s">
        <v>11167</v>
      </c>
      <c r="H3987" s="143" t="s">
        <v>11168</v>
      </c>
      <c r="I3987" s="143" t="s">
        <v>324</v>
      </c>
      <c r="J3987" s="143" t="s">
        <v>10163</v>
      </c>
      <c r="K3987" s="143">
        <v>150</v>
      </c>
      <c r="W3987" s="169" t="s">
        <v>3147</v>
      </c>
      <c r="X3987" s="143" t="s">
        <v>11167</v>
      </c>
      <c r="Y3987" s="143" t="s">
        <v>11062</v>
      </c>
    </row>
    <row r="3988" spans="1:25">
      <c r="A3988" s="143">
        <v>3886</v>
      </c>
      <c r="B3988" s="144">
        <v>46160</v>
      </c>
      <c r="C3988" s="169" t="s">
        <v>9603</v>
      </c>
      <c r="D3988" s="143" t="s">
        <v>41</v>
      </c>
      <c r="F3988" s="143" t="s">
        <v>11169</v>
      </c>
      <c r="H3988" s="143" t="s">
        <v>11170</v>
      </c>
      <c r="I3988" s="143" t="s">
        <v>11171</v>
      </c>
      <c r="J3988" s="143" t="s">
        <v>11172</v>
      </c>
      <c r="K3988" s="143">
        <v>150</v>
      </c>
      <c r="W3988" s="169" t="s">
        <v>3147</v>
      </c>
      <c r="X3988" s="143" t="s">
        <v>11169</v>
      </c>
      <c r="Y3988" s="169" t="s">
        <v>11173</v>
      </c>
    </row>
    <row r="3989" spans="1:25">
      <c r="A3989" s="143">
        <v>3887</v>
      </c>
      <c r="B3989" s="144">
        <v>46160</v>
      </c>
      <c r="C3989" s="169" t="s">
        <v>9603</v>
      </c>
      <c r="D3989" s="143" t="s">
        <v>41</v>
      </c>
      <c r="F3989" s="143" t="s">
        <v>11174</v>
      </c>
      <c r="H3989" s="143" t="s">
        <v>11175</v>
      </c>
      <c r="I3989" s="143" t="s">
        <v>11176</v>
      </c>
      <c r="J3989" s="143" t="s">
        <v>11177</v>
      </c>
      <c r="K3989" s="143">
        <v>150</v>
      </c>
      <c r="L3989" s="143">
        <v>110</v>
      </c>
      <c r="W3989" s="169" t="s">
        <v>3147</v>
      </c>
      <c r="X3989" s="143" t="s">
        <v>11174</v>
      </c>
      <c r="Y3989" s="169" t="s">
        <v>11173</v>
      </c>
    </row>
    <row r="3990" spans="1:25">
      <c r="A3990" s="143">
        <v>3888</v>
      </c>
      <c r="B3990" s="144">
        <v>46160</v>
      </c>
      <c r="C3990" s="169" t="s">
        <v>9603</v>
      </c>
      <c r="D3990" s="143" t="s">
        <v>41</v>
      </c>
      <c r="F3990" s="143" t="s">
        <v>11178</v>
      </c>
      <c r="H3990" s="143" t="s">
        <v>11179</v>
      </c>
      <c r="I3990" s="143" t="s">
        <v>45</v>
      </c>
      <c r="J3990" s="143" t="s">
        <v>105</v>
      </c>
      <c r="K3990" s="143">
        <v>150</v>
      </c>
      <c r="L3990" s="143">
        <v>110</v>
      </c>
      <c r="W3990" s="169" t="s">
        <v>3147</v>
      </c>
      <c r="X3990" s="143" t="s">
        <v>11178</v>
      </c>
      <c r="Y3990" s="169" t="s">
        <v>11180</v>
      </c>
    </row>
    <row r="3991" spans="1:25">
      <c r="A3991" s="143">
        <v>3889</v>
      </c>
      <c r="B3991" s="144">
        <v>46160</v>
      </c>
      <c r="C3991" s="169" t="s">
        <v>9603</v>
      </c>
      <c r="D3991" s="143" t="s">
        <v>41</v>
      </c>
      <c r="F3991" s="143" t="s">
        <v>11181</v>
      </c>
      <c r="H3991" s="143" t="s">
        <v>11182</v>
      </c>
      <c r="I3991" s="143" t="s">
        <v>870</v>
      </c>
      <c r="J3991" s="143" t="s">
        <v>11183</v>
      </c>
      <c r="K3991" s="143">
        <v>150</v>
      </c>
      <c r="L3991" s="143">
        <v>55</v>
      </c>
      <c r="W3991" s="169" t="s">
        <v>3147</v>
      </c>
      <c r="X3991" s="143" t="s">
        <v>11181</v>
      </c>
      <c r="Y3991" s="169" t="s">
        <v>11184</v>
      </c>
    </row>
    <row r="3992" spans="1:25">
      <c r="A3992" s="143">
        <v>3890</v>
      </c>
      <c r="B3992" s="144">
        <v>46160</v>
      </c>
      <c r="C3992" s="169" t="s">
        <v>9603</v>
      </c>
      <c r="D3992" s="143" t="s">
        <v>41</v>
      </c>
      <c r="F3992" s="169" t="s">
        <v>11185</v>
      </c>
      <c r="H3992" s="143" t="s">
        <v>11186</v>
      </c>
      <c r="I3992" s="143" t="s">
        <v>11187</v>
      </c>
      <c r="J3992" s="143" t="s">
        <v>11188</v>
      </c>
      <c r="K3992" s="143">
        <v>150</v>
      </c>
      <c r="L3992" s="143">
        <v>78</v>
      </c>
      <c r="W3992" s="169" t="s">
        <v>3147</v>
      </c>
      <c r="X3992" s="169" t="s">
        <v>11185</v>
      </c>
      <c r="Y3992" s="169" t="s">
        <v>11173</v>
      </c>
    </row>
    <row r="3993" spans="1:25">
      <c r="A3993" s="143">
        <v>3891</v>
      </c>
      <c r="B3993" s="144">
        <v>46160</v>
      </c>
      <c r="C3993" s="169" t="s">
        <v>9603</v>
      </c>
      <c r="D3993" s="143" t="s">
        <v>41</v>
      </c>
      <c r="F3993" s="143" t="s">
        <v>11189</v>
      </c>
      <c r="H3993" s="143" t="s">
        <v>11190</v>
      </c>
      <c r="I3993" s="143" t="s">
        <v>11191</v>
      </c>
      <c r="K3993" s="143">
        <v>150</v>
      </c>
      <c r="L3993" s="143">
        <v>85</v>
      </c>
      <c r="W3993" s="169" t="s">
        <v>3147</v>
      </c>
      <c r="X3993" s="143" t="s">
        <v>11189</v>
      </c>
      <c r="Y3993" s="169" t="s">
        <v>11192</v>
      </c>
    </row>
    <row r="3994" spans="1:25">
      <c r="A3994" s="143">
        <v>3892</v>
      </c>
      <c r="B3994" s="144">
        <v>46160</v>
      </c>
      <c r="C3994" s="169" t="s">
        <v>9603</v>
      </c>
      <c r="D3994" s="143" t="s">
        <v>41</v>
      </c>
      <c r="F3994" s="143" t="s">
        <v>11193</v>
      </c>
      <c r="H3994" s="143" t="s">
        <v>11194</v>
      </c>
      <c r="I3994" s="143" t="s">
        <v>11195</v>
      </c>
      <c r="J3994" s="143" t="s">
        <v>11196</v>
      </c>
      <c r="K3994" s="143">
        <v>150</v>
      </c>
      <c r="W3994" s="169" t="s">
        <v>3147</v>
      </c>
      <c r="X3994" s="143" t="s">
        <v>11193</v>
      </c>
      <c r="Y3994" s="169" t="s">
        <v>11045</v>
      </c>
    </row>
    <row r="3995" spans="1:25">
      <c r="A3995" s="143">
        <v>3893</v>
      </c>
      <c r="B3995" s="144">
        <v>46160</v>
      </c>
      <c r="C3995" s="169" t="s">
        <v>9603</v>
      </c>
      <c r="D3995" s="143" t="s">
        <v>41</v>
      </c>
      <c r="F3995" s="143" t="s">
        <v>11197</v>
      </c>
      <c r="H3995" s="143" t="s">
        <v>11198</v>
      </c>
      <c r="I3995" s="143" t="s">
        <v>324</v>
      </c>
      <c r="J3995" s="143" t="s">
        <v>11199</v>
      </c>
      <c r="K3995" s="143">
        <v>148</v>
      </c>
      <c r="W3995" s="169" t="s">
        <v>3147</v>
      </c>
      <c r="X3995" s="143" t="s">
        <v>11197</v>
      </c>
      <c r="Y3995" s="169" t="s">
        <v>11200</v>
      </c>
    </row>
    <row r="3996" spans="1:25">
      <c r="A3996" s="143">
        <v>3894</v>
      </c>
      <c r="B3996" s="144">
        <v>46160</v>
      </c>
      <c r="C3996" s="169" t="s">
        <v>9603</v>
      </c>
      <c r="D3996" s="143" t="s">
        <v>41</v>
      </c>
      <c r="F3996" s="143" t="s">
        <v>11201</v>
      </c>
      <c r="H3996" s="143" t="s">
        <v>11202</v>
      </c>
      <c r="K3996" s="143">
        <v>145</v>
      </c>
      <c r="W3996" s="169" t="s">
        <v>3147</v>
      </c>
      <c r="X3996" s="143" t="s">
        <v>11201</v>
      </c>
      <c r="Y3996" s="169" t="s">
        <v>11203</v>
      </c>
    </row>
    <row r="3997" spans="1:25">
      <c r="A3997" s="143">
        <v>3895</v>
      </c>
      <c r="B3997" s="144">
        <v>46160</v>
      </c>
      <c r="C3997" s="169" t="s">
        <v>9603</v>
      </c>
      <c r="D3997" s="143" t="s">
        <v>41</v>
      </c>
      <c r="F3997" s="169" t="s">
        <v>11204</v>
      </c>
      <c r="H3997" s="143" t="s">
        <v>11205</v>
      </c>
      <c r="I3997" s="143" t="s">
        <v>11206</v>
      </c>
      <c r="J3997" s="143" t="s">
        <v>11207</v>
      </c>
      <c r="K3997" s="143">
        <v>148</v>
      </c>
      <c r="W3997" s="169" t="s">
        <v>3147</v>
      </c>
      <c r="X3997" s="169" t="s">
        <v>11204</v>
      </c>
      <c r="Y3997" s="169" t="s">
        <v>6663</v>
      </c>
    </row>
    <row r="3998" spans="1:25">
      <c r="A3998" s="143">
        <v>3896</v>
      </c>
      <c r="B3998" s="144">
        <v>46160</v>
      </c>
      <c r="C3998" s="169" t="s">
        <v>9603</v>
      </c>
      <c r="D3998" s="143" t="s">
        <v>41</v>
      </c>
      <c r="F3998" s="143" t="s">
        <v>11046</v>
      </c>
      <c r="H3998" s="143" t="s">
        <v>11208</v>
      </c>
      <c r="W3998" s="169" t="s">
        <v>3147</v>
      </c>
      <c r="X3998" s="143" t="s">
        <v>11046</v>
      </c>
      <c r="Y3998" s="169" t="s">
        <v>11048</v>
      </c>
    </row>
    <row r="3999" spans="1:25">
      <c r="A3999" s="143">
        <v>3897</v>
      </c>
      <c r="B3999" s="144">
        <v>46160</v>
      </c>
      <c r="C3999" s="169" t="s">
        <v>9603</v>
      </c>
      <c r="D3999" s="143" t="s">
        <v>41</v>
      </c>
      <c r="F3999" s="143" t="s">
        <v>11209</v>
      </c>
      <c r="H3999" s="143" t="s">
        <v>11210</v>
      </c>
      <c r="I3999" s="143" t="s">
        <v>324</v>
      </c>
      <c r="J3999" s="182" t="s">
        <v>10163</v>
      </c>
      <c r="K3999" s="143">
        <v>148</v>
      </c>
      <c r="W3999" s="169" t="s">
        <v>3147</v>
      </c>
      <c r="X3999" s="143" t="s">
        <v>11209</v>
      </c>
      <c r="Y3999" s="169" t="s">
        <v>11211</v>
      </c>
    </row>
    <row r="4000" spans="1:25">
      <c r="A4000" s="143">
        <v>3898</v>
      </c>
      <c r="B4000" s="144">
        <v>46160</v>
      </c>
      <c r="C4000" s="169" t="s">
        <v>9603</v>
      </c>
      <c r="D4000" s="143" t="s">
        <v>41</v>
      </c>
      <c r="F4000" s="143" t="s">
        <v>11212</v>
      </c>
      <c r="H4000" s="143" t="s">
        <v>11213</v>
      </c>
      <c r="I4000" s="143" t="s">
        <v>11214</v>
      </c>
      <c r="J4000" s="143" t="s">
        <v>11215</v>
      </c>
      <c r="K4000" s="143">
        <v>145</v>
      </c>
      <c r="W4000" s="169" t="s">
        <v>3147</v>
      </c>
      <c r="X4000" s="143" t="s">
        <v>11212</v>
      </c>
      <c r="Y4000" s="143" t="s">
        <v>6183</v>
      </c>
    </row>
    <row r="4001" spans="1:25">
      <c r="A4001" s="143">
        <v>3899</v>
      </c>
      <c r="B4001" s="144">
        <v>46160</v>
      </c>
      <c r="C4001" s="169" t="s">
        <v>9603</v>
      </c>
      <c r="D4001" s="143" t="s">
        <v>41</v>
      </c>
      <c r="F4001" s="143" t="s">
        <v>11216</v>
      </c>
      <c r="H4001" s="143" t="s">
        <v>11217</v>
      </c>
      <c r="I4001" s="169" t="s">
        <v>11218</v>
      </c>
      <c r="J4001" s="143" t="s">
        <v>10163</v>
      </c>
      <c r="K4001" s="143">
        <v>145</v>
      </c>
      <c r="W4001" s="169" t="s">
        <v>3147</v>
      </c>
      <c r="X4001" s="143" t="s">
        <v>11216</v>
      </c>
      <c r="Y4001" s="169" t="s">
        <v>11219</v>
      </c>
    </row>
    <row r="4002" spans="1:25">
      <c r="A4002" s="143">
        <v>3900</v>
      </c>
      <c r="B4002" s="144">
        <v>46160</v>
      </c>
      <c r="C4002" s="169" t="s">
        <v>9603</v>
      </c>
      <c r="D4002" s="143" t="s">
        <v>41</v>
      </c>
      <c r="F4002" s="143" t="s">
        <v>11220</v>
      </c>
      <c r="H4002" s="143" t="s">
        <v>11221</v>
      </c>
      <c r="I4002" s="143" t="s">
        <v>1552</v>
      </c>
      <c r="J4002" s="143" t="s">
        <v>10696</v>
      </c>
      <c r="K4002" s="143">
        <v>145</v>
      </c>
      <c r="W4002" s="169" t="s">
        <v>3147</v>
      </c>
      <c r="X4002" s="143" t="s">
        <v>11220</v>
      </c>
      <c r="Y4002" s="169" t="s">
        <v>11222</v>
      </c>
    </row>
    <row r="4003" spans="1:25">
      <c r="A4003" s="143">
        <v>3901</v>
      </c>
      <c r="B4003" s="144">
        <v>46160</v>
      </c>
      <c r="C4003" s="169" t="s">
        <v>9603</v>
      </c>
      <c r="D4003" s="143" t="s">
        <v>41</v>
      </c>
      <c r="F4003" s="143" t="s">
        <v>11223</v>
      </c>
      <c r="H4003" s="143" t="s">
        <v>11224</v>
      </c>
      <c r="I4003" s="143" t="s">
        <v>45</v>
      </c>
      <c r="J4003" s="143" t="s">
        <v>105</v>
      </c>
      <c r="W4003" s="169" t="s">
        <v>3147</v>
      </c>
      <c r="X4003" s="143" t="s">
        <v>11223</v>
      </c>
      <c r="Y4003" s="169" t="s">
        <v>10972</v>
      </c>
    </row>
    <row r="4004" spans="1:25">
      <c r="A4004" s="143">
        <v>3902</v>
      </c>
      <c r="B4004" s="144">
        <v>46160</v>
      </c>
      <c r="C4004" s="169" t="s">
        <v>9603</v>
      </c>
      <c r="D4004" s="143" t="s">
        <v>41</v>
      </c>
      <c r="F4004" s="143" t="s">
        <v>11225</v>
      </c>
      <c r="H4004" s="143" t="s">
        <v>11226</v>
      </c>
      <c r="K4004" s="143">
        <v>148</v>
      </c>
      <c r="W4004" s="169" t="s">
        <v>3147</v>
      </c>
      <c r="X4004" s="143" t="s">
        <v>11225</v>
      </c>
      <c r="Y4004" s="169" t="s">
        <v>11227</v>
      </c>
    </row>
    <row r="4005" spans="1:25">
      <c r="A4005" s="143">
        <v>3903</v>
      </c>
      <c r="B4005" s="144">
        <v>46160</v>
      </c>
      <c r="C4005" s="169" t="s">
        <v>9603</v>
      </c>
      <c r="D4005" s="143" t="s">
        <v>41</v>
      </c>
      <c r="F4005" s="143" t="s">
        <v>11228</v>
      </c>
      <c r="H4005" s="143" t="s">
        <v>11229</v>
      </c>
      <c r="I4005" s="143" t="s">
        <v>45</v>
      </c>
      <c r="J4005" s="143" t="s">
        <v>105</v>
      </c>
      <c r="W4005" s="169" t="s">
        <v>3147</v>
      </c>
      <c r="X4005" s="143" t="s">
        <v>11228</v>
      </c>
      <c r="Y4005" s="169" t="s">
        <v>10972</v>
      </c>
    </row>
    <row r="4006" spans="1:25">
      <c r="A4006" s="143">
        <v>3904</v>
      </c>
      <c r="B4006" s="144">
        <v>46160</v>
      </c>
      <c r="C4006" s="169" t="s">
        <v>9603</v>
      </c>
      <c r="D4006" s="143" t="s">
        <v>41</v>
      </c>
      <c r="F4006" s="143" t="s">
        <v>11230</v>
      </c>
      <c r="H4006" s="143" t="s">
        <v>11231</v>
      </c>
      <c r="K4006" s="143">
        <v>148</v>
      </c>
      <c r="W4006" s="169" t="s">
        <v>3147</v>
      </c>
      <c r="X4006" s="143" t="s">
        <v>11230</v>
      </c>
      <c r="Y4006" s="143" t="s">
        <v>11227</v>
      </c>
    </row>
    <row r="4007" spans="1:25">
      <c r="A4007" s="143">
        <v>3905</v>
      </c>
      <c r="B4007" s="144">
        <v>46160</v>
      </c>
      <c r="C4007" s="169" t="s">
        <v>9603</v>
      </c>
      <c r="D4007" s="143" t="s">
        <v>41</v>
      </c>
      <c r="F4007" s="169" t="s">
        <v>11232</v>
      </c>
      <c r="H4007" s="143" t="s">
        <v>11233</v>
      </c>
      <c r="I4007" s="169" t="s">
        <v>11234</v>
      </c>
      <c r="J4007" s="143" t="s">
        <v>11235</v>
      </c>
      <c r="W4007" s="169" t="s">
        <v>3147</v>
      </c>
      <c r="X4007" s="169" t="s">
        <v>11232</v>
      </c>
      <c r="Y4007" s="169" t="s">
        <v>11236</v>
      </c>
    </row>
    <row r="4008" spans="1:25">
      <c r="A4008" s="143">
        <v>3906</v>
      </c>
      <c r="B4008" s="144">
        <v>46160</v>
      </c>
      <c r="C4008" s="169" t="s">
        <v>9603</v>
      </c>
      <c r="D4008" s="143" t="s">
        <v>41</v>
      </c>
      <c r="F4008" s="143" t="s">
        <v>11237</v>
      </c>
      <c r="H4008" s="143" t="s">
        <v>11238</v>
      </c>
      <c r="I4008" s="143" t="s">
        <v>324</v>
      </c>
      <c r="J4008" s="143" t="s">
        <v>10163</v>
      </c>
      <c r="K4008" s="143">
        <v>148</v>
      </c>
      <c r="W4008" s="169" t="s">
        <v>3147</v>
      </c>
      <c r="X4008" s="143" t="s">
        <v>11237</v>
      </c>
      <c r="Y4008" s="143" t="s">
        <v>6769</v>
      </c>
    </row>
    <row r="4009" spans="1:25">
      <c r="A4009" s="143">
        <v>3907</v>
      </c>
      <c r="B4009" s="144">
        <v>46160</v>
      </c>
      <c r="C4009" s="169" t="s">
        <v>9603</v>
      </c>
      <c r="D4009" s="143" t="s">
        <v>41</v>
      </c>
      <c r="F4009" s="143" t="s">
        <v>11239</v>
      </c>
      <c r="H4009" s="143" t="s">
        <v>11240</v>
      </c>
      <c r="I4009" s="143" t="s">
        <v>11241</v>
      </c>
      <c r="J4009" s="143" t="s">
        <v>11196</v>
      </c>
      <c r="K4009" s="143">
        <v>150</v>
      </c>
      <c r="W4009" s="169" t="s">
        <v>3147</v>
      </c>
      <c r="X4009" s="143" t="s">
        <v>11239</v>
      </c>
      <c r="Y4009" s="169" t="s">
        <v>11045</v>
      </c>
    </row>
    <row r="4010" spans="1:25">
      <c r="A4010" s="143">
        <v>3908</v>
      </c>
      <c r="B4010" s="144">
        <v>46160</v>
      </c>
      <c r="C4010" s="169" t="s">
        <v>9603</v>
      </c>
      <c r="D4010" s="143" t="s">
        <v>41</v>
      </c>
      <c r="F4010" s="143" t="s">
        <v>11242</v>
      </c>
      <c r="H4010" s="143" t="s">
        <v>11243</v>
      </c>
      <c r="I4010" s="143" t="s">
        <v>324</v>
      </c>
      <c r="J4010" s="143" t="s">
        <v>10163</v>
      </c>
      <c r="K4010" s="143">
        <v>145</v>
      </c>
      <c r="W4010" s="169" t="s">
        <v>3147</v>
      </c>
      <c r="X4010" s="143" t="s">
        <v>11242</v>
      </c>
      <c r="Y4010" s="169" t="s">
        <v>11219</v>
      </c>
    </row>
    <row r="4011" spans="1:25">
      <c r="A4011" s="143">
        <v>3909</v>
      </c>
      <c r="B4011" s="144">
        <v>46160</v>
      </c>
      <c r="C4011" s="169" t="s">
        <v>9603</v>
      </c>
      <c r="D4011" s="143" t="s">
        <v>41</v>
      </c>
      <c r="F4011" s="143" t="s">
        <v>11244</v>
      </c>
      <c r="H4011" s="143" t="s">
        <v>11245</v>
      </c>
      <c r="K4011" s="143">
        <v>148</v>
      </c>
      <c r="W4011" s="169" t="s">
        <v>3147</v>
      </c>
      <c r="X4011" s="143" t="s">
        <v>11244</v>
      </c>
      <c r="Y4011" s="143" t="s">
        <v>10893</v>
      </c>
    </row>
    <row r="4012" spans="1:25">
      <c r="A4012" s="143">
        <v>3910</v>
      </c>
      <c r="B4012" s="144">
        <v>46160</v>
      </c>
      <c r="C4012" s="169" t="s">
        <v>9603</v>
      </c>
      <c r="D4012" s="143" t="s">
        <v>41</v>
      </c>
      <c r="F4012" s="143" t="s">
        <v>11246</v>
      </c>
      <c r="H4012" s="143" t="s">
        <v>11247</v>
      </c>
      <c r="I4012" s="143" t="s">
        <v>890</v>
      </c>
      <c r="J4012" s="143" t="s">
        <v>517</v>
      </c>
      <c r="K4012" s="143">
        <v>140</v>
      </c>
      <c r="W4012" s="169" t="s">
        <v>3147</v>
      </c>
      <c r="Y4012" s="169" t="s">
        <v>11045</v>
      </c>
    </row>
    <row r="4013" spans="1:25">
      <c r="A4013" s="143">
        <v>3911</v>
      </c>
      <c r="B4013" s="144">
        <v>46160</v>
      </c>
      <c r="C4013" s="169" t="s">
        <v>9603</v>
      </c>
      <c r="D4013" s="143" t="s">
        <v>41</v>
      </c>
      <c r="F4013" s="143" t="s">
        <v>11248</v>
      </c>
      <c r="H4013" s="143" t="s">
        <v>11249</v>
      </c>
      <c r="I4013" s="143" t="s">
        <v>324</v>
      </c>
      <c r="J4013" s="143" t="s">
        <v>10163</v>
      </c>
      <c r="K4013" s="143">
        <v>150</v>
      </c>
      <c r="W4013" s="169" t="s">
        <v>3147</v>
      </c>
      <c r="Y4013" s="169" t="s">
        <v>10738</v>
      </c>
    </row>
    <row r="4014" spans="1:25">
      <c r="A4014" s="143">
        <v>3912</v>
      </c>
      <c r="B4014" s="144">
        <v>46160</v>
      </c>
      <c r="C4014" s="169" t="s">
        <v>9603</v>
      </c>
      <c r="D4014" s="143" t="s">
        <v>41</v>
      </c>
      <c r="F4014" s="143" t="s">
        <v>11250</v>
      </c>
      <c r="H4014" s="143" t="s">
        <v>11251</v>
      </c>
      <c r="I4014" s="143" t="s">
        <v>11252</v>
      </c>
      <c r="J4014" s="143" t="s">
        <v>11253</v>
      </c>
      <c r="K4014" s="143">
        <v>150</v>
      </c>
      <c r="W4014" s="169" t="s">
        <v>3147</v>
      </c>
      <c r="Y4014" s="169" t="s">
        <v>10738</v>
      </c>
    </row>
    <row r="4015" spans="1:25">
      <c r="A4015" s="143">
        <v>3913</v>
      </c>
      <c r="B4015" s="144">
        <v>46160</v>
      </c>
      <c r="C4015" s="169" t="s">
        <v>9603</v>
      </c>
      <c r="D4015" s="143" t="s">
        <v>41</v>
      </c>
      <c r="F4015" s="143">
        <v>8002</v>
      </c>
      <c r="H4015" s="143" t="s">
        <v>11254</v>
      </c>
      <c r="I4015" s="143" t="s">
        <v>11255</v>
      </c>
      <c r="K4015" s="143">
        <v>150</v>
      </c>
      <c r="L4015" s="143">
        <v>53</v>
      </c>
      <c r="W4015" s="169" t="s">
        <v>3147</v>
      </c>
      <c r="Y4015" s="169" t="s">
        <v>11256</v>
      </c>
    </row>
    <row r="4016" spans="1:25">
      <c r="A4016" s="143">
        <v>3914</v>
      </c>
      <c r="B4016" s="144">
        <v>46160</v>
      </c>
      <c r="C4016" s="169" t="s">
        <v>9603</v>
      </c>
      <c r="D4016" s="143" t="s">
        <v>41</v>
      </c>
      <c r="F4016" s="143" t="s">
        <v>11257</v>
      </c>
      <c r="H4016" s="143" t="s">
        <v>11258</v>
      </c>
      <c r="I4016" s="143" t="s">
        <v>11259</v>
      </c>
      <c r="J4016" s="143" t="s">
        <v>11196</v>
      </c>
      <c r="K4016" s="143">
        <v>150</v>
      </c>
      <c r="W4016" s="169" t="s">
        <v>3147</v>
      </c>
      <c r="Y4016" s="169" t="s">
        <v>11045</v>
      </c>
    </row>
    <row r="4017" spans="1:25">
      <c r="A4017" s="143">
        <v>3915</v>
      </c>
      <c r="B4017" s="144">
        <v>46160</v>
      </c>
      <c r="C4017" s="169" t="s">
        <v>9603</v>
      </c>
      <c r="D4017" s="143" t="s">
        <v>41</v>
      </c>
      <c r="F4017" s="143" t="s">
        <v>11260</v>
      </c>
      <c r="H4017" s="143" t="s">
        <v>11261</v>
      </c>
      <c r="I4017" s="143" t="s">
        <v>45</v>
      </c>
      <c r="J4017" s="143" t="s">
        <v>105</v>
      </c>
      <c r="K4017" s="143">
        <v>145</v>
      </c>
      <c r="W4017" s="169" t="s">
        <v>3147</v>
      </c>
      <c r="Y4017" s="169" t="s">
        <v>11262</v>
      </c>
    </row>
    <row r="4018" spans="1:25">
      <c r="A4018" s="143">
        <v>3916</v>
      </c>
      <c r="B4018" s="144">
        <v>46160</v>
      </c>
      <c r="C4018" s="169" t="s">
        <v>9603</v>
      </c>
      <c r="D4018" s="143" t="s">
        <v>41</v>
      </c>
      <c r="F4018" s="143" t="s">
        <v>11263</v>
      </c>
      <c r="H4018" s="143" t="s">
        <v>11264</v>
      </c>
      <c r="I4018" s="143" t="s">
        <v>45</v>
      </c>
      <c r="J4018" s="143" t="s">
        <v>105</v>
      </c>
      <c r="K4018" s="143">
        <v>145</v>
      </c>
      <c r="W4018" s="169" t="s">
        <v>3147</v>
      </c>
      <c r="Y4018" s="169" t="s">
        <v>11262</v>
      </c>
    </row>
    <row r="4019" spans="1:25">
      <c r="A4019" s="143">
        <v>3917</v>
      </c>
      <c r="B4019" s="144">
        <v>46160</v>
      </c>
      <c r="C4019" s="169" t="s">
        <v>9603</v>
      </c>
      <c r="D4019" s="143" t="s">
        <v>41</v>
      </c>
      <c r="F4019" s="143" t="s">
        <v>11265</v>
      </c>
      <c r="H4019" s="143" t="s">
        <v>11266</v>
      </c>
      <c r="I4019" s="143" t="s">
        <v>535</v>
      </c>
      <c r="J4019" s="182" t="s">
        <v>330</v>
      </c>
      <c r="K4019" s="143">
        <v>160</v>
      </c>
      <c r="W4019" s="169" t="s">
        <v>3147</v>
      </c>
      <c r="Y4019" s="143" t="s">
        <v>10808</v>
      </c>
    </row>
    <row r="4020" spans="1:25">
      <c r="A4020" s="143">
        <v>3918</v>
      </c>
      <c r="B4020" s="144">
        <v>46160</v>
      </c>
      <c r="C4020" s="169" t="s">
        <v>9603</v>
      </c>
      <c r="D4020" s="143" t="s">
        <v>41</v>
      </c>
      <c r="F4020" s="169" t="s">
        <v>11267</v>
      </c>
      <c r="H4020" s="143" t="s">
        <v>11268</v>
      </c>
      <c r="I4020" s="143" t="s">
        <v>1446</v>
      </c>
      <c r="J4020" s="143" t="s">
        <v>11269</v>
      </c>
      <c r="K4020" s="143">
        <v>150</v>
      </c>
      <c r="W4020" s="169" t="s">
        <v>3147</v>
      </c>
      <c r="Y4020" s="143" t="s">
        <v>10898</v>
      </c>
    </row>
    <row r="4021" spans="1:25">
      <c r="A4021" s="143">
        <v>3919</v>
      </c>
      <c r="B4021" s="144">
        <v>46160</v>
      </c>
      <c r="C4021" s="169" t="s">
        <v>9603</v>
      </c>
      <c r="D4021" s="143" t="s">
        <v>41</v>
      </c>
      <c r="F4021" s="169" t="s">
        <v>11270</v>
      </c>
      <c r="H4021" s="143" t="s">
        <v>11271</v>
      </c>
      <c r="K4021" s="143">
        <v>150</v>
      </c>
      <c r="W4021" s="169" t="s">
        <v>3147</v>
      </c>
      <c r="Y4021" s="143" t="s">
        <v>10778</v>
      </c>
    </row>
    <row r="4022" spans="1:25">
      <c r="A4022" s="143">
        <v>3920</v>
      </c>
      <c r="B4022" s="144">
        <v>46160</v>
      </c>
      <c r="C4022" s="169" t="s">
        <v>9603</v>
      </c>
      <c r="D4022" s="143" t="s">
        <v>41</v>
      </c>
      <c r="F4022" s="143" t="s">
        <v>11272</v>
      </c>
      <c r="H4022" s="143" t="s">
        <v>11273</v>
      </c>
      <c r="W4022" s="169" t="s">
        <v>3147</v>
      </c>
      <c r="Y4022" s="169" t="s">
        <v>11274</v>
      </c>
    </row>
    <row r="4023" spans="1:25">
      <c r="A4023" s="143">
        <v>3921</v>
      </c>
      <c r="B4023" s="144">
        <v>46160</v>
      </c>
      <c r="C4023" s="169" t="s">
        <v>9603</v>
      </c>
      <c r="D4023" s="143" t="s">
        <v>41</v>
      </c>
      <c r="F4023" s="143" t="s">
        <v>11275</v>
      </c>
      <c r="H4023" s="143" t="s">
        <v>11276</v>
      </c>
      <c r="I4023" s="143" t="s">
        <v>11277</v>
      </c>
      <c r="J4023" s="143" t="s">
        <v>11278</v>
      </c>
      <c r="K4023" s="143">
        <v>150</v>
      </c>
      <c r="W4023" s="169" t="s">
        <v>3147</v>
      </c>
      <c r="Y4023" s="143" t="s">
        <v>11062</v>
      </c>
    </row>
    <row r="4024" spans="1:25">
      <c r="A4024" s="143">
        <v>3922</v>
      </c>
      <c r="B4024" s="144">
        <v>46160</v>
      </c>
      <c r="C4024" s="169" t="s">
        <v>9603</v>
      </c>
      <c r="D4024" s="143" t="s">
        <v>41</v>
      </c>
      <c r="F4024" s="143" t="s">
        <v>11279</v>
      </c>
      <c r="H4024" s="143" t="s">
        <v>11280</v>
      </c>
      <c r="I4024" s="143" t="s">
        <v>324</v>
      </c>
      <c r="J4024" s="143" t="s">
        <v>10163</v>
      </c>
      <c r="K4024" s="143">
        <v>150</v>
      </c>
      <c r="W4024" s="169" t="s">
        <v>3147</v>
      </c>
      <c r="Y4024" s="143" t="s">
        <v>11062</v>
      </c>
    </row>
    <row r="4025" spans="1:25">
      <c r="A4025" s="143">
        <v>3923</v>
      </c>
      <c r="B4025" s="144">
        <v>46160</v>
      </c>
      <c r="C4025" s="169" t="s">
        <v>9603</v>
      </c>
      <c r="F4025" s="143" t="s">
        <v>11281</v>
      </c>
      <c r="H4025" s="143" t="s">
        <v>11282</v>
      </c>
      <c r="I4025" s="143" t="s">
        <v>324</v>
      </c>
      <c r="J4025" s="143" t="s">
        <v>10163</v>
      </c>
      <c r="K4025" s="143">
        <v>150</v>
      </c>
      <c r="W4025" s="169" t="s">
        <v>3147</v>
      </c>
      <c r="Y4025" s="143" t="s">
        <v>11062</v>
      </c>
    </row>
    <row r="4026" spans="1:25">
      <c r="B4026" s="144">
        <v>46160</v>
      </c>
      <c r="C4026" s="169" t="s">
        <v>9603</v>
      </c>
      <c r="F4026" s="143" t="s">
        <v>11283</v>
      </c>
      <c r="H4026" s="143" t="s">
        <v>11284</v>
      </c>
      <c r="K4026" s="143">
        <v>142</v>
      </c>
      <c r="W4026" s="169" t="s">
        <v>294</v>
      </c>
      <c r="Y4026" s="169" t="s">
        <v>6663</v>
      </c>
    </row>
    <row r="4027" spans="1:25">
      <c r="B4027" s="144">
        <v>46160</v>
      </c>
      <c r="C4027" s="169" t="s">
        <v>9603</v>
      </c>
      <c r="F4027" s="143" t="s">
        <v>11285</v>
      </c>
      <c r="H4027" s="143" t="s">
        <v>11286</v>
      </c>
      <c r="K4027" s="143">
        <v>142</v>
      </c>
      <c r="W4027" s="169" t="s">
        <v>294</v>
      </c>
      <c r="Y4027" s="169" t="s">
        <v>6663</v>
      </c>
    </row>
    <row r="4028" spans="1:25">
      <c r="B4028" s="144">
        <v>46160</v>
      </c>
      <c r="C4028" s="169" t="s">
        <v>9603</v>
      </c>
      <c r="F4028" s="169" t="s">
        <v>11287</v>
      </c>
      <c r="H4028" s="143" t="s">
        <v>11288</v>
      </c>
      <c r="I4028" s="143" t="s">
        <v>11289</v>
      </c>
      <c r="J4028" s="143" t="s">
        <v>11290</v>
      </c>
      <c r="K4028" s="143">
        <v>150</v>
      </c>
      <c r="L4028" s="143">
        <v>180</v>
      </c>
      <c r="W4028" s="169" t="s">
        <v>294</v>
      </c>
      <c r="Y4028" s="169" t="s">
        <v>11291</v>
      </c>
    </row>
    <row r="4029" spans="1:25">
      <c r="B4029" s="144">
        <v>46160</v>
      </c>
      <c r="C4029" s="169" t="s">
        <v>9603</v>
      </c>
      <c r="F4029" s="143">
        <v>1212</v>
      </c>
      <c r="H4029" s="143" t="s">
        <v>11292</v>
      </c>
      <c r="I4029" s="143" t="s">
        <v>11293</v>
      </c>
      <c r="J4029" s="143" t="s">
        <v>11294</v>
      </c>
      <c r="K4029" s="143">
        <v>140</v>
      </c>
      <c r="W4029" s="169" t="s">
        <v>294</v>
      </c>
      <c r="Y4029" s="143" t="s">
        <v>493</v>
      </c>
    </row>
    <row r="4030" spans="1:25">
      <c r="B4030" s="144">
        <v>46160</v>
      </c>
      <c r="C4030" s="169" t="s">
        <v>9603</v>
      </c>
      <c r="F4030" s="143">
        <v>8812</v>
      </c>
      <c r="H4030" s="143" t="s">
        <v>11295</v>
      </c>
      <c r="I4030" s="143" t="s">
        <v>6158</v>
      </c>
      <c r="J4030" s="143" t="s">
        <v>8181</v>
      </c>
      <c r="K4030" s="143">
        <v>145</v>
      </c>
      <c r="W4030" s="169" t="s">
        <v>294</v>
      </c>
      <c r="Y4030" s="143" t="s">
        <v>493</v>
      </c>
    </row>
    <row r="4031" spans="1:25">
      <c r="B4031" s="144">
        <v>46160</v>
      </c>
      <c r="C4031" s="169" t="s">
        <v>9603</v>
      </c>
      <c r="F4031" s="143" t="s">
        <v>11296</v>
      </c>
      <c r="H4031" s="143" t="s">
        <v>11297</v>
      </c>
      <c r="I4031" s="143" t="s">
        <v>45</v>
      </c>
      <c r="J4031" s="143" t="s">
        <v>105</v>
      </c>
      <c r="K4031" s="143">
        <v>180</v>
      </c>
      <c r="L4031" s="143">
        <v>180</v>
      </c>
      <c r="W4031" s="169" t="s">
        <v>294</v>
      </c>
      <c r="Y4031" s="169" t="s">
        <v>11298</v>
      </c>
    </row>
    <row r="4032" spans="1:25">
      <c r="B4032" s="144">
        <v>46160</v>
      </c>
      <c r="C4032" s="169" t="s">
        <v>9603</v>
      </c>
      <c r="F4032" s="169" t="s">
        <v>11299</v>
      </c>
      <c r="H4032" s="143" t="s">
        <v>11300</v>
      </c>
      <c r="I4032" s="143" t="s">
        <v>11301</v>
      </c>
      <c r="J4032" s="143" t="s">
        <v>11302</v>
      </c>
      <c r="K4032" s="143">
        <v>150</v>
      </c>
      <c r="L4032" s="143">
        <v>275</v>
      </c>
      <c r="W4032" s="169" t="s">
        <v>294</v>
      </c>
      <c r="Y4032" s="143" t="s">
        <v>7850</v>
      </c>
    </row>
    <row r="4033" spans="1:25">
      <c r="B4033" s="144">
        <v>46160</v>
      </c>
      <c r="C4033" s="169" t="s">
        <v>9603</v>
      </c>
      <c r="F4033" s="143">
        <v>802</v>
      </c>
      <c r="H4033" s="143" t="s">
        <v>11303</v>
      </c>
      <c r="W4033" s="169" t="s">
        <v>294</v>
      </c>
      <c r="Y4033" s="143" t="s">
        <v>10465</v>
      </c>
    </row>
    <row r="4034" spans="1:25">
      <c r="B4034" s="144">
        <v>46160</v>
      </c>
      <c r="C4034" s="169" t="s">
        <v>9603</v>
      </c>
      <c r="F4034" s="143" t="s">
        <v>10436</v>
      </c>
      <c r="H4034" s="143" t="s">
        <v>11304</v>
      </c>
      <c r="K4034" s="143">
        <v>140</v>
      </c>
      <c r="W4034" s="169" t="s">
        <v>294</v>
      </c>
      <c r="Y4034" s="143" t="s">
        <v>10440</v>
      </c>
    </row>
    <row r="4035" spans="1:25">
      <c r="B4035" s="144">
        <v>46160</v>
      </c>
      <c r="C4035" s="169" t="s">
        <v>9603</v>
      </c>
      <c r="D4035" s="143" t="s">
        <v>41</v>
      </c>
      <c r="F4035" s="143" t="s">
        <v>11305</v>
      </c>
      <c r="H4035" s="143" t="s">
        <v>11306</v>
      </c>
      <c r="I4035" s="143" t="s">
        <v>4322</v>
      </c>
      <c r="J4035" s="143" t="s">
        <v>10696</v>
      </c>
      <c r="K4035" s="143">
        <v>145</v>
      </c>
      <c r="W4035" s="169" t="s">
        <v>294</v>
      </c>
      <c r="Y4035" s="169" t="s">
        <v>10697</v>
      </c>
    </row>
    <row r="4036" spans="1:25">
      <c r="B4036" s="144">
        <v>46160</v>
      </c>
      <c r="C4036" s="169" t="s">
        <v>9603</v>
      </c>
      <c r="F4036" s="143">
        <v>8803</v>
      </c>
      <c r="H4036" s="143" t="s">
        <v>11307</v>
      </c>
      <c r="I4036" s="143" t="s">
        <v>11308</v>
      </c>
      <c r="J4036" s="143" t="s">
        <v>11309</v>
      </c>
      <c r="K4036" s="143">
        <v>138</v>
      </c>
      <c r="W4036" s="169" t="s">
        <v>294</v>
      </c>
      <c r="Y4036" s="143" t="s">
        <v>493</v>
      </c>
    </row>
    <row r="4037" spans="1:25">
      <c r="B4037" s="144">
        <v>46160</v>
      </c>
      <c r="C4037" s="169" t="s">
        <v>9603</v>
      </c>
      <c r="D4037" s="143" t="s">
        <v>41</v>
      </c>
      <c r="F4037" s="143" t="s">
        <v>11310</v>
      </c>
      <c r="H4037" s="143" t="s">
        <v>11311</v>
      </c>
      <c r="W4037" s="169" t="s">
        <v>294</v>
      </c>
      <c r="Y4037" s="169" t="s">
        <v>11312</v>
      </c>
    </row>
    <row r="4038" spans="1:25">
      <c r="B4038" s="144">
        <v>46160</v>
      </c>
      <c r="C4038" s="169" t="s">
        <v>9603</v>
      </c>
      <c r="D4038" s="143" t="s">
        <v>41</v>
      </c>
      <c r="F4038" s="143">
        <v>2119</v>
      </c>
      <c r="H4038" s="143" t="s">
        <v>11313</v>
      </c>
      <c r="I4038" s="143" t="s">
        <v>11314</v>
      </c>
      <c r="J4038" s="143" t="s">
        <v>11315</v>
      </c>
      <c r="K4038" s="143">
        <v>140</v>
      </c>
      <c r="W4038" s="169" t="s">
        <v>294</v>
      </c>
      <c r="Y4038" s="169" t="s">
        <v>493</v>
      </c>
    </row>
    <row r="4039" spans="1:25">
      <c r="A4039" s="143">
        <v>3924</v>
      </c>
      <c r="B4039" s="144">
        <v>46160</v>
      </c>
      <c r="C4039" s="169" t="s">
        <v>9603</v>
      </c>
      <c r="D4039" s="143" t="s">
        <v>41</v>
      </c>
      <c r="F4039" s="143" t="s">
        <v>11316</v>
      </c>
      <c r="H4039" s="143" t="s">
        <v>11317</v>
      </c>
      <c r="I4039" s="143" t="s">
        <v>6507</v>
      </c>
      <c r="W4039" s="169" t="s">
        <v>3147</v>
      </c>
      <c r="Y4039" s="169" t="s">
        <v>10928</v>
      </c>
    </row>
    <row r="4040" spans="1:25">
      <c r="B4040" s="144">
        <v>46160</v>
      </c>
      <c r="C4040" s="169" t="s">
        <v>9603</v>
      </c>
      <c r="D4040" s="143" t="s">
        <v>41</v>
      </c>
      <c r="F4040" s="143" t="s">
        <v>11318</v>
      </c>
      <c r="H4040" s="143" t="s">
        <v>11319</v>
      </c>
      <c r="I4040" s="143" t="s">
        <v>11320</v>
      </c>
      <c r="J4040" s="143" t="s">
        <v>11321</v>
      </c>
      <c r="K4040" s="143">
        <v>140</v>
      </c>
      <c r="W4040" s="143" t="s">
        <v>294</v>
      </c>
      <c r="Y4040" s="169" t="s">
        <v>493</v>
      </c>
    </row>
    <row r="4041" spans="1:25">
      <c r="A4041" s="143">
        <v>3925</v>
      </c>
      <c r="B4041" s="144">
        <v>46160</v>
      </c>
      <c r="C4041" s="169" t="s">
        <v>9603</v>
      </c>
      <c r="D4041" s="143" t="s">
        <v>41</v>
      </c>
      <c r="F4041" s="143" t="s">
        <v>11322</v>
      </c>
      <c r="H4041" s="143" t="s">
        <v>11323</v>
      </c>
      <c r="I4041" s="143" t="s">
        <v>890</v>
      </c>
      <c r="J4041" s="143" t="s">
        <v>517</v>
      </c>
      <c r="K4041" s="143">
        <v>150</v>
      </c>
      <c r="L4041" s="143">
        <v>100</v>
      </c>
      <c r="W4041" s="169" t="s">
        <v>3147</v>
      </c>
      <c r="Y4041" s="143" t="s">
        <v>10793</v>
      </c>
    </row>
    <row r="4042" spans="1:25">
      <c r="A4042" s="143">
        <v>3926</v>
      </c>
      <c r="B4042" s="144">
        <v>46160</v>
      </c>
      <c r="C4042" s="169" t="s">
        <v>9603</v>
      </c>
      <c r="D4042" s="143" t="s">
        <v>41</v>
      </c>
      <c r="F4042" s="143" t="s">
        <v>11324</v>
      </c>
      <c r="H4042" s="143" t="s">
        <v>11325</v>
      </c>
      <c r="I4042" s="143" t="s">
        <v>890</v>
      </c>
      <c r="J4042" s="143" t="s">
        <v>517</v>
      </c>
      <c r="K4042" s="143">
        <v>140</v>
      </c>
      <c r="W4042" s="169" t="s">
        <v>3147</v>
      </c>
      <c r="Y4042" s="143" t="s">
        <v>11045</v>
      </c>
    </row>
    <row r="4043" spans="1:25">
      <c r="A4043" s="143">
        <v>3927</v>
      </c>
      <c r="B4043" s="144">
        <v>46160</v>
      </c>
      <c r="C4043" s="169" t="s">
        <v>9603</v>
      </c>
      <c r="D4043" s="143" t="s">
        <v>41</v>
      </c>
      <c r="F4043" s="143" t="s">
        <v>11326</v>
      </c>
      <c r="H4043" s="143" t="s">
        <v>11327</v>
      </c>
      <c r="W4043" s="169" t="s">
        <v>3147</v>
      </c>
      <c r="Y4043" s="169" t="s">
        <v>4787</v>
      </c>
    </row>
    <row r="4044" spans="1:25">
      <c r="A4044" s="143">
        <v>3928</v>
      </c>
      <c r="B4044" s="144">
        <v>46160</v>
      </c>
      <c r="C4044" s="169" t="s">
        <v>9603</v>
      </c>
      <c r="D4044" s="143" t="s">
        <v>41</v>
      </c>
      <c r="F4044" s="143" t="s">
        <v>11328</v>
      </c>
      <c r="H4044" s="143" t="s">
        <v>11329</v>
      </c>
      <c r="W4044" s="169" t="s">
        <v>3147</v>
      </c>
      <c r="Y4044" s="169" t="s">
        <v>10823</v>
      </c>
    </row>
    <row r="4045" spans="1:25">
      <c r="A4045" s="143">
        <v>3929</v>
      </c>
      <c r="B4045" s="144">
        <v>46160</v>
      </c>
      <c r="C4045" s="169" t="s">
        <v>9603</v>
      </c>
      <c r="D4045" s="143" t="s">
        <v>41</v>
      </c>
      <c r="F4045" s="143" t="s">
        <v>11330</v>
      </c>
      <c r="H4045" s="143" t="s">
        <v>11331</v>
      </c>
      <c r="W4045" s="169" t="s">
        <v>3147</v>
      </c>
      <c r="Y4045" s="169" t="s">
        <v>10928</v>
      </c>
    </row>
    <row r="4046" spans="1:25">
      <c r="A4046" s="143">
        <v>3930</v>
      </c>
      <c r="B4046" s="144">
        <v>46160</v>
      </c>
      <c r="C4046" s="169" t="s">
        <v>9603</v>
      </c>
      <c r="D4046" s="143" t="s">
        <v>41</v>
      </c>
      <c r="F4046" s="143" t="s">
        <v>11332</v>
      </c>
      <c r="H4046" s="143" t="s">
        <v>11333</v>
      </c>
      <c r="K4046" s="143">
        <v>180</v>
      </c>
      <c r="W4046" s="169" t="s">
        <v>3147</v>
      </c>
      <c r="Y4046" s="169" t="s">
        <v>11334</v>
      </c>
    </row>
    <row r="4047" spans="1:25">
      <c r="A4047" s="143">
        <v>3931</v>
      </c>
      <c r="B4047" s="144">
        <v>46160</v>
      </c>
      <c r="C4047" s="169" t="s">
        <v>9603</v>
      </c>
      <c r="D4047" s="143" t="s">
        <v>41</v>
      </c>
      <c r="F4047" s="143" t="s">
        <v>11335</v>
      </c>
      <c r="H4047" s="143" t="s">
        <v>11336</v>
      </c>
      <c r="K4047" s="143">
        <v>180</v>
      </c>
      <c r="W4047" s="169" t="s">
        <v>3147</v>
      </c>
      <c r="Y4047" s="169" t="s">
        <v>11334</v>
      </c>
    </row>
    <row r="4048" spans="1:25">
      <c r="A4048" s="143">
        <v>3932</v>
      </c>
      <c r="B4048" s="144">
        <v>46160</v>
      </c>
      <c r="C4048" s="169" t="s">
        <v>9603</v>
      </c>
      <c r="D4048" s="143" t="s">
        <v>41</v>
      </c>
      <c r="F4048" s="143" t="s">
        <v>11337</v>
      </c>
      <c r="H4048" s="143" t="s">
        <v>11338</v>
      </c>
      <c r="W4048" s="169" t="s">
        <v>3147</v>
      </c>
      <c r="Y4048" s="169" t="s">
        <v>11339</v>
      </c>
    </row>
    <row r="4049" spans="1:25">
      <c r="A4049" s="143">
        <v>3933</v>
      </c>
      <c r="B4049" s="144">
        <v>46160</v>
      </c>
      <c r="C4049" s="169" t="s">
        <v>9603</v>
      </c>
      <c r="D4049" s="143" t="s">
        <v>41</v>
      </c>
      <c r="F4049" s="143" t="s">
        <v>11340</v>
      </c>
      <c r="H4049" s="143" t="s">
        <v>11341</v>
      </c>
      <c r="K4049" s="143">
        <v>180</v>
      </c>
      <c r="W4049" s="169" t="s">
        <v>3147</v>
      </c>
      <c r="Y4049" s="169" t="s">
        <v>11342</v>
      </c>
    </row>
    <row r="4050" spans="1:25">
      <c r="A4050" s="143">
        <v>3934</v>
      </c>
      <c r="B4050" s="144">
        <v>46161</v>
      </c>
      <c r="C4050" s="169" t="s">
        <v>9603</v>
      </c>
      <c r="D4050" s="143" t="s">
        <v>41</v>
      </c>
      <c r="F4050" s="169" t="s">
        <v>11343</v>
      </c>
      <c r="H4050" s="143" t="s">
        <v>11344</v>
      </c>
      <c r="K4050" s="143">
        <v>180</v>
      </c>
      <c r="W4050" s="169" t="s">
        <v>3147</v>
      </c>
      <c r="Y4050" s="143" t="s">
        <v>11345</v>
      </c>
    </row>
    <row r="4051" spans="1:25">
      <c r="A4051" s="143">
        <v>3935</v>
      </c>
      <c r="B4051" s="144">
        <v>46161</v>
      </c>
      <c r="C4051" s="169" t="s">
        <v>9603</v>
      </c>
      <c r="D4051" s="143" t="s">
        <v>41</v>
      </c>
      <c r="F4051" s="143" t="s">
        <v>11346</v>
      </c>
      <c r="H4051" s="143" t="s">
        <v>11347</v>
      </c>
      <c r="K4051" s="143">
        <v>180</v>
      </c>
      <c r="W4051" s="169" t="s">
        <v>3147</v>
      </c>
      <c r="Y4051" s="169" t="s">
        <v>11342</v>
      </c>
    </row>
    <row r="4052" spans="1:25">
      <c r="A4052" s="143">
        <v>3936</v>
      </c>
      <c r="B4052" s="144">
        <v>46161</v>
      </c>
      <c r="C4052" s="169" t="s">
        <v>9603</v>
      </c>
      <c r="D4052" s="143" t="s">
        <v>41</v>
      </c>
      <c r="F4052" s="143" t="s">
        <v>11348</v>
      </c>
      <c r="H4052" s="143" t="s">
        <v>11349</v>
      </c>
      <c r="W4052" s="169" t="s">
        <v>3147</v>
      </c>
      <c r="Y4052" s="169" t="s">
        <v>11350</v>
      </c>
    </row>
    <row r="4053" spans="1:25">
      <c r="A4053" s="143">
        <v>3937</v>
      </c>
      <c r="B4053" s="144">
        <v>46161</v>
      </c>
      <c r="C4053" s="169" t="s">
        <v>9603</v>
      </c>
      <c r="D4053" s="143" t="s">
        <v>41</v>
      </c>
      <c r="F4053" s="143" t="s">
        <v>11351</v>
      </c>
      <c r="H4053" s="143" t="s">
        <v>11352</v>
      </c>
      <c r="I4053" s="143" t="s">
        <v>11353</v>
      </c>
      <c r="K4053" s="143">
        <v>180</v>
      </c>
      <c r="L4053" s="143">
        <v>420</v>
      </c>
      <c r="W4053" s="169" t="s">
        <v>3147</v>
      </c>
      <c r="Y4053" s="169" t="s">
        <v>11354</v>
      </c>
    </row>
    <row r="4054" spans="1:25">
      <c r="A4054" s="143">
        <v>3938</v>
      </c>
      <c r="B4054" s="144">
        <v>46161</v>
      </c>
      <c r="C4054" s="169" t="s">
        <v>9603</v>
      </c>
      <c r="D4054" s="143" t="s">
        <v>41</v>
      </c>
      <c r="F4054" s="143" t="s">
        <v>11355</v>
      </c>
      <c r="H4054" s="143" t="s">
        <v>11356</v>
      </c>
      <c r="I4054" s="143" t="s">
        <v>1187</v>
      </c>
      <c r="J4054" s="143" t="s">
        <v>11357</v>
      </c>
      <c r="K4054" s="143">
        <v>180</v>
      </c>
      <c r="L4054" s="143">
        <v>425</v>
      </c>
      <c r="W4054" s="169" t="s">
        <v>3147</v>
      </c>
      <c r="Y4054" s="169" t="s">
        <v>11354</v>
      </c>
    </row>
    <row r="4055" spans="1:25">
      <c r="A4055" s="143">
        <v>3939</v>
      </c>
      <c r="B4055" s="144">
        <v>46161</v>
      </c>
      <c r="C4055" s="169" t="s">
        <v>9603</v>
      </c>
      <c r="D4055" s="143" t="s">
        <v>41</v>
      </c>
      <c r="F4055" s="143" t="s">
        <v>11358</v>
      </c>
      <c r="H4055" s="143" t="s">
        <v>11359</v>
      </c>
      <c r="I4055" s="143" t="s">
        <v>11360</v>
      </c>
      <c r="J4055" s="143" t="s">
        <v>11361</v>
      </c>
      <c r="K4055" s="143">
        <v>180</v>
      </c>
      <c r="L4055" s="143">
        <v>430</v>
      </c>
      <c r="W4055" s="169" t="s">
        <v>3147</v>
      </c>
      <c r="Y4055" s="169" t="s">
        <v>11354</v>
      </c>
    </row>
    <row r="4056" spans="1:25">
      <c r="A4056" s="143">
        <v>3940</v>
      </c>
      <c r="B4056" s="144">
        <v>46161</v>
      </c>
      <c r="C4056" s="169" t="s">
        <v>9603</v>
      </c>
      <c r="D4056" s="143" t="s">
        <v>41</v>
      </c>
      <c r="F4056" s="143" t="s">
        <v>11362</v>
      </c>
      <c r="H4056" s="143" t="s">
        <v>11363</v>
      </c>
      <c r="I4056" s="143" t="s">
        <v>45</v>
      </c>
      <c r="J4056" s="143" t="s">
        <v>105</v>
      </c>
      <c r="K4056" s="143">
        <v>180</v>
      </c>
      <c r="L4056" s="143">
        <v>460</v>
      </c>
      <c r="W4056" s="169" t="s">
        <v>3147</v>
      </c>
      <c r="Y4056" s="169" t="s">
        <v>11364</v>
      </c>
    </row>
    <row r="4057" spans="1:25">
      <c r="A4057" s="143">
        <v>3941</v>
      </c>
      <c r="B4057" s="144">
        <v>46161</v>
      </c>
      <c r="C4057" s="169" t="s">
        <v>9603</v>
      </c>
      <c r="D4057" s="143" t="s">
        <v>41</v>
      </c>
      <c r="F4057" s="169" t="s">
        <v>11365</v>
      </c>
      <c r="H4057" s="143" t="s">
        <v>11366</v>
      </c>
      <c r="I4057" s="169" t="s">
        <v>11367</v>
      </c>
      <c r="K4057" s="143">
        <v>140</v>
      </c>
      <c r="W4057" s="169" t="s">
        <v>3147</v>
      </c>
      <c r="Y4057" s="143" t="s">
        <v>11262</v>
      </c>
    </row>
    <row r="4058" spans="1:25">
      <c r="A4058" s="143">
        <v>3942</v>
      </c>
      <c r="B4058" s="144">
        <v>46161</v>
      </c>
      <c r="C4058" s="169" t="s">
        <v>9603</v>
      </c>
      <c r="D4058" s="143" t="s">
        <v>41</v>
      </c>
      <c r="F4058" s="169" t="s">
        <v>11368</v>
      </c>
      <c r="H4058" s="143" t="s">
        <v>11369</v>
      </c>
      <c r="I4058" s="143" t="s">
        <v>11370</v>
      </c>
      <c r="K4058" s="143">
        <v>140</v>
      </c>
      <c r="W4058" s="169" t="s">
        <v>3147</v>
      </c>
      <c r="Y4058" s="143" t="s">
        <v>11262</v>
      </c>
    </row>
    <row r="4059" spans="1:25">
      <c r="A4059" s="143">
        <v>3943</v>
      </c>
      <c r="B4059" s="144">
        <v>46161</v>
      </c>
      <c r="C4059" s="169" t="s">
        <v>9603</v>
      </c>
      <c r="D4059" s="143" t="s">
        <v>41</v>
      </c>
      <c r="F4059" s="143" t="s">
        <v>11371</v>
      </c>
      <c r="H4059" s="143" t="s">
        <v>11372</v>
      </c>
      <c r="K4059" s="143">
        <v>148</v>
      </c>
      <c r="W4059" s="169" t="s">
        <v>3147</v>
      </c>
      <c r="Y4059" s="169" t="s">
        <v>11373</v>
      </c>
    </row>
    <row r="4060" spans="1:25">
      <c r="A4060" s="143">
        <v>3944</v>
      </c>
      <c r="B4060" s="144">
        <v>46161</v>
      </c>
      <c r="C4060" s="169" t="s">
        <v>9603</v>
      </c>
      <c r="D4060" s="143" t="s">
        <v>41</v>
      </c>
      <c r="F4060" s="143" t="s">
        <v>11374</v>
      </c>
      <c r="H4060" s="143" t="s">
        <v>11375</v>
      </c>
      <c r="W4060" s="169" t="s">
        <v>3147</v>
      </c>
      <c r="Y4060" s="169" t="s">
        <v>11376</v>
      </c>
    </row>
    <row r="4061" spans="1:25">
      <c r="A4061" s="143">
        <v>3945</v>
      </c>
      <c r="B4061" s="144">
        <v>46161</v>
      </c>
      <c r="C4061" s="169" t="s">
        <v>9603</v>
      </c>
      <c r="D4061" s="143" t="s">
        <v>41</v>
      </c>
      <c r="F4061" s="270" t="s">
        <v>11377</v>
      </c>
      <c r="H4061" s="143" t="s">
        <v>11378</v>
      </c>
      <c r="I4061" s="143" t="s">
        <v>45</v>
      </c>
      <c r="J4061" s="143" t="s">
        <v>105</v>
      </c>
      <c r="W4061" s="169" t="s">
        <v>3147</v>
      </c>
      <c r="Y4061" s="169" t="s">
        <v>11379</v>
      </c>
    </row>
    <row r="4062" spans="1:25">
      <c r="A4062" s="143">
        <v>3946</v>
      </c>
      <c r="B4062" s="144">
        <v>46161</v>
      </c>
      <c r="C4062" s="169" t="s">
        <v>9603</v>
      </c>
      <c r="D4062" s="143" t="s">
        <v>41</v>
      </c>
      <c r="F4062" s="143">
        <v>6404</v>
      </c>
      <c r="H4062" s="143" t="s">
        <v>11380</v>
      </c>
      <c r="K4062" s="143">
        <v>148</v>
      </c>
      <c r="W4062" s="169" t="s">
        <v>3147</v>
      </c>
      <c r="Y4062" s="169" t="s">
        <v>11381</v>
      </c>
    </row>
    <row r="4063" spans="1:25">
      <c r="A4063" s="143">
        <v>3947</v>
      </c>
      <c r="B4063" s="144">
        <v>46161</v>
      </c>
      <c r="C4063" s="169" t="s">
        <v>9603</v>
      </c>
      <c r="D4063" s="143" t="s">
        <v>41</v>
      </c>
      <c r="F4063" s="143" t="s">
        <v>11382</v>
      </c>
      <c r="H4063" s="143" t="s">
        <v>11383</v>
      </c>
      <c r="W4063" s="169" t="s">
        <v>3147</v>
      </c>
      <c r="Y4063" s="169" t="s">
        <v>4326</v>
      </c>
    </row>
    <row r="4064" spans="1:25">
      <c r="A4064" s="143">
        <v>3948</v>
      </c>
      <c r="B4064" s="144">
        <v>46161</v>
      </c>
      <c r="C4064" s="169" t="s">
        <v>9603</v>
      </c>
      <c r="D4064" s="143" t="s">
        <v>41</v>
      </c>
      <c r="F4064" s="143" t="s">
        <v>11384</v>
      </c>
      <c r="H4064" s="143" t="s">
        <v>11385</v>
      </c>
      <c r="K4064" s="143">
        <v>148</v>
      </c>
      <c r="W4064" s="169" t="s">
        <v>3147</v>
      </c>
      <c r="Y4064" s="169" t="s">
        <v>4326</v>
      </c>
    </row>
    <row r="4065" spans="1:33">
      <c r="A4065" s="143">
        <v>3949</v>
      </c>
      <c r="B4065" s="144">
        <v>46161</v>
      </c>
      <c r="C4065" s="169" t="s">
        <v>9603</v>
      </c>
      <c r="D4065" s="143" t="s">
        <v>41</v>
      </c>
      <c r="F4065" s="143" t="s">
        <v>11386</v>
      </c>
      <c r="H4065" s="143" t="s">
        <v>11387</v>
      </c>
      <c r="K4065" s="143">
        <v>148</v>
      </c>
      <c r="W4065" s="169" t="s">
        <v>3147</v>
      </c>
      <c r="Y4065" s="169" t="s">
        <v>4326</v>
      </c>
    </row>
    <row r="4066" spans="1:33">
      <c r="A4066" s="143">
        <v>3950</v>
      </c>
      <c r="B4066" s="144">
        <v>46161</v>
      </c>
      <c r="C4066" s="169" t="s">
        <v>9603</v>
      </c>
      <c r="D4066" s="143" t="s">
        <v>41</v>
      </c>
      <c r="F4066" s="143" t="s">
        <v>11388</v>
      </c>
      <c r="H4066" s="143" t="s">
        <v>11389</v>
      </c>
      <c r="K4066" s="143">
        <v>148</v>
      </c>
      <c r="W4066" s="169" t="s">
        <v>3147</v>
      </c>
      <c r="Y4066" s="169" t="s">
        <v>4326</v>
      </c>
    </row>
    <row r="4067" spans="1:33">
      <c r="A4067" s="143">
        <v>3951</v>
      </c>
      <c r="B4067" s="144">
        <v>46161</v>
      </c>
      <c r="C4067" s="169" t="s">
        <v>9603</v>
      </c>
      <c r="D4067" s="143" t="s">
        <v>41</v>
      </c>
      <c r="F4067" s="143" t="s">
        <v>11390</v>
      </c>
      <c r="H4067" s="143" t="s">
        <v>11391</v>
      </c>
      <c r="K4067" s="143">
        <v>148</v>
      </c>
      <c r="W4067" s="169" t="s">
        <v>3147</v>
      </c>
      <c r="Y4067" s="169" t="s">
        <v>4326</v>
      </c>
    </row>
    <row r="4068" spans="1:33">
      <c r="A4068" s="143">
        <v>3952</v>
      </c>
      <c r="B4068" s="144">
        <v>46161</v>
      </c>
      <c r="C4068" s="169" t="s">
        <v>9603</v>
      </c>
      <c r="D4068" s="143" t="s">
        <v>41</v>
      </c>
      <c r="F4068" s="143">
        <v>3704</v>
      </c>
      <c r="H4068" s="143" t="s">
        <v>11392</v>
      </c>
      <c r="W4068" s="169" t="s">
        <v>3147</v>
      </c>
      <c r="Y4068" s="169" t="s">
        <v>11393</v>
      </c>
    </row>
    <row r="4069" spans="1:33">
      <c r="A4069" s="143">
        <v>3953</v>
      </c>
      <c r="B4069" s="144">
        <v>46161</v>
      </c>
      <c r="C4069" s="169" t="s">
        <v>9603</v>
      </c>
      <c r="D4069" s="143" t="s">
        <v>41</v>
      </c>
      <c r="F4069" s="143" t="s">
        <v>11394</v>
      </c>
      <c r="H4069" s="143" t="s">
        <v>11395</v>
      </c>
      <c r="K4069" s="143">
        <v>148</v>
      </c>
      <c r="W4069" s="169" t="s">
        <v>3147</v>
      </c>
      <c r="Y4069" s="143" t="s">
        <v>4326</v>
      </c>
    </row>
    <row r="4070" spans="1:33">
      <c r="A4070" s="143">
        <v>3954</v>
      </c>
      <c r="B4070" s="144">
        <v>46161</v>
      </c>
      <c r="C4070" s="169" t="s">
        <v>9603</v>
      </c>
      <c r="D4070" s="143" t="s">
        <v>41</v>
      </c>
      <c r="F4070" s="143" t="s">
        <v>11396</v>
      </c>
      <c r="H4070" s="143" t="s">
        <v>11397</v>
      </c>
      <c r="I4070" s="143" t="s">
        <v>45</v>
      </c>
      <c r="J4070" s="143" t="s">
        <v>105</v>
      </c>
      <c r="K4070" s="143">
        <v>150</v>
      </c>
      <c r="L4070" s="143">
        <v>280</v>
      </c>
      <c r="W4070" s="169" t="s">
        <v>3147</v>
      </c>
      <c r="Y4070" s="169" t="s">
        <v>11398</v>
      </c>
    </row>
    <row r="4071" spans="1:33">
      <c r="A4071" s="143">
        <v>3955</v>
      </c>
      <c r="B4071" s="144">
        <v>46161</v>
      </c>
      <c r="C4071" s="169" t="s">
        <v>9603</v>
      </c>
      <c r="D4071" s="143" t="s">
        <v>41</v>
      </c>
      <c r="F4071" s="143">
        <v>8853</v>
      </c>
      <c r="H4071" s="143" t="s">
        <v>11399</v>
      </c>
      <c r="K4071" s="143">
        <v>130</v>
      </c>
      <c r="W4071" s="169" t="s">
        <v>3147</v>
      </c>
      <c r="Y4071" s="169" t="s">
        <v>10939</v>
      </c>
    </row>
    <row r="4072" spans="1:33">
      <c r="A4072" s="143">
        <v>3956</v>
      </c>
      <c r="B4072" s="144">
        <v>46161</v>
      </c>
      <c r="C4072" s="169" t="s">
        <v>9603</v>
      </c>
      <c r="D4072" s="143" t="s">
        <v>41</v>
      </c>
      <c r="F4072" s="143">
        <v>8823</v>
      </c>
      <c r="H4072" s="143" t="s">
        <v>11400</v>
      </c>
      <c r="K4072" s="143">
        <v>145</v>
      </c>
      <c r="W4072" s="169" t="s">
        <v>3147</v>
      </c>
      <c r="Y4072" s="169" t="s">
        <v>10939</v>
      </c>
    </row>
    <row r="4073" spans="1:33">
      <c r="A4073" s="143">
        <v>3957</v>
      </c>
      <c r="B4073" s="144">
        <v>46161</v>
      </c>
      <c r="C4073" s="169" t="s">
        <v>9603</v>
      </c>
      <c r="D4073" s="143" t="s">
        <v>41</v>
      </c>
      <c r="F4073" s="143">
        <v>4713</v>
      </c>
      <c r="H4073" s="143" t="s">
        <v>11401</v>
      </c>
      <c r="K4073" s="143">
        <v>148</v>
      </c>
      <c r="W4073" s="169" t="s">
        <v>3147</v>
      </c>
      <c r="Y4073" s="169" t="s">
        <v>4326</v>
      </c>
    </row>
    <row r="4074" spans="1:33">
      <c r="A4074" s="143">
        <v>3958</v>
      </c>
      <c r="B4074" s="144">
        <v>46161</v>
      </c>
      <c r="C4074" s="169" t="s">
        <v>9603</v>
      </c>
      <c r="D4074" s="143" t="s">
        <v>41</v>
      </c>
      <c r="F4074" s="143" t="s">
        <v>11402</v>
      </c>
      <c r="H4074" s="143" t="s">
        <v>11403</v>
      </c>
      <c r="W4074" s="169" t="s">
        <v>3147</v>
      </c>
      <c r="Y4074" s="169" t="s">
        <v>11404</v>
      </c>
    </row>
    <row r="4075" spans="1:33">
      <c r="A4075" s="143">
        <v>3959</v>
      </c>
      <c r="B4075" s="144">
        <v>46161</v>
      </c>
      <c r="C4075" s="169" t="s">
        <v>9603</v>
      </c>
      <c r="D4075" s="143" t="s">
        <v>41</v>
      </c>
      <c r="F4075" s="143">
        <v>3325</v>
      </c>
      <c r="H4075" s="143" t="s">
        <v>11405</v>
      </c>
      <c r="W4075" s="169" t="s">
        <v>3147</v>
      </c>
      <c r="Y4075" s="143" t="s">
        <v>11393</v>
      </c>
    </row>
    <row r="4076" spans="1:33">
      <c r="A4076" s="143">
        <v>3960</v>
      </c>
      <c r="B4076" s="144">
        <v>46161</v>
      </c>
      <c r="C4076" s="169" t="s">
        <v>9603</v>
      </c>
      <c r="D4076" s="143" t="s">
        <v>41</v>
      </c>
      <c r="F4076" s="143">
        <v>3679</v>
      </c>
      <c r="H4076" s="143" t="s">
        <v>11406</v>
      </c>
      <c r="W4076" s="169" t="s">
        <v>3147</v>
      </c>
      <c r="Y4076" s="143" t="s">
        <v>11393</v>
      </c>
    </row>
    <row r="4077" spans="1:33">
      <c r="A4077" s="143">
        <v>3961</v>
      </c>
      <c r="B4077" s="144">
        <v>46161</v>
      </c>
      <c r="C4077" s="169" t="s">
        <v>9603</v>
      </c>
      <c r="D4077" s="143" t="s">
        <v>41</v>
      </c>
      <c r="F4077" s="143" t="s">
        <v>11407</v>
      </c>
      <c r="H4077" s="143" t="s">
        <v>11408</v>
      </c>
      <c r="W4077" s="169" t="s">
        <v>3147</v>
      </c>
      <c r="Y4077" s="169" t="s">
        <v>10928</v>
      </c>
    </row>
    <row r="4078" spans="1:33">
      <c r="A4078" s="143">
        <v>3962</v>
      </c>
      <c r="B4078" s="144">
        <v>46161</v>
      </c>
      <c r="C4078" s="169" t="s">
        <v>9603</v>
      </c>
      <c r="D4078" s="143" t="s">
        <v>41</v>
      </c>
      <c r="F4078" s="143" t="s">
        <v>11409</v>
      </c>
      <c r="H4078" s="143" t="s">
        <v>11410</v>
      </c>
      <c r="W4078" s="169" t="s">
        <v>3147</v>
      </c>
      <c r="Y4078" s="169" t="s">
        <v>10928</v>
      </c>
    </row>
    <row r="4079" spans="1:33">
      <c r="A4079" s="143">
        <v>3963</v>
      </c>
      <c r="B4079" s="144">
        <v>46161</v>
      </c>
      <c r="C4079" s="169" t="s">
        <v>3646</v>
      </c>
      <c r="F4079" s="143" t="s">
        <v>11411</v>
      </c>
      <c r="H4079" s="143" t="s">
        <v>11412</v>
      </c>
      <c r="I4079" s="143" t="s">
        <v>11413</v>
      </c>
      <c r="J4079" s="143" t="s">
        <v>11414</v>
      </c>
      <c r="K4079" s="143">
        <v>138</v>
      </c>
      <c r="L4079" s="143">
        <v>265</v>
      </c>
      <c r="W4079" s="143" t="s">
        <v>8182</v>
      </c>
      <c r="X4079" s="143" t="s">
        <v>11415</v>
      </c>
      <c r="AA4079" s="143" t="s">
        <v>11416</v>
      </c>
      <c r="AB4079" s="170">
        <v>46144</v>
      </c>
      <c r="AG4079" s="169"/>
    </row>
    <row r="4080" spans="1:33">
      <c r="A4080" s="143">
        <v>3964</v>
      </c>
      <c r="B4080" s="144">
        <v>46161</v>
      </c>
      <c r="C4080" s="169" t="s">
        <v>3646</v>
      </c>
      <c r="F4080" s="143" t="s">
        <v>11417</v>
      </c>
      <c r="H4080" s="143" t="s">
        <v>11418</v>
      </c>
      <c r="I4080" s="143" t="s">
        <v>10445</v>
      </c>
      <c r="J4080" s="143" t="s">
        <v>11419</v>
      </c>
      <c r="K4080" s="143">
        <v>135</v>
      </c>
      <c r="L4080" s="143">
        <v>200</v>
      </c>
      <c r="W4080" s="143" t="s">
        <v>8182</v>
      </c>
      <c r="X4080" s="143" t="s">
        <v>11420</v>
      </c>
      <c r="AA4080" s="169" t="s">
        <v>11421</v>
      </c>
      <c r="AB4080" s="170">
        <v>46146</v>
      </c>
    </row>
    <row r="4081" spans="1:26">
      <c r="A4081" s="143">
        <v>3965</v>
      </c>
      <c r="B4081" s="144">
        <v>46162</v>
      </c>
      <c r="C4081" s="169" t="s">
        <v>3646</v>
      </c>
      <c r="F4081" s="169" t="s">
        <v>11422</v>
      </c>
      <c r="H4081" s="143" t="s">
        <v>11423</v>
      </c>
      <c r="K4081" s="143">
        <v>140</v>
      </c>
      <c r="M4081" s="143" t="s">
        <v>5105</v>
      </c>
      <c r="W4081" s="169" t="s">
        <v>8939</v>
      </c>
      <c r="X4081" s="169" t="s">
        <v>11422</v>
      </c>
      <c r="Y4081" s="169" t="s">
        <v>10440</v>
      </c>
      <c r="Z4081" s="169" t="s">
        <v>11422</v>
      </c>
    </row>
    <row r="4082" spans="1:26">
      <c r="A4082" s="143">
        <v>3966</v>
      </c>
      <c r="B4082" s="144">
        <v>46162</v>
      </c>
      <c r="C4082" s="169" t="s">
        <v>3646</v>
      </c>
      <c r="F4082" s="169" t="s">
        <v>11424</v>
      </c>
      <c r="H4082" s="143" t="s">
        <v>11425</v>
      </c>
      <c r="K4082" s="143">
        <v>140</v>
      </c>
      <c r="M4082" s="143" t="s">
        <v>5105</v>
      </c>
      <c r="W4082" s="169" t="s">
        <v>8939</v>
      </c>
      <c r="X4082" s="169" t="s">
        <v>11424</v>
      </c>
      <c r="Y4082" s="169" t="s">
        <v>10440</v>
      </c>
      <c r="Z4082" s="169" t="s">
        <v>11424</v>
      </c>
    </row>
    <row r="4083" spans="1:26">
      <c r="A4083" s="143">
        <v>3967</v>
      </c>
      <c r="B4083" s="144">
        <v>46162</v>
      </c>
      <c r="C4083" s="169" t="s">
        <v>3646</v>
      </c>
      <c r="F4083" s="169" t="s">
        <v>11426</v>
      </c>
      <c r="H4083" s="143" t="s">
        <v>11427</v>
      </c>
      <c r="K4083" s="143">
        <v>140</v>
      </c>
      <c r="M4083" s="143" t="s">
        <v>5105</v>
      </c>
      <c r="W4083" s="169" t="s">
        <v>8939</v>
      </c>
      <c r="X4083" s="169" t="s">
        <v>11426</v>
      </c>
      <c r="Y4083" s="169" t="s">
        <v>10440</v>
      </c>
      <c r="Z4083" s="169" t="s">
        <v>11426</v>
      </c>
    </row>
    <row r="4084" spans="1:26">
      <c r="A4084" s="143">
        <v>3968</v>
      </c>
      <c r="B4084" s="144">
        <v>46162</v>
      </c>
      <c r="C4084" s="169" t="s">
        <v>3646</v>
      </c>
      <c r="F4084" s="169" t="s">
        <v>11428</v>
      </c>
      <c r="H4084" s="143" t="s">
        <v>11429</v>
      </c>
      <c r="K4084" s="143">
        <v>140</v>
      </c>
      <c r="M4084" s="143" t="s">
        <v>11430</v>
      </c>
      <c r="W4084" s="169" t="s">
        <v>8939</v>
      </c>
      <c r="X4084" s="169" t="s">
        <v>11428</v>
      </c>
      <c r="Y4084" s="169" t="s">
        <v>10440</v>
      </c>
      <c r="Z4084" s="169" t="s">
        <v>11428</v>
      </c>
    </row>
    <row r="4085" spans="1:26">
      <c r="A4085" s="143">
        <v>3969</v>
      </c>
      <c r="B4085" s="144">
        <v>46162</v>
      </c>
      <c r="C4085" s="169" t="s">
        <v>3646</v>
      </c>
      <c r="F4085" s="143" t="s">
        <v>11431</v>
      </c>
      <c r="H4085" s="143" t="s">
        <v>11432</v>
      </c>
      <c r="K4085" s="143">
        <v>140</v>
      </c>
      <c r="M4085" s="143" t="s">
        <v>5105</v>
      </c>
      <c r="W4085" s="169" t="s">
        <v>8939</v>
      </c>
      <c r="X4085" s="143" t="s">
        <v>11431</v>
      </c>
      <c r="Y4085" s="169" t="s">
        <v>10440</v>
      </c>
      <c r="Z4085" s="143" t="s">
        <v>11431</v>
      </c>
    </row>
    <row r="4086" spans="1:26">
      <c r="A4086" s="143">
        <v>3970</v>
      </c>
      <c r="B4086" s="144">
        <v>46162</v>
      </c>
      <c r="C4086" s="169" t="s">
        <v>3646</v>
      </c>
      <c r="F4086" s="143" t="s">
        <v>11433</v>
      </c>
      <c r="H4086" s="143" t="s">
        <v>11434</v>
      </c>
      <c r="K4086" s="143">
        <v>140</v>
      </c>
      <c r="M4086" s="143" t="s">
        <v>11435</v>
      </c>
      <c r="W4086" s="169" t="s">
        <v>8939</v>
      </c>
      <c r="X4086" s="143" t="s">
        <v>11433</v>
      </c>
      <c r="Y4086" s="169" t="s">
        <v>10440</v>
      </c>
      <c r="Z4086" s="143" t="s">
        <v>11433</v>
      </c>
    </row>
    <row r="4087" spans="1:26">
      <c r="A4087" s="143">
        <v>3971</v>
      </c>
      <c r="B4087" s="144">
        <v>46162</v>
      </c>
      <c r="C4087" s="169" t="s">
        <v>3646</v>
      </c>
      <c r="F4087" s="143" t="s">
        <v>11436</v>
      </c>
      <c r="H4087" s="143" t="s">
        <v>11437</v>
      </c>
      <c r="K4087" s="143">
        <v>140</v>
      </c>
      <c r="M4087" s="143" t="s">
        <v>11438</v>
      </c>
      <c r="W4087" s="169" t="s">
        <v>8939</v>
      </c>
      <c r="X4087" s="143" t="s">
        <v>11436</v>
      </c>
      <c r="Y4087" s="169" t="s">
        <v>10440</v>
      </c>
      <c r="Z4087" s="143" t="s">
        <v>11436</v>
      </c>
    </row>
    <row r="4088" spans="1:26">
      <c r="A4088" s="143">
        <v>3972</v>
      </c>
      <c r="B4088" s="144">
        <v>46162</v>
      </c>
      <c r="C4088" s="169" t="s">
        <v>3646</v>
      </c>
      <c r="F4088" s="169" t="s">
        <v>11439</v>
      </c>
      <c r="H4088" s="143" t="s">
        <v>11440</v>
      </c>
      <c r="K4088" s="143">
        <v>140</v>
      </c>
      <c r="M4088" s="143" t="s">
        <v>5105</v>
      </c>
      <c r="W4088" s="169" t="s">
        <v>8939</v>
      </c>
      <c r="X4088" s="169" t="s">
        <v>11439</v>
      </c>
      <c r="Y4088" s="169" t="s">
        <v>10440</v>
      </c>
      <c r="Z4088" s="169" t="s">
        <v>11439</v>
      </c>
    </row>
    <row r="4089" spans="1:26">
      <c r="A4089" s="143">
        <v>3973</v>
      </c>
      <c r="B4089" s="144">
        <v>46163</v>
      </c>
      <c r="C4089" s="169" t="s">
        <v>3148</v>
      </c>
      <c r="F4089" s="143" t="s">
        <v>11441</v>
      </c>
      <c r="H4089" s="143" t="s">
        <v>11442</v>
      </c>
      <c r="K4089" s="143">
        <v>140</v>
      </c>
      <c r="L4089" s="143">
        <v>210</v>
      </c>
      <c r="W4089" s="143" t="s">
        <v>3147</v>
      </c>
      <c r="X4089" s="143" t="s">
        <v>11441</v>
      </c>
      <c r="Y4089" s="143" t="s">
        <v>11443</v>
      </c>
      <c r="Z4089" s="143" t="s">
        <v>11441</v>
      </c>
    </row>
    <row r="4090" spans="1:26">
      <c r="A4090" s="143">
        <v>3974</v>
      </c>
      <c r="B4090" s="144">
        <v>46163</v>
      </c>
      <c r="C4090" s="169" t="s">
        <v>3148</v>
      </c>
      <c r="F4090" s="143" t="s">
        <v>11444</v>
      </c>
      <c r="H4090" s="143" t="s">
        <v>11445</v>
      </c>
      <c r="K4090" s="143">
        <v>150</v>
      </c>
      <c r="L4090" s="143">
        <v>210</v>
      </c>
      <c r="W4090" s="143" t="s">
        <v>3147</v>
      </c>
      <c r="X4090" s="143" t="s">
        <v>11444</v>
      </c>
      <c r="Y4090" s="143" t="s">
        <v>11443</v>
      </c>
      <c r="Z4090" s="143" t="s">
        <v>11444</v>
      </c>
    </row>
    <row r="4091" spans="1:26">
      <c r="A4091" s="143">
        <v>3975</v>
      </c>
      <c r="B4091" s="144">
        <v>46163</v>
      </c>
      <c r="C4091" s="169" t="s">
        <v>3148</v>
      </c>
      <c r="F4091" s="143" t="s">
        <v>11446</v>
      </c>
      <c r="H4091" s="143" t="s">
        <v>11447</v>
      </c>
      <c r="K4091" s="143">
        <v>150</v>
      </c>
      <c r="L4091" s="143">
        <v>160</v>
      </c>
      <c r="W4091" s="143" t="s">
        <v>3147</v>
      </c>
      <c r="X4091" s="143" t="s">
        <v>11446</v>
      </c>
      <c r="Y4091" s="143" t="s">
        <v>11443</v>
      </c>
      <c r="Z4091" s="143" t="s">
        <v>11446</v>
      </c>
    </row>
    <row r="4092" spans="1:26">
      <c r="A4092" s="143">
        <v>3976</v>
      </c>
      <c r="B4092" s="144">
        <v>46163</v>
      </c>
      <c r="C4092" s="169" t="s">
        <v>3148</v>
      </c>
      <c r="F4092" s="143" t="s">
        <v>11448</v>
      </c>
      <c r="H4092" s="143" t="s">
        <v>11449</v>
      </c>
      <c r="K4092" s="143">
        <v>150</v>
      </c>
      <c r="L4092" s="143">
        <v>170</v>
      </c>
      <c r="W4092" s="143" t="s">
        <v>3147</v>
      </c>
      <c r="X4092" s="143" t="s">
        <v>11448</v>
      </c>
      <c r="Y4092" s="143" t="s">
        <v>11443</v>
      </c>
      <c r="Z4092" s="143" t="s">
        <v>11448</v>
      </c>
    </row>
    <row r="4093" spans="1:26">
      <c r="A4093" s="143">
        <v>3977</v>
      </c>
      <c r="B4093" s="144">
        <v>46163</v>
      </c>
      <c r="C4093" s="169" t="s">
        <v>3148</v>
      </c>
      <c r="F4093" s="143" t="s">
        <v>11450</v>
      </c>
      <c r="H4093" s="143" t="s">
        <v>11451</v>
      </c>
      <c r="K4093" s="143">
        <v>150</v>
      </c>
      <c r="L4093" s="143">
        <v>240</v>
      </c>
      <c r="W4093" s="143" t="s">
        <v>3147</v>
      </c>
      <c r="X4093" s="143" t="s">
        <v>11450</v>
      </c>
      <c r="Y4093" s="143" t="s">
        <v>11443</v>
      </c>
      <c r="Z4093" s="143" t="s">
        <v>11450</v>
      </c>
    </row>
    <row r="4094" spans="1:26">
      <c r="A4094" s="143">
        <v>3978</v>
      </c>
      <c r="B4094" s="144">
        <v>46163</v>
      </c>
      <c r="C4094" s="169" t="s">
        <v>3148</v>
      </c>
      <c r="F4094" s="143" t="s">
        <v>11452</v>
      </c>
      <c r="H4094" s="143" t="s">
        <v>11453</v>
      </c>
      <c r="K4094" s="143">
        <v>150</v>
      </c>
      <c r="L4094" s="143">
        <v>200</v>
      </c>
      <c r="W4094" s="143" t="s">
        <v>3147</v>
      </c>
      <c r="X4094" s="143" t="s">
        <v>11452</v>
      </c>
      <c r="Y4094" s="143" t="s">
        <v>11443</v>
      </c>
      <c r="Z4094" s="143" t="s">
        <v>11452</v>
      </c>
    </row>
    <row r="4095" spans="1:26">
      <c r="A4095" s="143">
        <v>3979</v>
      </c>
      <c r="B4095" s="144">
        <v>46163</v>
      </c>
      <c r="C4095" s="169" t="s">
        <v>3148</v>
      </c>
      <c r="F4095" s="143" t="s">
        <v>11454</v>
      </c>
      <c r="H4095" s="143" t="s">
        <v>11455</v>
      </c>
      <c r="K4095" s="143">
        <v>150</v>
      </c>
      <c r="L4095" s="143">
        <v>160</v>
      </c>
      <c r="W4095" s="143" t="s">
        <v>3147</v>
      </c>
      <c r="X4095" s="143" t="s">
        <v>11454</v>
      </c>
      <c r="Y4095" s="143" t="s">
        <v>11443</v>
      </c>
      <c r="Z4095" s="143" t="s">
        <v>11454</v>
      </c>
    </row>
    <row r="4096" spans="1:26">
      <c r="A4096" s="143">
        <v>3980</v>
      </c>
      <c r="B4096" s="144">
        <v>46163</v>
      </c>
      <c r="C4096" s="169" t="s">
        <v>3148</v>
      </c>
      <c r="F4096" s="143" t="s">
        <v>11456</v>
      </c>
      <c r="H4096" s="143" t="s">
        <v>11457</v>
      </c>
      <c r="K4096" s="143">
        <v>150</v>
      </c>
      <c r="L4096" s="143">
        <v>200</v>
      </c>
      <c r="W4096" s="143" t="s">
        <v>3147</v>
      </c>
      <c r="X4096" s="143" t="s">
        <v>11456</v>
      </c>
      <c r="Y4096" s="143" t="s">
        <v>11443</v>
      </c>
      <c r="Z4096" s="143" t="s">
        <v>11456</v>
      </c>
    </row>
    <row r="4097" spans="1:26">
      <c r="A4097" s="143">
        <v>3981</v>
      </c>
      <c r="B4097" s="144">
        <v>46163</v>
      </c>
      <c r="C4097" s="169" t="s">
        <v>3148</v>
      </c>
      <c r="F4097" s="143" t="s">
        <v>11458</v>
      </c>
      <c r="H4097" s="143" t="s">
        <v>11459</v>
      </c>
      <c r="K4097" s="143">
        <v>150</v>
      </c>
      <c r="L4097" s="143">
        <v>190</v>
      </c>
      <c r="W4097" s="143" t="s">
        <v>3147</v>
      </c>
      <c r="X4097" s="143" t="s">
        <v>11458</v>
      </c>
      <c r="Y4097" s="143" t="s">
        <v>11443</v>
      </c>
      <c r="Z4097" s="143" t="s">
        <v>11458</v>
      </c>
    </row>
    <row r="4098" spans="1:26">
      <c r="A4098" s="143">
        <v>3982</v>
      </c>
      <c r="B4098" s="144">
        <v>46163</v>
      </c>
      <c r="C4098" s="169" t="s">
        <v>3148</v>
      </c>
      <c r="F4098" s="143" t="s">
        <v>11460</v>
      </c>
      <c r="H4098" s="143" t="s">
        <v>11461</v>
      </c>
      <c r="K4098" s="143">
        <v>150</v>
      </c>
      <c r="L4098" s="143">
        <v>200</v>
      </c>
      <c r="W4098" s="143" t="s">
        <v>3147</v>
      </c>
      <c r="X4098" s="143" t="s">
        <v>11460</v>
      </c>
      <c r="Y4098" s="143" t="s">
        <v>11443</v>
      </c>
      <c r="Z4098" s="143" t="s">
        <v>11460</v>
      </c>
    </row>
    <row r="4099" spans="1:26">
      <c r="A4099" s="143">
        <v>3983</v>
      </c>
      <c r="B4099" s="144">
        <v>46163</v>
      </c>
      <c r="C4099" s="169" t="s">
        <v>3148</v>
      </c>
      <c r="F4099" s="143" t="s">
        <v>11462</v>
      </c>
      <c r="H4099" s="143" t="s">
        <v>11463</v>
      </c>
      <c r="K4099" s="143">
        <v>150</v>
      </c>
      <c r="L4099" s="143">
        <v>200</v>
      </c>
      <c r="W4099" s="143" t="s">
        <v>3147</v>
      </c>
      <c r="X4099" s="143" t="s">
        <v>11462</v>
      </c>
      <c r="Y4099" s="143" t="s">
        <v>11443</v>
      </c>
      <c r="Z4099" s="143" t="s">
        <v>11462</v>
      </c>
    </row>
    <row r="4100" spans="1:26">
      <c r="A4100" s="143">
        <v>3984</v>
      </c>
      <c r="B4100" s="144">
        <v>46163</v>
      </c>
      <c r="C4100" s="169" t="s">
        <v>3148</v>
      </c>
      <c r="F4100" s="143" t="s">
        <v>11464</v>
      </c>
      <c r="H4100" s="143" t="s">
        <v>11465</v>
      </c>
      <c r="K4100" s="143">
        <v>150</v>
      </c>
      <c r="L4100" s="143">
        <v>210</v>
      </c>
      <c r="W4100" s="143" t="s">
        <v>3147</v>
      </c>
      <c r="X4100" s="143" t="s">
        <v>11464</v>
      </c>
      <c r="Y4100" s="143" t="s">
        <v>11443</v>
      </c>
      <c r="Z4100" s="143" t="s">
        <v>11464</v>
      </c>
    </row>
    <row r="4101" spans="1:26">
      <c r="A4101" s="143">
        <v>3985</v>
      </c>
      <c r="B4101" s="144">
        <v>46163</v>
      </c>
      <c r="C4101" s="169" t="s">
        <v>3148</v>
      </c>
      <c r="F4101" s="143" t="s">
        <v>11466</v>
      </c>
      <c r="H4101" s="143" t="s">
        <v>11467</v>
      </c>
      <c r="K4101" s="143">
        <v>150</v>
      </c>
      <c r="L4101" s="143">
        <v>200</v>
      </c>
      <c r="W4101" s="143" t="s">
        <v>3147</v>
      </c>
      <c r="X4101" s="143" t="s">
        <v>11466</v>
      </c>
      <c r="Y4101" s="143" t="s">
        <v>11443</v>
      </c>
      <c r="Z4101" s="143" t="s">
        <v>11466</v>
      </c>
    </row>
    <row r="4102" spans="1:26">
      <c r="A4102" s="143">
        <v>3986</v>
      </c>
      <c r="B4102" s="144">
        <v>46163</v>
      </c>
      <c r="C4102" s="169" t="s">
        <v>3148</v>
      </c>
      <c r="F4102" s="143" t="s">
        <v>11468</v>
      </c>
      <c r="H4102" s="143" t="s">
        <v>11469</v>
      </c>
      <c r="K4102" s="143">
        <v>150</v>
      </c>
      <c r="L4102" s="143">
        <v>160</v>
      </c>
      <c r="W4102" s="143" t="s">
        <v>3147</v>
      </c>
      <c r="X4102" s="143" t="s">
        <v>11468</v>
      </c>
      <c r="Y4102" s="143" t="s">
        <v>11443</v>
      </c>
      <c r="Z4102" s="143" t="s">
        <v>11468</v>
      </c>
    </row>
    <row r="4103" spans="1:26">
      <c r="A4103" s="143">
        <v>3987</v>
      </c>
      <c r="B4103" s="144">
        <v>46163</v>
      </c>
      <c r="C4103" s="169" t="s">
        <v>3148</v>
      </c>
      <c r="F4103" s="143" t="s">
        <v>11470</v>
      </c>
      <c r="H4103" s="143" t="s">
        <v>11471</v>
      </c>
      <c r="K4103" s="143">
        <v>150</v>
      </c>
      <c r="L4103" s="143">
        <v>160</v>
      </c>
      <c r="W4103" s="143" t="s">
        <v>3147</v>
      </c>
      <c r="X4103" s="143" t="s">
        <v>11470</v>
      </c>
      <c r="Y4103" s="143" t="s">
        <v>11443</v>
      </c>
      <c r="Z4103" s="143" t="s">
        <v>11470</v>
      </c>
    </row>
    <row r="4104" spans="1:26">
      <c r="A4104" s="143">
        <v>3988</v>
      </c>
      <c r="B4104" s="144">
        <v>46163</v>
      </c>
      <c r="C4104" s="169" t="s">
        <v>3148</v>
      </c>
      <c r="F4104" s="143" t="s">
        <v>11472</v>
      </c>
      <c r="H4104" s="143" t="s">
        <v>11473</v>
      </c>
      <c r="K4104" s="143">
        <v>150</v>
      </c>
      <c r="L4104" s="143">
        <v>220</v>
      </c>
      <c r="W4104" s="143" t="s">
        <v>3147</v>
      </c>
      <c r="X4104" s="143" t="s">
        <v>11472</v>
      </c>
      <c r="Y4104" s="143" t="s">
        <v>11443</v>
      </c>
      <c r="Z4104" s="143" t="s">
        <v>11472</v>
      </c>
    </row>
    <row r="4105" spans="1:26">
      <c r="A4105" s="143">
        <v>3989</v>
      </c>
      <c r="B4105" s="144">
        <v>46163</v>
      </c>
      <c r="C4105" s="169" t="s">
        <v>3148</v>
      </c>
      <c r="F4105" s="143" t="s">
        <v>11474</v>
      </c>
      <c r="H4105" s="143" t="s">
        <v>11475</v>
      </c>
      <c r="K4105" s="143">
        <v>150</v>
      </c>
      <c r="L4105" s="143">
        <v>190</v>
      </c>
      <c r="W4105" s="143" t="s">
        <v>3147</v>
      </c>
      <c r="X4105" s="143" t="s">
        <v>11474</v>
      </c>
      <c r="Y4105" s="143" t="s">
        <v>11443</v>
      </c>
      <c r="Z4105" s="143" t="s">
        <v>11474</v>
      </c>
    </row>
    <row r="4106" spans="1:26">
      <c r="A4106" s="143">
        <v>3990</v>
      </c>
      <c r="B4106" s="144">
        <v>46163</v>
      </c>
      <c r="C4106" s="169" t="s">
        <v>3148</v>
      </c>
      <c r="F4106" s="143" t="s">
        <v>11476</v>
      </c>
      <c r="H4106" s="143" t="s">
        <v>11477</v>
      </c>
      <c r="K4106" s="143">
        <v>150</v>
      </c>
      <c r="L4106" s="143">
        <v>220</v>
      </c>
      <c r="W4106" s="143" t="s">
        <v>3147</v>
      </c>
      <c r="X4106" s="143" t="s">
        <v>11476</v>
      </c>
      <c r="Y4106" s="143" t="s">
        <v>11443</v>
      </c>
      <c r="Z4106" s="143" t="s">
        <v>11476</v>
      </c>
    </row>
    <row r="4107" spans="1:26">
      <c r="A4107" s="143">
        <v>3991</v>
      </c>
      <c r="B4107" s="144">
        <v>46163</v>
      </c>
      <c r="C4107" s="169" t="s">
        <v>3148</v>
      </c>
      <c r="F4107" s="143" t="s">
        <v>11478</v>
      </c>
      <c r="H4107" s="143" t="s">
        <v>11479</v>
      </c>
      <c r="K4107" s="143">
        <v>150</v>
      </c>
      <c r="L4107" s="143">
        <v>160</v>
      </c>
      <c r="W4107" s="143" t="s">
        <v>3147</v>
      </c>
      <c r="X4107" s="143" t="s">
        <v>11478</v>
      </c>
      <c r="Y4107" s="143" t="s">
        <v>11443</v>
      </c>
      <c r="Z4107" s="143" t="s">
        <v>11478</v>
      </c>
    </row>
    <row r="4108" spans="1:26">
      <c r="A4108" s="143">
        <v>3992</v>
      </c>
      <c r="B4108" s="144">
        <v>46163</v>
      </c>
      <c r="C4108" s="169" t="s">
        <v>3148</v>
      </c>
      <c r="F4108" s="143" t="s">
        <v>11480</v>
      </c>
      <c r="H4108" s="143" t="s">
        <v>11481</v>
      </c>
      <c r="K4108" s="143">
        <v>150</v>
      </c>
      <c r="L4108" s="143">
        <v>180</v>
      </c>
      <c r="W4108" s="143" t="s">
        <v>3147</v>
      </c>
      <c r="X4108" s="143" t="s">
        <v>11480</v>
      </c>
      <c r="Y4108" s="143" t="s">
        <v>11443</v>
      </c>
      <c r="Z4108" s="143" t="s">
        <v>11480</v>
      </c>
    </row>
    <row r="4109" spans="1:26">
      <c r="A4109" s="143">
        <v>3993</v>
      </c>
      <c r="B4109" s="144">
        <v>46163</v>
      </c>
      <c r="C4109" s="169" t="s">
        <v>3148</v>
      </c>
      <c r="F4109" s="143" t="s">
        <v>11482</v>
      </c>
      <c r="H4109" s="143" t="s">
        <v>11483</v>
      </c>
      <c r="K4109" s="143">
        <v>150</v>
      </c>
      <c r="L4109" s="143">
        <v>160</v>
      </c>
      <c r="W4109" s="143" t="s">
        <v>3147</v>
      </c>
      <c r="X4109" s="143" t="s">
        <v>11482</v>
      </c>
      <c r="Y4109" s="143" t="s">
        <v>11443</v>
      </c>
      <c r="Z4109" s="143" t="s">
        <v>11482</v>
      </c>
    </row>
    <row r="4110" spans="1:26">
      <c r="A4110" s="143">
        <v>3994</v>
      </c>
      <c r="B4110" s="144">
        <v>46163</v>
      </c>
      <c r="C4110" s="169" t="s">
        <v>3148</v>
      </c>
      <c r="F4110" s="143" t="s">
        <v>11484</v>
      </c>
      <c r="H4110" s="143" t="s">
        <v>11485</v>
      </c>
      <c r="K4110" s="143">
        <v>150</v>
      </c>
      <c r="L4110" s="143">
        <v>170</v>
      </c>
      <c r="W4110" s="143" t="s">
        <v>3147</v>
      </c>
      <c r="X4110" s="143" t="s">
        <v>11484</v>
      </c>
      <c r="Y4110" s="143" t="s">
        <v>11443</v>
      </c>
      <c r="Z4110" s="143" t="s">
        <v>11484</v>
      </c>
    </row>
    <row r="4111" spans="1:26">
      <c r="A4111" s="143">
        <v>3995</v>
      </c>
      <c r="B4111" s="144">
        <v>46163</v>
      </c>
      <c r="C4111" s="169" t="s">
        <v>3148</v>
      </c>
      <c r="F4111" s="143" t="s">
        <v>11486</v>
      </c>
      <c r="H4111" s="143" t="s">
        <v>11487</v>
      </c>
      <c r="K4111" s="143">
        <v>150</v>
      </c>
      <c r="L4111" s="143">
        <v>180</v>
      </c>
      <c r="W4111" s="143" t="s">
        <v>3147</v>
      </c>
      <c r="X4111" s="143" t="s">
        <v>11486</v>
      </c>
      <c r="Y4111" s="143" t="s">
        <v>11443</v>
      </c>
      <c r="Z4111" s="143" t="s">
        <v>11486</v>
      </c>
    </row>
    <row r="4112" spans="1:26">
      <c r="A4112" s="143">
        <v>3996</v>
      </c>
      <c r="B4112" s="144">
        <v>46163</v>
      </c>
      <c r="C4112" s="169" t="s">
        <v>3148</v>
      </c>
      <c r="F4112" s="143" t="s">
        <v>11488</v>
      </c>
      <c r="H4112" s="143" t="s">
        <v>11489</v>
      </c>
      <c r="K4112" s="143">
        <v>150</v>
      </c>
      <c r="L4112" s="143">
        <v>180</v>
      </c>
      <c r="W4112" s="143" t="s">
        <v>3147</v>
      </c>
      <c r="X4112" s="143" t="s">
        <v>11488</v>
      </c>
      <c r="Y4112" s="143" t="s">
        <v>11443</v>
      </c>
      <c r="Z4112" s="143" t="s">
        <v>11488</v>
      </c>
    </row>
    <row r="4113" spans="1:26">
      <c r="A4113" s="143">
        <v>3997</v>
      </c>
      <c r="B4113" s="144">
        <v>46163</v>
      </c>
      <c r="C4113" s="169" t="s">
        <v>3148</v>
      </c>
      <c r="F4113" s="143" t="s">
        <v>11490</v>
      </c>
      <c r="H4113" s="143" t="s">
        <v>11491</v>
      </c>
      <c r="K4113" s="143">
        <v>150</v>
      </c>
      <c r="L4113" s="143">
        <v>170</v>
      </c>
      <c r="W4113" s="143" t="s">
        <v>3147</v>
      </c>
      <c r="X4113" s="143" t="s">
        <v>11490</v>
      </c>
      <c r="Y4113" s="143" t="s">
        <v>11443</v>
      </c>
      <c r="Z4113" s="143" t="s">
        <v>11490</v>
      </c>
    </row>
    <row r="4114" spans="1:26">
      <c r="A4114" s="143">
        <v>3998</v>
      </c>
      <c r="B4114" s="144">
        <v>46163</v>
      </c>
      <c r="C4114" s="169" t="s">
        <v>3148</v>
      </c>
      <c r="F4114" s="143" t="s">
        <v>11492</v>
      </c>
      <c r="H4114" s="143" t="s">
        <v>11493</v>
      </c>
      <c r="K4114" s="143">
        <v>150</v>
      </c>
      <c r="L4114" s="143">
        <v>220</v>
      </c>
      <c r="W4114" s="143" t="s">
        <v>3147</v>
      </c>
      <c r="X4114" s="143" t="s">
        <v>11492</v>
      </c>
      <c r="Y4114" s="143" t="s">
        <v>11443</v>
      </c>
      <c r="Z4114" s="143" t="s">
        <v>11492</v>
      </c>
    </row>
    <row r="4115" spans="1:26">
      <c r="A4115" s="143">
        <v>3999</v>
      </c>
      <c r="B4115" s="144">
        <v>46163</v>
      </c>
      <c r="C4115" s="169" t="s">
        <v>3148</v>
      </c>
      <c r="F4115" s="143" t="s">
        <v>11494</v>
      </c>
      <c r="H4115" s="143" t="s">
        <v>11495</v>
      </c>
      <c r="K4115" s="143">
        <v>150</v>
      </c>
      <c r="L4115" s="143">
        <v>130</v>
      </c>
      <c r="W4115" s="143" t="s">
        <v>3147</v>
      </c>
      <c r="X4115" s="143" t="s">
        <v>11494</v>
      </c>
      <c r="Y4115" s="143" t="s">
        <v>11443</v>
      </c>
      <c r="Z4115" s="143" t="s">
        <v>11494</v>
      </c>
    </row>
    <row r="4116" spans="1:26">
      <c r="A4116" s="143">
        <v>4000</v>
      </c>
      <c r="B4116" s="144">
        <v>46163</v>
      </c>
      <c r="C4116" s="169" t="s">
        <v>3148</v>
      </c>
      <c r="F4116" s="143" t="s">
        <v>11496</v>
      </c>
      <c r="H4116" s="143" t="s">
        <v>11497</v>
      </c>
      <c r="K4116" s="143">
        <v>150</v>
      </c>
      <c r="L4116" s="143">
        <v>220</v>
      </c>
      <c r="W4116" s="143" t="s">
        <v>3147</v>
      </c>
      <c r="X4116" s="143" t="s">
        <v>11496</v>
      </c>
      <c r="Y4116" s="143" t="s">
        <v>11443</v>
      </c>
      <c r="Z4116" s="143" t="s">
        <v>11496</v>
      </c>
    </row>
    <row r="4117" spans="1:26">
      <c r="A4117" s="143">
        <v>4001</v>
      </c>
      <c r="B4117" s="144">
        <v>46163</v>
      </c>
      <c r="C4117" s="169" t="s">
        <v>3148</v>
      </c>
      <c r="F4117" s="143" t="s">
        <v>11498</v>
      </c>
      <c r="H4117" s="143" t="s">
        <v>11499</v>
      </c>
      <c r="K4117" s="143">
        <v>150</v>
      </c>
      <c r="L4117" s="143">
        <v>170</v>
      </c>
      <c r="W4117" s="143" t="s">
        <v>3147</v>
      </c>
      <c r="X4117" s="143" t="s">
        <v>11498</v>
      </c>
      <c r="Y4117" s="143" t="s">
        <v>11443</v>
      </c>
      <c r="Z4117" s="143" t="s">
        <v>11498</v>
      </c>
    </row>
    <row r="4118" spans="1:26">
      <c r="A4118" s="143">
        <v>4002</v>
      </c>
      <c r="B4118" s="144">
        <v>46163</v>
      </c>
      <c r="C4118" s="169" t="s">
        <v>3148</v>
      </c>
      <c r="F4118" s="143" t="s">
        <v>11500</v>
      </c>
      <c r="H4118" s="143" t="s">
        <v>11501</v>
      </c>
      <c r="K4118" s="143">
        <v>150</v>
      </c>
      <c r="L4118" s="143">
        <v>180</v>
      </c>
      <c r="W4118" s="143" t="s">
        <v>3147</v>
      </c>
      <c r="X4118" s="143" t="s">
        <v>11500</v>
      </c>
      <c r="Y4118" s="143" t="s">
        <v>11443</v>
      </c>
      <c r="Z4118" s="143" t="s">
        <v>11500</v>
      </c>
    </row>
    <row r="4119" spans="1:26">
      <c r="A4119" s="143">
        <v>4003</v>
      </c>
      <c r="B4119" s="144">
        <v>46163</v>
      </c>
      <c r="C4119" s="169" t="s">
        <v>3148</v>
      </c>
      <c r="F4119" s="143" t="s">
        <v>11502</v>
      </c>
      <c r="H4119" s="143" t="s">
        <v>11503</v>
      </c>
      <c r="K4119" s="143">
        <v>150</v>
      </c>
      <c r="L4119" s="143">
        <v>190</v>
      </c>
      <c r="W4119" s="143" t="s">
        <v>3147</v>
      </c>
      <c r="X4119" s="143" t="s">
        <v>11502</v>
      </c>
      <c r="Y4119" s="143" t="s">
        <v>11443</v>
      </c>
      <c r="Z4119" s="143" t="s">
        <v>11502</v>
      </c>
    </row>
    <row r="4120" spans="1:26">
      <c r="A4120" s="143">
        <v>4004</v>
      </c>
      <c r="B4120" s="144">
        <v>46163</v>
      </c>
      <c r="C4120" s="169" t="s">
        <v>3148</v>
      </c>
      <c r="F4120" s="143" t="s">
        <v>11504</v>
      </c>
      <c r="H4120" s="143" t="s">
        <v>11505</v>
      </c>
      <c r="K4120" s="143">
        <v>150</v>
      </c>
      <c r="L4120" s="143">
        <v>230</v>
      </c>
      <c r="W4120" s="143" t="s">
        <v>3147</v>
      </c>
      <c r="X4120" s="143" t="s">
        <v>11504</v>
      </c>
      <c r="Y4120" s="143" t="s">
        <v>11443</v>
      </c>
      <c r="Z4120" s="143" t="s">
        <v>11504</v>
      </c>
    </row>
    <row r="4121" spans="1:26">
      <c r="A4121" s="143">
        <v>4005</v>
      </c>
      <c r="B4121" s="144">
        <v>46163</v>
      </c>
      <c r="C4121" s="169" t="s">
        <v>3148</v>
      </c>
      <c r="F4121" s="143" t="s">
        <v>11506</v>
      </c>
      <c r="H4121" s="143" t="s">
        <v>11507</v>
      </c>
      <c r="K4121" s="143">
        <v>150</v>
      </c>
      <c r="L4121" s="143">
        <v>200</v>
      </c>
      <c r="W4121" s="143" t="s">
        <v>3147</v>
      </c>
      <c r="X4121" s="143" t="s">
        <v>11506</v>
      </c>
      <c r="Y4121" s="143" t="s">
        <v>11443</v>
      </c>
      <c r="Z4121" s="143" t="s">
        <v>11506</v>
      </c>
    </row>
    <row r="4122" spans="1:26">
      <c r="A4122" s="143">
        <v>4006</v>
      </c>
      <c r="B4122" s="144">
        <v>46163</v>
      </c>
      <c r="C4122" s="169" t="s">
        <v>3148</v>
      </c>
      <c r="F4122" s="143" t="s">
        <v>11508</v>
      </c>
      <c r="H4122" s="143" t="s">
        <v>11509</v>
      </c>
      <c r="K4122" s="143">
        <v>150</v>
      </c>
      <c r="L4122" s="143">
        <v>200</v>
      </c>
      <c r="W4122" s="143" t="s">
        <v>3147</v>
      </c>
      <c r="X4122" s="143" t="s">
        <v>11508</v>
      </c>
      <c r="Y4122" s="143" t="s">
        <v>11443</v>
      </c>
      <c r="Z4122" s="143" t="s">
        <v>11508</v>
      </c>
    </row>
    <row r="4123" spans="1:26">
      <c r="A4123" s="143">
        <v>4007</v>
      </c>
      <c r="B4123" s="144">
        <v>46163</v>
      </c>
      <c r="C4123" s="169" t="s">
        <v>3148</v>
      </c>
      <c r="F4123" s="143" t="s">
        <v>11510</v>
      </c>
      <c r="H4123" s="143" t="s">
        <v>11511</v>
      </c>
      <c r="K4123" s="143">
        <v>150</v>
      </c>
      <c r="L4123" s="143">
        <v>190</v>
      </c>
      <c r="W4123" s="143" t="s">
        <v>3147</v>
      </c>
      <c r="X4123" s="143" t="s">
        <v>11510</v>
      </c>
      <c r="Y4123" s="143" t="s">
        <v>11443</v>
      </c>
      <c r="Z4123" s="143" t="s">
        <v>11510</v>
      </c>
    </row>
    <row r="4124" spans="1:26">
      <c r="A4124" s="143">
        <v>4008</v>
      </c>
      <c r="B4124" s="144">
        <v>46163</v>
      </c>
      <c r="C4124" s="169" t="s">
        <v>3148</v>
      </c>
      <c r="F4124" s="143" t="s">
        <v>11512</v>
      </c>
      <c r="H4124" s="143" t="s">
        <v>11513</v>
      </c>
      <c r="K4124" s="143">
        <v>150</v>
      </c>
      <c r="L4124" s="143">
        <v>200</v>
      </c>
      <c r="W4124" s="143" t="s">
        <v>3147</v>
      </c>
      <c r="X4124" s="143" t="s">
        <v>11512</v>
      </c>
      <c r="Y4124" s="143" t="s">
        <v>11443</v>
      </c>
      <c r="Z4124" s="143" t="s">
        <v>11512</v>
      </c>
    </row>
    <row r="4125" spans="1:26">
      <c r="A4125" s="143">
        <v>4009</v>
      </c>
      <c r="B4125" s="144">
        <v>46163</v>
      </c>
      <c r="C4125" s="169" t="s">
        <v>3148</v>
      </c>
      <c r="F4125" s="143" t="s">
        <v>11514</v>
      </c>
      <c r="H4125" s="143" t="s">
        <v>11515</v>
      </c>
      <c r="K4125" s="143">
        <v>150</v>
      </c>
      <c r="L4125" s="143">
        <v>170</v>
      </c>
      <c r="W4125" s="143" t="s">
        <v>3147</v>
      </c>
      <c r="X4125" s="143" t="s">
        <v>11514</v>
      </c>
      <c r="Y4125" s="143" t="s">
        <v>11443</v>
      </c>
      <c r="Z4125" s="143" t="s">
        <v>11514</v>
      </c>
    </row>
    <row r="4126" spans="1:26">
      <c r="A4126" s="143">
        <v>4010</v>
      </c>
      <c r="B4126" s="144">
        <v>46163</v>
      </c>
      <c r="C4126" s="169" t="s">
        <v>3148</v>
      </c>
      <c r="F4126" s="143" t="s">
        <v>11516</v>
      </c>
      <c r="H4126" s="143" t="s">
        <v>11517</v>
      </c>
      <c r="K4126" s="143">
        <v>150</v>
      </c>
      <c r="L4126" s="143">
        <v>220</v>
      </c>
      <c r="W4126" s="143" t="s">
        <v>3147</v>
      </c>
      <c r="X4126" s="143" t="s">
        <v>11516</v>
      </c>
      <c r="Y4126" s="143" t="s">
        <v>11443</v>
      </c>
      <c r="Z4126" s="143" t="s">
        <v>11516</v>
      </c>
    </row>
    <row r="4127" spans="1:26">
      <c r="A4127" s="143">
        <v>4011</v>
      </c>
      <c r="B4127" s="144">
        <v>46163</v>
      </c>
      <c r="C4127" s="169" t="s">
        <v>3148</v>
      </c>
      <c r="F4127" s="143" t="s">
        <v>11518</v>
      </c>
      <c r="H4127" s="143" t="s">
        <v>11519</v>
      </c>
      <c r="K4127" s="143">
        <v>150</v>
      </c>
      <c r="L4127" s="143">
        <v>170</v>
      </c>
      <c r="W4127" s="143" t="s">
        <v>3147</v>
      </c>
      <c r="X4127" s="143" t="s">
        <v>11518</v>
      </c>
      <c r="Y4127" s="143" t="s">
        <v>11443</v>
      </c>
      <c r="Z4127" s="143" t="s">
        <v>11518</v>
      </c>
    </row>
    <row r="4128" spans="1:26">
      <c r="A4128" s="143">
        <v>4012</v>
      </c>
      <c r="B4128" s="144">
        <v>46163</v>
      </c>
      <c r="C4128" s="169" t="s">
        <v>3148</v>
      </c>
      <c r="F4128" s="143" t="s">
        <v>11520</v>
      </c>
      <c r="H4128" s="143" t="s">
        <v>11521</v>
      </c>
      <c r="K4128" s="143">
        <v>150</v>
      </c>
      <c r="L4128" s="143">
        <v>170</v>
      </c>
      <c r="W4128" s="143" t="s">
        <v>3147</v>
      </c>
      <c r="X4128" s="143" t="s">
        <v>11520</v>
      </c>
      <c r="Y4128" s="143" t="s">
        <v>11443</v>
      </c>
      <c r="Z4128" s="143" t="s">
        <v>11520</v>
      </c>
    </row>
    <row r="4129" spans="1:26">
      <c r="A4129" s="143">
        <v>4013</v>
      </c>
      <c r="B4129" s="144">
        <v>46163</v>
      </c>
      <c r="C4129" s="169" t="s">
        <v>3148</v>
      </c>
      <c r="F4129" s="143" t="s">
        <v>11522</v>
      </c>
      <c r="H4129" s="143" t="s">
        <v>11523</v>
      </c>
      <c r="K4129" s="143">
        <v>150</v>
      </c>
      <c r="L4129" s="143">
        <v>160</v>
      </c>
      <c r="W4129" s="143" t="s">
        <v>3147</v>
      </c>
      <c r="X4129" s="143" t="s">
        <v>11522</v>
      </c>
      <c r="Y4129" s="143" t="s">
        <v>11443</v>
      </c>
      <c r="Z4129" s="143" t="s">
        <v>11522</v>
      </c>
    </row>
    <row r="4130" spans="1:26">
      <c r="A4130" s="143">
        <v>4014</v>
      </c>
      <c r="B4130" s="144">
        <v>46163</v>
      </c>
      <c r="C4130" s="169" t="s">
        <v>3148</v>
      </c>
      <c r="F4130" s="143" t="s">
        <v>11524</v>
      </c>
      <c r="H4130" s="143" t="s">
        <v>11525</v>
      </c>
      <c r="K4130" s="143">
        <v>150</v>
      </c>
      <c r="L4130" s="143">
        <v>130</v>
      </c>
      <c r="W4130" s="143" t="s">
        <v>3147</v>
      </c>
      <c r="X4130" s="143" t="s">
        <v>11524</v>
      </c>
      <c r="Y4130" s="143" t="s">
        <v>11443</v>
      </c>
      <c r="Z4130" s="143" t="s">
        <v>11524</v>
      </c>
    </row>
    <row r="4131" spans="1:26">
      <c r="A4131" s="143">
        <v>4015</v>
      </c>
      <c r="B4131" s="144">
        <v>46163</v>
      </c>
      <c r="C4131" s="169" t="s">
        <v>3148</v>
      </c>
      <c r="F4131" s="143" t="s">
        <v>11526</v>
      </c>
      <c r="H4131" s="143" t="s">
        <v>11527</v>
      </c>
      <c r="K4131" s="143">
        <v>150</v>
      </c>
      <c r="L4131" s="143">
        <v>190</v>
      </c>
      <c r="W4131" s="143" t="s">
        <v>3147</v>
      </c>
      <c r="X4131" s="143" t="s">
        <v>11526</v>
      </c>
      <c r="Y4131" s="143" t="s">
        <v>11443</v>
      </c>
      <c r="Z4131" s="143" t="s">
        <v>11526</v>
      </c>
    </row>
    <row r="4132" spans="1:26">
      <c r="A4132" s="143">
        <v>4016</v>
      </c>
      <c r="B4132" s="144">
        <v>46163</v>
      </c>
      <c r="C4132" s="169" t="s">
        <v>3148</v>
      </c>
      <c r="F4132" s="143" t="s">
        <v>11528</v>
      </c>
      <c r="H4132" s="143" t="s">
        <v>11529</v>
      </c>
      <c r="K4132" s="143">
        <v>150</v>
      </c>
      <c r="L4132" s="143">
        <v>180</v>
      </c>
      <c r="W4132" s="143" t="s">
        <v>3147</v>
      </c>
      <c r="X4132" s="143" t="s">
        <v>11528</v>
      </c>
      <c r="Y4132" s="143" t="s">
        <v>11443</v>
      </c>
      <c r="Z4132" s="143" t="s">
        <v>11528</v>
      </c>
    </row>
    <row r="4133" spans="1:26">
      <c r="A4133" s="143">
        <v>4017</v>
      </c>
      <c r="B4133" s="144">
        <v>46163</v>
      </c>
      <c r="C4133" s="169" t="s">
        <v>3148</v>
      </c>
      <c r="F4133" s="143" t="s">
        <v>11530</v>
      </c>
      <c r="H4133" s="143" t="s">
        <v>11531</v>
      </c>
      <c r="K4133" s="143">
        <v>150</v>
      </c>
      <c r="L4133" s="143">
        <v>160</v>
      </c>
      <c r="W4133" s="143" t="s">
        <v>3147</v>
      </c>
      <c r="X4133" s="143" t="s">
        <v>11530</v>
      </c>
      <c r="Y4133" s="143" t="s">
        <v>11443</v>
      </c>
      <c r="Z4133" s="143" t="s">
        <v>11530</v>
      </c>
    </row>
    <row r="4134" spans="1:26">
      <c r="A4134" s="143">
        <v>4018</v>
      </c>
      <c r="B4134" s="144">
        <v>46163</v>
      </c>
      <c r="C4134" s="169" t="s">
        <v>3148</v>
      </c>
      <c r="F4134" s="143" t="s">
        <v>11532</v>
      </c>
      <c r="H4134" s="143" t="s">
        <v>11533</v>
      </c>
      <c r="K4134" s="143">
        <v>150</v>
      </c>
      <c r="L4134" s="143">
        <v>220</v>
      </c>
      <c r="W4134" s="143" t="s">
        <v>3147</v>
      </c>
      <c r="X4134" s="143" t="s">
        <v>11532</v>
      </c>
      <c r="Y4134" s="143" t="s">
        <v>11443</v>
      </c>
      <c r="Z4134" s="143" t="s">
        <v>11532</v>
      </c>
    </row>
    <row r="4135" spans="1:26">
      <c r="A4135" s="143">
        <v>4019</v>
      </c>
      <c r="B4135" s="144">
        <v>46163</v>
      </c>
      <c r="C4135" s="169" t="s">
        <v>3148</v>
      </c>
      <c r="F4135" s="143" t="s">
        <v>11534</v>
      </c>
      <c r="H4135" s="143" t="s">
        <v>11535</v>
      </c>
      <c r="K4135" s="143">
        <v>150</v>
      </c>
      <c r="L4135" s="143">
        <v>180</v>
      </c>
      <c r="W4135" s="143" t="s">
        <v>3147</v>
      </c>
      <c r="X4135" s="143" t="s">
        <v>11534</v>
      </c>
      <c r="Y4135" s="143" t="s">
        <v>11443</v>
      </c>
      <c r="Z4135" s="143" t="s">
        <v>11534</v>
      </c>
    </row>
    <row r="4136" spans="1:26">
      <c r="A4136" s="143">
        <v>4020</v>
      </c>
      <c r="B4136" s="144">
        <v>46163</v>
      </c>
      <c r="C4136" s="169" t="s">
        <v>3148</v>
      </c>
      <c r="F4136" s="143" t="s">
        <v>11536</v>
      </c>
      <c r="H4136" s="143" t="s">
        <v>11537</v>
      </c>
      <c r="K4136" s="143">
        <v>150</v>
      </c>
      <c r="L4136" s="143">
        <v>130</v>
      </c>
      <c r="W4136" s="143" t="s">
        <v>3147</v>
      </c>
      <c r="X4136" s="143" t="s">
        <v>11536</v>
      </c>
      <c r="Y4136" s="143" t="s">
        <v>11443</v>
      </c>
      <c r="Z4136" s="143" t="s">
        <v>11536</v>
      </c>
    </row>
    <row r="4137" spans="1:26">
      <c r="A4137" s="143">
        <v>4021</v>
      </c>
      <c r="B4137" s="144">
        <v>46163</v>
      </c>
      <c r="C4137" s="169" t="s">
        <v>3148</v>
      </c>
      <c r="F4137" s="143" t="s">
        <v>11538</v>
      </c>
      <c r="H4137" s="143" t="s">
        <v>11539</v>
      </c>
      <c r="K4137" s="143">
        <v>150</v>
      </c>
      <c r="L4137" s="143">
        <v>180</v>
      </c>
      <c r="W4137" s="143" t="s">
        <v>3147</v>
      </c>
      <c r="X4137" s="143" t="s">
        <v>11538</v>
      </c>
      <c r="Y4137" s="143" t="s">
        <v>11443</v>
      </c>
      <c r="Z4137" s="143" t="s">
        <v>11538</v>
      </c>
    </row>
    <row r="4138" spans="1:26">
      <c r="A4138" s="143">
        <v>4022</v>
      </c>
      <c r="B4138" s="144">
        <v>46163</v>
      </c>
      <c r="C4138" s="169" t="s">
        <v>3148</v>
      </c>
      <c r="F4138" s="143" t="s">
        <v>11540</v>
      </c>
      <c r="H4138" s="143" t="s">
        <v>11541</v>
      </c>
      <c r="K4138" s="143">
        <v>150</v>
      </c>
      <c r="L4138" s="143">
        <v>200</v>
      </c>
      <c r="W4138" s="143" t="s">
        <v>3147</v>
      </c>
      <c r="X4138" s="143" t="s">
        <v>11540</v>
      </c>
      <c r="Y4138" s="143" t="s">
        <v>11443</v>
      </c>
      <c r="Z4138" s="143" t="s">
        <v>11540</v>
      </c>
    </row>
    <row r="4139" spans="1:26">
      <c r="A4139" s="143">
        <v>4023</v>
      </c>
      <c r="B4139" s="144">
        <v>46163</v>
      </c>
      <c r="C4139" s="169" t="s">
        <v>3148</v>
      </c>
      <c r="F4139" s="143" t="s">
        <v>11542</v>
      </c>
      <c r="H4139" s="143" t="s">
        <v>11543</v>
      </c>
      <c r="K4139" s="143">
        <v>150</v>
      </c>
      <c r="L4139" s="143">
        <v>180</v>
      </c>
      <c r="W4139" s="143" t="s">
        <v>3147</v>
      </c>
      <c r="X4139" s="143" t="s">
        <v>11542</v>
      </c>
      <c r="Y4139" s="143" t="s">
        <v>11443</v>
      </c>
      <c r="Z4139" s="143" t="s">
        <v>11542</v>
      </c>
    </row>
    <row r="4140" spans="1:26">
      <c r="A4140" s="143">
        <v>4024</v>
      </c>
      <c r="B4140" s="144">
        <v>46163</v>
      </c>
      <c r="C4140" s="169" t="s">
        <v>3148</v>
      </c>
      <c r="F4140" s="143" t="s">
        <v>11544</v>
      </c>
      <c r="H4140" s="143" t="s">
        <v>11545</v>
      </c>
      <c r="K4140" s="143">
        <v>150</v>
      </c>
      <c r="L4140" s="143">
        <v>200</v>
      </c>
      <c r="W4140" s="143" t="s">
        <v>3147</v>
      </c>
      <c r="X4140" s="143" t="s">
        <v>11544</v>
      </c>
      <c r="Y4140" s="143" t="s">
        <v>11443</v>
      </c>
      <c r="Z4140" s="143" t="s">
        <v>11544</v>
      </c>
    </row>
    <row r="4141" spans="1:26">
      <c r="A4141" s="143">
        <v>4025</v>
      </c>
      <c r="B4141" s="144">
        <v>46163</v>
      </c>
      <c r="C4141" s="169" t="s">
        <v>3148</v>
      </c>
      <c r="F4141" s="143" t="s">
        <v>11546</v>
      </c>
      <c r="H4141" s="143" t="s">
        <v>11547</v>
      </c>
      <c r="K4141" s="143">
        <v>150</v>
      </c>
      <c r="L4141" s="143">
        <v>170</v>
      </c>
      <c r="W4141" s="143" t="s">
        <v>3147</v>
      </c>
      <c r="X4141" s="143" t="s">
        <v>11546</v>
      </c>
      <c r="Y4141" s="143" t="s">
        <v>11443</v>
      </c>
      <c r="Z4141" s="143" t="s">
        <v>11546</v>
      </c>
    </row>
    <row r="4142" spans="1:26">
      <c r="A4142" s="143">
        <v>4026</v>
      </c>
      <c r="B4142" s="144">
        <v>46163</v>
      </c>
      <c r="C4142" s="169" t="s">
        <v>3148</v>
      </c>
      <c r="F4142" s="143" t="s">
        <v>11548</v>
      </c>
      <c r="H4142" s="143" t="s">
        <v>11549</v>
      </c>
      <c r="K4142" s="143">
        <v>150</v>
      </c>
      <c r="L4142" s="143">
        <v>160</v>
      </c>
      <c r="W4142" s="143" t="s">
        <v>3147</v>
      </c>
      <c r="X4142" s="143" t="s">
        <v>11548</v>
      </c>
      <c r="Y4142" s="143" t="s">
        <v>11443</v>
      </c>
      <c r="Z4142" s="143" t="s">
        <v>11548</v>
      </c>
    </row>
    <row r="4143" spans="1:26">
      <c r="A4143" s="143">
        <v>4027</v>
      </c>
      <c r="B4143" s="144">
        <v>46163</v>
      </c>
      <c r="C4143" s="169" t="s">
        <v>3148</v>
      </c>
      <c r="F4143" s="143" t="s">
        <v>11550</v>
      </c>
      <c r="H4143" s="143" t="s">
        <v>11551</v>
      </c>
      <c r="K4143" s="143">
        <v>150</v>
      </c>
      <c r="L4143" s="143">
        <v>200</v>
      </c>
      <c r="W4143" s="143" t="s">
        <v>3147</v>
      </c>
      <c r="X4143" s="143" t="s">
        <v>11550</v>
      </c>
      <c r="Y4143" s="143" t="s">
        <v>11443</v>
      </c>
      <c r="Z4143" s="143" t="s">
        <v>11550</v>
      </c>
    </row>
    <row r="4144" spans="1:26">
      <c r="A4144" s="143">
        <v>4028</v>
      </c>
      <c r="B4144" s="144">
        <v>46163</v>
      </c>
      <c r="C4144" s="169" t="s">
        <v>3148</v>
      </c>
      <c r="F4144" s="143" t="s">
        <v>11552</v>
      </c>
      <c r="H4144" s="143" t="s">
        <v>11553</v>
      </c>
      <c r="K4144" s="143">
        <v>150</v>
      </c>
      <c r="L4144" s="143">
        <v>160</v>
      </c>
      <c r="W4144" s="143" t="s">
        <v>3147</v>
      </c>
      <c r="X4144" s="143" t="s">
        <v>11552</v>
      </c>
      <c r="Y4144" s="143" t="s">
        <v>11443</v>
      </c>
      <c r="Z4144" s="143" t="s">
        <v>11552</v>
      </c>
    </row>
    <row r="4145" spans="1:26">
      <c r="A4145" s="143">
        <v>4029</v>
      </c>
      <c r="B4145" s="144">
        <v>46163</v>
      </c>
      <c r="C4145" s="169" t="s">
        <v>3148</v>
      </c>
      <c r="F4145" s="143" t="s">
        <v>11554</v>
      </c>
      <c r="H4145" s="143" t="s">
        <v>11555</v>
      </c>
      <c r="K4145" s="143">
        <v>150</v>
      </c>
      <c r="L4145" s="143">
        <v>200</v>
      </c>
      <c r="W4145" s="143" t="s">
        <v>3147</v>
      </c>
      <c r="X4145" s="143" t="s">
        <v>11554</v>
      </c>
      <c r="Y4145" s="143" t="s">
        <v>11443</v>
      </c>
      <c r="Z4145" s="143" t="s">
        <v>11554</v>
      </c>
    </row>
    <row r="4146" spans="1:26">
      <c r="A4146" s="143">
        <v>4030</v>
      </c>
      <c r="B4146" s="144">
        <v>46163</v>
      </c>
      <c r="C4146" s="169" t="s">
        <v>3148</v>
      </c>
      <c r="F4146" s="143" t="s">
        <v>11556</v>
      </c>
      <c r="H4146" s="143" t="s">
        <v>11557</v>
      </c>
      <c r="K4146" s="143">
        <v>150</v>
      </c>
      <c r="L4146" s="143">
        <v>200</v>
      </c>
      <c r="W4146" s="143" t="s">
        <v>3147</v>
      </c>
      <c r="X4146" s="143" t="s">
        <v>11556</v>
      </c>
      <c r="Y4146" s="143" t="s">
        <v>11443</v>
      </c>
      <c r="Z4146" s="143" t="s">
        <v>11556</v>
      </c>
    </row>
    <row r="4147" spans="1:26">
      <c r="A4147" s="143">
        <v>4031</v>
      </c>
      <c r="B4147" s="144">
        <v>46163</v>
      </c>
      <c r="C4147" s="169" t="s">
        <v>3148</v>
      </c>
      <c r="F4147" s="143" t="s">
        <v>11558</v>
      </c>
      <c r="H4147" s="143" t="s">
        <v>11559</v>
      </c>
      <c r="K4147" s="143">
        <v>150</v>
      </c>
      <c r="L4147" s="143">
        <v>200</v>
      </c>
      <c r="W4147" s="143" t="s">
        <v>3147</v>
      </c>
      <c r="X4147" s="143" t="s">
        <v>11558</v>
      </c>
      <c r="Y4147" s="143" t="s">
        <v>11443</v>
      </c>
      <c r="Z4147" s="143" t="s">
        <v>11558</v>
      </c>
    </row>
    <row r="4148" spans="1:26">
      <c r="A4148" s="143">
        <v>4032</v>
      </c>
      <c r="B4148" s="144">
        <v>46163</v>
      </c>
      <c r="C4148" s="169" t="s">
        <v>3148</v>
      </c>
      <c r="F4148" s="143" t="s">
        <v>11560</v>
      </c>
      <c r="H4148" s="143" t="s">
        <v>11561</v>
      </c>
      <c r="K4148" s="143">
        <v>150</v>
      </c>
      <c r="L4148" s="143">
        <v>190</v>
      </c>
      <c r="W4148" s="143" t="s">
        <v>3147</v>
      </c>
      <c r="X4148" s="143" t="s">
        <v>11560</v>
      </c>
      <c r="Y4148" s="143" t="s">
        <v>11443</v>
      </c>
      <c r="Z4148" s="143" t="s">
        <v>11560</v>
      </c>
    </row>
    <row r="4149" spans="1:26">
      <c r="A4149" s="143">
        <v>4033</v>
      </c>
      <c r="B4149" s="144">
        <v>46163</v>
      </c>
      <c r="C4149" s="169" t="s">
        <v>3148</v>
      </c>
      <c r="F4149" s="143" t="s">
        <v>11562</v>
      </c>
      <c r="H4149" s="143" t="s">
        <v>11563</v>
      </c>
      <c r="K4149" s="143">
        <v>150</v>
      </c>
      <c r="L4149" s="143">
        <v>160</v>
      </c>
      <c r="W4149" s="143" t="s">
        <v>3147</v>
      </c>
      <c r="X4149" s="143" t="s">
        <v>11562</v>
      </c>
      <c r="Y4149" s="143" t="s">
        <v>11443</v>
      </c>
      <c r="Z4149" s="143" t="s">
        <v>11562</v>
      </c>
    </row>
    <row r="4150" spans="1:26">
      <c r="A4150" s="143">
        <v>4034</v>
      </c>
      <c r="B4150" s="144">
        <v>46163</v>
      </c>
      <c r="C4150" s="169" t="s">
        <v>3148</v>
      </c>
      <c r="F4150" s="143" t="s">
        <v>11564</v>
      </c>
      <c r="H4150" s="143" t="s">
        <v>11565</v>
      </c>
      <c r="K4150" s="143">
        <v>150</v>
      </c>
      <c r="L4150" s="143">
        <v>170</v>
      </c>
      <c r="W4150" s="143" t="s">
        <v>3147</v>
      </c>
      <c r="X4150" s="143" t="s">
        <v>11564</v>
      </c>
      <c r="Y4150" s="143" t="s">
        <v>11443</v>
      </c>
      <c r="Z4150" s="143" t="s">
        <v>11564</v>
      </c>
    </row>
    <row r="4151" spans="1:26">
      <c r="A4151" s="143">
        <v>4035</v>
      </c>
      <c r="B4151" s="144">
        <v>46163</v>
      </c>
      <c r="C4151" s="169" t="s">
        <v>3148</v>
      </c>
      <c r="F4151" s="143" t="s">
        <v>11566</v>
      </c>
      <c r="H4151" s="143" t="s">
        <v>11567</v>
      </c>
      <c r="K4151" s="143">
        <v>150</v>
      </c>
      <c r="L4151" s="143">
        <v>200</v>
      </c>
      <c r="W4151" s="143" t="s">
        <v>3147</v>
      </c>
      <c r="X4151" s="143" t="s">
        <v>11566</v>
      </c>
      <c r="Y4151" s="143" t="s">
        <v>11443</v>
      </c>
      <c r="Z4151" s="143" t="s">
        <v>11566</v>
      </c>
    </row>
    <row r="4152" spans="1:26">
      <c r="A4152" s="143">
        <v>4036</v>
      </c>
      <c r="B4152" s="144">
        <v>46163</v>
      </c>
      <c r="C4152" s="169" t="s">
        <v>3148</v>
      </c>
      <c r="F4152" s="143" t="s">
        <v>11568</v>
      </c>
      <c r="H4152" s="143" t="s">
        <v>11569</v>
      </c>
      <c r="K4152" s="143">
        <v>150</v>
      </c>
      <c r="L4152" s="143">
        <v>180</v>
      </c>
      <c r="W4152" s="143" t="s">
        <v>3147</v>
      </c>
      <c r="X4152" s="143" t="s">
        <v>11568</v>
      </c>
      <c r="Y4152" s="143" t="s">
        <v>11443</v>
      </c>
      <c r="Z4152" s="143" t="s">
        <v>11568</v>
      </c>
    </row>
    <row r="4153" spans="1:26">
      <c r="A4153" s="143">
        <v>4037</v>
      </c>
      <c r="B4153" s="144">
        <v>46163</v>
      </c>
      <c r="C4153" s="169" t="s">
        <v>3148</v>
      </c>
      <c r="F4153" s="143" t="s">
        <v>11570</v>
      </c>
      <c r="H4153" s="143" t="s">
        <v>11571</v>
      </c>
      <c r="K4153" s="143">
        <v>150</v>
      </c>
      <c r="L4153" s="143">
        <v>190</v>
      </c>
      <c r="W4153" s="143" t="s">
        <v>3147</v>
      </c>
      <c r="X4153" s="143" t="s">
        <v>11570</v>
      </c>
      <c r="Y4153" s="143" t="s">
        <v>11443</v>
      </c>
      <c r="Z4153" s="143" t="s">
        <v>11570</v>
      </c>
    </row>
    <row r="4154" spans="1:26">
      <c r="A4154" s="143">
        <v>4038</v>
      </c>
      <c r="B4154" s="144">
        <v>46163</v>
      </c>
      <c r="C4154" s="169" t="s">
        <v>3148</v>
      </c>
      <c r="F4154" s="143" t="s">
        <v>11572</v>
      </c>
      <c r="H4154" s="143" t="s">
        <v>11573</v>
      </c>
      <c r="K4154" s="143">
        <v>150</v>
      </c>
      <c r="L4154" s="143">
        <v>185</v>
      </c>
      <c r="W4154" s="143" t="s">
        <v>3147</v>
      </c>
      <c r="X4154" s="143" t="s">
        <v>11572</v>
      </c>
      <c r="Y4154" s="143" t="s">
        <v>11443</v>
      </c>
      <c r="Z4154" s="143" t="s">
        <v>11572</v>
      </c>
    </row>
    <row r="4155" spans="1:26">
      <c r="A4155" s="143">
        <v>4039</v>
      </c>
      <c r="B4155" s="144">
        <v>46163</v>
      </c>
      <c r="C4155" s="169" t="s">
        <v>3148</v>
      </c>
      <c r="F4155" s="143" t="s">
        <v>11574</v>
      </c>
      <c r="H4155" s="143" t="s">
        <v>11575</v>
      </c>
      <c r="K4155" s="143">
        <v>150</v>
      </c>
      <c r="L4155" s="143">
        <v>180</v>
      </c>
      <c r="W4155" s="143" t="s">
        <v>3147</v>
      </c>
      <c r="X4155" s="143" t="s">
        <v>11574</v>
      </c>
      <c r="Y4155" s="143" t="s">
        <v>11443</v>
      </c>
      <c r="Z4155" s="143" t="s">
        <v>11574</v>
      </c>
    </row>
    <row r="4156" spans="1:26">
      <c r="A4156" s="143">
        <v>4040</v>
      </c>
      <c r="B4156" s="144">
        <v>46163</v>
      </c>
      <c r="C4156" s="169" t="s">
        <v>3148</v>
      </c>
      <c r="F4156" s="143" t="s">
        <v>11576</v>
      </c>
      <c r="H4156" s="143" t="s">
        <v>11577</v>
      </c>
      <c r="K4156" s="143">
        <v>150</v>
      </c>
      <c r="L4156" s="143">
        <v>180</v>
      </c>
      <c r="W4156" s="143" t="s">
        <v>3147</v>
      </c>
      <c r="X4156" s="143" t="s">
        <v>11576</v>
      </c>
      <c r="Y4156" s="143" t="s">
        <v>11443</v>
      </c>
      <c r="Z4156" s="143" t="s">
        <v>11576</v>
      </c>
    </row>
    <row r="4157" spans="1:26">
      <c r="A4157" s="143">
        <v>4041</v>
      </c>
      <c r="B4157" s="144">
        <v>46163</v>
      </c>
      <c r="C4157" s="169" t="s">
        <v>3148</v>
      </c>
      <c r="F4157" s="143" t="s">
        <v>11578</v>
      </c>
      <c r="H4157" s="143" t="s">
        <v>11579</v>
      </c>
      <c r="K4157" s="143">
        <v>150</v>
      </c>
      <c r="L4157" s="143">
        <v>180</v>
      </c>
      <c r="W4157" s="143" t="s">
        <v>3147</v>
      </c>
      <c r="X4157" s="143" t="s">
        <v>11578</v>
      </c>
      <c r="Y4157" s="143" t="s">
        <v>11443</v>
      </c>
      <c r="Z4157" s="143" t="s">
        <v>11578</v>
      </c>
    </row>
    <row r="4158" spans="1:26">
      <c r="A4158" s="143">
        <v>4042</v>
      </c>
      <c r="B4158" s="144">
        <v>46163</v>
      </c>
      <c r="C4158" s="169" t="s">
        <v>3148</v>
      </c>
      <c r="F4158" s="143" t="s">
        <v>11580</v>
      </c>
      <c r="H4158" s="143" t="s">
        <v>11581</v>
      </c>
      <c r="K4158" s="143">
        <v>150</v>
      </c>
      <c r="L4158" s="143">
        <v>190</v>
      </c>
      <c r="W4158" s="143" t="s">
        <v>3147</v>
      </c>
      <c r="X4158" s="143" t="s">
        <v>11580</v>
      </c>
      <c r="Y4158" s="143" t="s">
        <v>11443</v>
      </c>
      <c r="Z4158" s="143" t="s">
        <v>11580</v>
      </c>
    </row>
    <row r="4159" spans="1:26">
      <c r="A4159" s="143">
        <v>4043</v>
      </c>
      <c r="B4159" s="144">
        <v>46163</v>
      </c>
      <c r="C4159" s="169" t="s">
        <v>3148</v>
      </c>
      <c r="F4159" s="143" t="s">
        <v>11582</v>
      </c>
      <c r="H4159" s="143" t="s">
        <v>11583</v>
      </c>
      <c r="K4159" s="143">
        <v>150</v>
      </c>
      <c r="L4159" s="143">
        <v>200</v>
      </c>
      <c r="W4159" s="143" t="s">
        <v>3147</v>
      </c>
      <c r="X4159" s="143" t="s">
        <v>11582</v>
      </c>
      <c r="Y4159" s="143" t="s">
        <v>11443</v>
      </c>
      <c r="Z4159" s="143" t="s">
        <v>11582</v>
      </c>
    </row>
    <row r="4160" spans="1:26">
      <c r="A4160" s="143">
        <v>4044</v>
      </c>
      <c r="B4160" s="144">
        <v>46163</v>
      </c>
      <c r="C4160" s="169" t="s">
        <v>3148</v>
      </c>
      <c r="F4160" s="143" t="s">
        <v>11584</v>
      </c>
      <c r="H4160" s="143" t="s">
        <v>11585</v>
      </c>
      <c r="K4160" s="143">
        <v>135</v>
      </c>
      <c r="L4160" s="143">
        <v>250</v>
      </c>
      <c r="W4160" s="143" t="s">
        <v>3147</v>
      </c>
      <c r="X4160" s="143" t="s">
        <v>11584</v>
      </c>
      <c r="Y4160" s="143" t="s">
        <v>11443</v>
      </c>
      <c r="Z4160" s="143" t="s">
        <v>11584</v>
      </c>
    </row>
    <row r="4161" spans="1:26">
      <c r="A4161" s="143">
        <v>4045</v>
      </c>
      <c r="B4161" s="144">
        <v>46163</v>
      </c>
      <c r="C4161" s="169" t="s">
        <v>3148</v>
      </c>
      <c r="F4161" s="143" t="s">
        <v>11586</v>
      </c>
      <c r="H4161" s="143" t="s">
        <v>11587</v>
      </c>
      <c r="K4161" s="143">
        <v>140</v>
      </c>
      <c r="L4161" s="143">
        <v>160</v>
      </c>
      <c r="W4161" s="143" t="s">
        <v>3147</v>
      </c>
      <c r="X4161" s="143" t="s">
        <v>11586</v>
      </c>
      <c r="Y4161" s="143" t="s">
        <v>11443</v>
      </c>
      <c r="Z4161" s="143" t="s">
        <v>11586</v>
      </c>
    </row>
    <row r="4162" spans="1:26">
      <c r="A4162" s="143">
        <v>4046</v>
      </c>
      <c r="B4162" s="144">
        <v>46163</v>
      </c>
      <c r="C4162" s="169" t="s">
        <v>3148</v>
      </c>
      <c r="F4162" s="143" t="s">
        <v>11588</v>
      </c>
      <c r="H4162" s="143" t="s">
        <v>11589</v>
      </c>
      <c r="K4162" s="143">
        <v>145</v>
      </c>
      <c r="L4162" s="143">
        <v>160</v>
      </c>
      <c r="W4162" s="143" t="s">
        <v>3147</v>
      </c>
      <c r="X4162" s="143" t="s">
        <v>11588</v>
      </c>
      <c r="Y4162" s="143" t="s">
        <v>11443</v>
      </c>
      <c r="Z4162" s="143" t="s">
        <v>11588</v>
      </c>
    </row>
    <row r="4163" spans="1:26">
      <c r="A4163" s="143">
        <v>4047</v>
      </c>
      <c r="B4163" s="144">
        <v>46163</v>
      </c>
      <c r="C4163" s="169" t="s">
        <v>3148</v>
      </c>
      <c r="F4163" s="143" t="s">
        <v>11590</v>
      </c>
      <c r="H4163" s="143" t="s">
        <v>11591</v>
      </c>
      <c r="K4163" s="143">
        <v>150</v>
      </c>
      <c r="L4163" s="143">
        <v>220</v>
      </c>
      <c r="W4163" s="143" t="s">
        <v>3147</v>
      </c>
      <c r="X4163" s="143" t="s">
        <v>11590</v>
      </c>
      <c r="Y4163" s="143" t="s">
        <v>11443</v>
      </c>
      <c r="Z4163" s="143" t="s">
        <v>11590</v>
      </c>
    </row>
    <row r="4164" spans="1:26">
      <c r="A4164" s="143">
        <v>4048</v>
      </c>
      <c r="B4164" s="144">
        <v>46163</v>
      </c>
      <c r="C4164" s="169" t="s">
        <v>3148</v>
      </c>
      <c r="F4164" s="143" t="s">
        <v>11592</v>
      </c>
      <c r="H4164" s="143" t="s">
        <v>11593</v>
      </c>
      <c r="K4164" s="143">
        <v>150</v>
      </c>
      <c r="L4164" s="143">
        <v>190</v>
      </c>
      <c r="W4164" s="143" t="s">
        <v>3147</v>
      </c>
      <c r="X4164" s="143" t="s">
        <v>11592</v>
      </c>
      <c r="Y4164" s="143" t="s">
        <v>11443</v>
      </c>
      <c r="Z4164" s="143" t="s">
        <v>11592</v>
      </c>
    </row>
    <row r="4165" spans="1:26">
      <c r="A4165" s="143">
        <v>4049</v>
      </c>
      <c r="B4165" s="144">
        <v>46163</v>
      </c>
      <c r="C4165" s="169" t="s">
        <v>3148</v>
      </c>
      <c r="F4165" s="143" t="s">
        <v>11594</v>
      </c>
      <c r="H4165" s="143" t="s">
        <v>11595</v>
      </c>
      <c r="K4165" s="143">
        <v>155</v>
      </c>
      <c r="L4165" s="143">
        <v>250</v>
      </c>
      <c r="W4165" s="143" t="s">
        <v>3147</v>
      </c>
      <c r="X4165" s="143" t="s">
        <v>11594</v>
      </c>
      <c r="Y4165" s="143" t="s">
        <v>11443</v>
      </c>
      <c r="Z4165" s="143" t="s">
        <v>11594</v>
      </c>
    </row>
    <row r="4172" spans="1:26">
      <c r="F4172" s="143" t="s">
        <v>11596</v>
      </c>
      <c r="H4172" s="269" t="s">
        <v>11597</v>
      </c>
      <c r="I4172" s="143" t="s">
        <v>11598</v>
      </c>
      <c r="K4172" s="143">
        <v>138</v>
      </c>
      <c r="L4172" s="143">
        <v>175</v>
      </c>
      <c r="Y4172" s="169" t="s">
        <v>9352</v>
      </c>
    </row>
    <row r="4173" spans="1:26">
      <c r="H4173" s="269" t="s">
        <v>11599</v>
      </c>
    </row>
    <row r="4174" spans="1:26">
      <c r="H4174" s="269" t="s">
        <v>11600</v>
      </c>
    </row>
    <row r="4175" spans="1:26">
      <c r="H4175" s="269" t="s">
        <v>11601</v>
      </c>
    </row>
    <row r="4176" spans="1:26">
      <c r="H4176" s="269" t="s">
        <v>11602</v>
      </c>
    </row>
    <row r="4177" spans="8:8">
      <c r="H4177" s="269" t="s">
        <v>11603</v>
      </c>
    </row>
    <row r="4178" spans="8:8">
      <c r="H4178" s="269" t="s">
        <v>11604</v>
      </c>
    </row>
    <row r="4179" spans="8:8">
      <c r="H4179" s="269" t="s">
        <v>11605</v>
      </c>
    </row>
    <row r="4180" spans="8:8">
      <c r="H4180" s="269" t="s">
        <v>11606</v>
      </c>
    </row>
    <row r="4181" spans="8:8">
      <c r="H4181" s="269" t="s">
        <v>11607</v>
      </c>
    </row>
    <row r="4182" spans="8:8">
      <c r="H4182" s="269" t="s">
        <v>11608</v>
      </c>
    </row>
    <row r="4183" spans="8:8">
      <c r="H4183" s="269" t="s">
        <v>11609</v>
      </c>
    </row>
    <row r="4184" spans="8:8">
      <c r="H4184" s="269" t="s">
        <v>11610</v>
      </c>
    </row>
    <row r="4185" spans="8:8">
      <c r="H4185" s="269" t="s">
        <v>11611</v>
      </c>
    </row>
    <row r="4186" spans="8:8">
      <c r="H4186" s="269" t="s">
        <v>11612</v>
      </c>
    </row>
    <row r="4187" spans="8:8">
      <c r="H4187" s="269" t="s">
        <v>11613</v>
      </c>
    </row>
    <row r="4188" spans="8:8">
      <c r="H4188" s="269" t="s">
        <v>11614</v>
      </c>
    </row>
    <row r="4189" spans="8:8">
      <c r="H4189" s="269" t="s">
        <v>11615</v>
      </c>
    </row>
    <row r="4190" spans="8:8">
      <c r="H4190" s="269" t="s">
        <v>11616</v>
      </c>
    </row>
    <row r="4191" spans="8:8">
      <c r="H4191" s="269" t="s">
        <v>11617</v>
      </c>
    </row>
    <row r="4192" spans="8:8">
      <c r="H4192" s="269" t="s">
        <v>11618</v>
      </c>
    </row>
    <row r="4193" spans="8:8">
      <c r="H4193" s="269" t="s">
        <v>11619</v>
      </c>
    </row>
    <row r="4194" spans="8:8">
      <c r="H4194" s="269" t="s">
        <v>11620</v>
      </c>
    </row>
    <row r="4195" spans="8:8">
      <c r="H4195" s="269" t="s">
        <v>11621</v>
      </c>
    </row>
    <row r="4196" spans="8:8">
      <c r="H4196" s="269" t="s">
        <v>11622</v>
      </c>
    </row>
    <row r="4197" spans="8:8">
      <c r="H4197" s="269" t="s">
        <v>11623</v>
      </c>
    </row>
    <row r="4198" spans="8:8">
      <c r="H4198" s="269" t="s">
        <v>11624</v>
      </c>
    </row>
    <row r="4199" spans="8:8">
      <c r="H4199" s="269" t="s">
        <v>11625</v>
      </c>
    </row>
    <row r="4200" spans="8:8">
      <c r="H4200" s="269" t="s">
        <v>11626</v>
      </c>
    </row>
  </sheetData>
  <autoFilter xmlns:etc="http://www.wps.cn/officeDocument/2017/etCustomData" ref="A1:AN4165" etc:filterBottomFollowUsedRange="0">
    <extLst/>
  </autoFilter>
  <mergeCells count="17">
    <mergeCell ref="S1:V1"/>
    <mergeCell ref="W1:AF1"/>
    <mergeCell ref="U2:V2"/>
    <mergeCell ref="E1134:E1135"/>
    <mergeCell ref="E1137:E1138"/>
    <mergeCell ref="E1139:E1140"/>
    <mergeCell ref="E1145:E1146"/>
    <mergeCell ref="E1147:E1148"/>
    <mergeCell ref="E1149:E1150"/>
    <mergeCell ref="E1151:E1152"/>
    <mergeCell ref="E1153:E1154"/>
    <mergeCell ref="E1155:E1157"/>
    <mergeCell ref="E1158:E1159"/>
    <mergeCell ref="E1161:E1162"/>
    <mergeCell ref="E1163:E1164"/>
    <mergeCell ref="E1165:E1167"/>
    <mergeCell ref="E1168:E1170"/>
  </mergeCells>
  <conditionalFormatting sqref="X4">
    <cfRule type="duplicateValues" dxfId="0" priority="364"/>
  </conditionalFormatting>
  <conditionalFormatting sqref="X7">
    <cfRule type="duplicateValues" dxfId="0" priority="363"/>
  </conditionalFormatting>
  <conditionalFormatting sqref="H300">
    <cfRule type="duplicateValues" dxfId="0" priority="1283"/>
  </conditionalFormatting>
  <conditionalFormatting sqref="H301">
    <cfRule type="duplicateValues" dxfId="0" priority="1282"/>
  </conditionalFormatting>
  <conditionalFormatting sqref="H302">
    <cfRule type="duplicateValues" dxfId="0" priority="1281"/>
  </conditionalFormatting>
  <conditionalFormatting sqref="H303">
    <cfRule type="duplicateValues" dxfId="0" priority="1280"/>
  </conditionalFormatting>
  <conditionalFormatting sqref="H304">
    <cfRule type="duplicateValues" dxfId="0" priority="1279"/>
  </conditionalFormatting>
  <conditionalFormatting sqref="H305">
    <cfRule type="duplicateValues" dxfId="0" priority="1278"/>
  </conditionalFormatting>
  <conditionalFormatting sqref="H306">
    <cfRule type="duplicateValues" dxfId="0" priority="1277"/>
  </conditionalFormatting>
  <conditionalFormatting sqref="H307">
    <cfRule type="duplicateValues" dxfId="0" priority="1267"/>
  </conditionalFormatting>
  <conditionalFormatting sqref="H308">
    <cfRule type="duplicateValues" dxfId="0" priority="1266"/>
  </conditionalFormatting>
  <conditionalFormatting sqref="H309">
    <cfRule type="duplicateValues" dxfId="0" priority="1265"/>
  </conditionalFormatting>
  <conditionalFormatting sqref="H310">
    <cfRule type="duplicateValues" dxfId="0" priority="1264"/>
  </conditionalFormatting>
  <conditionalFormatting sqref="H311">
    <cfRule type="duplicateValues" dxfId="0" priority="1263"/>
  </conditionalFormatting>
  <conditionalFormatting sqref="H312">
    <cfRule type="duplicateValues" dxfId="0" priority="1262"/>
  </conditionalFormatting>
  <conditionalFormatting sqref="H313">
    <cfRule type="duplicateValues" dxfId="0" priority="1261"/>
  </conditionalFormatting>
  <conditionalFormatting sqref="H314">
    <cfRule type="duplicateValues" dxfId="0" priority="1260"/>
  </conditionalFormatting>
  <conditionalFormatting sqref="H315">
    <cfRule type="duplicateValues" dxfId="0" priority="1259"/>
  </conditionalFormatting>
  <conditionalFormatting sqref="H316">
    <cfRule type="duplicateValues" dxfId="0" priority="1258"/>
  </conditionalFormatting>
  <conditionalFormatting sqref="H317">
    <cfRule type="duplicateValues" dxfId="0" priority="1257"/>
  </conditionalFormatting>
  <conditionalFormatting sqref="H318">
    <cfRule type="duplicateValues" dxfId="0" priority="1256"/>
  </conditionalFormatting>
  <conditionalFormatting sqref="H319">
    <cfRule type="duplicateValues" dxfId="0" priority="1255"/>
  </conditionalFormatting>
  <conditionalFormatting sqref="H320">
    <cfRule type="duplicateValues" dxfId="0" priority="1254"/>
  </conditionalFormatting>
  <conditionalFormatting sqref="H321">
    <cfRule type="duplicateValues" dxfId="0" priority="1253"/>
  </conditionalFormatting>
  <conditionalFormatting sqref="H322">
    <cfRule type="duplicateValues" dxfId="0" priority="1252"/>
  </conditionalFormatting>
  <conditionalFormatting sqref="H323">
    <cfRule type="duplicateValues" dxfId="0" priority="1251"/>
  </conditionalFormatting>
  <conditionalFormatting sqref="H324">
    <cfRule type="duplicateValues" dxfId="0" priority="1250"/>
  </conditionalFormatting>
  <conditionalFormatting sqref="H325">
    <cfRule type="duplicateValues" dxfId="0" priority="1249"/>
  </conditionalFormatting>
  <conditionalFormatting sqref="H326">
    <cfRule type="duplicateValues" dxfId="0" priority="1248"/>
  </conditionalFormatting>
  <conditionalFormatting sqref="H327">
    <cfRule type="duplicateValues" dxfId="0" priority="1247"/>
  </conditionalFormatting>
  <conditionalFormatting sqref="H328">
    <cfRule type="duplicateValues" dxfId="0" priority="1246"/>
  </conditionalFormatting>
  <conditionalFormatting sqref="H329">
    <cfRule type="duplicateValues" dxfId="0" priority="1245"/>
  </conditionalFormatting>
  <conditionalFormatting sqref="H330">
    <cfRule type="duplicateValues" dxfId="0" priority="1244"/>
  </conditionalFormatting>
  <conditionalFormatting sqref="H331">
    <cfRule type="duplicateValues" dxfId="0" priority="1243"/>
  </conditionalFormatting>
  <conditionalFormatting sqref="H332">
    <cfRule type="duplicateValues" dxfId="0" priority="1242"/>
  </conditionalFormatting>
  <conditionalFormatting sqref="H333">
    <cfRule type="duplicateValues" dxfId="0" priority="1241"/>
  </conditionalFormatting>
  <conditionalFormatting sqref="H334">
    <cfRule type="duplicateValues" dxfId="0" priority="1240"/>
  </conditionalFormatting>
  <conditionalFormatting sqref="H335">
    <cfRule type="duplicateValues" dxfId="0" priority="1239"/>
  </conditionalFormatting>
  <conditionalFormatting sqref="H336">
    <cfRule type="duplicateValues" dxfId="0" priority="1238"/>
  </conditionalFormatting>
  <conditionalFormatting sqref="H337">
    <cfRule type="duplicateValues" dxfId="0" priority="1237"/>
  </conditionalFormatting>
  <conditionalFormatting sqref="H338">
    <cfRule type="duplicateValues" dxfId="0" priority="1236"/>
  </conditionalFormatting>
  <conditionalFormatting sqref="H339">
    <cfRule type="duplicateValues" dxfId="0" priority="1235"/>
  </conditionalFormatting>
  <conditionalFormatting sqref="H340">
    <cfRule type="duplicateValues" dxfId="0" priority="1234"/>
  </conditionalFormatting>
  <conditionalFormatting sqref="H341">
    <cfRule type="duplicateValues" dxfId="0" priority="1233"/>
  </conditionalFormatting>
  <conditionalFormatting sqref="H342">
    <cfRule type="duplicateValues" dxfId="0" priority="1232"/>
  </conditionalFormatting>
  <conditionalFormatting sqref="H343">
    <cfRule type="duplicateValues" dxfId="0" priority="1231"/>
  </conditionalFormatting>
  <conditionalFormatting sqref="H344">
    <cfRule type="duplicateValues" dxfId="0" priority="1230"/>
  </conditionalFormatting>
  <conditionalFormatting sqref="H345">
    <cfRule type="duplicateValues" dxfId="0" priority="1229"/>
  </conditionalFormatting>
  <conditionalFormatting sqref="H346">
    <cfRule type="duplicateValues" dxfId="0" priority="1228"/>
  </conditionalFormatting>
  <conditionalFormatting sqref="H347">
    <cfRule type="duplicateValues" dxfId="0" priority="1227"/>
  </conditionalFormatting>
  <conditionalFormatting sqref="H348">
    <cfRule type="duplicateValues" dxfId="0" priority="1226"/>
  </conditionalFormatting>
  <conditionalFormatting sqref="H349">
    <cfRule type="duplicateValues" dxfId="0" priority="1225"/>
  </conditionalFormatting>
  <conditionalFormatting sqref="H350">
    <cfRule type="duplicateValues" dxfId="0" priority="1224"/>
  </conditionalFormatting>
  <conditionalFormatting sqref="H351">
    <cfRule type="duplicateValues" dxfId="0" priority="1223"/>
  </conditionalFormatting>
  <conditionalFormatting sqref="H352">
    <cfRule type="duplicateValues" dxfId="0" priority="1222"/>
  </conditionalFormatting>
  <conditionalFormatting sqref="H353">
    <cfRule type="duplicateValues" dxfId="0" priority="1221"/>
  </conditionalFormatting>
  <conditionalFormatting sqref="H354">
    <cfRule type="duplicateValues" dxfId="0" priority="1220"/>
  </conditionalFormatting>
  <conditionalFormatting sqref="H355">
    <cfRule type="duplicateValues" dxfId="0" priority="1219"/>
  </conditionalFormatting>
  <conditionalFormatting sqref="H356">
    <cfRule type="duplicateValues" dxfId="0" priority="1218"/>
  </conditionalFormatting>
  <conditionalFormatting sqref="H357">
    <cfRule type="duplicateValues" dxfId="0" priority="1217"/>
  </conditionalFormatting>
  <conditionalFormatting sqref="H358">
    <cfRule type="duplicateValues" dxfId="0" priority="1216"/>
  </conditionalFormatting>
  <conditionalFormatting sqref="H359">
    <cfRule type="duplicateValues" dxfId="0" priority="1215"/>
  </conditionalFormatting>
  <conditionalFormatting sqref="H360">
    <cfRule type="duplicateValues" dxfId="0" priority="1214"/>
  </conditionalFormatting>
  <conditionalFormatting sqref="H361">
    <cfRule type="duplicateValues" dxfId="0" priority="1213"/>
  </conditionalFormatting>
  <conditionalFormatting sqref="H362">
    <cfRule type="duplicateValues" dxfId="0" priority="1212"/>
  </conditionalFormatting>
  <conditionalFormatting sqref="H363">
    <cfRule type="duplicateValues" dxfId="0" priority="1211"/>
  </conditionalFormatting>
  <conditionalFormatting sqref="H364">
    <cfRule type="duplicateValues" dxfId="0" priority="1210"/>
  </conditionalFormatting>
  <conditionalFormatting sqref="H365">
    <cfRule type="duplicateValues" dxfId="0" priority="1209"/>
  </conditionalFormatting>
  <conditionalFormatting sqref="H366">
    <cfRule type="duplicateValues" dxfId="0" priority="1208"/>
  </conditionalFormatting>
  <conditionalFormatting sqref="H367">
    <cfRule type="duplicateValues" dxfId="0" priority="1207"/>
  </conditionalFormatting>
  <conditionalFormatting sqref="H368">
    <cfRule type="duplicateValues" dxfId="0" priority="1206"/>
  </conditionalFormatting>
  <conditionalFormatting sqref="H369">
    <cfRule type="duplicateValues" dxfId="0" priority="1205"/>
  </conditionalFormatting>
  <conditionalFormatting sqref="H370">
    <cfRule type="duplicateValues" dxfId="0" priority="1204"/>
  </conditionalFormatting>
  <conditionalFormatting sqref="H371">
    <cfRule type="duplicateValues" dxfId="0" priority="1203"/>
  </conditionalFormatting>
  <conditionalFormatting sqref="H372">
    <cfRule type="duplicateValues" dxfId="0" priority="1202"/>
  </conditionalFormatting>
  <conditionalFormatting sqref="H373">
    <cfRule type="duplicateValues" dxfId="0" priority="1201"/>
  </conditionalFormatting>
  <conditionalFormatting sqref="H374">
    <cfRule type="duplicateValues" dxfId="0" priority="1200"/>
  </conditionalFormatting>
  <conditionalFormatting sqref="H375">
    <cfRule type="duplicateValues" dxfId="0" priority="1199"/>
  </conditionalFormatting>
  <conditionalFormatting sqref="H376">
    <cfRule type="duplicateValues" dxfId="0" priority="1198"/>
  </conditionalFormatting>
  <conditionalFormatting sqref="H377">
    <cfRule type="duplicateValues" dxfId="0" priority="1197"/>
  </conditionalFormatting>
  <conditionalFormatting sqref="H378">
    <cfRule type="duplicateValues" dxfId="0" priority="1196"/>
  </conditionalFormatting>
  <conditionalFormatting sqref="H379">
    <cfRule type="duplicateValues" dxfId="0" priority="1195"/>
  </conditionalFormatting>
  <conditionalFormatting sqref="H380">
    <cfRule type="duplicateValues" dxfId="0" priority="1194"/>
  </conditionalFormatting>
  <conditionalFormatting sqref="H381">
    <cfRule type="duplicateValues" dxfId="0" priority="1193"/>
  </conditionalFormatting>
  <conditionalFormatting sqref="H382">
    <cfRule type="duplicateValues" dxfId="0" priority="1192"/>
  </conditionalFormatting>
  <conditionalFormatting sqref="H383">
    <cfRule type="duplicateValues" dxfId="0" priority="1191"/>
  </conditionalFormatting>
  <conditionalFormatting sqref="H384">
    <cfRule type="duplicateValues" dxfId="0" priority="1190"/>
  </conditionalFormatting>
  <conditionalFormatting sqref="H385">
    <cfRule type="duplicateValues" dxfId="0" priority="1189"/>
  </conditionalFormatting>
  <conditionalFormatting sqref="H386">
    <cfRule type="duplicateValues" dxfId="0" priority="1188"/>
  </conditionalFormatting>
  <conditionalFormatting sqref="H387">
    <cfRule type="duplicateValues" dxfId="0" priority="1187"/>
  </conditionalFormatting>
  <conditionalFormatting sqref="H388">
    <cfRule type="duplicateValues" dxfId="0" priority="1186"/>
  </conditionalFormatting>
  <conditionalFormatting sqref="H389">
    <cfRule type="duplicateValues" dxfId="0" priority="1185"/>
  </conditionalFormatting>
  <conditionalFormatting sqref="H390">
    <cfRule type="duplicateValues" dxfId="0" priority="1184"/>
  </conditionalFormatting>
  <conditionalFormatting sqref="H391">
    <cfRule type="duplicateValues" dxfId="0" priority="1183"/>
  </conditionalFormatting>
  <conditionalFormatting sqref="H392">
    <cfRule type="duplicateValues" dxfId="0" priority="1182"/>
  </conditionalFormatting>
  <conditionalFormatting sqref="H393">
    <cfRule type="duplicateValues" dxfId="0" priority="1181"/>
  </conditionalFormatting>
  <conditionalFormatting sqref="H394">
    <cfRule type="duplicateValues" dxfId="0" priority="1180"/>
  </conditionalFormatting>
  <conditionalFormatting sqref="H395">
    <cfRule type="duplicateValues" dxfId="0" priority="1179"/>
  </conditionalFormatting>
  <conditionalFormatting sqref="H396">
    <cfRule type="duplicateValues" dxfId="0" priority="1178"/>
  </conditionalFormatting>
  <conditionalFormatting sqref="H397">
    <cfRule type="duplicateValues" dxfId="0" priority="1177"/>
  </conditionalFormatting>
  <conditionalFormatting sqref="H398">
    <cfRule type="duplicateValues" dxfId="0" priority="1176"/>
  </conditionalFormatting>
  <conditionalFormatting sqref="H399">
    <cfRule type="duplicateValues" dxfId="0" priority="1175"/>
  </conditionalFormatting>
  <conditionalFormatting sqref="H400">
    <cfRule type="duplicateValues" dxfId="0" priority="1174"/>
  </conditionalFormatting>
  <conditionalFormatting sqref="H401">
    <cfRule type="duplicateValues" dxfId="0" priority="1173"/>
  </conditionalFormatting>
  <conditionalFormatting sqref="H402">
    <cfRule type="duplicateValues" dxfId="0" priority="1172"/>
  </conditionalFormatting>
  <conditionalFormatting sqref="H403">
    <cfRule type="duplicateValues" dxfId="0" priority="1171"/>
  </conditionalFormatting>
  <conditionalFormatting sqref="H404">
    <cfRule type="duplicateValues" dxfId="0" priority="1170"/>
  </conditionalFormatting>
  <conditionalFormatting sqref="H405">
    <cfRule type="duplicateValues" dxfId="0" priority="1169"/>
  </conditionalFormatting>
  <conditionalFormatting sqref="H406">
    <cfRule type="duplicateValues" dxfId="0" priority="1168"/>
  </conditionalFormatting>
  <conditionalFormatting sqref="H407">
    <cfRule type="duplicateValues" dxfId="0" priority="1167"/>
  </conditionalFormatting>
  <conditionalFormatting sqref="H408">
    <cfRule type="duplicateValues" dxfId="0" priority="1166"/>
  </conditionalFormatting>
  <conditionalFormatting sqref="H409">
    <cfRule type="duplicateValues" dxfId="0" priority="1165"/>
  </conditionalFormatting>
  <conditionalFormatting sqref="H410">
    <cfRule type="duplicateValues" dxfId="0" priority="1164"/>
  </conditionalFormatting>
  <conditionalFormatting sqref="H411">
    <cfRule type="duplicateValues" dxfId="0" priority="1163"/>
  </conditionalFormatting>
  <conditionalFormatting sqref="H412">
    <cfRule type="duplicateValues" dxfId="0" priority="1162"/>
  </conditionalFormatting>
  <conditionalFormatting sqref="H413">
    <cfRule type="duplicateValues" dxfId="0" priority="1161"/>
  </conditionalFormatting>
  <conditionalFormatting sqref="H414">
    <cfRule type="duplicateValues" dxfId="0" priority="1160"/>
  </conditionalFormatting>
  <conditionalFormatting sqref="H415">
    <cfRule type="duplicateValues" dxfId="0" priority="1159"/>
  </conditionalFormatting>
  <conditionalFormatting sqref="H416">
    <cfRule type="duplicateValues" dxfId="0" priority="1158"/>
  </conditionalFormatting>
  <conditionalFormatting sqref="H417">
    <cfRule type="duplicateValues" dxfId="0" priority="1157"/>
  </conditionalFormatting>
  <conditionalFormatting sqref="H418">
    <cfRule type="duplicateValues" dxfId="0" priority="1156"/>
  </conditionalFormatting>
  <conditionalFormatting sqref="H419">
    <cfRule type="duplicateValues" dxfId="0" priority="1155"/>
  </conditionalFormatting>
  <conditionalFormatting sqref="H420">
    <cfRule type="duplicateValues" dxfId="0" priority="1154"/>
  </conditionalFormatting>
  <conditionalFormatting sqref="H421">
    <cfRule type="duplicateValues" dxfId="0" priority="1153"/>
  </conditionalFormatting>
  <conditionalFormatting sqref="H422">
    <cfRule type="duplicateValues" dxfId="0" priority="1152"/>
  </conditionalFormatting>
  <conditionalFormatting sqref="H423">
    <cfRule type="duplicateValues" dxfId="0" priority="1151"/>
  </conditionalFormatting>
  <conditionalFormatting sqref="H424">
    <cfRule type="duplicateValues" dxfId="0" priority="1150"/>
  </conditionalFormatting>
  <conditionalFormatting sqref="H425">
    <cfRule type="duplicateValues" dxfId="0" priority="1149"/>
  </conditionalFormatting>
  <conditionalFormatting sqref="H426">
    <cfRule type="duplicateValues" dxfId="0" priority="1148"/>
  </conditionalFormatting>
  <conditionalFormatting sqref="H427">
    <cfRule type="duplicateValues" dxfId="0" priority="1147"/>
  </conditionalFormatting>
  <conditionalFormatting sqref="H428">
    <cfRule type="duplicateValues" dxfId="0" priority="1146"/>
  </conditionalFormatting>
  <conditionalFormatting sqref="H429">
    <cfRule type="duplicateValues" dxfId="0" priority="1145"/>
  </conditionalFormatting>
  <conditionalFormatting sqref="H430">
    <cfRule type="duplicateValues" dxfId="0" priority="1144"/>
  </conditionalFormatting>
  <conditionalFormatting sqref="H431">
    <cfRule type="duplicateValues" dxfId="0" priority="1143"/>
  </conditionalFormatting>
  <conditionalFormatting sqref="H432">
    <cfRule type="duplicateValues" dxfId="0" priority="1142"/>
  </conditionalFormatting>
  <conditionalFormatting sqref="H433">
    <cfRule type="duplicateValues" dxfId="0" priority="1141"/>
  </conditionalFormatting>
  <conditionalFormatting sqref="H434">
    <cfRule type="duplicateValues" dxfId="0" priority="1140"/>
  </conditionalFormatting>
  <conditionalFormatting sqref="H435">
    <cfRule type="duplicateValues" dxfId="0" priority="1139"/>
  </conditionalFormatting>
  <conditionalFormatting sqref="H436">
    <cfRule type="duplicateValues" dxfId="0" priority="1138"/>
  </conditionalFormatting>
  <conditionalFormatting sqref="H437">
    <cfRule type="duplicateValues" dxfId="0" priority="1137"/>
  </conditionalFormatting>
  <conditionalFormatting sqref="H438">
    <cfRule type="duplicateValues" dxfId="0" priority="1136"/>
  </conditionalFormatting>
  <conditionalFormatting sqref="H439">
    <cfRule type="duplicateValues" dxfId="0" priority="1135"/>
  </conditionalFormatting>
  <conditionalFormatting sqref="H440">
    <cfRule type="duplicateValues" dxfId="0" priority="1134"/>
  </conditionalFormatting>
  <conditionalFormatting sqref="H441">
    <cfRule type="duplicateValues" dxfId="0" priority="1133"/>
  </conditionalFormatting>
  <conditionalFormatting sqref="H442">
    <cfRule type="duplicateValues" dxfId="0" priority="1132"/>
  </conditionalFormatting>
  <conditionalFormatting sqref="H443">
    <cfRule type="duplicateValues" dxfId="0" priority="1131"/>
  </conditionalFormatting>
  <conditionalFormatting sqref="H444">
    <cfRule type="duplicateValues" dxfId="0" priority="1130"/>
  </conditionalFormatting>
  <conditionalFormatting sqref="H445">
    <cfRule type="duplicateValues" dxfId="0" priority="1129"/>
  </conditionalFormatting>
  <conditionalFormatting sqref="H446">
    <cfRule type="duplicateValues" dxfId="0" priority="1128"/>
  </conditionalFormatting>
  <conditionalFormatting sqref="H447">
    <cfRule type="duplicateValues" dxfId="0" priority="1127"/>
  </conditionalFormatting>
  <conditionalFormatting sqref="H448">
    <cfRule type="duplicateValues" dxfId="0" priority="1126"/>
  </conditionalFormatting>
  <conditionalFormatting sqref="H449">
    <cfRule type="duplicateValues" dxfId="0" priority="1124"/>
  </conditionalFormatting>
  <conditionalFormatting sqref="H450">
    <cfRule type="duplicateValues" dxfId="0" priority="1123"/>
  </conditionalFormatting>
  <conditionalFormatting sqref="H451">
    <cfRule type="duplicateValues" dxfId="0" priority="1122"/>
  </conditionalFormatting>
  <conditionalFormatting sqref="H452">
    <cfRule type="duplicateValues" dxfId="0" priority="1121"/>
  </conditionalFormatting>
  <conditionalFormatting sqref="H453">
    <cfRule type="duplicateValues" dxfId="0" priority="1120"/>
  </conditionalFormatting>
  <conditionalFormatting sqref="H454">
    <cfRule type="duplicateValues" dxfId="0" priority="1119"/>
  </conditionalFormatting>
  <conditionalFormatting sqref="H455">
    <cfRule type="duplicateValues" dxfId="0" priority="1118"/>
  </conditionalFormatting>
  <conditionalFormatting sqref="H456">
    <cfRule type="duplicateValues" dxfId="0" priority="1117"/>
  </conditionalFormatting>
  <conditionalFormatting sqref="H457">
    <cfRule type="duplicateValues" dxfId="0" priority="1116"/>
  </conditionalFormatting>
  <conditionalFormatting sqref="H458">
    <cfRule type="duplicateValues" dxfId="0" priority="1115"/>
  </conditionalFormatting>
  <conditionalFormatting sqref="H459">
    <cfRule type="duplicateValues" dxfId="0" priority="1114"/>
  </conditionalFormatting>
  <conditionalFormatting sqref="H460">
    <cfRule type="duplicateValues" dxfId="0" priority="1113"/>
  </conditionalFormatting>
  <conditionalFormatting sqref="H461">
    <cfRule type="duplicateValues" dxfId="0" priority="1112"/>
  </conditionalFormatting>
  <conditionalFormatting sqref="H462">
    <cfRule type="duplicateValues" dxfId="0" priority="1111"/>
  </conditionalFormatting>
  <conditionalFormatting sqref="H463">
    <cfRule type="duplicateValues" dxfId="0" priority="1110"/>
  </conditionalFormatting>
  <conditionalFormatting sqref="H464">
    <cfRule type="duplicateValues" dxfId="0" priority="1108"/>
  </conditionalFormatting>
  <conditionalFormatting sqref="H465">
    <cfRule type="duplicateValues" dxfId="0" priority="1107"/>
  </conditionalFormatting>
  <conditionalFormatting sqref="H466">
    <cfRule type="duplicateValues" dxfId="0" priority="1106"/>
  </conditionalFormatting>
  <conditionalFormatting sqref="H467">
    <cfRule type="duplicateValues" dxfId="0" priority="1105"/>
  </conditionalFormatting>
  <conditionalFormatting sqref="H468">
    <cfRule type="duplicateValues" dxfId="0" priority="1104"/>
  </conditionalFormatting>
  <conditionalFormatting sqref="H469">
    <cfRule type="duplicateValues" dxfId="0" priority="1103"/>
  </conditionalFormatting>
  <conditionalFormatting sqref="H470">
    <cfRule type="duplicateValues" dxfId="0" priority="1102"/>
  </conditionalFormatting>
  <conditionalFormatting sqref="H471">
    <cfRule type="duplicateValues" dxfId="0" priority="1101"/>
  </conditionalFormatting>
  <conditionalFormatting sqref="H472">
    <cfRule type="duplicateValues" dxfId="0" priority="1100"/>
  </conditionalFormatting>
  <conditionalFormatting sqref="H473">
    <cfRule type="duplicateValues" dxfId="0" priority="1099"/>
  </conditionalFormatting>
  <conditionalFormatting sqref="H474">
    <cfRule type="duplicateValues" dxfId="0" priority="1098"/>
  </conditionalFormatting>
  <conditionalFormatting sqref="H475">
    <cfRule type="duplicateValues" dxfId="0" priority="1097"/>
  </conditionalFormatting>
  <conditionalFormatting sqref="H476">
    <cfRule type="duplicateValues" dxfId="0" priority="1096"/>
  </conditionalFormatting>
  <conditionalFormatting sqref="H477">
    <cfRule type="duplicateValues" dxfId="0" priority="1095"/>
  </conditionalFormatting>
  <conditionalFormatting sqref="H478">
    <cfRule type="duplicateValues" dxfId="0" priority="1094"/>
  </conditionalFormatting>
  <conditionalFormatting sqref="H479">
    <cfRule type="duplicateValues" dxfId="0" priority="1093"/>
  </conditionalFormatting>
  <conditionalFormatting sqref="H480">
    <cfRule type="duplicateValues" dxfId="0" priority="1092"/>
  </conditionalFormatting>
  <conditionalFormatting sqref="H481">
    <cfRule type="duplicateValues" dxfId="0" priority="1091"/>
  </conditionalFormatting>
  <conditionalFormatting sqref="H482">
    <cfRule type="duplicateValues" dxfId="0" priority="1090"/>
  </conditionalFormatting>
  <conditionalFormatting sqref="H483">
    <cfRule type="duplicateValues" dxfId="0" priority="1089"/>
  </conditionalFormatting>
  <conditionalFormatting sqref="H484">
    <cfRule type="duplicateValues" dxfId="0" priority="1088"/>
  </conditionalFormatting>
  <conditionalFormatting sqref="H485">
    <cfRule type="duplicateValues" dxfId="0" priority="1087"/>
  </conditionalFormatting>
  <conditionalFormatting sqref="H486">
    <cfRule type="duplicateValues" dxfId="0" priority="1086"/>
  </conditionalFormatting>
  <conditionalFormatting sqref="H487">
    <cfRule type="duplicateValues" dxfId="0" priority="1085"/>
  </conditionalFormatting>
  <conditionalFormatting sqref="H488">
    <cfRule type="duplicateValues" dxfId="0" priority="1084"/>
  </conditionalFormatting>
  <conditionalFormatting sqref="H489">
    <cfRule type="duplicateValues" dxfId="0" priority="1083"/>
  </conditionalFormatting>
  <conditionalFormatting sqref="H490">
    <cfRule type="duplicateValues" dxfId="0" priority="1082"/>
  </conditionalFormatting>
  <conditionalFormatting sqref="H491">
    <cfRule type="duplicateValues" dxfId="0" priority="1081"/>
  </conditionalFormatting>
  <conditionalFormatting sqref="H492">
    <cfRule type="duplicateValues" dxfId="0" priority="1080"/>
  </conditionalFormatting>
  <conditionalFormatting sqref="H493">
    <cfRule type="duplicateValues" dxfId="0" priority="1079"/>
  </conditionalFormatting>
  <conditionalFormatting sqref="H494">
    <cfRule type="duplicateValues" dxfId="0" priority="1078"/>
  </conditionalFormatting>
  <conditionalFormatting sqref="H495">
    <cfRule type="duplicateValues" dxfId="0" priority="1077"/>
  </conditionalFormatting>
  <conditionalFormatting sqref="H496">
    <cfRule type="duplicateValues" dxfId="0" priority="1076"/>
  </conditionalFormatting>
  <conditionalFormatting sqref="H497">
    <cfRule type="duplicateValues" dxfId="0" priority="1075"/>
  </conditionalFormatting>
  <conditionalFormatting sqref="H498">
    <cfRule type="duplicateValues" dxfId="0" priority="1074"/>
  </conditionalFormatting>
  <conditionalFormatting sqref="H499">
    <cfRule type="duplicateValues" dxfId="0" priority="1073"/>
  </conditionalFormatting>
  <conditionalFormatting sqref="H500">
    <cfRule type="duplicateValues" dxfId="0" priority="1072"/>
  </conditionalFormatting>
  <conditionalFormatting sqref="H501">
    <cfRule type="duplicateValues" dxfId="0" priority="1071"/>
  </conditionalFormatting>
  <conditionalFormatting sqref="H502">
    <cfRule type="duplicateValues" dxfId="0" priority="1070"/>
  </conditionalFormatting>
  <conditionalFormatting sqref="H503">
    <cfRule type="duplicateValues" dxfId="0" priority="1069"/>
  </conditionalFormatting>
  <conditionalFormatting sqref="H504">
    <cfRule type="duplicateValues" dxfId="0" priority="1068"/>
  </conditionalFormatting>
  <conditionalFormatting sqref="H505">
    <cfRule type="duplicateValues" dxfId="0" priority="1067"/>
  </conditionalFormatting>
  <conditionalFormatting sqref="H506">
    <cfRule type="duplicateValues" dxfId="0" priority="1066"/>
  </conditionalFormatting>
  <conditionalFormatting sqref="H507">
    <cfRule type="duplicateValues" dxfId="0" priority="1065"/>
  </conditionalFormatting>
  <conditionalFormatting sqref="H508">
    <cfRule type="duplicateValues" dxfId="0" priority="1064"/>
  </conditionalFormatting>
  <conditionalFormatting sqref="H509">
    <cfRule type="duplicateValues" dxfId="0" priority="1063"/>
  </conditionalFormatting>
  <conditionalFormatting sqref="H510">
    <cfRule type="duplicateValues" dxfId="0" priority="1062"/>
  </conditionalFormatting>
  <conditionalFormatting sqref="H511">
    <cfRule type="duplicateValues" dxfId="0" priority="1061"/>
  </conditionalFormatting>
  <conditionalFormatting sqref="H512">
    <cfRule type="duplicateValues" dxfId="0" priority="1060"/>
  </conditionalFormatting>
  <conditionalFormatting sqref="H513">
    <cfRule type="duplicateValues" dxfId="0" priority="1059"/>
  </conditionalFormatting>
  <conditionalFormatting sqref="H514">
    <cfRule type="duplicateValues" dxfId="0" priority="1058"/>
  </conditionalFormatting>
  <conditionalFormatting sqref="H515">
    <cfRule type="duplicateValues" dxfId="0" priority="1057"/>
  </conditionalFormatting>
  <conditionalFormatting sqref="H516">
    <cfRule type="duplicateValues" dxfId="0" priority="1056"/>
  </conditionalFormatting>
  <conditionalFormatting sqref="H517">
    <cfRule type="duplicateValues" dxfId="0" priority="1055"/>
  </conditionalFormatting>
  <conditionalFormatting sqref="H518">
    <cfRule type="duplicateValues" dxfId="0" priority="1054"/>
  </conditionalFormatting>
  <conditionalFormatting sqref="H519">
    <cfRule type="duplicateValues" dxfId="0" priority="1053"/>
  </conditionalFormatting>
  <conditionalFormatting sqref="H520">
    <cfRule type="duplicateValues" dxfId="0" priority="1052"/>
  </conditionalFormatting>
  <conditionalFormatting sqref="H521">
    <cfRule type="duplicateValues" dxfId="0" priority="1051"/>
  </conditionalFormatting>
  <conditionalFormatting sqref="H522">
    <cfRule type="duplicateValues" dxfId="0" priority="1050"/>
  </conditionalFormatting>
  <conditionalFormatting sqref="H523">
    <cfRule type="duplicateValues" dxfId="0" priority="1049"/>
  </conditionalFormatting>
  <conditionalFormatting sqref="H524">
    <cfRule type="duplicateValues" dxfId="0" priority="1048"/>
  </conditionalFormatting>
  <conditionalFormatting sqref="H525">
    <cfRule type="duplicateValues" dxfId="0" priority="1047"/>
  </conditionalFormatting>
  <conditionalFormatting sqref="H526">
    <cfRule type="duplicateValues" dxfId="0" priority="1046"/>
  </conditionalFormatting>
  <conditionalFormatting sqref="H527">
    <cfRule type="duplicateValues" dxfId="0" priority="1045"/>
  </conditionalFormatting>
  <conditionalFormatting sqref="H528">
    <cfRule type="duplicateValues" dxfId="0" priority="1044"/>
  </conditionalFormatting>
  <conditionalFormatting sqref="H529">
    <cfRule type="duplicateValues" dxfId="0" priority="1043"/>
  </conditionalFormatting>
  <conditionalFormatting sqref="H530">
    <cfRule type="duplicateValues" dxfId="0" priority="1042"/>
  </conditionalFormatting>
  <conditionalFormatting sqref="H531">
    <cfRule type="duplicateValues" dxfId="0" priority="1041"/>
  </conditionalFormatting>
  <conditionalFormatting sqref="H532">
    <cfRule type="duplicateValues" dxfId="0" priority="1040"/>
  </conditionalFormatting>
  <conditionalFormatting sqref="H533">
    <cfRule type="duplicateValues" dxfId="0" priority="1039"/>
  </conditionalFormatting>
  <conditionalFormatting sqref="H534">
    <cfRule type="duplicateValues" dxfId="0" priority="1038"/>
  </conditionalFormatting>
  <conditionalFormatting sqref="H535">
    <cfRule type="duplicateValues" dxfId="0" priority="1037"/>
  </conditionalFormatting>
  <conditionalFormatting sqref="H536">
    <cfRule type="duplicateValues" dxfId="0" priority="1036"/>
  </conditionalFormatting>
  <conditionalFormatting sqref="H537">
    <cfRule type="duplicateValues" dxfId="0" priority="1035"/>
  </conditionalFormatting>
  <conditionalFormatting sqref="H538">
    <cfRule type="duplicateValues" dxfId="0" priority="1034"/>
  </conditionalFormatting>
  <conditionalFormatting sqref="H539">
    <cfRule type="duplicateValues" dxfId="0" priority="1033"/>
  </conditionalFormatting>
  <conditionalFormatting sqref="H540">
    <cfRule type="duplicateValues" dxfId="0" priority="1032"/>
  </conditionalFormatting>
  <conditionalFormatting sqref="H541">
    <cfRule type="duplicateValues" dxfId="0" priority="1031"/>
  </conditionalFormatting>
  <conditionalFormatting sqref="H542">
    <cfRule type="duplicateValues" dxfId="0" priority="1030"/>
  </conditionalFormatting>
  <conditionalFormatting sqref="H543">
    <cfRule type="duplicateValues" dxfId="0" priority="1029"/>
  </conditionalFormatting>
  <conditionalFormatting sqref="H544">
    <cfRule type="duplicateValues" dxfId="0" priority="1028"/>
  </conditionalFormatting>
  <conditionalFormatting sqref="H545">
    <cfRule type="duplicateValues" dxfId="0" priority="1027"/>
  </conditionalFormatting>
  <conditionalFormatting sqref="H546">
    <cfRule type="duplicateValues" dxfId="0" priority="1026"/>
  </conditionalFormatting>
  <conditionalFormatting sqref="H547">
    <cfRule type="duplicateValues" dxfId="0" priority="1025"/>
  </conditionalFormatting>
  <conditionalFormatting sqref="H548">
    <cfRule type="duplicateValues" dxfId="0" priority="1024"/>
  </conditionalFormatting>
  <conditionalFormatting sqref="H549">
    <cfRule type="duplicateValues" dxfId="0" priority="1023"/>
  </conditionalFormatting>
  <conditionalFormatting sqref="H550">
    <cfRule type="duplicateValues" dxfId="0" priority="1022"/>
  </conditionalFormatting>
  <conditionalFormatting sqref="H551">
    <cfRule type="duplicateValues" dxfId="0" priority="1021"/>
  </conditionalFormatting>
  <conditionalFormatting sqref="H552">
    <cfRule type="duplicateValues" dxfId="0" priority="1020"/>
  </conditionalFormatting>
  <conditionalFormatting sqref="H553">
    <cfRule type="duplicateValues" dxfId="0" priority="1019"/>
  </conditionalFormatting>
  <conditionalFormatting sqref="H554">
    <cfRule type="duplicateValues" dxfId="0" priority="1018"/>
  </conditionalFormatting>
  <conditionalFormatting sqref="H555">
    <cfRule type="duplicateValues" dxfId="0" priority="1017"/>
  </conditionalFormatting>
  <conditionalFormatting sqref="H556">
    <cfRule type="duplicateValues" dxfId="0" priority="1016"/>
  </conditionalFormatting>
  <conditionalFormatting sqref="H557">
    <cfRule type="duplicateValues" dxfId="0" priority="1015"/>
  </conditionalFormatting>
  <conditionalFormatting sqref="H558">
    <cfRule type="duplicateValues" dxfId="0" priority="1014"/>
  </conditionalFormatting>
  <conditionalFormatting sqref="H559">
    <cfRule type="duplicateValues" dxfId="0" priority="1013"/>
  </conditionalFormatting>
  <conditionalFormatting sqref="H560">
    <cfRule type="duplicateValues" dxfId="0" priority="1012"/>
  </conditionalFormatting>
  <conditionalFormatting sqref="H561">
    <cfRule type="duplicateValues" dxfId="0" priority="1011"/>
  </conditionalFormatting>
  <conditionalFormatting sqref="H562">
    <cfRule type="duplicateValues" dxfId="0" priority="1010"/>
  </conditionalFormatting>
  <conditionalFormatting sqref="H563">
    <cfRule type="duplicateValues" dxfId="0" priority="1009"/>
  </conditionalFormatting>
  <conditionalFormatting sqref="H564">
    <cfRule type="duplicateValues" dxfId="0" priority="1008"/>
  </conditionalFormatting>
  <conditionalFormatting sqref="H565">
    <cfRule type="duplicateValues" dxfId="0" priority="1007"/>
  </conditionalFormatting>
  <conditionalFormatting sqref="H566">
    <cfRule type="duplicateValues" dxfId="0" priority="1006"/>
  </conditionalFormatting>
  <conditionalFormatting sqref="H567">
    <cfRule type="duplicateValues" dxfId="0" priority="1005"/>
  </conditionalFormatting>
  <conditionalFormatting sqref="H568">
    <cfRule type="duplicateValues" dxfId="0" priority="1004"/>
  </conditionalFormatting>
  <conditionalFormatting sqref="H569">
    <cfRule type="duplicateValues" dxfId="0" priority="1003"/>
  </conditionalFormatting>
  <conditionalFormatting sqref="H570">
    <cfRule type="duplicateValues" dxfId="0" priority="1002"/>
  </conditionalFormatting>
  <conditionalFormatting sqref="H571">
    <cfRule type="duplicateValues" dxfId="0" priority="1001"/>
  </conditionalFormatting>
  <conditionalFormatting sqref="H572">
    <cfRule type="duplicateValues" dxfId="0" priority="1000"/>
  </conditionalFormatting>
  <conditionalFormatting sqref="H573">
    <cfRule type="duplicateValues" dxfId="0" priority="999"/>
  </conditionalFormatting>
  <conditionalFormatting sqref="H574">
    <cfRule type="duplicateValues" dxfId="0" priority="998"/>
  </conditionalFormatting>
  <conditionalFormatting sqref="H575">
    <cfRule type="duplicateValues" dxfId="0" priority="997"/>
  </conditionalFormatting>
  <conditionalFormatting sqref="H576">
    <cfRule type="duplicateValues" dxfId="0" priority="996"/>
  </conditionalFormatting>
  <conditionalFormatting sqref="H577">
    <cfRule type="duplicateValues" dxfId="0" priority="995"/>
  </conditionalFormatting>
  <conditionalFormatting sqref="H578">
    <cfRule type="duplicateValues" dxfId="0" priority="994"/>
  </conditionalFormatting>
  <conditionalFormatting sqref="H579">
    <cfRule type="duplicateValues" dxfId="0" priority="993"/>
  </conditionalFormatting>
  <conditionalFormatting sqref="H580">
    <cfRule type="duplicateValues" dxfId="0" priority="992"/>
  </conditionalFormatting>
  <conditionalFormatting sqref="H581">
    <cfRule type="duplicateValues" dxfId="0" priority="991"/>
  </conditionalFormatting>
  <conditionalFormatting sqref="H582">
    <cfRule type="duplicateValues" dxfId="0" priority="990"/>
  </conditionalFormatting>
  <conditionalFormatting sqref="H583">
    <cfRule type="duplicateValues" dxfId="0" priority="989"/>
  </conditionalFormatting>
  <conditionalFormatting sqref="H584">
    <cfRule type="duplicateValues" dxfId="0" priority="988"/>
  </conditionalFormatting>
  <conditionalFormatting sqref="H585">
    <cfRule type="duplicateValues" dxfId="0" priority="987"/>
  </conditionalFormatting>
  <conditionalFormatting sqref="H586">
    <cfRule type="duplicateValues" dxfId="0" priority="986"/>
  </conditionalFormatting>
  <conditionalFormatting sqref="H587">
    <cfRule type="duplicateValues" dxfId="0" priority="985"/>
  </conditionalFormatting>
  <conditionalFormatting sqref="H588">
    <cfRule type="duplicateValues" dxfId="0" priority="984"/>
  </conditionalFormatting>
  <conditionalFormatting sqref="H589">
    <cfRule type="duplicateValues" dxfId="0" priority="983"/>
  </conditionalFormatting>
  <conditionalFormatting sqref="H590">
    <cfRule type="duplicateValues" dxfId="0" priority="982"/>
  </conditionalFormatting>
  <conditionalFormatting sqref="H591">
    <cfRule type="duplicateValues" dxfId="0" priority="981"/>
  </conditionalFormatting>
  <conditionalFormatting sqref="H592">
    <cfRule type="duplicateValues" dxfId="0" priority="980"/>
  </conditionalFormatting>
  <conditionalFormatting sqref="H593">
    <cfRule type="duplicateValues" dxfId="0" priority="979"/>
  </conditionalFormatting>
  <conditionalFormatting sqref="H594">
    <cfRule type="duplicateValues" dxfId="0" priority="978"/>
  </conditionalFormatting>
  <conditionalFormatting sqref="H595">
    <cfRule type="duplicateValues" dxfId="0" priority="977"/>
  </conditionalFormatting>
  <conditionalFormatting sqref="H596">
    <cfRule type="duplicateValues" dxfId="0" priority="976"/>
  </conditionalFormatting>
  <conditionalFormatting sqref="H597">
    <cfRule type="duplicateValues" dxfId="0" priority="975"/>
  </conditionalFormatting>
  <conditionalFormatting sqref="H598">
    <cfRule type="duplicateValues" dxfId="0" priority="974"/>
  </conditionalFormatting>
  <conditionalFormatting sqref="H599">
    <cfRule type="duplicateValues" dxfId="0" priority="973"/>
  </conditionalFormatting>
  <conditionalFormatting sqref="H600">
    <cfRule type="duplicateValues" dxfId="0" priority="972"/>
  </conditionalFormatting>
  <conditionalFormatting sqref="H601">
    <cfRule type="duplicateValues" dxfId="0" priority="971"/>
  </conditionalFormatting>
  <conditionalFormatting sqref="H602">
    <cfRule type="duplicateValues" dxfId="0" priority="970"/>
  </conditionalFormatting>
  <conditionalFormatting sqref="H603">
    <cfRule type="duplicateValues" dxfId="0" priority="969"/>
  </conditionalFormatting>
  <conditionalFormatting sqref="H604">
    <cfRule type="duplicateValues" dxfId="0" priority="968"/>
  </conditionalFormatting>
  <conditionalFormatting sqref="H605">
    <cfRule type="duplicateValues" dxfId="0" priority="967"/>
  </conditionalFormatting>
  <conditionalFormatting sqref="H606">
    <cfRule type="duplicateValues" dxfId="0" priority="966"/>
  </conditionalFormatting>
  <conditionalFormatting sqref="H607">
    <cfRule type="duplicateValues" dxfId="0" priority="965"/>
  </conditionalFormatting>
  <conditionalFormatting sqref="H608">
    <cfRule type="duplicateValues" dxfId="0" priority="964"/>
  </conditionalFormatting>
  <conditionalFormatting sqref="H609">
    <cfRule type="duplicateValues" dxfId="0" priority="963"/>
  </conditionalFormatting>
  <conditionalFormatting sqref="H610">
    <cfRule type="duplicateValues" dxfId="0" priority="962"/>
  </conditionalFormatting>
  <conditionalFormatting sqref="H611">
    <cfRule type="duplicateValues" dxfId="0" priority="961"/>
  </conditionalFormatting>
  <conditionalFormatting sqref="H612">
    <cfRule type="duplicateValues" dxfId="0" priority="960"/>
  </conditionalFormatting>
  <conditionalFormatting sqref="H613">
    <cfRule type="duplicateValues" dxfId="0" priority="959"/>
  </conditionalFormatting>
  <conditionalFormatting sqref="H614">
    <cfRule type="duplicateValues" dxfId="0" priority="958"/>
  </conditionalFormatting>
  <conditionalFormatting sqref="H615">
    <cfRule type="duplicateValues" dxfId="0" priority="957"/>
  </conditionalFormatting>
  <conditionalFormatting sqref="H616">
    <cfRule type="duplicateValues" dxfId="0" priority="956"/>
  </conditionalFormatting>
  <conditionalFormatting sqref="H617">
    <cfRule type="duplicateValues" dxfId="0" priority="955"/>
  </conditionalFormatting>
  <conditionalFormatting sqref="H618">
    <cfRule type="duplicateValues" dxfId="0" priority="954"/>
  </conditionalFormatting>
  <conditionalFormatting sqref="H619">
    <cfRule type="duplicateValues" dxfId="0" priority="953"/>
  </conditionalFormatting>
  <conditionalFormatting sqref="H620">
    <cfRule type="duplicateValues" dxfId="0" priority="952"/>
  </conditionalFormatting>
  <conditionalFormatting sqref="H621">
    <cfRule type="duplicateValues" dxfId="0" priority="951"/>
  </conditionalFormatting>
  <conditionalFormatting sqref="H622">
    <cfRule type="duplicateValues" dxfId="0" priority="950"/>
  </conditionalFormatting>
  <conditionalFormatting sqref="H623">
    <cfRule type="duplicateValues" dxfId="0" priority="949"/>
  </conditionalFormatting>
  <conditionalFormatting sqref="H624">
    <cfRule type="duplicateValues" dxfId="0" priority="948"/>
  </conditionalFormatting>
  <conditionalFormatting sqref="H625">
    <cfRule type="duplicateValues" dxfId="0" priority="947"/>
  </conditionalFormatting>
  <conditionalFormatting sqref="H626">
    <cfRule type="duplicateValues" dxfId="0" priority="946"/>
  </conditionalFormatting>
  <conditionalFormatting sqref="H627">
    <cfRule type="duplicateValues" dxfId="0" priority="945"/>
  </conditionalFormatting>
  <conditionalFormatting sqref="H628">
    <cfRule type="duplicateValues" dxfId="0" priority="944"/>
  </conditionalFormatting>
  <conditionalFormatting sqref="H629">
    <cfRule type="duplicateValues" dxfId="0" priority="943"/>
  </conditionalFormatting>
  <conditionalFormatting sqref="H630">
    <cfRule type="duplicateValues" dxfId="0" priority="942"/>
  </conditionalFormatting>
  <conditionalFormatting sqref="H631">
    <cfRule type="duplicateValues" dxfId="0" priority="941"/>
  </conditionalFormatting>
  <conditionalFormatting sqref="H632">
    <cfRule type="duplicateValues" dxfId="0" priority="940"/>
  </conditionalFormatting>
  <conditionalFormatting sqref="H633">
    <cfRule type="duplicateValues" dxfId="0" priority="939"/>
  </conditionalFormatting>
  <conditionalFormatting sqref="H634">
    <cfRule type="duplicateValues" dxfId="0" priority="938"/>
  </conditionalFormatting>
  <conditionalFormatting sqref="H635">
    <cfRule type="duplicateValues" dxfId="0" priority="937"/>
  </conditionalFormatting>
  <conditionalFormatting sqref="H636">
    <cfRule type="duplicateValues" dxfId="0" priority="936"/>
  </conditionalFormatting>
  <conditionalFormatting sqref="H637">
    <cfRule type="duplicateValues" dxfId="0" priority="935"/>
  </conditionalFormatting>
  <conditionalFormatting sqref="H638">
    <cfRule type="duplicateValues" dxfId="0" priority="934"/>
  </conditionalFormatting>
  <conditionalFormatting sqref="H639">
    <cfRule type="duplicateValues" dxfId="0" priority="933"/>
  </conditionalFormatting>
  <conditionalFormatting sqref="H640">
    <cfRule type="duplicateValues" dxfId="0" priority="932"/>
  </conditionalFormatting>
  <conditionalFormatting sqref="H641">
    <cfRule type="duplicateValues" dxfId="0" priority="931"/>
  </conditionalFormatting>
  <conditionalFormatting sqref="H642">
    <cfRule type="duplicateValues" dxfId="0" priority="930"/>
  </conditionalFormatting>
  <conditionalFormatting sqref="H643">
    <cfRule type="duplicateValues" dxfId="0" priority="929"/>
  </conditionalFormatting>
  <conditionalFormatting sqref="H644">
    <cfRule type="duplicateValues" dxfId="0" priority="928"/>
  </conditionalFormatting>
  <conditionalFormatting sqref="H645">
    <cfRule type="duplicateValues" dxfId="0" priority="927"/>
  </conditionalFormatting>
  <conditionalFormatting sqref="H646">
    <cfRule type="duplicateValues" dxfId="0" priority="926"/>
  </conditionalFormatting>
  <conditionalFormatting sqref="H647">
    <cfRule type="duplicateValues" dxfId="0" priority="925"/>
  </conditionalFormatting>
  <conditionalFormatting sqref="H648">
    <cfRule type="duplicateValues" dxfId="0" priority="924"/>
  </conditionalFormatting>
  <conditionalFormatting sqref="H649">
    <cfRule type="duplicateValues" dxfId="0" priority="923"/>
  </conditionalFormatting>
  <conditionalFormatting sqref="H650">
    <cfRule type="duplicateValues" dxfId="0" priority="922"/>
  </conditionalFormatting>
  <conditionalFormatting sqref="H651">
    <cfRule type="duplicateValues" dxfId="0" priority="921"/>
  </conditionalFormatting>
  <conditionalFormatting sqref="H652">
    <cfRule type="duplicateValues" dxfId="0" priority="920"/>
  </conditionalFormatting>
  <conditionalFormatting sqref="H653">
    <cfRule type="duplicateValues" dxfId="0" priority="919"/>
  </conditionalFormatting>
  <conditionalFormatting sqref="H654">
    <cfRule type="duplicateValues" dxfId="0" priority="918"/>
  </conditionalFormatting>
  <conditionalFormatting sqref="H655">
    <cfRule type="duplicateValues" dxfId="0" priority="917"/>
  </conditionalFormatting>
  <conditionalFormatting sqref="H656">
    <cfRule type="duplicateValues" dxfId="0" priority="916"/>
  </conditionalFormatting>
  <conditionalFormatting sqref="H657">
    <cfRule type="duplicateValues" dxfId="0" priority="915"/>
  </conditionalFormatting>
  <conditionalFormatting sqref="H658">
    <cfRule type="duplicateValues" dxfId="0" priority="914"/>
  </conditionalFormatting>
  <conditionalFormatting sqref="H659">
    <cfRule type="duplicateValues" dxfId="0" priority="913"/>
  </conditionalFormatting>
  <conditionalFormatting sqref="H660">
    <cfRule type="duplicateValues" dxfId="0" priority="912"/>
  </conditionalFormatting>
  <conditionalFormatting sqref="H661">
    <cfRule type="duplicateValues" dxfId="0" priority="911"/>
  </conditionalFormatting>
  <conditionalFormatting sqref="H662">
    <cfRule type="duplicateValues" dxfId="0" priority="910"/>
  </conditionalFormatting>
  <conditionalFormatting sqref="H663">
    <cfRule type="duplicateValues" dxfId="0" priority="909"/>
  </conditionalFormatting>
  <conditionalFormatting sqref="H664">
    <cfRule type="duplicateValues" dxfId="0" priority="908"/>
  </conditionalFormatting>
  <conditionalFormatting sqref="H665">
    <cfRule type="duplicateValues" dxfId="0" priority="907"/>
  </conditionalFormatting>
  <conditionalFormatting sqref="H666">
    <cfRule type="duplicateValues" dxfId="0" priority="906"/>
  </conditionalFormatting>
  <conditionalFormatting sqref="H667">
    <cfRule type="duplicateValues" dxfId="0" priority="905"/>
  </conditionalFormatting>
  <conditionalFormatting sqref="H668">
    <cfRule type="duplicateValues" dxfId="0" priority="904"/>
  </conditionalFormatting>
  <conditionalFormatting sqref="H669">
    <cfRule type="duplicateValues" dxfId="0" priority="903"/>
  </conditionalFormatting>
  <conditionalFormatting sqref="H670">
    <cfRule type="duplicateValues" dxfId="0" priority="902"/>
  </conditionalFormatting>
  <conditionalFormatting sqref="H671">
    <cfRule type="duplicateValues" dxfId="0" priority="901"/>
  </conditionalFormatting>
  <conditionalFormatting sqref="H672">
    <cfRule type="duplicateValues" dxfId="0" priority="900"/>
  </conditionalFormatting>
  <conditionalFormatting sqref="H673">
    <cfRule type="duplicateValues" dxfId="0" priority="899"/>
  </conditionalFormatting>
  <conditionalFormatting sqref="H674">
    <cfRule type="duplicateValues" dxfId="0" priority="898"/>
  </conditionalFormatting>
  <conditionalFormatting sqref="H675">
    <cfRule type="duplicateValues" dxfId="0" priority="897"/>
  </conditionalFormatting>
  <conditionalFormatting sqref="H676">
    <cfRule type="duplicateValues" dxfId="0" priority="896"/>
  </conditionalFormatting>
  <conditionalFormatting sqref="H677">
    <cfRule type="duplicateValues" dxfId="0" priority="895"/>
  </conditionalFormatting>
  <conditionalFormatting sqref="H678">
    <cfRule type="duplicateValues" dxfId="0" priority="894"/>
  </conditionalFormatting>
  <conditionalFormatting sqref="H679">
    <cfRule type="duplicateValues" dxfId="0" priority="893"/>
  </conditionalFormatting>
  <conditionalFormatting sqref="H680">
    <cfRule type="duplicateValues" dxfId="0" priority="892"/>
  </conditionalFormatting>
  <conditionalFormatting sqref="H681">
    <cfRule type="duplicateValues" dxfId="0" priority="891"/>
  </conditionalFormatting>
  <conditionalFormatting sqref="H682">
    <cfRule type="duplicateValues" dxfId="0" priority="890"/>
  </conditionalFormatting>
  <conditionalFormatting sqref="H683">
    <cfRule type="duplicateValues" dxfId="0" priority="889"/>
  </conditionalFormatting>
  <conditionalFormatting sqref="H684">
    <cfRule type="duplicateValues" dxfId="0" priority="888"/>
  </conditionalFormatting>
  <conditionalFormatting sqref="H685">
    <cfRule type="duplicateValues" dxfId="0" priority="887"/>
  </conditionalFormatting>
  <conditionalFormatting sqref="H686">
    <cfRule type="duplicateValues" dxfId="0" priority="886"/>
  </conditionalFormatting>
  <conditionalFormatting sqref="H687">
    <cfRule type="duplicateValues" dxfId="0" priority="885"/>
  </conditionalFormatting>
  <conditionalFormatting sqref="H688">
    <cfRule type="duplicateValues" dxfId="0" priority="884"/>
  </conditionalFormatting>
  <conditionalFormatting sqref="H689">
    <cfRule type="duplicateValues" dxfId="0" priority="883"/>
  </conditionalFormatting>
  <conditionalFormatting sqref="H690">
    <cfRule type="duplicateValues" dxfId="0" priority="882"/>
  </conditionalFormatting>
  <conditionalFormatting sqref="H691">
    <cfRule type="duplicateValues" dxfId="0" priority="881"/>
  </conditionalFormatting>
  <conditionalFormatting sqref="H692">
    <cfRule type="duplicateValues" dxfId="0" priority="880"/>
  </conditionalFormatting>
  <conditionalFormatting sqref="H693">
    <cfRule type="duplicateValues" dxfId="0" priority="879"/>
  </conditionalFormatting>
  <conditionalFormatting sqref="H694">
    <cfRule type="duplicateValues" dxfId="0" priority="878"/>
  </conditionalFormatting>
  <conditionalFormatting sqref="H695">
    <cfRule type="duplicateValues" dxfId="0" priority="877"/>
  </conditionalFormatting>
  <conditionalFormatting sqref="H696">
    <cfRule type="duplicateValues" dxfId="0" priority="876"/>
  </conditionalFormatting>
  <conditionalFormatting sqref="H697">
    <cfRule type="duplicateValues" dxfId="0" priority="875"/>
  </conditionalFormatting>
  <conditionalFormatting sqref="H698">
    <cfRule type="duplicateValues" dxfId="0" priority="874"/>
  </conditionalFormatting>
  <conditionalFormatting sqref="H699">
    <cfRule type="duplicateValues" dxfId="0" priority="873"/>
  </conditionalFormatting>
  <conditionalFormatting sqref="H700">
    <cfRule type="duplicateValues" dxfId="0" priority="872"/>
  </conditionalFormatting>
  <conditionalFormatting sqref="H701">
    <cfRule type="duplicateValues" dxfId="0" priority="871"/>
  </conditionalFormatting>
  <conditionalFormatting sqref="H702">
    <cfRule type="duplicateValues" dxfId="0" priority="870"/>
  </conditionalFormatting>
  <conditionalFormatting sqref="H703">
    <cfRule type="duplicateValues" dxfId="0" priority="869"/>
  </conditionalFormatting>
  <conditionalFormatting sqref="H704">
    <cfRule type="duplicateValues" dxfId="0" priority="868"/>
  </conditionalFormatting>
  <conditionalFormatting sqref="H705">
    <cfRule type="duplicateValues" dxfId="0" priority="867"/>
  </conditionalFormatting>
  <conditionalFormatting sqref="H706">
    <cfRule type="duplicateValues" dxfId="0" priority="866"/>
  </conditionalFormatting>
  <conditionalFormatting sqref="H707">
    <cfRule type="duplicateValues" dxfId="0" priority="865"/>
  </conditionalFormatting>
  <conditionalFormatting sqref="H708">
    <cfRule type="duplicateValues" dxfId="0" priority="864"/>
  </conditionalFormatting>
  <conditionalFormatting sqref="H709">
    <cfRule type="duplicateValues" dxfId="0" priority="863"/>
  </conditionalFormatting>
  <conditionalFormatting sqref="H710">
    <cfRule type="duplicateValues" dxfId="0" priority="862"/>
  </conditionalFormatting>
  <conditionalFormatting sqref="H711">
    <cfRule type="duplicateValues" dxfId="0" priority="861"/>
  </conditionalFormatting>
  <conditionalFormatting sqref="H712">
    <cfRule type="duplicateValues" dxfId="0" priority="860"/>
  </conditionalFormatting>
  <conditionalFormatting sqref="H713">
    <cfRule type="duplicateValues" dxfId="0" priority="859"/>
  </conditionalFormatting>
  <conditionalFormatting sqref="H714">
    <cfRule type="duplicateValues" dxfId="0" priority="858"/>
  </conditionalFormatting>
  <conditionalFormatting sqref="H715">
    <cfRule type="duplicateValues" dxfId="0" priority="857"/>
  </conditionalFormatting>
  <conditionalFormatting sqref="H716">
    <cfRule type="duplicateValues" dxfId="0" priority="856"/>
  </conditionalFormatting>
  <conditionalFormatting sqref="H717">
    <cfRule type="duplicateValues" dxfId="0" priority="855"/>
  </conditionalFormatting>
  <conditionalFormatting sqref="H718">
    <cfRule type="duplicateValues" dxfId="0" priority="854"/>
  </conditionalFormatting>
  <conditionalFormatting sqref="H719">
    <cfRule type="duplicateValues" dxfId="0" priority="853"/>
  </conditionalFormatting>
  <conditionalFormatting sqref="H720">
    <cfRule type="duplicateValues" dxfId="0" priority="852"/>
  </conditionalFormatting>
  <conditionalFormatting sqref="H721">
    <cfRule type="duplicateValues" dxfId="0" priority="851"/>
  </conditionalFormatting>
  <conditionalFormatting sqref="H722">
    <cfRule type="duplicateValues" dxfId="0" priority="850"/>
  </conditionalFormatting>
  <conditionalFormatting sqref="H723">
    <cfRule type="duplicateValues" dxfId="0" priority="849"/>
  </conditionalFormatting>
  <conditionalFormatting sqref="H724">
    <cfRule type="duplicateValues" dxfId="0" priority="848"/>
  </conditionalFormatting>
  <conditionalFormatting sqref="H725">
    <cfRule type="duplicateValues" dxfId="0" priority="847"/>
  </conditionalFormatting>
  <conditionalFormatting sqref="H726">
    <cfRule type="duplicateValues" dxfId="0" priority="846"/>
  </conditionalFormatting>
  <conditionalFormatting sqref="H727">
    <cfRule type="duplicateValues" dxfId="0" priority="845"/>
  </conditionalFormatting>
  <conditionalFormatting sqref="H728">
    <cfRule type="duplicateValues" dxfId="0" priority="844"/>
  </conditionalFormatting>
  <conditionalFormatting sqref="H729">
    <cfRule type="duplicateValues" dxfId="0" priority="843"/>
  </conditionalFormatting>
  <conditionalFormatting sqref="H730">
    <cfRule type="duplicateValues" dxfId="0" priority="842"/>
  </conditionalFormatting>
  <conditionalFormatting sqref="H731">
    <cfRule type="duplicateValues" dxfId="0" priority="841"/>
  </conditionalFormatting>
  <conditionalFormatting sqref="H732">
    <cfRule type="duplicateValues" dxfId="0" priority="840"/>
  </conditionalFormatting>
  <conditionalFormatting sqref="H733">
    <cfRule type="duplicateValues" dxfId="0" priority="839"/>
  </conditionalFormatting>
  <conditionalFormatting sqref="H734">
    <cfRule type="duplicateValues" dxfId="0" priority="838"/>
  </conditionalFormatting>
  <conditionalFormatting sqref="H735">
    <cfRule type="duplicateValues" dxfId="0" priority="837"/>
  </conditionalFormatting>
  <conditionalFormatting sqref="H736">
    <cfRule type="duplicateValues" dxfId="0" priority="836"/>
  </conditionalFormatting>
  <conditionalFormatting sqref="H737">
    <cfRule type="duplicateValues" dxfId="0" priority="835"/>
  </conditionalFormatting>
  <conditionalFormatting sqref="H738">
    <cfRule type="duplicateValues" dxfId="0" priority="834"/>
  </conditionalFormatting>
  <conditionalFormatting sqref="H739">
    <cfRule type="duplicateValues" dxfId="0" priority="833"/>
  </conditionalFormatting>
  <conditionalFormatting sqref="H740">
    <cfRule type="duplicateValues" dxfId="0" priority="832"/>
  </conditionalFormatting>
  <conditionalFormatting sqref="H741">
    <cfRule type="duplicateValues" dxfId="0" priority="831"/>
  </conditionalFormatting>
  <conditionalFormatting sqref="H742">
    <cfRule type="duplicateValues" dxfId="0" priority="830"/>
  </conditionalFormatting>
  <conditionalFormatting sqref="H743">
    <cfRule type="duplicateValues" dxfId="0" priority="829"/>
  </conditionalFormatting>
  <conditionalFormatting sqref="H744">
    <cfRule type="duplicateValues" dxfId="0" priority="828"/>
  </conditionalFormatting>
  <conditionalFormatting sqref="H745">
    <cfRule type="duplicateValues" dxfId="0" priority="827"/>
  </conditionalFormatting>
  <conditionalFormatting sqref="H746">
    <cfRule type="duplicateValues" dxfId="0" priority="826"/>
  </conditionalFormatting>
  <conditionalFormatting sqref="H747">
    <cfRule type="duplicateValues" dxfId="0" priority="825"/>
  </conditionalFormatting>
  <conditionalFormatting sqref="H748">
    <cfRule type="duplicateValues" dxfId="0" priority="824"/>
  </conditionalFormatting>
  <conditionalFormatting sqref="H749">
    <cfRule type="duplicateValues" dxfId="0" priority="823"/>
  </conditionalFormatting>
  <conditionalFormatting sqref="H750">
    <cfRule type="duplicateValues" dxfId="0" priority="822"/>
  </conditionalFormatting>
  <conditionalFormatting sqref="H751">
    <cfRule type="duplicateValues" dxfId="0" priority="821"/>
  </conditionalFormatting>
  <conditionalFormatting sqref="H752">
    <cfRule type="duplicateValues" dxfId="0" priority="820"/>
  </conditionalFormatting>
  <conditionalFormatting sqref="H753">
    <cfRule type="duplicateValues" dxfId="0" priority="819"/>
  </conditionalFormatting>
  <conditionalFormatting sqref="H754">
    <cfRule type="duplicateValues" dxfId="0" priority="818"/>
  </conditionalFormatting>
  <conditionalFormatting sqref="H755">
    <cfRule type="duplicateValues" dxfId="0" priority="817"/>
  </conditionalFormatting>
  <conditionalFormatting sqref="H756">
    <cfRule type="duplicateValues" dxfId="0" priority="815"/>
  </conditionalFormatting>
  <conditionalFormatting sqref="H757">
    <cfRule type="duplicateValues" dxfId="0" priority="814"/>
  </conditionalFormatting>
  <conditionalFormatting sqref="H758">
    <cfRule type="duplicateValues" dxfId="0" priority="813"/>
  </conditionalFormatting>
  <conditionalFormatting sqref="H759">
    <cfRule type="duplicateValues" dxfId="0" priority="812"/>
  </conditionalFormatting>
  <conditionalFormatting sqref="H760">
    <cfRule type="duplicateValues" dxfId="0" priority="811"/>
  </conditionalFormatting>
  <conditionalFormatting sqref="H761">
    <cfRule type="duplicateValues" dxfId="0" priority="810"/>
  </conditionalFormatting>
  <conditionalFormatting sqref="H762">
    <cfRule type="duplicateValues" dxfId="0" priority="809"/>
  </conditionalFormatting>
  <conditionalFormatting sqref="H763">
    <cfRule type="duplicateValues" dxfId="0" priority="808"/>
  </conditionalFormatting>
  <conditionalFormatting sqref="H764">
    <cfRule type="duplicateValues" dxfId="0" priority="807"/>
  </conditionalFormatting>
  <conditionalFormatting sqref="H765">
    <cfRule type="duplicateValues" dxfId="0" priority="806"/>
  </conditionalFormatting>
  <conditionalFormatting sqref="H766">
    <cfRule type="duplicateValues" dxfId="0" priority="805"/>
  </conditionalFormatting>
  <conditionalFormatting sqref="H767">
    <cfRule type="duplicateValues" dxfId="0" priority="804"/>
  </conditionalFormatting>
  <conditionalFormatting sqref="H768">
    <cfRule type="duplicateValues" dxfId="0" priority="803"/>
  </conditionalFormatting>
  <conditionalFormatting sqref="H769">
    <cfRule type="duplicateValues" dxfId="0" priority="802"/>
  </conditionalFormatting>
  <conditionalFormatting sqref="H770">
    <cfRule type="duplicateValues" dxfId="0" priority="801"/>
  </conditionalFormatting>
  <conditionalFormatting sqref="H771">
    <cfRule type="duplicateValues" dxfId="0" priority="800"/>
  </conditionalFormatting>
  <conditionalFormatting sqref="H772">
    <cfRule type="duplicateValues" dxfId="0" priority="799"/>
  </conditionalFormatting>
  <conditionalFormatting sqref="H773">
    <cfRule type="duplicateValues" dxfId="0" priority="798"/>
  </conditionalFormatting>
  <conditionalFormatting sqref="H774">
    <cfRule type="duplicateValues" dxfId="0" priority="797"/>
  </conditionalFormatting>
  <conditionalFormatting sqref="H775">
    <cfRule type="duplicateValues" dxfId="0" priority="796"/>
  </conditionalFormatting>
  <conditionalFormatting sqref="H776">
    <cfRule type="duplicateValues" dxfId="0" priority="795"/>
  </conditionalFormatting>
  <conditionalFormatting sqref="H777">
    <cfRule type="duplicateValues" dxfId="0" priority="794"/>
  </conditionalFormatting>
  <conditionalFormatting sqref="H778">
    <cfRule type="duplicateValues" dxfId="0" priority="793"/>
  </conditionalFormatting>
  <conditionalFormatting sqref="H779">
    <cfRule type="duplicateValues" dxfId="0" priority="792"/>
  </conditionalFormatting>
  <conditionalFormatting sqref="H780">
    <cfRule type="duplicateValues" dxfId="0" priority="791"/>
  </conditionalFormatting>
  <conditionalFormatting sqref="H781">
    <cfRule type="duplicateValues" dxfId="0" priority="790"/>
  </conditionalFormatting>
  <conditionalFormatting sqref="H782">
    <cfRule type="duplicateValues" dxfId="0" priority="789"/>
  </conditionalFormatting>
  <conditionalFormatting sqref="H783">
    <cfRule type="duplicateValues" dxfId="0" priority="788"/>
  </conditionalFormatting>
  <conditionalFormatting sqref="H784">
    <cfRule type="duplicateValues" dxfId="0" priority="787"/>
  </conditionalFormatting>
  <conditionalFormatting sqref="H785">
    <cfRule type="duplicateValues" dxfId="0" priority="786"/>
  </conditionalFormatting>
  <conditionalFormatting sqref="H786">
    <cfRule type="duplicateValues" dxfId="0" priority="785"/>
  </conditionalFormatting>
  <conditionalFormatting sqref="H787">
    <cfRule type="duplicateValues" dxfId="0" priority="784"/>
  </conditionalFormatting>
  <conditionalFormatting sqref="H788">
    <cfRule type="duplicateValues" dxfId="0" priority="783"/>
  </conditionalFormatting>
  <conditionalFormatting sqref="H789">
    <cfRule type="duplicateValues" dxfId="0" priority="782"/>
  </conditionalFormatting>
  <conditionalFormatting sqref="H790">
    <cfRule type="duplicateValues" dxfId="0" priority="781"/>
  </conditionalFormatting>
  <conditionalFormatting sqref="H791">
    <cfRule type="duplicateValues" dxfId="0" priority="780"/>
  </conditionalFormatting>
  <conditionalFormatting sqref="H792">
    <cfRule type="duplicateValues" dxfId="0" priority="779"/>
  </conditionalFormatting>
  <conditionalFormatting sqref="H793">
    <cfRule type="duplicateValues" dxfId="0" priority="778"/>
  </conditionalFormatting>
  <conditionalFormatting sqref="H794">
    <cfRule type="duplicateValues" dxfId="0" priority="777"/>
  </conditionalFormatting>
  <conditionalFormatting sqref="H795">
    <cfRule type="duplicateValues" dxfId="0" priority="776"/>
  </conditionalFormatting>
  <conditionalFormatting sqref="H796">
    <cfRule type="duplicateValues" dxfId="0" priority="775"/>
  </conditionalFormatting>
  <conditionalFormatting sqref="H797">
    <cfRule type="duplicateValues" dxfId="0" priority="774"/>
  </conditionalFormatting>
  <conditionalFormatting sqref="H798">
    <cfRule type="duplicateValues" dxfId="0" priority="773"/>
  </conditionalFormatting>
  <conditionalFormatting sqref="H799">
    <cfRule type="duplicateValues" dxfId="0" priority="772"/>
  </conditionalFormatting>
  <conditionalFormatting sqref="H800">
    <cfRule type="duplicateValues" dxfId="0" priority="771"/>
  </conditionalFormatting>
  <conditionalFormatting sqref="H801">
    <cfRule type="duplicateValues" dxfId="0" priority="770"/>
  </conditionalFormatting>
  <conditionalFormatting sqref="H802">
    <cfRule type="duplicateValues" dxfId="0" priority="769"/>
  </conditionalFormatting>
  <conditionalFormatting sqref="H803">
    <cfRule type="duplicateValues" dxfId="0" priority="768"/>
  </conditionalFormatting>
  <conditionalFormatting sqref="H804">
    <cfRule type="duplicateValues" dxfId="0" priority="767"/>
  </conditionalFormatting>
  <conditionalFormatting sqref="H805">
    <cfRule type="duplicateValues" dxfId="0" priority="766"/>
  </conditionalFormatting>
  <conditionalFormatting sqref="H806">
    <cfRule type="duplicateValues" dxfId="0" priority="765"/>
  </conditionalFormatting>
  <conditionalFormatting sqref="H807">
    <cfRule type="duplicateValues" dxfId="0" priority="764"/>
  </conditionalFormatting>
  <conditionalFormatting sqref="H808">
    <cfRule type="duplicateValues" dxfId="0" priority="763"/>
  </conditionalFormatting>
  <conditionalFormatting sqref="H809">
    <cfRule type="duplicateValues" dxfId="0" priority="762"/>
  </conditionalFormatting>
  <conditionalFormatting sqref="H810">
    <cfRule type="duplicateValues" dxfId="0" priority="761"/>
  </conditionalFormatting>
  <conditionalFormatting sqref="H811">
    <cfRule type="duplicateValues" dxfId="0" priority="760"/>
  </conditionalFormatting>
  <conditionalFormatting sqref="H812">
    <cfRule type="duplicateValues" dxfId="0" priority="759"/>
  </conditionalFormatting>
  <conditionalFormatting sqref="H813">
    <cfRule type="duplicateValues" dxfId="0" priority="758"/>
  </conditionalFormatting>
  <conditionalFormatting sqref="H814">
    <cfRule type="duplicateValues" dxfId="0" priority="757"/>
  </conditionalFormatting>
  <conditionalFormatting sqref="H815">
    <cfRule type="duplicateValues" dxfId="0" priority="756"/>
  </conditionalFormatting>
  <conditionalFormatting sqref="H816">
    <cfRule type="duplicateValues" dxfId="0" priority="755"/>
  </conditionalFormatting>
  <conditionalFormatting sqref="H817">
    <cfRule type="duplicateValues" dxfId="0" priority="754"/>
  </conditionalFormatting>
  <conditionalFormatting sqref="H818">
    <cfRule type="duplicateValues" dxfId="0" priority="753"/>
  </conditionalFormatting>
  <conditionalFormatting sqref="H819">
    <cfRule type="duplicateValues" dxfId="0" priority="752"/>
  </conditionalFormatting>
  <conditionalFormatting sqref="H820">
    <cfRule type="duplicateValues" dxfId="0" priority="751"/>
  </conditionalFormatting>
  <conditionalFormatting sqref="H821">
    <cfRule type="duplicateValues" dxfId="0" priority="750"/>
  </conditionalFormatting>
  <conditionalFormatting sqref="H822">
    <cfRule type="duplicateValues" dxfId="0" priority="749"/>
  </conditionalFormatting>
  <conditionalFormatting sqref="H823">
    <cfRule type="duplicateValues" dxfId="0" priority="748"/>
  </conditionalFormatting>
  <conditionalFormatting sqref="H824">
    <cfRule type="duplicateValues" dxfId="0" priority="747"/>
  </conditionalFormatting>
  <conditionalFormatting sqref="H825">
    <cfRule type="duplicateValues" dxfId="0" priority="746"/>
  </conditionalFormatting>
  <conditionalFormatting sqref="H826">
    <cfRule type="duplicateValues" dxfId="0" priority="745"/>
  </conditionalFormatting>
  <conditionalFormatting sqref="H827">
    <cfRule type="duplicateValues" dxfId="0" priority="744"/>
  </conditionalFormatting>
  <conditionalFormatting sqref="H828">
    <cfRule type="duplicateValues" dxfId="0" priority="743"/>
  </conditionalFormatting>
  <conditionalFormatting sqref="H829">
    <cfRule type="duplicateValues" dxfId="0" priority="742"/>
  </conditionalFormatting>
  <conditionalFormatting sqref="H830">
    <cfRule type="duplicateValues" dxfId="0" priority="741"/>
  </conditionalFormatting>
  <conditionalFormatting sqref="H831">
    <cfRule type="duplicateValues" dxfId="0" priority="740"/>
  </conditionalFormatting>
  <conditionalFormatting sqref="H832">
    <cfRule type="duplicateValues" dxfId="0" priority="739"/>
  </conditionalFormatting>
  <conditionalFormatting sqref="H833">
    <cfRule type="duplicateValues" dxfId="0" priority="738"/>
  </conditionalFormatting>
  <conditionalFormatting sqref="H834">
    <cfRule type="duplicateValues" dxfId="0" priority="737"/>
  </conditionalFormatting>
  <conditionalFormatting sqref="H835">
    <cfRule type="duplicateValues" dxfId="0" priority="736"/>
  </conditionalFormatting>
  <conditionalFormatting sqref="H836">
    <cfRule type="duplicateValues" dxfId="0" priority="735"/>
  </conditionalFormatting>
  <conditionalFormatting sqref="H837">
    <cfRule type="duplicateValues" dxfId="0" priority="734"/>
  </conditionalFormatting>
  <conditionalFormatting sqref="H838">
    <cfRule type="duplicateValues" dxfId="0" priority="733"/>
  </conditionalFormatting>
  <conditionalFormatting sqref="H839">
    <cfRule type="duplicateValues" dxfId="0" priority="732"/>
  </conditionalFormatting>
  <conditionalFormatting sqref="H840">
    <cfRule type="duplicateValues" dxfId="0" priority="731"/>
  </conditionalFormatting>
  <conditionalFormatting sqref="H841">
    <cfRule type="duplicateValues" dxfId="0" priority="730"/>
  </conditionalFormatting>
  <conditionalFormatting sqref="H842">
    <cfRule type="duplicateValues" dxfId="0" priority="729"/>
  </conditionalFormatting>
  <conditionalFormatting sqref="H843">
    <cfRule type="duplicateValues" dxfId="0" priority="728"/>
  </conditionalFormatting>
  <conditionalFormatting sqref="H844">
    <cfRule type="duplicateValues" dxfId="0" priority="727"/>
  </conditionalFormatting>
  <conditionalFormatting sqref="H845">
    <cfRule type="duplicateValues" dxfId="0" priority="726"/>
  </conditionalFormatting>
  <conditionalFormatting sqref="H846">
    <cfRule type="duplicateValues" dxfId="0" priority="725"/>
  </conditionalFormatting>
  <conditionalFormatting sqref="H847">
    <cfRule type="duplicateValues" dxfId="0" priority="724"/>
  </conditionalFormatting>
  <conditionalFormatting sqref="H848">
    <cfRule type="duplicateValues" dxfId="0" priority="723"/>
  </conditionalFormatting>
  <conditionalFormatting sqref="H849">
    <cfRule type="duplicateValues" dxfId="0" priority="722"/>
  </conditionalFormatting>
  <conditionalFormatting sqref="H850">
    <cfRule type="duplicateValues" dxfId="0" priority="721"/>
  </conditionalFormatting>
  <conditionalFormatting sqref="H851">
    <cfRule type="duplicateValues" dxfId="0" priority="720"/>
  </conditionalFormatting>
  <conditionalFormatting sqref="H852">
    <cfRule type="duplicateValues" dxfId="0" priority="719"/>
  </conditionalFormatting>
  <conditionalFormatting sqref="H853">
    <cfRule type="duplicateValues" dxfId="0" priority="718"/>
  </conditionalFormatting>
  <conditionalFormatting sqref="H854">
    <cfRule type="duplicateValues" dxfId="0" priority="717"/>
  </conditionalFormatting>
  <conditionalFormatting sqref="H855">
    <cfRule type="duplicateValues" dxfId="0" priority="716"/>
  </conditionalFormatting>
  <conditionalFormatting sqref="H856">
    <cfRule type="duplicateValues" dxfId="0" priority="715"/>
  </conditionalFormatting>
  <conditionalFormatting sqref="H857">
    <cfRule type="duplicateValues" dxfId="0" priority="714"/>
  </conditionalFormatting>
  <conditionalFormatting sqref="H858">
    <cfRule type="duplicateValues" dxfId="0" priority="713"/>
  </conditionalFormatting>
  <conditionalFormatting sqref="H859">
    <cfRule type="duplicateValues" dxfId="0" priority="712"/>
  </conditionalFormatting>
  <conditionalFormatting sqref="H860">
    <cfRule type="duplicateValues" dxfId="0" priority="711"/>
  </conditionalFormatting>
  <conditionalFormatting sqref="H861">
    <cfRule type="duplicateValues" dxfId="0" priority="710"/>
  </conditionalFormatting>
  <conditionalFormatting sqref="H862">
    <cfRule type="duplicateValues" dxfId="0" priority="709"/>
  </conditionalFormatting>
  <conditionalFormatting sqref="H863">
    <cfRule type="duplicateValues" dxfId="0" priority="708"/>
  </conditionalFormatting>
  <conditionalFormatting sqref="H864">
    <cfRule type="duplicateValues" dxfId="0" priority="707"/>
  </conditionalFormatting>
  <conditionalFormatting sqref="H865">
    <cfRule type="duplicateValues" dxfId="0" priority="706"/>
  </conditionalFormatting>
  <conditionalFormatting sqref="H866">
    <cfRule type="duplicateValues" dxfId="0" priority="705"/>
  </conditionalFormatting>
  <conditionalFormatting sqref="H867">
    <cfRule type="duplicateValues" dxfId="0" priority="704"/>
  </conditionalFormatting>
  <conditionalFormatting sqref="H868">
    <cfRule type="duplicateValues" dxfId="0" priority="703"/>
  </conditionalFormatting>
  <conditionalFormatting sqref="H869">
    <cfRule type="duplicateValues" dxfId="0" priority="702"/>
  </conditionalFormatting>
  <conditionalFormatting sqref="H870">
    <cfRule type="duplicateValues" dxfId="0" priority="701"/>
  </conditionalFormatting>
  <conditionalFormatting sqref="H871">
    <cfRule type="duplicateValues" dxfId="0" priority="700"/>
  </conditionalFormatting>
  <conditionalFormatting sqref="H872">
    <cfRule type="duplicateValues" dxfId="0" priority="699"/>
  </conditionalFormatting>
  <conditionalFormatting sqref="H873">
    <cfRule type="duplicateValues" dxfId="0" priority="698"/>
  </conditionalFormatting>
  <conditionalFormatting sqref="H874">
    <cfRule type="duplicateValues" dxfId="0" priority="697"/>
  </conditionalFormatting>
  <conditionalFormatting sqref="H875">
    <cfRule type="duplicateValues" dxfId="0" priority="696"/>
  </conditionalFormatting>
  <conditionalFormatting sqref="H876">
    <cfRule type="duplicateValues" dxfId="0" priority="695"/>
  </conditionalFormatting>
  <conditionalFormatting sqref="H877">
    <cfRule type="duplicateValues" dxfId="0" priority="694"/>
  </conditionalFormatting>
  <conditionalFormatting sqref="H878">
    <cfRule type="duplicateValues" dxfId="0" priority="693"/>
  </conditionalFormatting>
  <conditionalFormatting sqref="H879">
    <cfRule type="duplicateValues" dxfId="0" priority="692"/>
  </conditionalFormatting>
  <conditionalFormatting sqref="H880">
    <cfRule type="duplicateValues" dxfId="0" priority="691"/>
  </conditionalFormatting>
  <conditionalFormatting sqref="H881">
    <cfRule type="duplicateValues" dxfId="0" priority="690"/>
  </conditionalFormatting>
  <conditionalFormatting sqref="H882">
    <cfRule type="duplicateValues" dxfId="0" priority="689"/>
  </conditionalFormatting>
  <conditionalFormatting sqref="H883">
    <cfRule type="duplicateValues" dxfId="0" priority="688"/>
  </conditionalFormatting>
  <conditionalFormatting sqref="H884">
    <cfRule type="duplicateValues" dxfId="0" priority="687"/>
  </conditionalFormatting>
  <conditionalFormatting sqref="H885">
    <cfRule type="duplicateValues" dxfId="0" priority="686"/>
  </conditionalFormatting>
  <conditionalFormatting sqref="H886">
    <cfRule type="duplicateValues" dxfId="0" priority="685"/>
  </conditionalFormatting>
  <conditionalFormatting sqref="H887">
    <cfRule type="duplicateValues" dxfId="0" priority="684"/>
  </conditionalFormatting>
  <conditionalFormatting sqref="H888">
    <cfRule type="duplicateValues" dxfId="0" priority="683"/>
  </conditionalFormatting>
  <conditionalFormatting sqref="H889">
    <cfRule type="duplicateValues" dxfId="0" priority="682"/>
  </conditionalFormatting>
  <conditionalFormatting sqref="H890">
    <cfRule type="duplicateValues" dxfId="0" priority="681"/>
  </conditionalFormatting>
  <conditionalFormatting sqref="H891">
    <cfRule type="duplicateValues" dxfId="0" priority="680"/>
  </conditionalFormatting>
  <conditionalFormatting sqref="H892">
    <cfRule type="duplicateValues" dxfId="0" priority="679"/>
  </conditionalFormatting>
  <conditionalFormatting sqref="H893">
    <cfRule type="duplicateValues" dxfId="0" priority="678"/>
  </conditionalFormatting>
  <conditionalFormatting sqref="H894">
    <cfRule type="duplicateValues" dxfId="0" priority="677"/>
  </conditionalFormatting>
  <conditionalFormatting sqref="H895">
    <cfRule type="duplicateValues" dxfId="0" priority="676"/>
  </conditionalFormatting>
  <conditionalFormatting sqref="H896">
    <cfRule type="duplicateValues" dxfId="0" priority="675"/>
  </conditionalFormatting>
  <conditionalFormatting sqref="H897">
    <cfRule type="duplicateValues" dxfId="0" priority="674"/>
  </conditionalFormatting>
  <conditionalFormatting sqref="H898">
    <cfRule type="duplicateValues" dxfId="0" priority="673"/>
  </conditionalFormatting>
  <conditionalFormatting sqref="H899">
    <cfRule type="duplicateValues" dxfId="0" priority="672"/>
  </conditionalFormatting>
  <conditionalFormatting sqref="H900">
    <cfRule type="duplicateValues" dxfId="0" priority="671"/>
  </conditionalFormatting>
  <conditionalFormatting sqref="H901">
    <cfRule type="duplicateValues" dxfId="0" priority="670"/>
  </conditionalFormatting>
  <conditionalFormatting sqref="H902">
    <cfRule type="duplicateValues" dxfId="0" priority="669"/>
  </conditionalFormatting>
  <conditionalFormatting sqref="H903">
    <cfRule type="duplicateValues" dxfId="0" priority="668"/>
  </conditionalFormatting>
  <conditionalFormatting sqref="H904">
    <cfRule type="duplicateValues" dxfId="0" priority="667"/>
  </conditionalFormatting>
  <conditionalFormatting sqref="H905">
    <cfRule type="duplicateValues" dxfId="0" priority="666"/>
  </conditionalFormatting>
  <conditionalFormatting sqref="H906">
    <cfRule type="duplicateValues" dxfId="0" priority="665"/>
  </conditionalFormatting>
  <conditionalFormatting sqref="H907">
    <cfRule type="duplicateValues" dxfId="0" priority="664"/>
  </conditionalFormatting>
  <conditionalFormatting sqref="H908">
    <cfRule type="duplicateValues" dxfId="0" priority="663"/>
  </conditionalFormatting>
  <conditionalFormatting sqref="H909">
    <cfRule type="duplicateValues" dxfId="0" priority="662"/>
  </conditionalFormatting>
  <conditionalFormatting sqref="H910">
    <cfRule type="duplicateValues" dxfId="0" priority="661"/>
  </conditionalFormatting>
  <conditionalFormatting sqref="H911">
    <cfRule type="duplicateValues" dxfId="0" priority="660"/>
  </conditionalFormatting>
  <conditionalFormatting sqref="H912">
    <cfRule type="duplicateValues" dxfId="0" priority="434"/>
  </conditionalFormatting>
  <conditionalFormatting sqref="H913">
    <cfRule type="duplicateValues" dxfId="0" priority="433"/>
  </conditionalFormatting>
  <conditionalFormatting sqref="H914">
    <cfRule type="duplicateValues" dxfId="0" priority="432"/>
  </conditionalFormatting>
  <conditionalFormatting sqref="H915">
    <cfRule type="duplicateValues" dxfId="0" priority="431"/>
  </conditionalFormatting>
  <conditionalFormatting sqref="H916">
    <cfRule type="duplicateValues" dxfId="0" priority="430"/>
  </conditionalFormatting>
  <conditionalFormatting sqref="H917">
    <cfRule type="duplicateValues" dxfId="0" priority="429"/>
  </conditionalFormatting>
  <conditionalFormatting sqref="H918">
    <cfRule type="duplicateValues" dxfId="0" priority="428"/>
  </conditionalFormatting>
  <conditionalFormatting sqref="H919">
    <cfRule type="duplicateValues" dxfId="0" priority="427"/>
  </conditionalFormatting>
  <conditionalFormatting sqref="H920">
    <cfRule type="duplicateValues" dxfId="0" priority="426"/>
  </conditionalFormatting>
  <conditionalFormatting sqref="H921">
    <cfRule type="duplicateValues" dxfId="0" priority="425"/>
  </conditionalFormatting>
  <conditionalFormatting sqref="H922">
    <cfRule type="duplicateValues" dxfId="0" priority="424"/>
  </conditionalFormatting>
  <conditionalFormatting sqref="H923">
    <cfRule type="duplicateValues" dxfId="0" priority="423"/>
  </conditionalFormatting>
  <conditionalFormatting sqref="H924">
    <cfRule type="duplicateValues" dxfId="0" priority="422"/>
  </conditionalFormatting>
  <conditionalFormatting sqref="H925">
    <cfRule type="duplicateValues" dxfId="0" priority="421"/>
  </conditionalFormatting>
  <conditionalFormatting sqref="H926">
    <cfRule type="duplicateValues" dxfId="0" priority="420"/>
  </conditionalFormatting>
  <conditionalFormatting sqref="H927">
    <cfRule type="duplicateValues" dxfId="0" priority="419"/>
  </conditionalFormatting>
  <conditionalFormatting sqref="H928">
    <cfRule type="duplicateValues" dxfId="0" priority="418"/>
  </conditionalFormatting>
  <conditionalFormatting sqref="H929">
    <cfRule type="duplicateValues" dxfId="0" priority="417"/>
  </conditionalFormatting>
  <conditionalFormatting sqref="H930">
    <cfRule type="duplicateValues" dxfId="0" priority="416"/>
  </conditionalFormatting>
  <conditionalFormatting sqref="H931">
    <cfRule type="duplicateValues" dxfId="0" priority="415"/>
  </conditionalFormatting>
  <conditionalFormatting sqref="H932">
    <cfRule type="duplicateValues" dxfId="0" priority="414"/>
  </conditionalFormatting>
  <conditionalFormatting sqref="H933">
    <cfRule type="duplicateValues" dxfId="0" priority="413"/>
  </conditionalFormatting>
  <conditionalFormatting sqref="H934">
    <cfRule type="duplicateValues" dxfId="0" priority="412"/>
  </conditionalFormatting>
  <conditionalFormatting sqref="H935">
    <cfRule type="duplicateValues" dxfId="0" priority="411"/>
  </conditionalFormatting>
  <conditionalFormatting sqref="H936">
    <cfRule type="duplicateValues" dxfId="0" priority="410"/>
  </conditionalFormatting>
  <conditionalFormatting sqref="H937">
    <cfRule type="duplicateValues" dxfId="0" priority="409"/>
  </conditionalFormatting>
  <conditionalFormatting sqref="H938">
    <cfRule type="duplicateValues" dxfId="0" priority="408"/>
  </conditionalFormatting>
  <conditionalFormatting sqref="H939">
    <cfRule type="duplicateValues" dxfId="0" priority="407"/>
  </conditionalFormatting>
  <conditionalFormatting sqref="H940">
    <cfRule type="duplicateValues" dxfId="0" priority="406"/>
  </conditionalFormatting>
  <conditionalFormatting sqref="H941">
    <cfRule type="duplicateValues" dxfId="0" priority="405"/>
  </conditionalFormatting>
  <conditionalFormatting sqref="H942">
    <cfRule type="duplicateValues" dxfId="0" priority="404"/>
  </conditionalFormatting>
  <conditionalFormatting sqref="H943">
    <cfRule type="duplicateValues" dxfId="0" priority="403"/>
  </conditionalFormatting>
  <conditionalFormatting sqref="H944">
    <cfRule type="duplicateValues" dxfId="0" priority="402"/>
  </conditionalFormatting>
  <conditionalFormatting sqref="H945">
    <cfRule type="duplicateValues" dxfId="0" priority="401"/>
  </conditionalFormatting>
  <conditionalFormatting sqref="H946">
    <cfRule type="duplicateValues" dxfId="0" priority="400"/>
  </conditionalFormatting>
  <conditionalFormatting sqref="H947">
    <cfRule type="duplicateValues" dxfId="0" priority="399"/>
  </conditionalFormatting>
  <conditionalFormatting sqref="H948">
    <cfRule type="duplicateValues" dxfId="0" priority="398"/>
  </conditionalFormatting>
  <conditionalFormatting sqref="H949">
    <cfRule type="duplicateValues" dxfId="0" priority="397"/>
  </conditionalFormatting>
  <conditionalFormatting sqref="H950">
    <cfRule type="duplicateValues" dxfId="0" priority="396"/>
  </conditionalFormatting>
  <conditionalFormatting sqref="H951">
    <cfRule type="duplicateValues" dxfId="0" priority="395"/>
  </conditionalFormatting>
  <conditionalFormatting sqref="H952">
    <cfRule type="duplicateValues" dxfId="0" priority="394"/>
  </conditionalFormatting>
  <conditionalFormatting sqref="H953">
    <cfRule type="duplicateValues" dxfId="0" priority="393"/>
  </conditionalFormatting>
  <conditionalFormatting sqref="H954">
    <cfRule type="duplicateValues" dxfId="0" priority="392"/>
  </conditionalFormatting>
  <conditionalFormatting sqref="H955">
    <cfRule type="duplicateValues" dxfId="0" priority="391"/>
  </conditionalFormatting>
  <conditionalFormatting sqref="H956">
    <cfRule type="duplicateValues" dxfId="0" priority="390"/>
  </conditionalFormatting>
  <conditionalFormatting sqref="H957">
    <cfRule type="duplicateValues" dxfId="0" priority="389"/>
  </conditionalFormatting>
  <conditionalFormatting sqref="H958">
    <cfRule type="duplicateValues" dxfId="0" priority="388"/>
  </conditionalFormatting>
  <conditionalFormatting sqref="H959">
    <cfRule type="duplicateValues" dxfId="0" priority="387"/>
  </conditionalFormatting>
  <conditionalFormatting sqref="H960">
    <cfRule type="duplicateValues" dxfId="0" priority="386"/>
  </conditionalFormatting>
  <conditionalFormatting sqref="H961">
    <cfRule type="duplicateValues" dxfId="0" priority="385"/>
  </conditionalFormatting>
  <conditionalFormatting sqref="H962">
    <cfRule type="duplicateValues" dxfId="0" priority="384"/>
  </conditionalFormatting>
  <conditionalFormatting sqref="H963">
    <cfRule type="duplicateValues" dxfId="0" priority="383"/>
  </conditionalFormatting>
  <conditionalFormatting sqref="H964">
    <cfRule type="duplicateValues" dxfId="0" priority="382"/>
  </conditionalFormatting>
  <conditionalFormatting sqref="H965">
    <cfRule type="duplicateValues" dxfId="0" priority="381"/>
  </conditionalFormatting>
  <conditionalFormatting sqref="H966">
    <cfRule type="duplicateValues" dxfId="0" priority="380"/>
  </conditionalFormatting>
  <conditionalFormatting sqref="H967">
    <cfRule type="duplicateValues" dxfId="0" priority="379"/>
  </conditionalFormatting>
  <conditionalFormatting sqref="H968">
    <cfRule type="duplicateValues" dxfId="0" priority="378"/>
  </conditionalFormatting>
  <conditionalFormatting sqref="H969">
    <cfRule type="duplicateValues" dxfId="0" priority="377"/>
  </conditionalFormatting>
  <conditionalFormatting sqref="H970">
    <cfRule type="duplicateValues" dxfId="0" priority="376"/>
  </conditionalFormatting>
  <conditionalFormatting sqref="H971">
    <cfRule type="duplicateValues" dxfId="0" priority="375"/>
  </conditionalFormatting>
  <conditionalFormatting sqref="H972">
    <cfRule type="duplicateValues" dxfId="0" priority="374"/>
  </conditionalFormatting>
  <conditionalFormatting sqref="H973">
    <cfRule type="duplicateValues" dxfId="0" priority="373"/>
  </conditionalFormatting>
  <conditionalFormatting sqref="H974">
    <cfRule type="duplicateValues" dxfId="0" priority="372"/>
  </conditionalFormatting>
  <conditionalFormatting sqref="H975">
    <cfRule type="duplicateValues" dxfId="0" priority="371"/>
  </conditionalFormatting>
  <conditionalFormatting sqref="H1078">
    <cfRule type="duplicateValues" dxfId="0" priority="354"/>
  </conditionalFormatting>
  <conditionalFormatting sqref="H1081">
    <cfRule type="duplicateValues" dxfId="0" priority="351"/>
  </conditionalFormatting>
  <conditionalFormatting sqref="H1082">
    <cfRule type="duplicateValues" dxfId="0" priority="350"/>
  </conditionalFormatting>
  <conditionalFormatting sqref="H1083">
    <cfRule type="duplicateValues" dxfId="0" priority="349"/>
  </conditionalFormatting>
  <conditionalFormatting sqref="H1084">
    <cfRule type="duplicateValues" dxfId="0" priority="348"/>
  </conditionalFormatting>
  <conditionalFormatting sqref="H1085">
    <cfRule type="duplicateValues" dxfId="0" priority="347"/>
  </conditionalFormatting>
  <conditionalFormatting sqref="H1086">
    <cfRule type="duplicateValues" dxfId="0" priority="346"/>
  </conditionalFormatting>
  <conditionalFormatting sqref="H1087">
    <cfRule type="duplicateValues" dxfId="0" priority="345"/>
  </conditionalFormatting>
  <conditionalFormatting sqref="H1088">
    <cfRule type="duplicateValues" dxfId="0" priority="344"/>
  </conditionalFormatting>
  <conditionalFormatting sqref="H1089">
    <cfRule type="duplicateValues" dxfId="0" priority="343"/>
  </conditionalFormatting>
  <conditionalFormatting sqref="H1090">
    <cfRule type="duplicateValues" dxfId="0" priority="342"/>
  </conditionalFormatting>
  <conditionalFormatting sqref="H1091">
    <cfRule type="duplicateValues" dxfId="0" priority="341"/>
  </conditionalFormatting>
  <conditionalFormatting sqref="H1092">
    <cfRule type="duplicateValues" dxfId="0" priority="340"/>
  </conditionalFormatting>
  <conditionalFormatting sqref="H1093">
    <cfRule type="duplicateValues" dxfId="0" priority="339"/>
  </conditionalFormatting>
  <conditionalFormatting sqref="H1094">
    <cfRule type="duplicateValues" dxfId="0" priority="338"/>
  </conditionalFormatting>
  <conditionalFormatting sqref="H1095">
    <cfRule type="duplicateValues" dxfId="0" priority="337"/>
  </conditionalFormatting>
  <conditionalFormatting sqref="H1096">
    <cfRule type="duplicateValues" dxfId="0" priority="336"/>
  </conditionalFormatting>
  <conditionalFormatting sqref="H1097">
    <cfRule type="duplicateValues" dxfId="0" priority="335"/>
  </conditionalFormatting>
  <conditionalFormatting sqref="H1098">
    <cfRule type="duplicateValues" dxfId="0" priority="334"/>
  </conditionalFormatting>
  <conditionalFormatting sqref="H1099">
    <cfRule type="duplicateValues" dxfId="0" priority="333"/>
  </conditionalFormatting>
  <conditionalFormatting sqref="H1100">
    <cfRule type="duplicateValues" dxfId="0" priority="332"/>
  </conditionalFormatting>
  <conditionalFormatting sqref="H1101">
    <cfRule type="duplicateValues" dxfId="0" priority="331"/>
  </conditionalFormatting>
  <conditionalFormatting sqref="H1102">
    <cfRule type="duplicateValues" dxfId="0" priority="330"/>
  </conditionalFormatting>
  <conditionalFormatting sqref="H1103">
    <cfRule type="duplicateValues" dxfId="0" priority="329"/>
  </conditionalFormatting>
  <conditionalFormatting sqref="H1104">
    <cfRule type="duplicateValues" dxfId="0" priority="328"/>
  </conditionalFormatting>
  <conditionalFormatting sqref="H1105">
    <cfRule type="duplicateValues" dxfId="0" priority="327"/>
  </conditionalFormatting>
  <conditionalFormatting sqref="H1106">
    <cfRule type="duplicateValues" dxfId="0" priority="326"/>
  </conditionalFormatting>
  <conditionalFormatting sqref="H1107">
    <cfRule type="duplicateValues" dxfId="0" priority="325"/>
  </conditionalFormatting>
  <conditionalFormatting sqref="H1108">
    <cfRule type="duplicateValues" dxfId="0" priority="323"/>
  </conditionalFormatting>
  <conditionalFormatting sqref="H1109">
    <cfRule type="duplicateValues" dxfId="0" priority="322"/>
  </conditionalFormatting>
  <conditionalFormatting sqref="H1110">
    <cfRule type="duplicateValues" dxfId="0" priority="321"/>
  </conditionalFormatting>
  <conditionalFormatting sqref="H1111">
    <cfRule type="duplicateValues" dxfId="0" priority="320"/>
  </conditionalFormatting>
  <conditionalFormatting sqref="H1112">
    <cfRule type="duplicateValues" dxfId="0" priority="319"/>
  </conditionalFormatting>
  <conditionalFormatting sqref="X1120">
    <cfRule type="duplicateValues" dxfId="0" priority="362"/>
  </conditionalFormatting>
  <conditionalFormatting sqref="X1138">
    <cfRule type="duplicateValues" dxfId="0" priority="278"/>
  </conditionalFormatting>
  <conditionalFormatting sqref="F1151">
    <cfRule type="duplicateValues" dxfId="0" priority="38"/>
  </conditionalFormatting>
  <conditionalFormatting sqref="X1164">
    <cfRule type="duplicateValues" dxfId="0" priority="277"/>
  </conditionalFormatting>
  <conditionalFormatting sqref="H1502">
    <cfRule type="duplicateValues" dxfId="0" priority="273"/>
  </conditionalFormatting>
  <conditionalFormatting sqref="H1569">
    <cfRule type="duplicateValues" dxfId="0" priority="133"/>
  </conditionalFormatting>
  <conditionalFormatting sqref="H1570">
    <cfRule type="duplicateValues" dxfId="0" priority="132"/>
  </conditionalFormatting>
  <conditionalFormatting sqref="H1571">
    <cfRule type="duplicateValues" dxfId="0" priority="131"/>
  </conditionalFormatting>
  <conditionalFormatting sqref="H1572">
    <cfRule type="duplicateValues" dxfId="0" priority="130"/>
  </conditionalFormatting>
  <conditionalFormatting sqref="H1573">
    <cfRule type="duplicateValues" dxfId="0" priority="129"/>
  </conditionalFormatting>
  <conditionalFormatting sqref="H1574">
    <cfRule type="duplicateValues" dxfId="0" priority="128"/>
  </conditionalFormatting>
  <conditionalFormatting sqref="H1575">
    <cfRule type="duplicateValues" dxfId="0" priority="127"/>
  </conditionalFormatting>
  <conditionalFormatting sqref="H1576">
    <cfRule type="duplicateValues" dxfId="0" priority="126"/>
  </conditionalFormatting>
  <conditionalFormatting sqref="H1577">
    <cfRule type="duplicateValues" dxfId="0" priority="125"/>
  </conditionalFormatting>
  <conditionalFormatting sqref="H1578">
    <cfRule type="duplicateValues" dxfId="0" priority="124"/>
  </conditionalFormatting>
  <conditionalFormatting sqref="H1579">
    <cfRule type="duplicateValues" dxfId="0" priority="123"/>
  </conditionalFormatting>
  <conditionalFormatting sqref="H1580">
    <cfRule type="duplicateValues" dxfId="0" priority="122"/>
  </conditionalFormatting>
  <conditionalFormatting sqref="H1581">
    <cfRule type="duplicateValues" dxfId="0" priority="121"/>
  </conditionalFormatting>
  <conditionalFormatting sqref="H1582">
    <cfRule type="duplicateValues" dxfId="0" priority="120"/>
  </conditionalFormatting>
  <conditionalFormatting sqref="H1583">
    <cfRule type="duplicateValues" dxfId="0" priority="119"/>
  </conditionalFormatting>
  <conditionalFormatting sqref="H1584">
    <cfRule type="duplicateValues" dxfId="0" priority="118"/>
  </conditionalFormatting>
  <conditionalFormatting sqref="H1585">
    <cfRule type="duplicateValues" dxfId="0" priority="117"/>
  </conditionalFormatting>
  <conditionalFormatting sqref="H1586">
    <cfRule type="duplicateValues" dxfId="0" priority="116"/>
  </conditionalFormatting>
  <conditionalFormatting sqref="H1587">
    <cfRule type="duplicateValues" dxfId="0" priority="115"/>
  </conditionalFormatting>
  <conditionalFormatting sqref="H1588">
    <cfRule type="duplicateValues" dxfId="0" priority="114"/>
  </conditionalFormatting>
  <conditionalFormatting sqref="H1589">
    <cfRule type="duplicateValues" dxfId="0" priority="113"/>
  </conditionalFormatting>
  <conditionalFormatting sqref="H1590">
    <cfRule type="duplicateValues" dxfId="0" priority="112"/>
  </conditionalFormatting>
  <conditionalFormatting sqref="H1591">
    <cfRule type="duplicateValues" dxfId="0" priority="111"/>
  </conditionalFormatting>
  <conditionalFormatting sqref="H1592">
    <cfRule type="duplicateValues" dxfId="0" priority="110"/>
  </conditionalFormatting>
  <conditionalFormatting sqref="H1593">
    <cfRule type="duplicateValues" dxfId="0" priority="109"/>
  </conditionalFormatting>
  <conditionalFormatting sqref="H1594">
    <cfRule type="duplicateValues" dxfId="0" priority="108"/>
  </conditionalFormatting>
  <conditionalFormatting sqref="H1595">
    <cfRule type="duplicateValues" dxfId="0" priority="107"/>
  </conditionalFormatting>
  <conditionalFormatting sqref="H1596">
    <cfRule type="duplicateValues" dxfId="0" priority="106"/>
  </conditionalFormatting>
  <conditionalFormatting sqref="H1597">
    <cfRule type="duplicateValues" dxfId="0" priority="105"/>
  </conditionalFormatting>
  <conditionalFormatting sqref="H1598">
    <cfRule type="duplicateValues" dxfId="0" priority="104"/>
  </conditionalFormatting>
  <conditionalFormatting sqref="H1599">
    <cfRule type="duplicateValues" dxfId="0" priority="103"/>
  </conditionalFormatting>
  <conditionalFormatting sqref="H1600">
    <cfRule type="duplicateValues" dxfId="0" priority="102"/>
  </conditionalFormatting>
  <conditionalFormatting sqref="H1601">
    <cfRule type="duplicateValues" dxfId="0" priority="101"/>
  </conditionalFormatting>
  <conditionalFormatting sqref="H1602">
    <cfRule type="duplicateValues" dxfId="0" priority="100"/>
  </conditionalFormatting>
  <conditionalFormatting sqref="H1603">
    <cfRule type="duplicateValues" dxfId="0" priority="99"/>
  </conditionalFormatting>
  <conditionalFormatting sqref="H1604">
    <cfRule type="duplicateValues" dxfId="0" priority="98"/>
  </conditionalFormatting>
  <conditionalFormatting sqref="H1605">
    <cfRule type="duplicateValues" dxfId="0" priority="97"/>
  </conditionalFormatting>
  <conditionalFormatting sqref="H1606">
    <cfRule type="duplicateValues" dxfId="0" priority="96"/>
  </conditionalFormatting>
  <conditionalFormatting sqref="H1607">
    <cfRule type="duplicateValues" dxfId="0" priority="95"/>
  </conditionalFormatting>
  <conditionalFormatting sqref="H1608">
    <cfRule type="duplicateValues" dxfId="0" priority="94"/>
  </conditionalFormatting>
  <conditionalFormatting sqref="H1609">
    <cfRule type="duplicateValues" dxfId="0" priority="93"/>
  </conditionalFormatting>
  <conditionalFormatting sqref="H1610">
    <cfRule type="duplicateValues" dxfId="0" priority="92"/>
  </conditionalFormatting>
  <conditionalFormatting sqref="H1611">
    <cfRule type="duplicateValues" dxfId="0" priority="91"/>
  </conditionalFormatting>
  <conditionalFormatting sqref="H1612">
    <cfRule type="duplicateValues" dxfId="0" priority="90"/>
  </conditionalFormatting>
  <conditionalFormatting sqref="H1613">
    <cfRule type="duplicateValues" dxfId="0" priority="89"/>
  </conditionalFormatting>
  <conditionalFormatting sqref="H1614">
    <cfRule type="duplicateValues" dxfId="0" priority="88"/>
  </conditionalFormatting>
  <conditionalFormatting sqref="H1615">
    <cfRule type="duplicateValues" dxfId="0" priority="87"/>
  </conditionalFormatting>
  <conditionalFormatting sqref="H1616">
    <cfRule type="duplicateValues" dxfId="0" priority="86"/>
  </conditionalFormatting>
  <conditionalFormatting sqref="H1617">
    <cfRule type="duplicateValues" dxfId="0" priority="85"/>
  </conditionalFormatting>
  <conditionalFormatting sqref="H1618">
    <cfRule type="duplicateValues" dxfId="0" priority="84"/>
  </conditionalFormatting>
  <conditionalFormatting sqref="H1619">
    <cfRule type="duplicateValues" dxfId="0" priority="83"/>
  </conditionalFormatting>
  <conditionalFormatting sqref="H1620">
    <cfRule type="duplicateValues" dxfId="0" priority="82"/>
  </conditionalFormatting>
  <conditionalFormatting sqref="H1621">
    <cfRule type="duplicateValues" dxfId="0" priority="81"/>
  </conditionalFormatting>
  <conditionalFormatting sqref="H1622">
    <cfRule type="duplicateValues" dxfId="0" priority="80"/>
  </conditionalFormatting>
  <conditionalFormatting sqref="H1623">
    <cfRule type="duplicateValues" dxfId="0" priority="79"/>
  </conditionalFormatting>
  <conditionalFormatting sqref="H2431">
    <cfRule type="duplicateValues" dxfId="0" priority="52"/>
  </conditionalFormatting>
  <conditionalFormatting sqref="Z2431">
    <cfRule type="duplicateValues" dxfId="0" priority="49"/>
  </conditionalFormatting>
  <conditionalFormatting sqref="H3102">
    <cfRule type="duplicateValues" dxfId="0" priority="25"/>
  </conditionalFormatting>
  <conditionalFormatting sqref="H1079:H1080">
    <cfRule type="duplicateValues" dxfId="0" priority="353"/>
  </conditionalFormatting>
  <conditionalFormatting sqref="H1503:H1568">
    <cfRule type="duplicateValues" dxfId="0" priority="272"/>
  </conditionalFormatting>
  <conditionalFormatting sqref="H1755:H1815">
    <cfRule type="duplicateValues" dxfId="0" priority="72"/>
  </conditionalFormatting>
  <conditionalFormatting sqref="H1902:H2051">
    <cfRule type="duplicateValues" dxfId="0" priority="68"/>
  </conditionalFormatting>
  <conditionalFormatting sqref="H2108:H2128">
    <cfRule type="duplicateValues" dxfId="0" priority="67"/>
  </conditionalFormatting>
  <conditionalFormatting sqref="H2186:H2208">
    <cfRule type="duplicateValues" dxfId="0" priority="62"/>
  </conditionalFormatting>
  <conditionalFormatting sqref="H2261:H2299">
    <cfRule type="duplicateValues" dxfId="0" priority="57"/>
  </conditionalFormatting>
  <conditionalFormatting sqref="H2300:H2430">
    <cfRule type="duplicateValues" dxfId="0" priority="70"/>
  </conditionalFormatting>
  <conditionalFormatting sqref="H2432:H2509">
    <cfRule type="duplicateValues" dxfId="0" priority="1346"/>
  </conditionalFormatting>
  <conditionalFormatting sqref="H2510:H2758">
    <cfRule type="duplicateValues" dxfId="0" priority="47"/>
  </conditionalFormatting>
  <conditionalFormatting sqref="H3555:H3845">
    <cfRule type="duplicateValues" dxfId="0" priority="11"/>
    <cfRule type="duplicateValues" dxfId="0" priority="10"/>
    <cfRule type="duplicateValues" dxfId="0" priority="9"/>
  </conditionalFormatting>
  <conditionalFormatting sqref="H3846:H3937">
    <cfRule type="duplicateValues" dxfId="0" priority="6"/>
    <cfRule type="duplicateValues" dxfId="0" priority="5"/>
    <cfRule type="duplicateValues" dxfId="0" priority="4"/>
  </conditionalFormatting>
  <conditionalFormatting sqref="H3939:H4165">
    <cfRule type="duplicateValues" dxfId="0" priority="3"/>
    <cfRule type="duplicateValues" dxfId="0" priority="2"/>
    <cfRule type="duplicateValues" dxfId="0" priority="1"/>
  </conditionalFormatting>
  <conditionalFormatting sqref="X11:X16">
    <cfRule type="duplicateValues" dxfId="0" priority="365"/>
  </conditionalFormatting>
  <conditionalFormatting sqref="X2939:X2949">
    <cfRule type="duplicateValues" dxfId="0" priority="31"/>
  </conditionalFormatting>
  <conditionalFormatting sqref="Z2108:Z2128">
    <cfRule type="duplicateValues" dxfId="0" priority="64"/>
  </conditionalFormatting>
  <conditionalFormatting sqref="Z2186:Z2208">
    <cfRule type="duplicateValues" dxfId="0" priority="59"/>
  </conditionalFormatting>
  <conditionalFormatting sqref="Z2261:Z2299">
    <cfRule type="duplicateValues" dxfId="0" priority="54"/>
  </conditionalFormatting>
  <conditionalFormatting sqref="Z2510:Z2633">
    <cfRule type="duplicateValues" dxfId="0" priority="44"/>
  </conditionalFormatting>
  <conditionalFormatting sqref="Z2939:Z2949">
    <cfRule type="duplicateValues" dxfId="0" priority="28"/>
  </conditionalFormatting>
  <conditionalFormatting sqref="Z3846:Z3873">
    <cfRule type="duplicateValues" dxfId="0" priority="7"/>
  </conditionalFormatting>
  <conditionalFormatting sqref="H1:H1077 H1113:H1150 H1152:H1351 H1426:H1501 H2855:H3101 H3103:H3326 A3327 C3327 E3327:H3327 C3328 E3328:H3328 H3329:H3554 G3645 H3938 H4166:H1048576">
    <cfRule type="duplicateValues" dxfId="0" priority="369"/>
  </conditionalFormatting>
  <conditionalFormatting sqref="H1:H299 H1123:H1150 H1152:H1351 H1426:H1501 H2855:H3101 H3103:H3326 A3327 C3327 E3327:H3327 C3328 E3328:H3328 H3329:H3554 G3645 H3938 H4166:H1048576">
    <cfRule type="duplicateValues" dxfId="0" priority="1284"/>
  </conditionalFormatting>
  <conditionalFormatting sqref="H1:H755 H1123:H1150 H1152:H1351 H1426:H1501 H2855:H3101 H3103:H3326 A3327 C3327 E3327:H3327 C3328 E3328:H3328 H3329:H3554 G3645 H3938 H4166:H1048576">
    <cfRule type="duplicateValues" dxfId="0" priority="816"/>
  </conditionalFormatting>
  <conditionalFormatting sqref="Z1:Z2 Z4 Z7 Z11:Z55 Z60:Z63 Z65:Z69 Z86 Z91:Z120 Z122:Z136 Z204:Z206 Z208:Z210 Z212 Z230:Z233 Z235:Z278 Z295 Z333 Z343 Z404:Z414 Z440:Z446 Z608:Z615 Z618:Z623 Z627:Z637 Z678:Z686 Z865:Z866 Z880:Z916 Z959:Z964 Z977:Z1016 Z1018:Z1021 Z1023 Z1050 Z1115:Z1116 Z1119:Z1124 Z1130 Z1133 Z1138 Z1145:Z1146 Z1151 Z1164:Z1166 Z1177:Z1178 Z1295:Z1296 Z1298 Z1300:Z1347 Z1385:Z1390 Z1392:Z1393 Z1396:Z1399 Z1430:Z1431 Z1659:Z1716 Z2836 Z2843:Z2873 Z2950:Z2951 Z2958:Z2973 Z2980:Z2995 Z3007 Z3153:Z3160 Z3223:Z3238 Z3268:Z3279 Z3319:Z3321 Z3323:Z3326 Z3402 Z3404 Z3412 Z3418:Z3432 Z3451 Z3454:Z3466 Z3468:Z3475 Z3477:Z3488 Z3522:Z3523 Z3552:Z3553 Z3606:Z3641 Z3644:Z3647 Z3708 Z3710:Z3722 Z3789:Z3791 Z3874:Z3938 Z3962:Z3963 Z3965:Z4080 Z4166:Z1048576">
    <cfRule type="duplicateValues" dxfId="0" priority="366"/>
  </conditionalFormatting>
  <conditionalFormatting sqref="H976:H1077 H1113:H1122">
    <cfRule type="duplicateValues" dxfId="0" priority="370"/>
  </conditionalFormatting>
  <conditionalFormatting sqref="K1387:L1387 H1352:H1425">
    <cfRule type="duplicateValues" dxfId="0" priority="274"/>
  </conditionalFormatting>
  <conditionalFormatting sqref="H1624:H1754 H1816:H1901 H2209:H2260 H2129:H2185 H2052:H2107">
    <cfRule type="duplicateValues" dxfId="0" priority="78"/>
  </conditionalFormatting>
  <conditionalFormatting sqref="H2759:H2854 K2850">
    <cfRule type="duplicateValues" dxfId="0" priority="39"/>
  </conditionalFormatting>
  <conditionalFormatting sqref="X3327 X3328">
    <cfRule type="duplicateValues" dxfId="0" priority="19"/>
  </conditionalFormatting>
  <conditionalFormatting sqref="Z3327 Z3328">
    <cfRule type="duplicateValues" dxfId="0" priority="16"/>
  </conditionalFormatting>
  <pageMargins left="0.739583333333333" right="0.739583333333333" top="0.739583333333333" bottom="0.739583333333333" header="0.5" footer="0.5"/>
  <pageSetup paperSize="9" scale="50" fitToWidth="0" orientation="portrait" blackAndWhite="1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>
    <pageSetUpPr fitToPage="1"/>
  </sheetPr>
  <dimension ref="A1:O48"/>
  <sheetViews>
    <sheetView zoomScale="55" zoomScaleNormal="55" topLeftCell="A15" workbookViewId="0">
      <selection activeCell="A3522" sqref="A3522"/>
    </sheetView>
  </sheetViews>
  <sheetFormatPr defaultColWidth="9" defaultRowHeight="15"/>
  <cols>
    <col min="1" max="1" width="7" style="94" customWidth="1"/>
    <col min="2" max="2" width="20.7" style="94" customWidth="1"/>
    <col min="3" max="3" width="12.6" style="94" customWidth="1"/>
    <col min="4" max="4" width="30.7" style="94" customWidth="1"/>
    <col min="5" max="5" width="7.1" style="94" customWidth="1"/>
    <col min="6" max="6" width="25" style="94" customWidth="1"/>
    <col min="7" max="7" width="15.6" style="95" customWidth="1"/>
    <col min="8" max="8" width="20.6" style="94" customWidth="1"/>
    <col min="9" max="9" width="7.1" style="96" customWidth="1"/>
    <col min="10" max="10" width="45.4" style="97" customWidth="1"/>
    <col min="11" max="11" width="6.6" style="94" customWidth="1"/>
    <col min="12" max="12" width="20.5" style="94" customWidth="1"/>
    <col min="13" max="13" width="13.1" style="95" customWidth="1"/>
    <col min="14" max="14" width="45.6" style="94" customWidth="1"/>
    <col min="15" max="256" width="9" style="94"/>
    <col min="257" max="257" width="7" style="94" customWidth="1"/>
    <col min="258" max="258" width="18" style="94" customWidth="1"/>
    <col min="259" max="259" width="7.5" style="94" customWidth="1"/>
    <col min="260" max="260" width="26.5" style="94" customWidth="1"/>
    <col min="261" max="261" width="7.1" style="94" customWidth="1"/>
    <col min="262" max="262" width="18.6" style="94" customWidth="1"/>
    <col min="263" max="263" width="6.4" style="94" customWidth="1"/>
    <col min="264" max="264" width="16.9" style="94" customWidth="1"/>
    <col min="265" max="265" width="7.1" style="94" customWidth="1"/>
    <col min="266" max="266" width="32.6" style="94" customWidth="1"/>
    <col min="267" max="267" width="6.6" style="94" customWidth="1"/>
    <col min="268" max="268" width="20.5" style="94" customWidth="1"/>
    <col min="269" max="269" width="6.5" style="94" customWidth="1"/>
    <col min="270" max="270" width="38.1" style="94" customWidth="1"/>
    <col min="271" max="512" width="9" style="94"/>
    <col min="513" max="513" width="7" style="94" customWidth="1"/>
    <col min="514" max="514" width="18" style="94" customWidth="1"/>
    <col min="515" max="515" width="7.5" style="94" customWidth="1"/>
    <col min="516" max="516" width="26.5" style="94" customWidth="1"/>
    <col min="517" max="517" width="7.1" style="94" customWidth="1"/>
    <col min="518" max="518" width="18.6" style="94" customWidth="1"/>
    <col min="519" max="519" width="6.4" style="94" customWidth="1"/>
    <col min="520" max="520" width="16.9" style="94" customWidth="1"/>
    <col min="521" max="521" width="7.1" style="94" customWidth="1"/>
    <col min="522" max="522" width="32.6" style="94" customWidth="1"/>
    <col min="523" max="523" width="6.6" style="94" customWidth="1"/>
    <col min="524" max="524" width="20.5" style="94" customWidth="1"/>
    <col min="525" max="525" width="6.5" style="94" customWidth="1"/>
    <col min="526" max="526" width="38.1" style="94" customWidth="1"/>
    <col min="527" max="768" width="9" style="94"/>
    <col min="769" max="769" width="7" style="94" customWidth="1"/>
    <col min="770" max="770" width="18" style="94" customWidth="1"/>
    <col min="771" max="771" width="7.5" style="94" customWidth="1"/>
    <col min="772" max="772" width="26.5" style="94" customWidth="1"/>
    <col min="773" max="773" width="7.1" style="94" customWidth="1"/>
    <col min="774" max="774" width="18.6" style="94" customWidth="1"/>
    <col min="775" max="775" width="6.4" style="94" customWidth="1"/>
    <col min="776" max="776" width="16.9" style="94" customWidth="1"/>
    <col min="777" max="777" width="7.1" style="94" customWidth="1"/>
    <col min="778" max="778" width="32.6" style="94" customWidth="1"/>
    <col min="779" max="779" width="6.6" style="94" customWidth="1"/>
    <col min="780" max="780" width="20.5" style="94" customWidth="1"/>
    <col min="781" max="781" width="6.5" style="94" customWidth="1"/>
    <col min="782" max="782" width="38.1" style="94" customWidth="1"/>
    <col min="783" max="1024" width="9" style="94"/>
    <col min="1025" max="1025" width="7" style="94" customWidth="1"/>
    <col min="1026" max="1026" width="18" style="94" customWidth="1"/>
    <col min="1027" max="1027" width="7.5" style="94" customWidth="1"/>
    <col min="1028" max="1028" width="26.5" style="94" customWidth="1"/>
    <col min="1029" max="1029" width="7.1" style="94" customWidth="1"/>
    <col min="1030" max="1030" width="18.6" style="94" customWidth="1"/>
    <col min="1031" max="1031" width="6.4" style="94" customWidth="1"/>
    <col min="1032" max="1032" width="16.9" style="94" customWidth="1"/>
    <col min="1033" max="1033" width="7.1" style="94" customWidth="1"/>
    <col min="1034" max="1034" width="32.6" style="94" customWidth="1"/>
    <col min="1035" max="1035" width="6.6" style="94" customWidth="1"/>
    <col min="1036" max="1036" width="20.5" style="94" customWidth="1"/>
    <col min="1037" max="1037" width="6.5" style="94" customWidth="1"/>
    <col min="1038" max="1038" width="38.1" style="94" customWidth="1"/>
    <col min="1039" max="1280" width="9" style="94"/>
    <col min="1281" max="1281" width="7" style="94" customWidth="1"/>
    <col min="1282" max="1282" width="18" style="94" customWidth="1"/>
    <col min="1283" max="1283" width="7.5" style="94" customWidth="1"/>
    <col min="1284" max="1284" width="26.5" style="94" customWidth="1"/>
    <col min="1285" max="1285" width="7.1" style="94" customWidth="1"/>
    <col min="1286" max="1286" width="18.6" style="94" customWidth="1"/>
    <col min="1287" max="1287" width="6.4" style="94" customWidth="1"/>
    <col min="1288" max="1288" width="16.9" style="94" customWidth="1"/>
    <col min="1289" max="1289" width="7.1" style="94" customWidth="1"/>
    <col min="1290" max="1290" width="32.6" style="94" customWidth="1"/>
    <col min="1291" max="1291" width="6.6" style="94" customWidth="1"/>
    <col min="1292" max="1292" width="20.5" style="94" customWidth="1"/>
    <col min="1293" max="1293" width="6.5" style="94" customWidth="1"/>
    <col min="1294" max="1294" width="38.1" style="94" customWidth="1"/>
    <col min="1295" max="1536" width="9" style="94"/>
    <col min="1537" max="1537" width="7" style="94" customWidth="1"/>
    <col min="1538" max="1538" width="18" style="94" customWidth="1"/>
    <col min="1539" max="1539" width="7.5" style="94" customWidth="1"/>
    <col min="1540" max="1540" width="26.5" style="94" customWidth="1"/>
    <col min="1541" max="1541" width="7.1" style="94" customWidth="1"/>
    <col min="1542" max="1542" width="18.6" style="94" customWidth="1"/>
    <col min="1543" max="1543" width="6.4" style="94" customWidth="1"/>
    <col min="1544" max="1544" width="16.9" style="94" customWidth="1"/>
    <col min="1545" max="1545" width="7.1" style="94" customWidth="1"/>
    <col min="1546" max="1546" width="32.6" style="94" customWidth="1"/>
    <col min="1547" max="1547" width="6.6" style="94" customWidth="1"/>
    <col min="1548" max="1548" width="20.5" style="94" customWidth="1"/>
    <col min="1549" max="1549" width="6.5" style="94" customWidth="1"/>
    <col min="1550" max="1550" width="38.1" style="94" customWidth="1"/>
    <col min="1551" max="1792" width="9" style="94"/>
    <col min="1793" max="1793" width="7" style="94" customWidth="1"/>
    <col min="1794" max="1794" width="18" style="94" customWidth="1"/>
    <col min="1795" max="1795" width="7.5" style="94" customWidth="1"/>
    <col min="1796" max="1796" width="26.5" style="94" customWidth="1"/>
    <col min="1797" max="1797" width="7.1" style="94" customWidth="1"/>
    <col min="1798" max="1798" width="18.6" style="94" customWidth="1"/>
    <col min="1799" max="1799" width="6.4" style="94" customWidth="1"/>
    <col min="1800" max="1800" width="16.9" style="94" customWidth="1"/>
    <col min="1801" max="1801" width="7.1" style="94" customWidth="1"/>
    <col min="1802" max="1802" width="32.6" style="94" customWidth="1"/>
    <col min="1803" max="1803" width="6.6" style="94" customWidth="1"/>
    <col min="1804" max="1804" width="20.5" style="94" customWidth="1"/>
    <col min="1805" max="1805" width="6.5" style="94" customWidth="1"/>
    <col min="1806" max="1806" width="38.1" style="94" customWidth="1"/>
    <col min="1807" max="2048" width="9" style="94"/>
    <col min="2049" max="2049" width="7" style="94" customWidth="1"/>
    <col min="2050" max="2050" width="18" style="94" customWidth="1"/>
    <col min="2051" max="2051" width="7.5" style="94" customWidth="1"/>
    <col min="2052" max="2052" width="26.5" style="94" customWidth="1"/>
    <col min="2053" max="2053" width="7.1" style="94" customWidth="1"/>
    <col min="2054" max="2054" width="18.6" style="94" customWidth="1"/>
    <col min="2055" max="2055" width="6.4" style="94" customWidth="1"/>
    <col min="2056" max="2056" width="16.9" style="94" customWidth="1"/>
    <col min="2057" max="2057" width="7.1" style="94" customWidth="1"/>
    <col min="2058" max="2058" width="32.6" style="94" customWidth="1"/>
    <col min="2059" max="2059" width="6.6" style="94" customWidth="1"/>
    <col min="2060" max="2060" width="20.5" style="94" customWidth="1"/>
    <col min="2061" max="2061" width="6.5" style="94" customWidth="1"/>
    <col min="2062" max="2062" width="38.1" style="94" customWidth="1"/>
    <col min="2063" max="2304" width="9" style="94"/>
    <col min="2305" max="2305" width="7" style="94" customWidth="1"/>
    <col min="2306" max="2306" width="18" style="94" customWidth="1"/>
    <col min="2307" max="2307" width="7.5" style="94" customWidth="1"/>
    <col min="2308" max="2308" width="26.5" style="94" customWidth="1"/>
    <col min="2309" max="2309" width="7.1" style="94" customWidth="1"/>
    <col min="2310" max="2310" width="18.6" style="94" customWidth="1"/>
    <col min="2311" max="2311" width="6.4" style="94" customWidth="1"/>
    <col min="2312" max="2312" width="16.9" style="94" customWidth="1"/>
    <col min="2313" max="2313" width="7.1" style="94" customWidth="1"/>
    <col min="2314" max="2314" width="32.6" style="94" customWidth="1"/>
    <col min="2315" max="2315" width="6.6" style="94" customWidth="1"/>
    <col min="2316" max="2316" width="20.5" style="94" customWidth="1"/>
    <col min="2317" max="2317" width="6.5" style="94" customWidth="1"/>
    <col min="2318" max="2318" width="38.1" style="94" customWidth="1"/>
    <col min="2319" max="2560" width="9" style="94"/>
    <col min="2561" max="2561" width="7" style="94" customWidth="1"/>
    <col min="2562" max="2562" width="18" style="94" customWidth="1"/>
    <col min="2563" max="2563" width="7.5" style="94" customWidth="1"/>
    <col min="2564" max="2564" width="26.5" style="94" customWidth="1"/>
    <col min="2565" max="2565" width="7.1" style="94" customWidth="1"/>
    <col min="2566" max="2566" width="18.6" style="94" customWidth="1"/>
    <col min="2567" max="2567" width="6.4" style="94" customWidth="1"/>
    <col min="2568" max="2568" width="16.9" style="94" customWidth="1"/>
    <col min="2569" max="2569" width="7.1" style="94" customWidth="1"/>
    <col min="2570" max="2570" width="32.6" style="94" customWidth="1"/>
    <col min="2571" max="2571" width="6.6" style="94" customWidth="1"/>
    <col min="2572" max="2572" width="20.5" style="94" customWidth="1"/>
    <col min="2573" max="2573" width="6.5" style="94" customWidth="1"/>
    <col min="2574" max="2574" width="38.1" style="94" customWidth="1"/>
    <col min="2575" max="2816" width="9" style="94"/>
    <col min="2817" max="2817" width="7" style="94" customWidth="1"/>
    <col min="2818" max="2818" width="18" style="94" customWidth="1"/>
    <col min="2819" max="2819" width="7.5" style="94" customWidth="1"/>
    <col min="2820" max="2820" width="26.5" style="94" customWidth="1"/>
    <col min="2821" max="2821" width="7.1" style="94" customWidth="1"/>
    <col min="2822" max="2822" width="18.6" style="94" customWidth="1"/>
    <col min="2823" max="2823" width="6.4" style="94" customWidth="1"/>
    <col min="2824" max="2824" width="16.9" style="94" customWidth="1"/>
    <col min="2825" max="2825" width="7.1" style="94" customWidth="1"/>
    <col min="2826" max="2826" width="32.6" style="94" customWidth="1"/>
    <col min="2827" max="2827" width="6.6" style="94" customWidth="1"/>
    <col min="2828" max="2828" width="20.5" style="94" customWidth="1"/>
    <col min="2829" max="2829" width="6.5" style="94" customWidth="1"/>
    <col min="2830" max="2830" width="38.1" style="94" customWidth="1"/>
    <col min="2831" max="3072" width="9" style="94"/>
    <col min="3073" max="3073" width="7" style="94" customWidth="1"/>
    <col min="3074" max="3074" width="18" style="94" customWidth="1"/>
    <col min="3075" max="3075" width="7.5" style="94" customWidth="1"/>
    <col min="3076" max="3076" width="26.5" style="94" customWidth="1"/>
    <col min="3077" max="3077" width="7.1" style="94" customWidth="1"/>
    <col min="3078" max="3078" width="18.6" style="94" customWidth="1"/>
    <col min="3079" max="3079" width="6.4" style="94" customWidth="1"/>
    <col min="3080" max="3080" width="16.9" style="94" customWidth="1"/>
    <col min="3081" max="3081" width="7.1" style="94" customWidth="1"/>
    <col min="3082" max="3082" width="32.6" style="94" customWidth="1"/>
    <col min="3083" max="3083" width="6.6" style="94" customWidth="1"/>
    <col min="3084" max="3084" width="20.5" style="94" customWidth="1"/>
    <col min="3085" max="3085" width="6.5" style="94" customWidth="1"/>
    <col min="3086" max="3086" width="38.1" style="94" customWidth="1"/>
    <col min="3087" max="3328" width="9" style="94"/>
    <col min="3329" max="3329" width="7" style="94" customWidth="1"/>
    <col min="3330" max="3330" width="18" style="94" customWidth="1"/>
    <col min="3331" max="3331" width="7.5" style="94" customWidth="1"/>
    <col min="3332" max="3332" width="26.5" style="94" customWidth="1"/>
    <col min="3333" max="3333" width="7.1" style="94" customWidth="1"/>
    <col min="3334" max="3334" width="18.6" style="94" customWidth="1"/>
    <col min="3335" max="3335" width="6.4" style="94" customWidth="1"/>
    <col min="3336" max="3336" width="16.9" style="94" customWidth="1"/>
    <col min="3337" max="3337" width="7.1" style="94" customWidth="1"/>
    <col min="3338" max="3338" width="32.6" style="94" customWidth="1"/>
    <col min="3339" max="3339" width="6.6" style="94" customWidth="1"/>
    <col min="3340" max="3340" width="20.5" style="94" customWidth="1"/>
    <col min="3341" max="3341" width="6.5" style="94" customWidth="1"/>
    <col min="3342" max="3342" width="38.1" style="94" customWidth="1"/>
    <col min="3343" max="3584" width="9" style="94"/>
    <col min="3585" max="3585" width="7" style="94" customWidth="1"/>
    <col min="3586" max="3586" width="18" style="94" customWidth="1"/>
    <col min="3587" max="3587" width="7.5" style="94" customWidth="1"/>
    <col min="3588" max="3588" width="26.5" style="94" customWidth="1"/>
    <col min="3589" max="3589" width="7.1" style="94" customWidth="1"/>
    <col min="3590" max="3590" width="18.6" style="94" customWidth="1"/>
    <col min="3591" max="3591" width="6.4" style="94" customWidth="1"/>
    <col min="3592" max="3592" width="16.9" style="94" customWidth="1"/>
    <col min="3593" max="3593" width="7.1" style="94" customWidth="1"/>
    <col min="3594" max="3594" width="32.6" style="94" customWidth="1"/>
    <col min="3595" max="3595" width="6.6" style="94" customWidth="1"/>
    <col min="3596" max="3596" width="20.5" style="94" customWidth="1"/>
    <col min="3597" max="3597" width="6.5" style="94" customWidth="1"/>
    <col min="3598" max="3598" width="38.1" style="94" customWidth="1"/>
    <col min="3599" max="3840" width="9" style="94"/>
    <col min="3841" max="3841" width="7" style="94" customWidth="1"/>
    <col min="3842" max="3842" width="18" style="94" customWidth="1"/>
    <col min="3843" max="3843" width="7.5" style="94" customWidth="1"/>
    <col min="3844" max="3844" width="26.5" style="94" customWidth="1"/>
    <col min="3845" max="3845" width="7.1" style="94" customWidth="1"/>
    <col min="3846" max="3846" width="18.6" style="94" customWidth="1"/>
    <col min="3847" max="3847" width="6.4" style="94" customWidth="1"/>
    <col min="3848" max="3848" width="16.9" style="94" customWidth="1"/>
    <col min="3849" max="3849" width="7.1" style="94" customWidth="1"/>
    <col min="3850" max="3850" width="32.6" style="94" customWidth="1"/>
    <col min="3851" max="3851" width="6.6" style="94" customWidth="1"/>
    <col min="3852" max="3852" width="20.5" style="94" customWidth="1"/>
    <col min="3853" max="3853" width="6.5" style="94" customWidth="1"/>
    <col min="3854" max="3854" width="38.1" style="94" customWidth="1"/>
    <col min="3855" max="4096" width="9" style="94"/>
    <col min="4097" max="4097" width="7" style="94" customWidth="1"/>
    <col min="4098" max="4098" width="18" style="94" customWidth="1"/>
    <col min="4099" max="4099" width="7.5" style="94" customWidth="1"/>
    <col min="4100" max="4100" width="26.5" style="94" customWidth="1"/>
    <col min="4101" max="4101" width="7.1" style="94" customWidth="1"/>
    <col min="4102" max="4102" width="18.6" style="94" customWidth="1"/>
    <col min="4103" max="4103" width="6.4" style="94" customWidth="1"/>
    <col min="4104" max="4104" width="16.9" style="94" customWidth="1"/>
    <col min="4105" max="4105" width="7.1" style="94" customWidth="1"/>
    <col min="4106" max="4106" width="32.6" style="94" customWidth="1"/>
    <col min="4107" max="4107" width="6.6" style="94" customWidth="1"/>
    <col min="4108" max="4108" width="20.5" style="94" customWidth="1"/>
    <col min="4109" max="4109" width="6.5" style="94" customWidth="1"/>
    <col min="4110" max="4110" width="38.1" style="94" customWidth="1"/>
    <col min="4111" max="4352" width="9" style="94"/>
    <col min="4353" max="4353" width="7" style="94" customWidth="1"/>
    <col min="4354" max="4354" width="18" style="94" customWidth="1"/>
    <col min="4355" max="4355" width="7.5" style="94" customWidth="1"/>
    <col min="4356" max="4356" width="26.5" style="94" customWidth="1"/>
    <col min="4357" max="4357" width="7.1" style="94" customWidth="1"/>
    <col min="4358" max="4358" width="18.6" style="94" customWidth="1"/>
    <col min="4359" max="4359" width="6.4" style="94" customWidth="1"/>
    <col min="4360" max="4360" width="16.9" style="94" customWidth="1"/>
    <col min="4361" max="4361" width="7.1" style="94" customWidth="1"/>
    <col min="4362" max="4362" width="32.6" style="94" customWidth="1"/>
    <col min="4363" max="4363" width="6.6" style="94" customWidth="1"/>
    <col min="4364" max="4364" width="20.5" style="94" customWidth="1"/>
    <col min="4365" max="4365" width="6.5" style="94" customWidth="1"/>
    <col min="4366" max="4366" width="38.1" style="94" customWidth="1"/>
    <col min="4367" max="4608" width="9" style="94"/>
    <col min="4609" max="4609" width="7" style="94" customWidth="1"/>
    <col min="4610" max="4610" width="18" style="94" customWidth="1"/>
    <col min="4611" max="4611" width="7.5" style="94" customWidth="1"/>
    <col min="4612" max="4612" width="26.5" style="94" customWidth="1"/>
    <col min="4613" max="4613" width="7.1" style="94" customWidth="1"/>
    <col min="4614" max="4614" width="18.6" style="94" customWidth="1"/>
    <col min="4615" max="4615" width="6.4" style="94" customWidth="1"/>
    <col min="4616" max="4616" width="16.9" style="94" customWidth="1"/>
    <col min="4617" max="4617" width="7.1" style="94" customWidth="1"/>
    <col min="4618" max="4618" width="32.6" style="94" customWidth="1"/>
    <col min="4619" max="4619" width="6.6" style="94" customWidth="1"/>
    <col min="4620" max="4620" width="20.5" style="94" customWidth="1"/>
    <col min="4621" max="4621" width="6.5" style="94" customWidth="1"/>
    <col min="4622" max="4622" width="38.1" style="94" customWidth="1"/>
    <col min="4623" max="4864" width="9" style="94"/>
    <col min="4865" max="4865" width="7" style="94" customWidth="1"/>
    <col min="4866" max="4866" width="18" style="94" customWidth="1"/>
    <col min="4867" max="4867" width="7.5" style="94" customWidth="1"/>
    <col min="4868" max="4868" width="26.5" style="94" customWidth="1"/>
    <col min="4869" max="4869" width="7.1" style="94" customWidth="1"/>
    <col min="4870" max="4870" width="18.6" style="94" customWidth="1"/>
    <col min="4871" max="4871" width="6.4" style="94" customWidth="1"/>
    <col min="4872" max="4872" width="16.9" style="94" customWidth="1"/>
    <col min="4873" max="4873" width="7.1" style="94" customWidth="1"/>
    <col min="4874" max="4874" width="32.6" style="94" customWidth="1"/>
    <col min="4875" max="4875" width="6.6" style="94" customWidth="1"/>
    <col min="4876" max="4876" width="20.5" style="94" customWidth="1"/>
    <col min="4877" max="4877" width="6.5" style="94" customWidth="1"/>
    <col min="4878" max="4878" width="38.1" style="94" customWidth="1"/>
    <col min="4879" max="5120" width="9" style="94"/>
    <col min="5121" max="5121" width="7" style="94" customWidth="1"/>
    <col min="5122" max="5122" width="18" style="94" customWidth="1"/>
    <col min="5123" max="5123" width="7.5" style="94" customWidth="1"/>
    <col min="5124" max="5124" width="26.5" style="94" customWidth="1"/>
    <col min="5125" max="5125" width="7.1" style="94" customWidth="1"/>
    <col min="5126" max="5126" width="18.6" style="94" customWidth="1"/>
    <col min="5127" max="5127" width="6.4" style="94" customWidth="1"/>
    <col min="5128" max="5128" width="16.9" style="94" customWidth="1"/>
    <col min="5129" max="5129" width="7.1" style="94" customWidth="1"/>
    <col min="5130" max="5130" width="32.6" style="94" customWidth="1"/>
    <col min="5131" max="5131" width="6.6" style="94" customWidth="1"/>
    <col min="5132" max="5132" width="20.5" style="94" customWidth="1"/>
    <col min="5133" max="5133" width="6.5" style="94" customWidth="1"/>
    <col min="5134" max="5134" width="38.1" style="94" customWidth="1"/>
    <col min="5135" max="5376" width="9" style="94"/>
    <col min="5377" max="5377" width="7" style="94" customWidth="1"/>
    <col min="5378" max="5378" width="18" style="94" customWidth="1"/>
    <col min="5379" max="5379" width="7.5" style="94" customWidth="1"/>
    <col min="5380" max="5380" width="26.5" style="94" customWidth="1"/>
    <col min="5381" max="5381" width="7.1" style="94" customWidth="1"/>
    <col min="5382" max="5382" width="18.6" style="94" customWidth="1"/>
    <col min="5383" max="5383" width="6.4" style="94" customWidth="1"/>
    <col min="5384" max="5384" width="16.9" style="94" customWidth="1"/>
    <col min="5385" max="5385" width="7.1" style="94" customWidth="1"/>
    <col min="5386" max="5386" width="32.6" style="94" customWidth="1"/>
    <col min="5387" max="5387" width="6.6" style="94" customWidth="1"/>
    <col min="5388" max="5388" width="20.5" style="94" customWidth="1"/>
    <col min="5389" max="5389" width="6.5" style="94" customWidth="1"/>
    <col min="5390" max="5390" width="38.1" style="94" customWidth="1"/>
    <col min="5391" max="5632" width="9" style="94"/>
    <col min="5633" max="5633" width="7" style="94" customWidth="1"/>
    <col min="5634" max="5634" width="18" style="94" customWidth="1"/>
    <col min="5635" max="5635" width="7.5" style="94" customWidth="1"/>
    <col min="5636" max="5636" width="26.5" style="94" customWidth="1"/>
    <col min="5637" max="5637" width="7.1" style="94" customWidth="1"/>
    <col min="5638" max="5638" width="18.6" style="94" customWidth="1"/>
    <col min="5639" max="5639" width="6.4" style="94" customWidth="1"/>
    <col min="5640" max="5640" width="16.9" style="94" customWidth="1"/>
    <col min="5641" max="5641" width="7.1" style="94" customWidth="1"/>
    <col min="5642" max="5642" width="32.6" style="94" customWidth="1"/>
    <col min="5643" max="5643" width="6.6" style="94" customWidth="1"/>
    <col min="5644" max="5644" width="20.5" style="94" customWidth="1"/>
    <col min="5645" max="5645" width="6.5" style="94" customWidth="1"/>
    <col min="5646" max="5646" width="38.1" style="94" customWidth="1"/>
    <col min="5647" max="5888" width="9" style="94"/>
    <col min="5889" max="5889" width="7" style="94" customWidth="1"/>
    <col min="5890" max="5890" width="18" style="94" customWidth="1"/>
    <col min="5891" max="5891" width="7.5" style="94" customWidth="1"/>
    <col min="5892" max="5892" width="26.5" style="94" customWidth="1"/>
    <col min="5893" max="5893" width="7.1" style="94" customWidth="1"/>
    <col min="5894" max="5894" width="18.6" style="94" customWidth="1"/>
    <col min="5895" max="5895" width="6.4" style="94" customWidth="1"/>
    <col min="5896" max="5896" width="16.9" style="94" customWidth="1"/>
    <col min="5897" max="5897" width="7.1" style="94" customWidth="1"/>
    <col min="5898" max="5898" width="32.6" style="94" customWidth="1"/>
    <col min="5899" max="5899" width="6.6" style="94" customWidth="1"/>
    <col min="5900" max="5900" width="20.5" style="94" customWidth="1"/>
    <col min="5901" max="5901" width="6.5" style="94" customWidth="1"/>
    <col min="5902" max="5902" width="38.1" style="94" customWidth="1"/>
    <col min="5903" max="6144" width="9" style="94"/>
    <col min="6145" max="6145" width="7" style="94" customWidth="1"/>
    <col min="6146" max="6146" width="18" style="94" customWidth="1"/>
    <col min="6147" max="6147" width="7.5" style="94" customWidth="1"/>
    <col min="6148" max="6148" width="26.5" style="94" customWidth="1"/>
    <col min="6149" max="6149" width="7.1" style="94" customWidth="1"/>
    <col min="6150" max="6150" width="18.6" style="94" customWidth="1"/>
    <col min="6151" max="6151" width="6.4" style="94" customWidth="1"/>
    <col min="6152" max="6152" width="16.9" style="94" customWidth="1"/>
    <col min="6153" max="6153" width="7.1" style="94" customWidth="1"/>
    <col min="6154" max="6154" width="32.6" style="94" customWidth="1"/>
    <col min="6155" max="6155" width="6.6" style="94" customWidth="1"/>
    <col min="6156" max="6156" width="20.5" style="94" customWidth="1"/>
    <col min="6157" max="6157" width="6.5" style="94" customWidth="1"/>
    <col min="6158" max="6158" width="38.1" style="94" customWidth="1"/>
    <col min="6159" max="6400" width="9" style="94"/>
    <col min="6401" max="6401" width="7" style="94" customWidth="1"/>
    <col min="6402" max="6402" width="18" style="94" customWidth="1"/>
    <col min="6403" max="6403" width="7.5" style="94" customWidth="1"/>
    <col min="6404" max="6404" width="26.5" style="94" customWidth="1"/>
    <col min="6405" max="6405" width="7.1" style="94" customWidth="1"/>
    <col min="6406" max="6406" width="18.6" style="94" customWidth="1"/>
    <col min="6407" max="6407" width="6.4" style="94" customWidth="1"/>
    <col min="6408" max="6408" width="16.9" style="94" customWidth="1"/>
    <col min="6409" max="6409" width="7.1" style="94" customWidth="1"/>
    <col min="6410" max="6410" width="32.6" style="94" customWidth="1"/>
    <col min="6411" max="6411" width="6.6" style="94" customWidth="1"/>
    <col min="6412" max="6412" width="20.5" style="94" customWidth="1"/>
    <col min="6413" max="6413" width="6.5" style="94" customWidth="1"/>
    <col min="6414" max="6414" width="38.1" style="94" customWidth="1"/>
    <col min="6415" max="6656" width="9" style="94"/>
    <col min="6657" max="6657" width="7" style="94" customWidth="1"/>
    <col min="6658" max="6658" width="18" style="94" customWidth="1"/>
    <col min="6659" max="6659" width="7.5" style="94" customWidth="1"/>
    <col min="6660" max="6660" width="26.5" style="94" customWidth="1"/>
    <col min="6661" max="6661" width="7.1" style="94" customWidth="1"/>
    <col min="6662" max="6662" width="18.6" style="94" customWidth="1"/>
    <col min="6663" max="6663" width="6.4" style="94" customWidth="1"/>
    <col min="6664" max="6664" width="16.9" style="94" customWidth="1"/>
    <col min="6665" max="6665" width="7.1" style="94" customWidth="1"/>
    <col min="6666" max="6666" width="32.6" style="94" customWidth="1"/>
    <col min="6667" max="6667" width="6.6" style="94" customWidth="1"/>
    <col min="6668" max="6668" width="20.5" style="94" customWidth="1"/>
    <col min="6669" max="6669" width="6.5" style="94" customWidth="1"/>
    <col min="6670" max="6670" width="38.1" style="94" customWidth="1"/>
    <col min="6671" max="6912" width="9" style="94"/>
    <col min="6913" max="6913" width="7" style="94" customWidth="1"/>
    <col min="6914" max="6914" width="18" style="94" customWidth="1"/>
    <col min="6915" max="6915" width="7.5" style="94" customWidth="1"/>
    <col min="6916" max="6916" width="26.5" style="94" customWidth="1"/>
    <col min="6917" max="6917" width="7.1" style="94" customWidth="1"/>
    <col min="6918" max="6918" width="18.6" style="94" customWidth="1"/>
    <col min="6919" max="6919" width="6.4" style="94" customWidth="1"/>
    <col min="6920" max="6920" width="16.9" style="94" customWidth="1"/>
    <col min="6921" max="6921" width="7.1" style="94" customWidth="1"/>
    <col min="6922" max="6922" width="32.6" style="94" customWidth="1"/>
    <col min="6923" max="6923" width="6.6" style="94" customWidth="1"/>
    <col min="6924" max="6924" width="20.5" style="94" customWidth="1"/>
    <col min="6925" max="6925" width="6.5" style="94" customWidth="1"/>
    <col min="6926" max="6926" width="38.1" style="94" customWidth="1"/>
    <col min="6927" max="7168" width="9" style="94"/>
    <col min="7169" max="7169" width="7" style="94" customWidth="1"/>
    <col min="7170" max="7170" width="18" style="94" customWidth="1"/>
    <col min="7171" max="7171" width="7.5" style="94" customWidth="1"/>
    <col min="7172" max="7172" width="26.5" style="94" customWidth="1"/>
    <col min="7173" max="7173" width="7.1" style="94" customWidth="1"/>
    <col min="7174" max="7174" width="18.6" style="94" customWidth="1"/>
    <col min="7175" max="7175" width="6.4" style="94" customWidth="1"/>
    <col min="7176" max="7176" width="16.9" style="94" customWidth="1"/>
    <col min="7177" max="7177" width="7.1" style="94" customWidth="1"/>
    <col min="7178" max="7178" width="32.6" style="94" customWidth="1"/>
    <col min="7179" max="7179" width="6.6" style="94" customWidth="1"/>
    <col min="7180" max="7180" width="20.5" style="94" customWidth="1"/>
    <col min="7181" max="7181" width="6.5" style="94" customWidth="1"/>
    <col min="7182" max="7182" width="38.1" style="94" customWidth="1"/>
    <col min="7183" max="7424" width="9" style="94"/>
    <col min="7425" max="7425" width="7" style="94" customWidth="1"/>
    <col min="7426" max="7426" width="18" style="94" customWidth="1"/>
    <col min="7427" max="7427" width="7.5" style="94" customWidth="1"/>
    <col min="7428" max="7428" width="26.5" style="94" customWidth="1"/>
    <col min="7429" max="7429" width="7.1" style="94" customWidth="1"/>
    <col min="7430" max="7430" width="18.6" style="94" customWidth="1"/>
    <col min="7431" max="7431" width="6.4" style="94" customWidth="1"/>
    <col min="7432" max="7432" width="16.9" style="94" customWidth="1"/>
    <col min="7433" max="7433" width="7.1" style="94" customWidth="1"/>
    <col min="7434" max="7434" width="32.6" style="94" customWidth="1"/>
    <col min="7435" max="7435" width="6.6" style="94" customWidth="1"/>
    <col min="7436" max="7436" width="20.5" style="94" customWidth="1"/>
    <col min="7437" max="7437" width="6.5" style="94" customWidth="1"/>
    <col min="7438" max="7438" width="38.1" style="94" customWidth="1"/>
    <col min="7439" max="7680" width="9" style="94"/>
    <col min="7681" max="7681" width="7" style="94" customWidth="1"/>
    <col min="7682" max="7682" width="18" style="94" customWidth="1"/>
    <col min="7683" max="7683" width="7.5" style="94" customWidth="1"/>
    <col min="7684" max="7684" width="26.5" style="94" customWidth="1"/>
    <col min="7685" max="7685" width="7.1" style="94" customWidth="1"/>
    <col min="7686" max="7686" width="18.6" style="94" customWidth="1"/>
    <col min="7687" max="7687" width="6.4" style="94" customWidth="1"/>
    <col min="7688" max="7688" width="16.9" style="94" customWidth="1"/>
    <col min="7689" max="7689" width="7.1" style="94" customWidth="1"/>
    <col min="7690" max="7690" width="32.6" style="94" customWidth="1"/>
    <col min="7691" max="7691" width="6.6" style="94" customWidth="1"/>
    <col min="7692" max="7692" width="20.5" style="94" customWidth="1"/>
    <col min="7693" max="7693" width="6.5" style="94" customWidth="1"/>
    <col min="7694" max="7694" width="38.1" style="94" customWidth="1"/>
    <col min="7695" max="7936" width="9" style="94"/>
    <col min="7937" max="7937" width="7" style="94" customWidth="1"/>
    <col min="7938" max="7938" width="18" style="94" customWidth="1"/>
    <col min="7939" max="7939" width="7.5" style="94" customWidth="1"/>
    <col min="7940" max="7940" width="26.5" style="94" customWidth="1"/>
    <col min="7941" max="7941" width="7.1" style="94" customWidth="1"/>
    <col min="7942" max="7942" width="18.6" style="94" customWidth="1"/>
    <col min="7943" max="7943" width="6.4" style="94" customWidth="1"/>
    <col min="7944" max="7944" width="16.9" style="94" customWidth="1"/>
    <col min="7945" max="7945" width="7.1" style="94" customWidth="1"/>
    <col min="7946" max="7946" width="32.6" style="94" customWidth="1"/>
    <col min="7947" max="7947" width="6.6" style="94" customWidth="1"/>
    <col min="7948" max="7948" width="20.5" style="94" customWidth="1"/>
    <col min="7949" max="7949" width="6.5" style="94" customWidth="1"/>
    <col min="7950" max="7950" width="38.1" style="94" customWidth="1"/>
    <col min="7951" max="8192" width="9" style="94"/>
    <col min="8193" max="8193" width="7" style="94" customWidth="1"/>
    <col min="8194" max="8194" width="18" style="94" customWidth="1"/>
    <col min="8195" max="8195" width="7.5" style="94" customWidth="1"/>
    <col min="8196" max="8196" width="26.5" style="94" customWidth="1"/>
    <col min="8197" max="8197" width="7.1" style="94" customWidth="1"/>
    <col min="8198" max="8198" width="18.6" style="94" customWidth="1"/>
    <col min="8199" max="8199" width="6.4" style="94" customWidth="1"/>
    <col min="8200" max="8200" width="16.9" style="94" customWidth="1"/>
    <col min="8201" max="8201" width="7.1" style="94" customWidth="1"/>
    <col min="8202" max="8202" width="32.6" style="94" customWidth="1"/>
    <col min="8203" max="8203" width="6.6" style="94" customWidth="1"/>
    <col min="8204" max="8204" width="20.5" style="94" customWidth="1"/>
    <col min="8205" max="8205" width="6.5" style="94" customWidth="1"/>
    <col min="8206" max="8206" width="38.1" style="94" customWidth="1"/>
    <col min="8207" max="8448" width="9" style="94"/>
    <col min="8449" max="8449" width="7" style="94" customWidth="1"/>
    <col min="8450" max="8450" width="18" style="94" customWidth="1"/>
    <col min="8451" max="8451" width="7.5" style="94" customWidth="1"/>
    <col min="8452" max="8452" width="26.5" style="94" customWidth="1"/>
    <col min="8453" max="8453" width="7.1" style="94" customWidth="1"/>
    <col min="8454" max="8454" width="18.6" style="94" customWidth="1"/>
    <col min="8455" max="8455" width="6.4" style="94" customWidth="1"/>
    <col min="8456" max="8456" width="16.9" style="94" customWidth="1"/>
    <col min="8457" max="8457" width="7.1" style="94" customWidth="1"/>
    <col min="8458" max="8458" width="32.6" style="94" customWidth="1"/>
    <col min="8459" max="8459" width="6.6" style="94" customWidth="1"/>
    <col min="8460" max="8460" width="20.5" style="94" customWidth="1"/>
    <col min="8461" max="8461" width="6.5" style="94" customWidth="1"/>
    <col min="8462" max="8462" width="38.1" style="94" customWidth="1"/>
    <col min="8463" max="8704" width="9" style="94"/>
    <col min="8705" max="8705" width="7" style="94" customWidth="1"/>
    <col min="8706" max="8706" width="18" style="94" customWidth="1"/>
    <col min="8707" max="8707" width="7.5" style="94" customWidth="1"/>
    <col min="8708" max="8708" width="26.5" style="94" customWidth="1"/>
    <col min="8709" max="8709" width="7.1" style="94" customWidth="1"/>
    <col min="8710" max="8710" width="18.6" style="94" customWidth="1"/>
    <col min="8711" max="8711" width="6.4" style="94" customWidth="1"/>
    <col min="8712" max="8712" width="16.9" style="94" customWidth="1"/>
    <col min="8713" max="8713" width="7.1" style="94" customWidth="1"/>
    <col min="8714" max="8714" width="32.6" style="94" customWidth="1"/>
    <col min="8715" max="8715" width="6.6" style="94" customWidth="1"/>
    <col min="8716" max="8716" width="20.5" style="94" customWidth="1"/>
    <col min="8717" max="8717" width="6.5" style="94" customWidth="1"/>
    <col min="8718" max="8718" width="38.1" style="94" customWidth="1"/>
    <col min="8719" max="8960" width="9" style="94"/>
    <col min="8961" max="8961" width="7" style="94" customWidth="1"/>
    <col min="8962" max="8962" width="18" style="94" customWidth="1"/>
    <col min="8963" max="8963" width="7.5" style="94" customWidth="1"/>
    <col min="8964" max="8964" width="26.5" style="94" customWidth="1"/>
    <col min="8965" max="8965" width="7.1" style="94" customWidth="1"/>
    <col min="8966" max="8966" width="18.6" style="94" customWidth="1"/>
    <col min="8967" max="8967" width="6.4" style="94" customWidth="1"/>
    <col min="8968" max="8968" width="16.9" style="94" customWidth="1"/>
    <col min="8969" max="8969" width="7.1" style="94" customWidth="1"/>
    <col min="8970" max="8970" width="32.6" style="94" customWidth="1"/>
    <col min="8971" max="8971" width="6.6" style="94" customWidth="1"/>
    <col min="8972" max="8972" width="20.5" style="94" customWidth="1"/>
    <col min="8973" max="8973" width="6.5" style="94" customWidth="1"/>
    <col min="8974" max="8974" width="38.1" style="94" customWidth="1"/>
    <col min="8975" max="9216" width="9" style="94"/>
    <col min="9217" max="9217" width="7" style="94" customWidth="1"/>
    <col min="9218" max="9218" width="18" style="94" customWidth="1"/>
    <col min="9219" max="9219" width="7.5" style="94" customWidth="1"/>
    <col min="9220" max="9220" width="26.5" style="94" customWidth="1"/>
    <col min="9221" max="9221" width="7.1" style="94" customWidth="1"/>
    <col min="9222" max="9222" width="18.6" style="94" customWidth="1"/>
    <col min="9223" max="9223" width="6.4" style="94" customWidth="1"/>
    <col min="9224" max="9224" width="16.9" style="94" customWidth="1"/>
    <col min="9225" max="9225" width="7.1" style="94" customWidth="1"/>
    <col min="9226" max="9226" width="32.6" style="94" customWidth="1"/>
    <col min="9227" max="9227" width="6.6" style="94" customWidth="1"/>
    <col min="9228" max="9228" width="20.5" style="94" customWidth="1"/>
    <col min="9229" max="9229" width="6.5" style="94" customWidth="1"/>
    <col min="9230" max="9230" width="38.1" style="94" customWidth="1"/>
    <col min="9231" max="9472" width="9" style="94"/>
    <col min="9473" max="9473" width="7" style="94" customWidth="1"/>
    <col min="9474" max="9474" width="18" style="94" customWidth="1"/>
    <col min="9475" max="9475" width="7.5" style="94" customWidth="1"/>
    <col min="9476" max="9476" width="26.5" style="94" customWidth="1"/>
    <col min="9477" max="9477" width="7.1" style="94" customWidth="1"/>
    <col min="9478" max="9478" width="18.6" style="94" customWidth="1"/>
    <col min="9479" max="9479" width="6.4" style="94" customWidth="1"/>
    <col min="9480" max="9480" width="16.9" style="94" customWidth="1"/>
    <col min="9481" max="9481" width="7.1" style="94" customWidth="1"/>
    <col min="9482" max="9482" width="32.6" style="94" customWidth="1"/>
    <col min="9483" max="9483" width="6.6" style="94" customWidth="1"/>
    <col min="9484" max="9484" width="20.5" style="94" customWidth="1"/>
    <col min="9485" max="9485" width="6.5" style="94" customWidth="1"/>
    <col min="9486" max="9486" width="38.1" style="94" customWidth="1"/>
    <col min="9487" max="9728" width="9" style="94"/>
    <col min="9729" max="9729" width="7" style="94" customWidth="1"/>
    <col min="9730" max="9730" width="18" style="94" customWidth="1"/>
    <col min="9731" max="9731" width="7.5" style="94" customWidth="1"/>
    <col min="9732" max="9732" width="26.5" style="94" customWidth="1"/>
    <col min="9733" max="9733" width="7.1" style="94" customWidth="1"/>
    <col min="9734" max="9734" width="18.6" style="94" customWidth="1"/>
    <col min="9735" max="9735" width="6.4" style="94" customWidth="1"/>
    <col min="9736" max="9736" width="16.9" style="94" customWidth="1"/>
    <col min="9737" max="9737" width="7.1" style="94" customWidth="1"/>
    <col min="9738" max="9738" width="32.6" style="94" customWidth="1"/>
    <col min="9739" max="9739" width="6.6" style="94" customWidth="1"/>
    <col min="9740" max="9740" width="20.5" style="94" customWidth="1"/>
    <col min="9741" max="9741" width="6.5" style="94" customWidth="1"/>
    <col min="9742" max="9742" width="38.1" style="94" customWidth="1"/>
    <col min="9743" max="9984" width="9" style="94"/>
    <col min="9985" max="9985" width="7" style="94" customWidth="1"/>
    <col min="9986" max="9986" width="18" style="94" customWidth="1"/>
    <col min="9987" max="9987" width="7.5" style="94" customWidth="1"/>
    <col min="9988" max="9988" width="26.5" style="94" customWidth="1"/>
    <col min="9989" max="9989" width="7.1" style="94" customWidth="1"/>
    <col min="9990" max="9990" width="18.6" style="94" customWidth="1"/>
    <col min="9991" max="9991" width="6.4" style="94" customWidth="1"/>
    <col min="9992" max="9992" width="16.9" style="94" customWidth="1"/>
    <col min="9993" max="9993" width="7.1" style="94" customWidth="1"/>
    <col min="9994" max="9994" width="32.6" style="94" customWidth="1"/>
    <col min="9995" max="9995" width="6.6" style="94" customWidth="1"/>
    <col min="9996" max="9996" width="20.5" style="94" customWidth="1"/>
    <col min="9997" max="9997" width="6.5" style="94" customWidth="1"/>
    <col min="9998" max="9998" width="38.1" style="94" customWidth="1"/>
    <col min="9999" max="10240" width="9" style="94"/>
    <col min="10241" max="10241" width="7" style="94" customWidth="1"/>
    <col min="10242" max="10242" width="18" style="94" customWidth="1"/>
    <col min="10243" max="10243" width="7.5" style="94" customWidth="1"/>
    <col min="10244" max="10244" width="26.5" style="94" customWidth="1"/>
    <col min="10245" max="10245" width="7.1" style="94" customWidth="1"/>
    <col min="10246" max="10246" width="18.6" style="94" customWidth="1"/>
    <col min="10247" max="10247" width="6.4" style="94" customWidth="1"/>
    <col min="10248" max="10248" width="16.9" style="94" customWidth="1"/>
    <col min="10249" max="10249" width="7.1" style="94" customWidth="1"/>
    <col min="10250" max="10250" width="32.6" style="94" customWidth="1"/>
    <col min="10251" max="10251" width="6.6" style="94" customWidth="1"/>
    <col min="10252" max="10252" width="20.5" style="94" customWidth="1"/>
    <col min="10253" max="10253" width="6.5" style="94" customWidth="1"/>
    <col min="10254" max="10254" width="38.1" style="94" customWidth="1"/>
    <col min="10255" max="10496" width="9" style="94"/>
    <col min="10497" max="10497" width="7" style="94" customWidth="1"/>
    <col min="10498" max="10498" width="18" style="94" customWidth="1"/>
    <col min="10499" max="10499" width="7.5" style="94" customWidth="1"/>
    <col min="10500" max="10500" width="26.5" style="94" customWidth="1"/>
    <col min="10501" max="10501" width="7.1" style="94" customWidth="1"/>
    <col min="10502" max="10502" width="18.6" style="94" customWidth="1"/>
    <col min="10503" max="10503" width="6.4" style="94" customWidth="1"/>
    <col min="10504" max="10504" width="16.9" style="94" customWidth="1"/>
    <col min="10505" max="10505" width="7.1" style="94" customWidth="1"/>
    <col min="10506" max="10506" width="32.6" style="94" customWidth="1"/>
    <col min="10507" max="10507" width="6.6" style="94" customWidth="1"/>
    <col min="10508" max="10508" width="20.5" style="94" customWidth="1"/>
    <col min="10509" max="10509" width="6.5" style="94" customWidth="1"/>
    <col min="10510" max="10510" width="38.1" style="94" customWidth="1"/>
    <col min="10511" max="10752" width="9" style="94"/>
    <col min="10753" max="10753" width="7" style="94" customWidth="1"/>
    <col min="10754" max="10754" width="18" style="94" customWidth="1"/>
    <col min="10755" max="10755" width="7.5" style="94" customWidth="1"/>
    <col min="10756" max="10756" width="26.5" style="94" customWidth="1"/>
    <col min="10757" max="10757" width="7.1" style="94" customWidth="1"/>
    <col min="10758" max="10758" width="18.6" style="94" customWidth="1"/>
    <col min="10759" max="10759" width="6.4" style="94" customWidth="1"/>
    <col min="10760" max="10760" width="16.9" style="94" customWidth="1"/>
    <col min="10761" max="10761" width="7.1" style="94" customWidth="1"/>
    <col min="10762" max="10762" width="32.6" style="94" customWidth="1"/>
    <col min="10763" max="10763" width="6.6" style="94" customWidth="1"/>
    <col min="10764" max="10764" width="20.5" style="94" customWidth="1"/>
    <col min="10765" max="10765" width="6.5" style="94" customWidth="1"/>
    <col min="10766" max="10766" width="38.1" style="94" customWidth="1"/>
    <col min="10767" max="11008" width="9" style="94"/>
    <col min="11009" max="11009" width="7" style="94" customWidth="1"/>
    <col min="11010" max="11010" width="18" style="94" customWidth="1"/>
    <col min="11011" max="11011" width="7.5" style="94" customWidth="1"/>
    <col min="11012" max="11012" width="26.5" style="94" customWidth="1"/>
    <col min="11013" max="11013" width="7.1" style="94" customWidth="1"/>
    <col min="11014" max="11014" width="18.6" style="94" customWidth="1"/>
    <col min="11015" max="11015" width="6.4" style="94" customWidth="1"/>
    <col min="11016" max="11016" width="16.9" style="94" customWidth="1"/>
    <col min="11017" max="11017" width="7.1" style="94" customWidth="1"/>
    <col min="11018" max="11018" width="32.6" style="94" customWidth="1"/>
    <col min="11019" max="11019" width="6.6" style="94" customWidth="1"/>
    <col min="11020" max="11020" width="20.5" style="94" customWidth="1"/>
    <col min="11021" max="11021" width="6.5" style="94" customWidth="1"/>
    <col min="11022" max="11022" width="38.1" style="94" customWidth="1"/>
    <col min="11023" max="11264" width="9" style="94"/>
    <col min="11265" max="11265" width="7" style="94" customWidth="1"/>
    <col min="11266" max="11266" width="18" style="94" customWidth="1"/>
    <col min="11267" max="11267" width="7.5" style="94" customWidth="1"/>
    <col min="11268" max="11268" width="26.5" style="94" customWidth="1"/>
    <col min="11269" max="11269" width="7.1" style="94" customWidth="1"/>
    <col min="11270" max="11270" width="18.6" style="94" customWidth="1"/>
    <col min="11271" max="11271" width="6.4" style="94" customWidth="1"/>
    <col min="11272" max="11272" width="16.9" style="94" customWidth="1"/>
    <col min="11273" max="11273" width="7.1" style="94" customWidth="1"/>
    <col min="11274" max="11274" width="32.6" style="94" customWidth="1"/>
    <col min="11275" max="11275" width="6.6" style="94" customWidth="1"/>
    <col min="11276" max="11276" width="20.5" style="94" customWidth="1"/>
    <col min="11277" max="11277" width="6.5" style="94" customWidth="1"/>
    <col min="11278" max="11278" width="38.1" style="94" customWidth="1"/>
    <col min="11279" max="11520" width="9" style="94"/>
    <col min="11521" max="11521" width="7" style="94" customWidth="1"/>
    <col min="11522" max="11522" width="18" style="94" customWidth="1"/>
    <col min="11523" max="11523" width="7.5" style="94" customWidth="1"/>
    <col min="11524" max="11524" width="26.5" style="94" customWidth="1"/>
    <col min="11525" max="11525" width="7.1" style="94" customWidth="1"/>
    <col min="11526" max="11526" width="18.6" style="94" customWidth="1"/>
    <col min="11527" max="11527" width="6.4" style="94" customWidth="1"/>
    <col min="11528" max="11528" width="16.9" style="94" customWidth="1"/>
    <col min="11529" max="11529" width="7.1" style="94" customWidth="1"/>
    <col min="11530" max="11530" width="32.6" style="94" customWidth="1"/>
    <col min="11531" max="11531" width="6.6" style="94" customWidth="1"/>
    <col min="11532" max="11532" width="20.5" style="94" customWidth="1"/>
    <col min="11533" max="11533" width="6.5" style="94" customWidth="1"/>
    <col min="11534" max="11534" width="38.1" style="94" customWidth="1"/>
    <col min="11535" max="11776" width="9" style="94"/>
    <col min="11777" max="11777" width="7" style="94" customWidth="1"/>
    <col min="11778" max="11778" width="18" style="94" customWidth="1"/>
    <col min="11779" max="11779" width="7.5" style="94" customWidth="1"/>
    <col min="11780" max="11780" width="26.5" style="94" customWidth="1"/>
    <col min="11781" max="11781" width="7.1" style="94" customWidth="1"/>
    <col min="11782" max="11782" width="18.6" style="94" customWidth="1"/>
    <col min="11783" max="11783" width="6.4" style="94" customWidth="1"/>
    <col min="11784" max="11784" width="16.9" style="94" customWidth="1"/>
    <col min="11785" max="11785" width="7.1" style="94" customWidth="1"/>
    <col min="11786" max="11786" width="32.6" style="94" customWidth="1"/>
    <col min="11787" max="11787" width="6.6" style="94" customWidth="1"/>
    <col min="11788" max="11788" width="20.5" style="94" customWidth="1"/>
    <col min="11789" max="11789" width="6.5" style="94" customWidth="1"/>
    <col min="11790" max="11790" width="38.1" style="94" customWidth="1"/>
    <col min="11791" max="12032" width="9" style="94"/>
    <col min="12033" max="12033" width="7" style="94" customWidth="1"/>
    <col min="12034" max="12034" width="18" style="94" customWidth="1"/>
    <col min="12035" max="12035" width="7.5" style="94" customWidth="1"/>
    <col min="12036" max="12036" width="26.5" style="94" customWidth="1"/>
    <col min="12037" max="12037" width="7.1" style="94" customWidth="1"/>
    <col min="12038" max="12038" width="18.6" style="94" customWidth="1"/>
    <col min="12039" max="12039" width="6.4" style="94" customWidth="1"/>
    <col min="12040" max="12040" width="16.9" style="94" customWidth="1"/>
    <col min="12041" max="12041" width="7.1" style="94" customWidth="1"/>
    <col min="12042" max="12042" width="32.6" style="94" customWidth="1"/>
    <col min="12043" max="12043" width="6.6" style="94" customWidth="1"/>
    <col min="12044" max="12044" width="20.5" style="94" customWidth="1"/>
    <col min="12045" max="12045" width="6.5" style="94" customWidth="1"/>
    <col min="12046" max="12046" width="38.1" style="94" customWidth="1"/>
    <col min="12047" max="12288" width="9" style="94"/>
    <col min="12289" max="12289" width="7" style="94" customWidth="1"/>
    <col min="12290" max="12290" width="18" style="94" customWidth="1"/>
    <col min="12291" max="12291" width="7.5" style="94" customWidth="1"/>
    <col min="12292" max="12292" width="26.5" style="94" customWidth="1"/>
    <col min="12293" max="12293" width="7.1" style="94" customWidth="1"/>
    <col min="12294" max="12294" width="18.6" style="94" customWidth="1"/>
    <col min="12295" max="12295" width="6.4" style="94" customWidth="1"/>
    <col min="12296" max="12296" width="16.9" style="94" customWidth="1"/>
    <col min="12297" max="12297" width="7.1" style="94" customWidth="1"/>
    <col min="12298" max="12298" width="32.6" style="94" customWidth="1"/>
    <col min="12299" max="12299" width="6.6" style="94" customWidth="1"/>
    <col min="12300" max="12300" width="20.5" style="94" customWidth="1"/>
    <col min="12301" max="12301" width="6.5" style="94" customWidth="1"/>
    <col min="12302" max="12302" width="38.1" style="94" customWidth="1"/>
    <col min="12303" max="12544" width="9" style="94"/>
    <col min="12545" max="12545" width="7" style="94" customWidth="1"/>
    <col min="12546" max="12546" width="18" style="94" customWidth="1"/>
    <col min="12547" max="12547" width="7.5" style="94" customWidth="1"/>
    <col min="12548" max="12548" width="26.5" style="94" customWidth="1"/>
    <col min="12549" max="12549" width="7.1" style="94" customWidth="1"/>
    <col min="12550" max="12550" width="18.6" style="94" customWidth="1"/>
    <col min="12551" max="12551" width="6.4" style="94" customWidth="1"/>
    <col min="12552" max="12552" width="16.9" style="94" customWidth="1"/>
    <col min="12553" max="12553" width="7.1" style="94" customWidth="1"/>
    <col min="12554" max="12554" width="32.6" style="94" customWidth="1"/>
    <col min="12555" max="12555" width="6.6" style="94" customWidth="1"/>
    <col min="12556" max="12556" width="20.5" style="94" customWidth="1"/>
    <col min="12557" max="12557" width="6.5" style="94" customWidth="1"/>
    <col min="12558" max="12558" width="38.1" style="94" customWidth="1"/>
    <col min="12559" max="12800" width="9" style="94"/>
    <col min="12801" max="12801" width="7" style="94" customWidth="1"/>
    <col min="12802" max="12802" width="18" style="94" customWidth="1"/>
    <col min="12803" max="12803" width="7.5" style="94" customWidth="1"/>
    <col min="12804" max="12804" width="26.5" style="94" customWidth="1"/>
    <col min="12805" max="12805" width="7.1" style="94" customWidth="1"/>
    <col min="12806" max="12806" width="18.6" style="94" customWidth="1"/>
    <col min="12807" max="12807" width="6.4" style="94" customWidth="1"/>
    <col min="12808" max="12808" width="16.9" style="94" customWidth="1"/>
    <col min="12809" max="12809" width="7.1" style="94" customWidth="1"/>
    <col min="12810" max="12810" width="32.6" style="94" customWidth="1"/>
    <col min="12811" max="12811" width="6.6" style="94" customWidth="1"/>
    <col min="12812" max="12812" width="20.5" style="94" customWidth="1"/>
    <col min="12813" max="12813" width="6.5" style="94" customWidth="1"/>
    <col min="12814" max="12814" width="38.1" style="94" customWidth="1"/>
    <col min="12815" max="13056" width="9" style="94"/>
    <col min="13057" max="13057" width="7" style="94" customWidth="1"/>
    <col min="13058" max="13058" width="18" style="94" customWidth="1"/>
    <col min="13059" max="13059" width="7.5" style="94" customWidth="1"/>
    <col min="13060" max="13060" width="26.5" style="94" customWidth="1"/>
    <col min="13061" max="13061" width="7.1" style="94" customWidth="1"/>
    <col min="13062" max="13062" width="18.6" style="94" customWidth="1"/>
    <col min="13063" max="13063" width="6.4" style="94" customWidth="1"/>
    <col min="13064" max="13064" width="16.9" style="94" customWidth="1"/>
    <col min="13065" max="13065" width="7.1" style="94" customWidth="1"/>
    <col min="13066" max="13066" width="32.6" style="94" customWidth="1"/>
    <col min="13067" max="13067" width="6.6" style="94" customWidth="1"/>
    <col min="13068" max="13068" width="20.5" style="94" customWidth="1"/>
    <col min="13069" max="13069" width="6.5" style="94" customWidth="1"/>
    <col min="13070" max="13070" width="38.1" style="94" customWidth="1"/>
    <col min="13071" max="13312" width="9" style="94"/>
    <col min="13313" max="13313" width="7" style="94" customWidth="1"/>
    <col min="13314" max="13314" width="18" style="94" customWidth="1"/>
    <col min="13315" max="13315" width="7.5" style="94" customWidth="1"/>
    <col min="13316" max="13316" width="26.5" style="94" customWidth="1"/>
    <col min="13317" max="13317" width="7.1" style="94" customWidth="1"/>
    <col min="13318" max="13318" width="18.6" style="94" customWidth="1"/>
    <col min="13319" max="13319" width="6.4" style="94" customWidth="1"/>
    <col min="13320" max="13320" width="16.9" style="94" customWidth="1"/>
    <col min="13321" max="13321" width="7.1" style="94" customWidth="1"/>
    <col min="13322" max="13322" width="32.6" style="94" customWidth="1"/>
    <col min="13323" max="13323" width="6.6" style="94" customWidth="1"/>
    <col min="13324" max="13324" width="20.5" style="94" customWidth="1"/>
    <col min="13325" max="13325" width="6.5" style="94" customWidth="1"/>
    <col min="13326" max="13326" width="38.1" style="94" customWidth="1"/>
    <col min="13327" max="13568" width="9" style="94"/>
    <col min="13569" max="13569" width="7" style="94" customWidth="1"/>
    <col min="13570" max="13570" width="18" style="94" customWidth="1"/>
    <col min="13571" max="13571" width="7.5" style="94" customWidth="1"/>
    <col min="13572" max="13572" width="26.5" style="94" customWidth="1"/>
    <col min="13573" max="13573" width="7.1" style="94" customWidth="1"/>
    <col min="13574" max="13574" width="18.6" style="94" customWidth="1"/>
    <col min="13575" max="13575" width="6.4" style="94" customWidth="1"/>
    <col min="13576" max="13576" width="16.9" style="94" customWidth="1"/>
    <col min="13577" max="13577" width="7.1" style="94" customWidth="1"/>
    <col min="13578" max="13578" width="32.6" style="94" customWidth="1"/>
    <col min="13579" max="13579" width="6.6" style="94" customWidth="1"/>
    <col min="13580" max="13580" width="20.5" style="94" customWidth="1"/>
    <col min="13581" max="13581" width="6.5" style="94" customWidth="1"/>
    <col min="13582" max="13582" width="38.1" style="94" customWidth="1"/>
    <col min="13583" max="13824" width="9" style="94"/>
    <col min="13825" max="13825" width="7" style="94" customWidth="1"/>
    <col min="13826" max="13826" width="18" style="94" customWidth="1"/>
    <col min="13827" max="13827" width="7.5" style="94" customWidth="1"/>
    <col min="13828" max="13828" width="26.5" style="94" customWidth="1"/>
    <col min="13829" max="13829" width="7.1" style="94" customWidth="1"/>
    <col min="13830" max="13830" width="18.6" style="94" customWidth="1"/>
    <col min="13831" max="13831" width="6.4" style="94" customWidth="1"/>
    <col min="13832" max="13832" width="16.9" style="94" customWidth="1"/>
    <col min="13833" max="13833" width="7.1" style="94" customWidth="1"/>
    <col min="13834" max="13834" width="32.6" style="94" customWidth="1"/>
    <col min="13835" max="13835" width="6.6" style="94" customWidth="1"/>
    <col min="13836" max="13836" width="20.5" style="94" customWidth="1"/>
    <col min="13837" max="13837" width="6.5" style="94" customWidth="1"/>
    <col min="13838" max="13838" width="38.1" style="94" customWidth="1"/>
    <col min="13839" max="14080" width="9" style="94"/>
    <col min="14081" max="14081" width="7" style="94" customWidth="1"/>
    <col min="14082" max="14082" width="18" style="94" customWidth="1"/>
    <col min="14083" max="14083" width="7.5" style="94" customWidth="1"/>
    <col min="14084" max="14084" width="26.5" style="94" customWidth="1"/>
    <col min="14085" max="14085" width="7.1" style="94" customWidth="1"/>
    <col min="14086" max="14086" width="18.6" style="94" customWidth="1"/>
    <col min="14087" max="14087" width="6.4" style="94" customWidth="1"/>
    <col min="14088" max="14088" width="16.9" style="94" customWidth="1"/>
    <col min="14089" max="14089" width="7.1" style="94" customWidth="1"/>
    <col min="14090" max="14090" width="32.6" style="94" customWidth="1"/>
    <col min="14091" max="14091" width="6.6" style="94" customWidth="1"/>
    <col min="14092" max="14092" width="20.5" style="94" customWidth="1"/>
    <col min="14093" max="14093" width="6.5" style="94" customWidth="1"/>
    <col min="14094" max="14094" width="38.1" style="94" customWidth="1"/>
    <col min="14095" max="14336" width="9" style="94"/>
    <col min="14337" max="14337" width="7" style="94" customWidth="1"/>
    <col min="14338" max="14338" width="18" style="94" customWidth="1"/>
    <col min="14339" max="14339" width="7.5" style="94" customWidth="1"/>
    <col min="14340" max="14340" width="26.5" style="94" customWidth="1"/>
    <col min="14341" max="14341" width="7.1" style="94" customWidth="1"/>
    <col min="14342" max="14342" width="18.6" style="94" customWidth="1"/>
    <col min="14343" max="14343" width="6.4" style="94" customWidth="1"/>
    <col min="14344" max="14344" width="16.9" style="94" customWidth="1"/>
    <col min="14345" max="14345" width="7.1" style="94" customWidth="1"/>
    <col min="14346" max="14346" width="32.6" style="94" customWidth="1"/>
    <col min="14347" max="14347" width="6.6" style="94" customWidth="1"/>
    <col min="14348" max="14348" width="20.5" style="94" customWidth="1"/>
    <col min="14349" max="14349" width="6.5" style="94" customWidth="1"/>
    <col min="14350" max="14350" width="38.1" style="94" customWidth="1"/>
    <col min="14351" max="14592" width="9" style="94"/>
    <col min="14593" max="14593" width="7" style="94" customWidth="1"/>
    <col min="14594" max="14594" width="18" style="94" customWidth="1"/>
    <col min="14595" max="14595" width="7.5" style="94" customWidth="1"/>
    <col min="14596" max="14596" width="26.5" style="94" customWidth="1"/>
    <col min="14597" max="14597" width="7.1" style="94" customWidth="1"/>
    <col min="14598" max="14598" width="18.6" style="94" customWidth="1"/>
    <col min="14599" max="14599" width="6.4" style="94" customWidth="1"/>
    <col min="14600" max="14600" width="16.9" style="94" customWidth="1"/>
    <col min="14601" max="14601" width="7.1" style="94" customWidth="1"/>
    <col min="14602" max="14602" width="32.6" style="94" customWidth="1"/>
    <col min="14603" max="14603" width="6.6" style="94" customWidth="1"/>
    <col min="14604" max="14604" width="20.5" style="94" customWidth="1"/>
    <col min="14605" max="14605" width="6.5" style="94" customWidth="1"/>
    <col min="14606" max="14606" width="38.1" style="94" customWidth="1"/>
    <col min="14607" max="14848" width="9" style="94"/>
    <col min="14849" max="14849" width="7" style="94" customWidth="1"/>
    <col min="14850" max="14850" width="18" style="94" customWidth="1"/>
    <col min="14851" max="14851" width="7.5" style="94" customWidth="1"/>
    <col min="14852" max="14852" width="26.5" style="94" customWidth="1"/>
    <col min="14853" max="14853" width="7.1" style="94" customWidth="1"/>
    <col min="14854" max="14854" width="18.6" style="94" customWidth="1"/>
    <col min="14855" max="14855" width="6.4" style="94" customWidth="1"/>
    <col min="14856" max="14856" width="16.9" style="94" customWidth="1"/>
    <col min="14857" max="14857" width="7.1" style="94" customWidth="1"/>
    <col min="14858" max="14858" width="32.6" style="94" customWidth="1"/>
    <col min="14859" max="14859" width="6.6" style="94" customWidth="1"/>
    <col min="14860" max="14860" width="20.5" style="94" customWidth="1"/>
    <col min="14861" max="14861" width="6.5" style="94" customWidth="1"/>
    <col min="14862" max="14862" width="38.1" style="94" customWidth="1"/>
    <col min="14863" max="15104" width="9" style="94"/>
    <col min="15105" max="15105" width="7" style="94" customWidth="1"/>
    <col min="15106" max="15106" width="18" style="94" customWidth="1"/>
    <col min="15107" max="15107" width="7.5" style="94" customWidth="1"/>
    <col min="15108" max="15108" width="26.5" style="94" customWidth="1"/>
    <col min="15109" max="15109" width="7.1" style="94" customWidth="1"/>
    <col min="15110" max="15110" width="18.6" style="94" customWidth="1"/>
    <col min="15111" max="15111" width="6.4" style="94" customWidth="1"/>
    <col min="15112" max="15112" width="16.9" style="94" customWidth="1"/>
    <col min="15113" max="15113" width="7.1" style="94" customWidth="1"/>
    <col min="15114" max="15114" width="32.6" style="94" customWidth="1"/>
    <col min="15115" max="15115" width="6.6" style="94" customWidth="1"/>
    <col min="15116" max="15116" width="20.5" style="94" customWidth="1"/>
    <col min="15117" max="15117" width="6.5" style="94" customWidth="1"/>
    <col min="15118" max="15118" width="38.1" style="94" customWidth="1"/>
    <col min="15119" max="15360" width="9" style="94"/>
    <col min="15361" max="15361" width="7" style="94" customWidth="1"/>
    <col min="15362" max="15362" width="18" style="94" customWidth="1"/>
    <col min="15363" max="15363" width="7.5" style="94" customWidth="1"/>
    <col min="15364" max="15364" width="26.5" style="94" customWidth="1"/>
    <col min="15365" max="15365" width="7.1" style="94" customWidth="1"/>
    <col min="15366" max="15366" width="18.6" style="94" customWidth="1"/>
    <col min="15367" max="15367" width="6.4" style="94" customWidth="1"/>
    <col min="15368" max="15368" width="16.9" style="94" customWidth="1"/>
    <col min="15369" max="15369" width="7.1" style="94" customWidth="1"/>
    <col min="15370" max="15370" width="32.6" style="94" customWidth="1"/>
    <col min="15371" max="15371" width="6.6" style="94" customWidth="1"/>
    <col min="15372" max="15372" width="20.5" style="94" customWidth="1"/>
    <col min="15373" max="15373" width="6.5" style="94" customWidth="1"/>
    <col min="15374" max="15374" width="38.1" style="94" customWidth="1"/>
    <col min="15375" max="15616" width="9" style="94"/>
    <col min="15617" max="15617" width="7" style="94" customWidth="1"/>
    <col min="15618" max="15618" width="18" style="94" customWidth="1"/>
    <col min="15619" max="15619" width="7.5" style="94" customWidth="1"/>
    <col min="15620" max="15620" width="26.5" style="94" customWidth="1"/>
    <col min="15621" max="15621" width="7.1" style="94" customWidth="1"/>
    <col min="15622" max="15622" width="18.6" style="94" customWidth="1"/>
    <col min="15623" max="15623" width="6.4" style="94" customWidth="1"/>
    <col min="15624" max="15624" width="16.9" style="94" customWidth="1"/>
    <col min="15625" max="15625" width="7.1" style="94" customWidth="1"/>
    <col min="15626" max="15626" width="32.6" style="94" customWidth="1"/>
    <col min="15627" max="15627" width="6.6" style="94" customWidth="1"/>
    <col min="15628" max="15628" width="20.5" style="94" customWidth="1"/>
    <col min="15629" max="15629" width="6.5" style="94" customWidth="1"/>
    <col min="15630" max="15630" width="38.1" style="94" customWidth="1"/>
    <col min="15631" max="15872" width="9" style="94"/>
    <col min="15873" max="15873" width="7" style="94" customWidth="1"/>
    <col min="15874" max="15874" width="18" style="94" customWidth="1"/>
    <col min="15875" max="15875" width="7.5" style="94" customWidth="1"/>
    <col min="15876" max="15876" width="26.5" style="94" customWidth="1"/>
    <col min="15877" max="15877" width="7.1" style="94" customWidth="1"/>
    <col min="15878" max="15878" width="18.6" style="94" customWidth="1"/>
    <col min="15879" max="15879" width="6.4" style="94" customWidth="1"/>
    <col min="15880" max="15880" width="16.9" style="94" customWidth="1"/>
    <col min="15881" max="15881" width="7.1" style="94" customWidth="1"/>
    <col min="15882" max="15882" width="32.6" style="94" customWidth="1"/>
    <col min="15883" max="15883" width="6.6" style="94" customWidth="1"/>
    <col min="15884" max="15884" width="20.5" style="94" customWidth="1"/>
    <col min="15885" max="15885" width="6.5" style="94" customWidth="1"/>
    <col min="15886" max="15886" width="38.1" style="94" customWidth="1"/>
    <col min="15887" max="16128" width="9" style="94"/>
    <col min="16129" max="16129" width="7" style="94" customWidth="1"/>
    <col min="16130" max="16130" width="18" style="94" customWidth="1"/>
    <col min="16131" max="16131" width="7.5" style="94" customWidth="1"/>
    <col min="16132" max="16132" width="26.5" style="94" customWidth="1"/>
    <col min="16133" max="16133" width="7.1" style="94" customWidth="1"/>
    <col min="16134" max="16134" width="18.6" style="94" customWidth="1"/>
    <col min="16135" max="16135" width="6.4" style="94" customWidth="1"/>
    <col min="16136" max="16136" width="16.9" style="94" customWidth="1"/>
    <col min="16137" max="16137" width="7.1" style="94" customWidth="1"/>
    <col min="16138" max="16138" width="32.6" style="94" customWidth="1"/>
    <col min="16139" max="16139" width="6.6" style="94" customWidth="1"/>
    <col min="16140" max="16140" width="20.5" style="94" customWidth="1"/>
    <col min="16141" max="16141" width="6.5" style="94" customWidth="1"/>
    <col min="16142" max="16142" width="38.1" style="94" customWidth="1"/>
    <col min="16143" max="16384" width="9" style="94"/>
  </cols>
  <sheetData>
    <row r="1" ht="34.5" customHeight="1" spans="1:15">
      <c r="A1" s="98" t="s">
        <v>11627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="92" customFormat="1" ht="27.75" customHeight="1" spans="1:15">
      <c r="A2" s="100" t="s">
        <v>11628</v>
      </c>
      <c r="B2" s="101">
        <v>1</v>
      </c>
      <c r="C2" s="101">
        <v>2</v>
      </c>
      <c r="D2" s="101"/>
      <c r="E2" s="101">
        <v>3</v>
      </c>
      <c r="F2" s="101"/>
      <c r="G2" s="101">
        <v>4</v>
      </c>
      <c r="H2" s="101"/>
      <c r="I2" s="101">
        <v>5</v>
      </c>
      <c r="J2" s="101"/>
      <c r="K2" s="101">
        <v>6</v>
      </c>
      <c r="L2" s="101"/>
      <c r="M2" s="101">
        <v>7</v>
      </c>
      <c r="N2" s="101"/>
    </row>
    <row r="3" s="92" customFormat="1" ht="27.75" customHeight="1" spans="1:15">
      <c r="A3" s="100" t="s">
        <v>11629</v>
      </c>
      <c r="B3" s="100" t="s">
        <v>11630</v>
      </c>
      <c r="C3" s="100" t="s">
        <v>11631</v>
      </c>
      <c r="D3" s="100"/>
      <c r="E3" s="100" t="s">
        <v>11632</v>
      </c>
      <c r="F3" s="100"/>
      <c r="G3" s="100" t="s">
        <v>11633</v>
      </c>
      <c r="H3" s="100"/>
      <c r="I3" s="100" t="s">
        <v>11634</v>
      </c>
      <c r="J3" s="100"/>
      <c r="K3" s="100" t="s">
        <v>11635</v>
      </c>
      <c r="L3" s="100"/>
      <c r="M3" s="100" t="s">
        <v>11636</v>
      </c>
      <c r="N3" s="100"/>
    </row>
    <row r="4" s="92" customFormat="1" ht="27.75" customHeight="1" spans="1:15">
      <c r="A4" s="102" t="s">
        <v>11637</v>
      </c>
      <c r="B4" s="102" t="s">
        <v>11638</v>
      </c>
      <c r="C4" s="102" t="s">
        <v>11637</v>
      </c>
      <c r="D4" s="102" t="s">
        <v>11638</v>
      </c>
      <c r="E4" s="100" t="s">
        <v>11637</v>
      </c>
      <c r="F4" s="102" t="s">
        <v>11638</v>
      </c>
      <c r="G4" s="101" t="s">
        <v>11637</v>
      </c>
      <c r="H4" s="100" t="s">
        <v>11638</v>
      </c>
      <c r="I4" s="100" t="s">
        <v>11637</v>
      </c>
      <c r="J4" s="103" t="s">
        <v>11638</v>
      </c>
      <c r="K4" s="100" t="s">
        <v>11637</v>
      </c>
      <c r="L4" s="100" t="s">
        <v>11638</v>
      </c>
      <c r="M4" s="101" t="s">
        <v>11637</v>
      </c>
      <c r="N4" s="100" t="s">
        <v>11638</v>
      </c>
    </row>
    <row r="5" s="92" customFormat="1" ht="27.75" customHeight="1" spans="1:15">
      <c r="A5" s="100" t="s">
        <v>11639</v>
      </c>
      <c r="B5" s="102" t="s">
        <v>11640</v>
      </c>
      <c r="C5" s="100" t="s">
        <v>11639</v>
      </c>
      <c r="D5" s="102" t="s">
        <v>11641</v>
      </c>
      <c r="E5" s="100" t="s">
        <v>11639</v>
      </c>
      <c r="F5" s="102" t="s">
        <v>11642</v>
      </c>
      <c r="G5" s="101" t="s">
        <v>11639</v>
      </c>
      <c r="H5" s="102" t="s">
        <v>11643</v>
      </c>
      <c r="I5" s="100" t="s">
        <v>11639</v>
      </c>
      <c r="J5" s="104" t="s">
        <v>11644</v>
      </c>
      <c r="K5" s="100" t="s">
        <v>11639</v>
      </c>
      <c r="L5" s="105" t="s">
        <v>11645</v>
      </c>
      <c r="M5" s="101" t="s">
        <v>11646</v>
      </c>
      <c r="N5" s="106" t="s">
        <v>11647</v>
      </c>
      <c r="O5" s="92" t="s">
        <v>11648</v>
      </c>
    </row>
    <row r="6" s="92" customFormat="1" ht="27.75" customHeight="1" spans="1:15">
      <c r="A6" s="100" t="s">
        <v>11646</v>
      </c>
      <c r="B6" s="102" t="s">
        <v>11649</v>
      </c>
      <c r="C6" s="100" t="s">
        <v>11646</v>
      </c>
      <c r="D6" s="102" t="s">
        <v>11650</v>
      </c>
      <c r="E6" s="100" t="s">
        <v>11651</v>
      </c>
      <c r="F6" s="102" t="s">
        <v>11652</v>
      </c>
      <c r="G6" s="101">
        <v>1</v>
      </c>
      <c r="H6" s="102" t="s">
        <v>11653</v>
      </c>
      <c r="I6" s="100" t="s">
        <v>11654</v>
      </c>
      <c r="J6" s="104" t="s">
        <v>11655</v>
      </c>
      <c r="K6" s="100" t="s">
        <v>11656</v>
      </c>
      <c r="L6" s="105" t="s">
        <v>11657</v>
      </c>
      <c r="M6" s="101" t="s">
        <v>11658</v>
      </c>
      <c r="N6" s="106" t="s">
        <v>11659</v>
      </c>
    </row>
    <row r="7" s="92" customFormat="1" ht="27.75" customHeight="1" spans="1:15">
      <c r="A7" s="100" t="s">
        <v>11658</v>
      </c>
      <c r="B7" s="102" t="s">
        <v>11660</v>
      </c>
      <c r="C7" s="100" t="s">
        <v>11658</v>
      </c>
      <c r="D7" s="102" t="s">
        <v>11661</v>
      </c>
      <c r="E7" s="100" t="s">
        <v>11646</v>
      </c>
      <c r="F7" s="102" t="s">
        <v>11662</v>
      </c>
      <c r="G7" s="101">
        <v>2</v>
      </c>
      <c r="H7" s="102" t="s">
        <v>11663</v>
      </c>
      <c r="I7" s="100" t="s">
        <v>11664</v>
      </c>
      <c r="J7" s="104" t="s">
        <v>11665</v>
      </c>
      <c r="K7" s="100" t="s">
        <v>11658</v>
      </c>
      <c r="L7" s="105" t="s">
        <v>11666</v>
      </c>
      <c r="M7" s="101" t="s">
        <v>9243</v>
      </c>
      <c r="N7" s="106" t="s">
        <v>11667</v>
      </c>
    </row>
    <row r="8" s="92" customFormat="1" ht="27.75" customHeight="1" spans="1:15">
      <c r="A8" s="100" t="s">
        <v>11668</v>
      </c>
      <c r="B8" s="102" t="s">
        <v>11669</v>
      </c>
      <c r="C8" s="100" t="s">
        <v>11668</v>
      </c>
      <c r="D8" s="102" t="s">
        <v>11670</v>
      </c>
      <c r="E8" s="100" t="s">
        <v>11658</v>
      </c>
      <c r="F8" s="102" t="s">
        <v>11671</v>
      </c>
      <c r="G8" s="101">
        <v>3</v>
      </c>
      <c r="H8" s="102" t="s">
        <v>11672</v>
      </c>
      <c r="I8" s="100" t="s">
        <v>11673</v>
      </c>
      <c r="J8" s="104" t="s">
        <v>11674</v>
      </c>
      <c r="K8" s="100" t="s">
        <v>11668</v>
      </c>
      <c r="L8" s="105" t="s">
        <v>11675</v>
      </c>
      <c r="M8" s="101" t="s">
        <v>11676</v>
      </c>
      <c r="N8" s="106" t="s">
        <v>11677</v>
      </c>
    </row>
    <row r="9" s="92" customFormat="1" ht="27.75" customHeight="1" spans="1:15">
      <c r="A9" s="100" t="s">
        <v>11676</v>
      </c>
      <c r="B9" s="102" t="s">
        <v>11678</v>
      </c>
      <c r="C9" s="100" t="s">
        <v>11676</v>
      </c>
      <c r="D9" s="102" t="s">
        <v>11679</v>
      </c>
      <c r="E9" s="100" t="s">
        <v>11668</v>
      </c>
      <c r="F9" s="102" t="s">
        <v>11680</v>
      </c>
      <c r="G9" s="101">
        <v>4</v>
      </c>
      <c r="H9" s="102" t="s">
        <v>11681</v>
      </c>
      <c r="I9" s="100" t="s">
        <v>11668</v>
      </c>
      <c r="J9" s="104" t="s">
        <v>11682</v>
      </c>
      <c r="K9" s="100" t="s">
        <v>11676</v>
      </c>
      <c r="L9" s="105" t="s">
        <v>11683</v>
      </c>
      <c r="M9" s="101" t="s">
        <v>11684</v>
      </c>
      <c r="N9" s="106" t="s">
        <v>11685</v>
      </c>
    </row>
    <row r="10" s="92" customFormat="1" ht="27.75" customHeight="1" spans="1:15">
      <c r="A10" s="100" t="s">
        <v>11684</v>
      </c>
      <c r="B10" s="102" t="s">
        <v>11686</v>
      </c>
      <c r="C10" s="100" t="s">
        <v>11684</v>
      </c>
      <c r="D10" s="102" t="s">
        <v>11687</v>
      </c>
      <c r="E10" s="100" t="s">
        <v>11676</v>
      </c>
      <c r="F10" s="102" t="s">
        <v>11688</v>
      </c>
      <c r="G10" s="101">
        <v>5</v>
      </c>
      <c r="H10" s="102" t="s">
        <v>11689</v>
      </c>
      <c r="I10" s="100" t="s">
        <v>11690</v>
      </c>
      <c r="J10" s="104" t="s">
        <v>11691</v>
      </c>
      <c r="K10" s="100" t="s">
        <v>11684</v>
      </c>
      <c r="L10" s="105" t="s">
        <v>11692</v>
      </c>
      <c r="M10" s="101" t="s">
        <v>11656</v>
      </c>
      <c r="N10" s="106" t="s">
        <v>11693</v>
      </c>
    </row>
    <row r="11" s="92" customFormat="1" ht="27.75" customHeight="1" spans="1:15">
      <c r="A11" s="100" t="s">
        <v>11656</v>
      </c>
      <c r="B11" s="102" t="s">
        <v>11694</v>
      </c>
      <c r="C11" s="100" t="s">
        <v>11656</v>
      </c>
      <c r="D11" s="102" t="s">
        <v>11695</v>
      </c>
      <c r="E11" s="100" t="s">
        <v>11684</v>
      </c>
      <c r="F11" s="102" t="s">
        <v>11696</v>
      </c>
      <c r="G11" s="101">
        <v>6</v>
      </c>
      <c r="H11" s="102" t="s">
        <v>11697</v>
      </c>
      <c r="I11" s="100" t="s">
        <v>11684</v>
      </c>
      <c r="J11" s="104" t="s">
        <v>11698</v>
      </c>
      <c r="K11" s="100" t="s">
        <v>11699</v>
      </c>
      <c r="L11" s="105" t="s">
        <v>11700</v>
      </c>
      <c r="M11" s="101" t="s">
        <v>11701</v>
      </c>
      <c r="N11" s="106" t="s">
        <v>11702</v>
      </c>
    </row>
    <row r="12" s="92" customFormat="1" ht="27.75" customHeight="1" spans="1:15">
      <c r="A12" s="100" t="s">
        <v>11699</v>
      </c>
      <c r="B12" s="102" t="s">
        <v>11703</v>
      </c>
      <c r="C12" s="100" t="s">
        <v>11704</v>
      </c>
      <c r="D12" s="107" t="s">
        <v>11705</v>
      </c>
      <c r="E12" s="100" t="s">
        <v>11656</v>
      </c>
      <c r="F12" s="102" t="s">
        <v>11706</v>
      </c>
      <c r="G12" s="101">
        <v>7</v>
      </c>
      <c r="H12" s="102" t="s">
        <v>11707</v>
      </c>
      <c r="I12" s="100" t="s">
        <v>11656</v>
      </c>
      <c r="J12" s="104" t="s">
        <v>11708</v>
      </c>
      <c r="K12" s="100" t="s">
        <v>11646</v>
      </c>
      <c r="L12" s="105" t="s">
        <v>11709</v>
      </c>
      <c r="M12" s="101" t="s">
        <v>11710</v>
      </c>
      <c r="N12" s="106" t="s">
        <v>11711</v>
      </c>
    </row>
    <row r="13" s="92" customFormat="1" ht="27.75" customHeight="1" spans="1:15">
      <c r="A13" s="100" t="s">
        <v>11712</v>
      </c>
      <c r="B13" s="102" t="s">
        <v>11713</v>
      </c>
      <c r="C13" s="100" t="s">
        <v>11712</v>
      </c>
      <c r="D13" s="102" t="s">
        <v>11714</v>
      </c>
      <c r="E13" s="100" t="s">
        <v>11699</v>
      </c>
      <c r="F13" s="102" t="s">
        <v>11715</v>
      </c>
      <c r="G13" s="101">
        <v>8</v>
      </c>
      <c r="H13" s="102" t="s">
        <v>11716</v>
      </c>
      <c r="I13" s="100" t="s">
        <v>11658</v>
      </c>
      <c r="J13" s="104" t="s">
        <v>11717</v>
      </c>
      <c r="K13" s="100" t="s">
        <v>11673</v>
      </c>
      <c r="L13" s="105" t="s">
        <v>11718</v>
      </c>
      <c r="M13" s="101" t="s">
        <v>11639</v>
      </c>
      <c r="N13" s="106" t="s">
        <v>11719</v>
      </c>
    </row>
    <row r="14" s="92" customFormat="1" ht="27.75" customHeight="1" spans="1:15">
      <c r="A14" s="100" t="s">
        <v>11701</v>
      </c>
      <c r="B14" s="102" t="s">
        <v>11720</v>
      </c>
      <c r="C14" s="100" t="s">
        <v>11701</v>
      </c>
      <c r="D14" s="102" t="s">
        <v>11666</v>
      </c>
      <c r="E14" s="100" t="s">
        <v>11721</v>
      </c>
      <c r="F14" s="102" t="s">
        <v>11722</v>
      </c>
      <c r="G14" s="101">
        <v>9</v>
      </c>
      <c r="H14" s="102" t="s">
        <v>11723</v>
      </c>
      <c r="I14" s="100" t="s">
        <v>11724</v>
      </c>
      <c r="J14" s="104" t="s">
        <v>11725</v>
      </c>
      <c r="K14" s="100" t="s">
        <v>11726</v>
      </c>
      <c r="L14" s="105" t="s">
        <v>11727</v>
      </c>
      <c r="M14" s="101" t="s">
        <v>11728</v>
      </c>
      <c r="N14" s="106" t="s">
        <v>11729</v>
      </c>
    </row>
    <row r="15" s="92" customFormat="1" ht="27.75" customHeight="1" spans="1:15">
      <c r="A15" s="100" t="s">
        <v>11673</v>
      </c>
      <c r="B15" s="102" t="s">
        <v>11730</v>
      </c>
      <c r="C15" s="100" t="s">
        <v>11710</v>
      </c>
      <c r="D15" s="102" t="s">
        <v>11731</v>
      </c>
      <c r="E15" s="100"/>
      <c r="F15" s="102"/>
      <c r="G15" s="101" t="s">
        <v>11646</v>
      </c>
      <c r="H15" s="102" t="s">
        <v>11732</v>
      </c>
      <c r="I15" s="100" t="s">
        <v>11712</v>
      </c>
      <c r="J15" s="104" t="s">
        <v>11733</v>
      </c>
      <c r="K15" s="100" t="s">
        <v>11721</v>
      </c>
      <c r="L15" s="105" t="s">
        <v>11734</v>
      </c>
      <c r="M15" s="101" t="s">
        <v>11654</v>
      </c>
      <c r="N15" s="106" t="s">
        <v>11735</v>
      </c>
    </row>
    <row r="16" s="92" customFormat="1" ht="27.75" customHeight="1" spans="1:15">
      <c r="A16" s="100" t="s">
        <v>11726</v>
      </c>
      <c r="B16" s="102" t="s">
        <v>11736</v>
      </c>
      <c r="C16" s="100" t="s">
        <v>11737</v>
      </c>
      <c r="D16" s="102" t="s">
        <v>11738</v>
      </c>
      <c r="E16" s="100"/>
      <c r="F16" s="102"/>
      <c r="G16" s="101" t="s">
        <v>11658</v>
      </c>
      <c r="H16" s="102" t="s">
        <v>11739</v>
      </c>
      <c r="I16" s="100" t="s">
        <v>11701</v>
      </c>
      <c r="J16" s="104" t="s">
        <v>11740</v>
      </c>
      <c r="K16" s="100" t="s">
        <v>11704</v>
      </c>
      <c r="L16" s="105" t="s">
        <v>11741</v>
      </c>
      <c r="M16" s="101" t="s">
        <v>11664</v>
      </c>
      <c r="N16" s="106" t="s">
        <v>11742</v>
      </c>
    </row>
    <row r="17" s="92" customFormat="1" ht="27.75" customHeight="1" spans="1:14">
      <c r="A17" s="100" t="s">
        <v>11721</v>
      </c>
      <c r="B17" s="108" t="s">
        <v>11743</v>
      </c>
      <c r="C17" s="100" t="s">
        <v>11728</v>
      </c>
      <c r="D17" s="102" t="s">
        <v>11744</v>
      </c>
      <c r="E17" s="100"/>
      <c r="F17" s="102"/>
      <c r="G17" s="101" t="s">
        <v>11668</v>
      </c>
      <c r="H17" s="102" t="s">
        <v>11745</v>
      </c>
      <c r="I17" s="100" t="s">
        <v>11746</v>
      </c>
      <c r="J17" s="104" t="s">
        <v>11747</v>
      </c>
      <c r="K17" s="100" t="s">
        <v>11728</v>
      </c>
      <c r="L17" s="105" t="s">
        <v>11748</v>
      </c>
      <c r="M17" s="101" t="s">
        <v>11737</v>
      </c>
      <c r="N17" s="109" t="s">
        <v>11749</v>
      </c>
    </row>
    <row r="18" s="92" customFormat="1" ht="27.75" customHeight="1" spans="1:14">
      <c r="A18" s="100" t="s">
        <v>11710</v>
      </c>
      <c r="B18" s="102" t="s">
        <v>11750</v>
      </c>
      <c r="C18" s="100" t="s">
        <v>11654</v>
      </c>
      <c r="D18" s="102" t="s">
        <v>11751</v>
      </c>
      <c r="E18" s="100"/>
      <c r="F18" s="102"/>
      <c r="G18" s="101"/>
      <c r="H18" s="102"/>
      <c r="I18" s="100" t="s">
        <v>11752</v>
      </c>
      <c r="J18" s="104" t="s">
        <v>11753</v>
      </c>
      <c r="K18" s="100" t="s">
        <v>11654</v>
      </c>
      <c r="L18" s="105" t="s">
        <v>11754</v>
      </c>
      <c r="M18" s="101" t="s">
        <v>11690</v>
      </c>
      <c r="N18" s="109" t="s">
        <v>11755</v>
      </c>
    </row>
    <row r="19" s="92" customFormat="1" ht="27.75" customHeight="1" spans="1:14">
      <c r="A19" s="100" t="s">
        <v>11728</v>
      </c>
      <c r="B19" s="102" t="s">
        <v>11756</v>
      </c>
      <c r="C19" s="100" t="s">
        <v>11664</v>
      </c>
      <c r="D19" s="102" t="s">
        <v>11757</v>
      </c>
      <c r="E19" s="100"/>
      <c r="F19" s="102"/>
      <c r="G19" s="101"/>
      <c r="H19" s="102"/>
      <c r="I19" s="100" t="s">
        <v>11758</v>
      </c>
      <c r="J19" s="104" t="s">
        <v>11759</v>
      </c>
      <c r="K19" s="110" t="s">
        <v>11712</v>
      </c>
      <c r="L19" s="109" t="s">
        <v>11760</v>
      </c>
      <c r="M19" s="101" t="s">
        <v>11758</v>
      </c>
      <c r="N19" s="106" t="s">
        <v>11761</v>
      </c>
    </row>
    <row r="20" s="92" customFormat="1" ht="27.75" customHeight="1" spans="1:14">
      <c r="A20" s="100" t="s">
        <v>11654</v>
      </c>
      <c r="B20" s="102" t="s">
        <v>11762</v>
      </c>
      <c r="C20" s="100" t="s">
        <v>11746</v>
      </c>
      <c r="D20" s="102" t="s">
        <v>11763</v>
      </c>
      <c r="E20" s="100"/>
      <c r="F20" s="102"/>
      <c r="G20" s="101"/>
      <c r="H20" s="102"/>
      <c r="I20" s="100" t="s">
        <v>11646</v>
      </c>
      <c r="J20" s="104" t="s">
        <v>11764</v>
      </c>
      <c r="K20" s="110" t="s">
        <v>11701</v>
      </c>
      <c r="L20" s="109" t="s">
        <v>11765</v>
      </c>
      <c r="M20" s="101" t="s">
        <v>11699</v>
      </c>
      <c r="N20" s="106" t="s">
        <v>11766</v>
      </c>
    </row>
    <row r="21" s="92" customFormat="1" ht="27.75" customHeight="1" spans="1:14">
      <c r="A21" s="100" t="s">
        <v>11690</v>
      </c>
      <c r="B21" s="102" t="s">
        <v>11767</v>
      </c>
      <c r="C21" s="100" t="s">
        <v>11758</v>
      </c>
      <c r="D21" s="102" t="s">
        <v>11768</v>
      </c>
      <c r="E21" s="100"/>
      <c r="F21" s="102"/>
      <c r="G21" s="101"/>
      <c r="H21" s="102"/>
      <c r="I21" s="100" t="s">
        <v>11699</v>
      </c>
      <c r="J21" s="104" t="s">
        <v>11769</v>
      </c>
      <c r="K21" s="110" t="s">
        <v>11737</v>
      </c>
      <c r="L21" s="109" t="s">
        <v>11770</v>
      </c>
      <c r="M21" s="101" t="s">
        <v>11721</v>
      </c>
      <c r="N21" s="106" t="s">
        <v>11771</v>
      </c>
    </row>
    <row r="22" s="92" customFormat="1" ht="27.75" customHeight="1" spans="1:14">
      <c r="A22" s="100" t="s">
        <v>11737</v>
      </c>
      <c r="B22" s="102" t="s">
        <v>11772</v>
      </c>
      <c r="C22" s="100" t="s">
        <v>11724</v>
      </c>
      <c r="D22" s="102" t="s">
        <v>11773</v>
      </c>
      <c r="E22" s="100"/>
      <c r="F22" s="102"/>
      <c r="G22" s="101"/>
      <c r="H22" s="102"/>
      <c r="I22" s="100" t="s">
        <v>11710</v>
      </c>
      <c r="J22" s="104" t="s">
        <v>11774</v>
      </c>
      <c r="K22" s="110" t="s">
        <v>11710</v>
      </c>
      <c r="L22" s="109" t="s">
        <v>11775</v>
      </c>
      <c r="M22" s="101" t="s">
        <v>11712</v>
      </c>
      <c r="N22" s="111" t="s">
        <v>11776</v>
      </c>
    </row>
    <row r="23" s="92" customFormat="1" ht="27.75" customHeight="1" spans="1:14">
      <c r="A23" s="100" t="s">
        <v>11724</v>
      </c>
      <c r="B23" s="102" t="s">
        <v>11777</v>
      </c>
      <c r="C23" s="100" t="s">
        <v>11778</v>
      </c>
      <c r="D23" s="102" t="s">
        <v>11779</v>
      </c>
      <c r="E23" s="100"/>
      <c r="F23" s="102"/>
      <c r="G23" s="101"/>
      <c r="H23" s="102"/>
      <c r="I23" s="100" t="s">
        <v>11728</v>
      </c>
      <c r="J23" s="104" t="s">
        <v>11780</v>
      </c>
      <c r="K23" s="112" t="s">
        <v>11690</v>
      </c>
      <c r="L23" s="113" t="s">
        <v>11781</v>
      </c>
      <c r="M23" s="101" t="s">
        <v>11704</v>
      </c>
      <c r="N23" s="106" t="s">
        <v>11782</v>
      </c>
    </row>
    <row r="24" s="92" customFormat="1" ht="27.75" customHeight="1" spans="1:14">
      <c r="A24" s="100" t="s">
        <v>11783</v>
      </c>
      <c r="B24" s="102" t="s">
        <v>11784</v>
      </c>
      <c r="C24" s="100" t="s">
        <v>11690</v>
      </c>
      <c r="D24" s="102" t="s">
        <v>11785</v>
      </c>
      <c r="E24" s="100"/>
      <c r="F24" s="102"/>
      <c r="G24" s="101"/>
      <c r="H24" s="102"/>
      <c r="I24" s="100" t="s">
        <v>11778</v>
      </c>
      <c r="J24" s="104" t="s">
        <v>11786</v>
      </c>
      <c r="K24" s="100" t="s">
        <v>11728</v>
      </c>
      <c r="L24" s="114" t="s">
        <v>11787</v>
      </c>
      <c r="M24" s="101">
        <v>2</v>
      </c>
      <c r="N24" s="106" t="s">
        <v>11788</v>
      </c>
    </row>
    <row r="25" s="92" customFormat="1" ht="27.75" customHeight="1" spans="1:14">
      <c r="A25" s="100" t="s">
        <v>11758</v>
      </c>
      <c r="B25" s="102" t="s">
        <v>11789</v>
      </c>
      <c r="C25" s="100" t="s">
        <v>11699</v>
      </c>
      <c r="D25" s="102" t="s">
        <v>11790</v>
      </c>
      <c r="E25" s="100"/>
      <c r="F25" s="102"/>
      <c r="G25" s="101"/>
      <c r="H25" s="102"/>
      <c r="I25" s="100" t="s">
        <v>11726</v>
      </c>
      <c r="J25" s="104" t="s">
        <v>11791</v>
      </c>
      <c r="K25" s="100" t="s">
        <v>11752</v>
      </c>
      <c r="L25" s="114" t="s">
        <v>11792</v>
      </c>
      <c r="M25" s="101">
        <v>3</v>
      </c>
      <c r="N25" s="106" t="s">
        <v>11793</v>
      </c>
    </row>
    <row r="26" s="92" customFormat="1" ht="27.75" customHeight="1" spans="1:14">
      <c r="A26" s="115" t="s">
        <v>11778</v>
      </c>
      <c r="B26" s="116" t="s">
        <v>11794</v>
      </c>
      <c r="C26" s="100" t="s">
        <v>11721</v>
      </c>
      <c r="D26" s="102" t="s">
        <v>11795</v>
      </c>
      <c r="E26" s="100"/>
      <c r="F26" s="102"/>
      <c r="G26" s="101"/>
      <c r="H26" s="102"/>
      <c r="I26" s="100" t="s">
        <v>11676</v>
      </c>
      <c r="J26" s="117" t="s">
        <v>11796</v>
      </c>
      <c r="K26" s="100"/>
      <c r="L26" s="105"/>
      <c r="M26" s="101">
        <v>4</v>
      </c>
      <c r="N26" s="106" t="s">
        <v>11797</v>
      </c>
    </row>
    <row r="27" s="92" customFormat="1" ht="27.75" customHeight="1" spans="1:14">
      <c r="A27" s="100"/>
      <c r="B27" s="102"/>
      <c r="C27" s="100" t="s">
        <v>11752</v>
      </c>
      <c r="D27" s="102" t="s">
        <v>11798</v>
      </c>
      <c r="E27" s="100"/>
      <c r="F27" s="102"/>
      <c r="G27" s="101"/>
      <c r="H27" s="102"/>
      <c r="I27" s="100" t="s">
        <v>11721</v>
      </c>
      <c r="J27" s="117" t="s">
        <v>11799</v>
      </c>
      <c r="K27" s="100"/>
      <c r="L27" s="105"/>
      <c r="M27" s="101">
        <v>5</v>
      </c>
      <c r="N27" s="106" t="s">
        <v>11800</v>
      </c>
    </row>
    <row r="28" s="92" customFormat="1" ht="27.75" customHeight="1" spans="1:14">
      <c r="A28" s="100"/>
      <c r="B28" s="102"/>
      <c r="C28" s="100" t="s">
        <v>11783</v>
      </c>
      <c r="D28" s="102" t="s">
        <v>11801</v>
      </c>
      <c r="E28" s="100"/>
      <c r="F28" s="102"/>
      <c r="G28" s="101"/>
      <c r="H28" s="102"/>
      <c r="I28" s="100"/>
      <c r="J28" s="104"/>
      <c r="K28" s="100"/>
      <c r="L28" s="105"/>
      <c r="M28" s="101">
        <v>6</v>
      </c>
      <c r="N28" s="106" t="s">
        <v>11802</v>
      </c>
    </row>
    <row r="29" s="92" customFormat="1" ht="27.75" customHeight="1" spans="1:14">
      <c r="A29" s="100"/>
      <c r="B29" s="102"/>
      <c r="C29" s="118">
        <v>2</v>
      </c>
      <c r="D29" s="102" t="s">
        <v>11803</v>
      </c>
      <c r="E29" s="100"/>
      <c r="F29" s="102"/>
      <c r="G29" s="101"/>
      <c r="H29" s="102"/>
      <c r="I29" s="100"/>
      <c r="J29" s="104"/>
      <c r="K29" s="100"/>
      <c r="L29" s="105"/>
      <c r="M29" s="101">
        <v>7</v>
      </c>
      <c r="N29" s="106" t="s">
        <v>11804</v>
      </c>
    </row>
    <row r="30" s="92" customFormat="1" ht="27.75" customHeight="1" spans="1:14">
      <c r="A30" s="100"/>
      <c r="B30" s="102"/>
      <c r="C30" s="118">
        <v>3</v>
      </c>
      <c r="D30" s="102" t="s">
        <v>11805</v>
      </c>
      <c r="E30" s="100"/>
      <c r="F30" s="102"/>
      <c r="G30" s="101"/>
      <c r="H30" s="102"/>
      <c r="I30" s="100"/>
      <c r="J30" s="104"/>
      <c r="K30" s="100"/>
      <c r="L30" s="105"/>
      <c r="M30" s="101">
        <v>8</v>
      </c>
      <c r="N30" s="106" t="s">
        <v>11806</v>
      </c>
    </row>
    <row r="31" s="92" customFormat="1" ht="27.75" customHeight="1" spans="1:14">
      <c r="A31" s="100"/>
      <c r="B31" s="102"/>
      <c r="C31" s="118">
        <v>4</v>
      </c>
      <c r="D31" s="102" t="s">
        <v>11807</v>
      </c>
      <c r="E31" s="100"/>
      <c r="F31" s="102"/>
      <c r="G31" s="101"/>
      <c r="H31" s="102"/>
      <c r="I31" s="100"/>
      <c r="J31" s="104"/>
      <c r="K31" s="100"/>
      <c r="L31" s="105"/>
      <c r="M31" s="101">
        <v>9</v>
      </c>
      <c r="N31" s="106" t="s">
        <v>11808</v>
      </c>
    </row>
    <row r="32" s="92" customFormat="1" ht="27.75" customHeight="1" spans="1:14">
      <c r="A32" s="100"/>
      <c r="B32" s="102"/>
      <c r="C32" s="118">
        <v>5</v>
      </c>
      <c r="D32" s="102" t="s">
        <v>11809</v>
      </c>
      <c r="E32" s="100"/>
      <c r="F32" s="102"/>
      <c r="G32" s="101"/>
      <c r="H32" s="102"/>
      <c r="I32" s="100"/>
      <c r="J32" s="104"/>
      <c r="K32" s="100"/>
      <c r="L32" s="105"/>
      <c r="M32" s="101" t="s">
        <v>11778</v>
      </c>
      <c r="N32" s="106" t="s">
        <v>11810</v>
      </c>
    </row>
    <row r="33" s="92" customFormat="1" ht="27.75" customHeight="1" spans="1:14">
      <c r="A33" s="100"/>
      <c r="B33" s="102"/>
      <c r="C33" s="118">
        <v>6</v>
      </c>
      <c r="D33" s="102" t="s">
        <v>11811</v>
      </c>
      <c r="E33" s="100"/>
      <c r="F33" s="102"/>
      <c r="G33" s="101"/>
      <c r="H33" s="102"/>
      <c r="I33" s="100"/>
      <c r="J33" s="104"/>
      <c r="K33" s="100"/>
      <c r="L33" s="105"/>
      <c r="M33" s="119" t="s">
        <v>11673</v>
      </c>
      <c r="N33" s="120" t="s">
        <v>11812</v>
      </c>
    </row>
    <row r="34" s="92" customFormat="1" ht="27.75" customHeight="1" spans="1:14">
      <c r="A34" s="100"/>
      <c r="B34" s="102"/>
      <c r="C34" s="118">
        <v>7</v>
      </c>
      <c r="D34" s="102" t="s">
        <v>11813</v>
      </c>
      <c r="E34" s="100"/>
      <c r="F34" s="102"/>
      <c r="G34" s="101"/>
      <c r="H34" s="102"/>
      <c r="I34" s="100"/>
      <c r="J34" s="104"/>
      <c r="K34" s="100"/>
      <c r="L34" s="105"/>
      <c r="M34" s="119" t="s">
        <v>11724</v>
      </c>
      <c r="N34" s="120" t="s">
        <v>11814</v>
      </c>
    </row>
    <row r="35" s="92" customFormat="1" ht="27.75" customHeight="1" spans="1:14">
      <c r="A35" s="100"/>
      <c r="B35" s="102"/>
      <c r="C35" s="118">
        <v>8</v>
      </c>
      <c r="D35" s="102" t="s">
        <v>11815</v>
      </c>
      <c r="E35" s="100"/>
      <c r="F35" s="102"/>
      <c r="G35" s="101"/>
      <c r="H35" s="102"/>
      <c r="I35" s="100"/>
      <c r="J35" s="104"/>
      <c r="K35" s="100"/>
      <c r="L35" s="105"/>
      <c r="M35" s="119" t="s">
        <v>11726</v>
      </c>
      <c r="N35" s="120" t="s">
        <v>11816</v>
      </c>
    </row>
    <row r="36" s="92" customFormat="1" ht="27.75" customHeight="1" spans="1:14">
      <c r="A36" s="100"/>
      <c r="B36" s="102"/>
      <c r="C36" s="118">
        <v>9</v>
      </c>
      <c r="D36" s="102" t="s">
        <v>11817</v>
      </c>
      <c r="E36" s="100"/>
      <c r="F36" s="102"/>
      <c r="G36" s="101"/>
      <c r="H36" s="102"/>
      <c r="I36" s="100"/>
      <c r="J36" s="104"/>
      <c r="K36" s="100"/>
      <c r="L36" s="105"/>
      <c r="M36" s="119" t="s">
        <v>11746</v>
      </c>
      <c r="N36" s="120" t="s">
        <v>11818</v>
      </c>
    </row>
    <row r="37" s="92" customFormat="1" ht="27.75" customHeight="1" spans="1:14">
      <c r="A37" s="100"/>
      <c r="B37" s="102"/>
      <c r="C37" s="121" t="s">
        <v>11673</v>
      </c>
      <c r="D37" s="102" t="s">
        <v>11819</v>
      </c>
      <c r="E37" s="100"/>
      <c r="F37" s="102"/>
      <c r="G37" s="101"/>
      <c r="H37" s="102"/>
      <c r="I37" s="100"/>
      <c r="J37" s="104"/>
      <c r="K37" s="100"/>
      <c r="L37" s="105"/>
      <c r="M37" s="119" t="s">
        <v>11752</v>
      </c>
      <c r="N37" s="122" t="s">
        <v>11820</v>
      </c>
    </row>
    <row r="38" s="92" customFormat="1" ht="27.75" customHeight="1" spans="1:14">
      <c r="A38" s="100"/>
      <c r="B38" s="102"/>
      <c r="C38" s="121" t="s">
        <v>11726</v>
      </c>
      <c r="D38" s="102" t="s">
        <v>11821</v>
      </c>
      <c r="E38" s="100"/>
      <c r="F38" s="102"/>
      <c r="G38" s="101"/>
      <c r="H38" s="102"/>
      <c r="I38" s="100"/>
      <c r="J38" s="104"/>
      <c r="K38" s="100"/>
      <c r="L38" s="105"/>
      <c r="M38" s="119" t="s">
        <v>11783</v>
      </c>
      <c r="N38" s="120" t="s">
        <v>11822</v>
      </c>
    </row>
    <row r="39" s="92" customFormat="1" ht="27.75" customHeight="1" spans="1:14">
      <c r="A39" s="100"/>
      <c r="B39" s="102"/>
      <c r="C39" s="121" t="s">
        <v>11823</v>
      </c>
      <c r="D39" s="102" t="s">
        <v>11824</v>
      </c>
      <c r="E39" s="100"/>
      <c r="F39" s="102"/>
      <c r="G39" s="101"/>
      <c r="H39" s="102"/>
      <c r="I39" s="100"/>
      <c r="J39" s="104"/>
      <c r="K39" s="100"/>
      <c r="L39" s="105"/>
      <c r="M39" s="101" t="s">
        <v>11823</v>
      </c>
      <c r="N39" s="106" t="s">
        <v>11825</v>
      </c>
    </row>
    <row r="40" s="92" customFormat="1" ht="27.75" customHeight="1" spans="1:14">
      <c r="A40" s="100"/>
      <c r="B40" s="102"/>
      <c r="C40" s="121" t="s">
        <v>11826</v>
      </c>
      <c r="D40" s="102" t="s">
        <v>11827</v>
      </c>
      <c r="E40" s="100"/>
      <c r="F40" s="102"/>
      <c r="G40" s="101"/>
      <c r="H40" s="102"/>
      <c r="I40" s="100"/>
      <c r="J40" s="104"/>
      <c r="K40" s="100"/>
      <c r="L40" s="105"/>
      <c r="M40" s="101" t="s">
        <v>11826</v>
      </c>
      <c r="N40" s="106" t="s">
        <v>11828</v>
      </c>
    </row>
    <row r="41" s="92" customFormat="1" ht="27.75" customHeight="1" spans="1:14">
      <c r="A41" s="100"/>
      <c r="B41" s="102"/>
      <c r="C41" s="123" t="s">
        <v>11829</v>
      </c>
      <c r="D41" s="124" t="s">
        <v>11830</v>
      </c>
      <c r="E41" s="100"/>
      <c r="F41" s="102"/>
      <c r="G41" s="101"/>
      <c r="H41" s="102"/>
      <c r="I41" s="100"/>
      <c r="J41" s="104"/>
      <c r="K41" s="100"/>
      <c r="L41" s="105"/>
      <c r="M41" s="101" t="s">
        <v>11831</v>
      </c>
      <c r="N41" s="106" t="s">
        <v>11832</v>
      </c>
    </row>
    <row r="42" s="92" customFormat="1" ht="27.75" customHeight="1" spans="1:14">
      <c r="A42" s="100"/>
      <c r="B42" s="102"/>
      <c r="C42" s="123" t="s">
        <v>11833</v>
      </c>
      <c r="D42" s="124" t="s">
        <v>11834</v>
      </c>
      <c r="E42" s="100"/>
      <c r="F42" s="102"/>
      <c r="G42" s="101"/>
      <c r="H42" s="102"/>
      <c r="I42" s="100"/>
      <c r="J42" s="104"/>
      <c r="K42" s="100"/>
      <c r="L42" s="105"/>
      <c r="M42" s="101" t="s">
        <v>11833</v>
      </c>
      <c r="N42" s="111" t="s">
        <v>11835</v>
      </c>
    </row>
    <row r="43" s="93" customFormat="1" ht="23.25" spans="1:14">
      <c r="A43" s="125"/>
      <c r="B43" s="126"/>
      <c r="C43" s="127" t="s">
        <v>11836</v>
      </c>
      <c r="D43" s="128" t="s">
        <v>11837</v>
      </c>
      <c r="E43" s="126"/>
      <c r="F43" s="126"/>
      <c r="G43" s="129"/>
      <c r="H43" s="125"/>
      <c r="I43" s="130"/>
      <c r="J43" s="131"/>
      <c r="K43" s="125"/>
      <c r="L43" s="125"/>
      <c r="M43" s="132" t="s">
        <v>11836</v>
      </c>
      <c r="N43" s="133" t="s">
        <v>11838</v>
      </c>
    </row>
    <row r="44" s="93" customFormat="1" ht="23.25" spans="1:14">
      <c r="B44" s="134"/>
      <c r="C44" s="134"/>
      <c r="D44" s="134"/>
      <c r="E44" s="134"/>
      <c r="F44" s="134"/>
      <c r="G44" s="135"/>
      <c r="H44" s="134"/>
      <c r="I44" s="136"/>
      <c r="J44" s="137"/>
      <c r="M44" s="138"/>
    </row>
    <row r="45" s="93" customFormat="1" ht="23.25" spans="1:14">
      <c r="B45" s="134"/>
      <c r="C45" s="134"/>
      <c r="D45" s="134"/>
      <c r="E45" s="134"/>
      <c r="F45" s="134"/>
      <c r="G45" s="135"/>
      <c r="H45" s="134"/>
      <c r="I45" s="136"/>
      <c r="J45" s="137"/>
      <c r="M45" s="138"/>
    </row>
    <row r="46" ht="23.25" spans="1:14">
      <c r="A46" s="134" t="s">
        <v>11839</v>
      </c>
    </row>
    <row r="47" ht="23.25" spans="1:14">
      <c r="A47" s="134" t="s">
        <v>11840</v>
      </c>
    </row>
    <row r="48" ht="23.25" spans="1:14">
      <c r="A48" s="134" t="s">
        <v>11841</v>
      </c>
    </row>
  </sheetData>
  <mergeCells count="13">
    <mergeCell ref="A1:N1"/>
    <mergeCell ref="C2:D2"/>
    <mergeCell ref="E2:F2"/>
    <mergeCell ref="G2:H2"/>
    <mergeCell ref="I2:J2"/>
    <mergeCell ref="K2:L2"/>
    <mergeCell ref="M2:N2"/>
    <mergeCell ref="C3:D3"/>
    <mergeCell ref="E3:F3"/>
    <mergeCell ref="G3:H3"/>
    <mergeCell ref="I3:J3"/>
    <mergeCell ref="K3:L3"/>
    <mergeCell ref="M3:N3"/>
  </mergeCells>
  <pageMargins left="0.7" right="0.16" top="0.2" bottom="0.2" header="0.31496062992126" footer="0.31496062992126"/>
  <pageSetup paperSize="9" scale="45" orientation="landscape" verticalDpi="12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J32"/>
  <sheetViews>
    <sheetView workbookViewId="0">
      <selection activeCell="A3522" sqref="A3522"/>
    </sheetView>
  </sheetViews>
  <sheetFormatPr defaultColWidth="9" defaultRowHeight="14.25"/>
  <cols>
    <col min="1" max="8" width="15" customWidth="1"/>
    <col min="9" max="9" width="15" style="79" customWidth="1"/>
    <col min="10" max="10" width="15" customWidth="1"/>
  </cols>
  <sheetData>
    <row r="1" ht="20.25" spans="1:10">
      <c r="A1" s="80" t="s">
        <v>11842</v>
      </c>
      <c r="B1" s="81"/>
      <c r="C1" s="81"/>
      <c r="D1" s="81"/>
      <c r="E1" s="81"/>
      <c r="F1" s="81"/>
      <c r="G1" s="81"/>
      <c r="H1" s="81"/>
      <c r="I1" s="81"/>
      <c r="J1" s="81"/>
    </row>
    <row r="2" spans="1:10">
      <c r="A2" s="82" t="s">
        <v>11843</v>
      </c>
      <c r="B2" s="82">
        <v>1</v>
      </c>
      <c r="C2" s="82">
        <v>2</v>
      </c>
      <c r="D2" s="82"/>
      <c r="E2" s="82">
        <v>3</v>
      </c>
      <c r="F2" s="82"/>
      <c r="G2" s="82">
        <v>4</v>
      </c>
      <c r="H2" s="82"/>
      <c r="I2" s="82">
        <v>5</v>
      </c>
      <c r="J2" s="82"/>
    </row>
    <row r="3" spans="1:10">
      <c r="A3" s="82" t="s">
        <v>11844</v>
      </c>
      <c r="B3" s="82" t="s">
        <v>11845</v>
      </c>
      <c r="C3" s="82" t="s">
        <v>11846</v>
      </c>
      <c r="D3" s="82"/>
      <c r="E3" s="82" t="s">
        <v>11847</v>
      </c>
      <c r="F3" s="82"/>
      <c r="G3" s="82" t="s">
        <v>11848</v>
      </c>
      <c r="H3" s="82"/>
      <c r="I3" s="82" t="s">
        <v>11849</v>
      </c>
      <c r="J3" s="82"/>
    </row>
    <row r="4" spans="1:10">
      <c r="A4" s="82" t="s">
        <v>11850</v>
      </c>
      <c r="B4" s="82" t="s">
        <v>11851</v>
      </c>
      <c r="C4" s="82" t="s">
        <v>11850</v>
      </c>
      <c r="D4" s="82" t="s">
        <v>11851</v>
      </c>
      <c r="E4" s="82" t="s">
        <v>11850</v>
      </c>
      <c r="F4" s="82" t="s">
        <v>11851</v>
      </c>
      <c r="G4" s="82" t="s">
        <v>11850</v>
      </c>
      <c r="H4" s="82" t="s">
        <v>11851</v>
      </c>
      <c r="I4" s="83" t="s">
        <v>11850</v>
      </c>
      <c r="J4" s="84" t="s">
        <v>11851</v>
      </c>
    </row>
    <row r="5" ht="15" spans="1:10">
      <c r="A5" s="82" t="s">
        <v>11639</v>
      </c>
      <c r="B5" s="84" t="s">
        <v>11852</v>
      </c>
      <c r="C5" s="85" t="s">
        <v>11639</v>
      </c>
      <c r="D5" s="84" t="s">
        <v>11853</v>
      </c>
      <c r="E5" s="85" t="s">
        <v>11639</v>
      </c>
      <c r="F5" s="84" t="s">
        <v>11854</v>
      </c>
      <c r="G5" s="85" t="s">
        <v>11639</v>
      </c>
      <c r="H5" s="84" t="s">
        <v>11855</v>
      </c>
      <c r="I5" s="86" t="s">
        <v>11639</v>
      </c>
      <c r="J5" s="84" t="s">
        <v>11856</v>
      </c>
    </row>
    <row r="6" ht="22.5" spans="1:10">
      <c r="A6" s="82" t="s">
        <v>11690</v>
      </c>
      <c r="B6" s="87" t="s">
        <v>11857</v>
      </c>
      <c r="C6" s="85" t="s">
        <v>11737</v>
      </c>
      <c r="D6" s="87" t="s">
        <v>11858</v>
      </c>
      <c r="E6" s="85" t="s">
        <v>11668</v>
      </c>
      <c r="F6" s="84" t="s">
        <v>11859</v>
      </c>
      <c r="G6" s="85" t="s">
        <v>11656</v>
      </c>
      <c r="H6" s="87" t="s">
        <v>11860</v>
      </c>
      <c r="I6" s="86" t="s">
        <v>11646</v>
      </c>
      <c r="J6" s="84" t="s">
        <v>11861</v>
      </c>
    </row>
    <row r="7" ht="22.5" spans="1:10">
      <c r="A7" s="85" t="s">
        <v>11656</v>
      </c>
      <c r="B7" s="87" t="s">
        <v>11862</v>
      </c>
      <c r="C7" s="85" t="s">
        <v>11664</v>
      </c>
      <c r="D7" s="87" t="s">
        <v>11863</v>
      </c>
      <c r="E7" s="85" t="s">
        <v>11673</v>
      </c>
      <c r="F7" s="84" t="s">
        <v>11864</v>
      </c>
      <c r="G7" s="85" t="s">
        <v>11658</v>
      </c>
      <c r="H7" s="87" t="s">
        <v>11865</v>
      </c>
      <c r="I7" s="86" t="s">
        <v>11658</v>
      </c>
      <c r="J7" s="84" t="s">
        <v>11866</v>
      </c>
    </row>
    <row r="8" ht="22.5" spans="1:10">
      <c r="A8" s="85" t="s">
        <v>11710</v>
      </c>
      <c r="B8" s="84" t="s">
        <v>11867</v>
      </c>
      <c r="C8" s="85" t="s">
        <v>11673</v>
      </c>
      <c r="D8" s="84" t="s">
        <v>11868</v>
      </c>
      <c r="E8" s="85" t="s">
        <v>11664</v>
      </c>
      <c r="F8" s="84" t="s">
        <v>11869</v>
      </c>
      <c r="G8" s="85" t="s">
        <v>11668</v>
      </c>
      <c r="H8" s="87" t="s">
        <v>11870</v>
      </c>
      <c r="I8" s="86" t="s">
        <v>11668</v>
      </c>
      <c r="J8" s="84" t="s">
        <v>11871</v>
      </c>
    </row>
    <row r="9" ht="22.5" spans="1:10">
      <c r="A9" s="85" t="s">
        <v>11676</v>
      </c>
      <c r="B9" s="84" t="s">
        <v>11872</v>
      </c>
      <c r="C9" s="85" t="s">
        <v>11721</v>
      </c>
      <c r="D9" s="84" t="s">
        <v>11873</v>
      </c>
      <c r="E9" s="85" t="s">
        <v>11746</v>
      </c>
      <c r="F9" s="84" t="s">
        <v>11874</v>
      </c>
      <c r="G9" s="85" t="s">
        <v>11676</v>
      </c>
      <c r="H9" s="87" t="s">
        <v>11875</v>
      </c>
      <c r="I9" s="86" t="s">
        <v>11684</v>
      </c>
      <c r="J9" s="84" t="s">
        <v>11876</v>
      </c>
    </row>
    <row r="10" ht="33.75" spans="1:10">
      <c r="A10" s="85" t="s">
        <v>11728</v>
      </c>
      <c r="B10" s="87" t="s">
        <v>11877</v>
      </c>
      <c r="C10" s="85" t="s">
        <v>11654</v>
      </c>
      <c r="D10" s="87" t="s">
        <v>11878</v>
      </c>
      <c r="E10" s="85" t="s">
        <v>11721</v>
      </c>
      <c r="F10" s="84" t="s">
        <v>11879</v>
      </c>
      <c r="G10" s="85" t="s">
        <v>11654</v>
      </c>
      <c r="H10" s="87" t="s">
        <v>11880</v>
      </c>
      <c r="I10" s="86" t="s">
        <v>11656</v>
      </c>
      <c r="J10" s="84" t="s">
        <v>11881</v>
      </c>
    </row>
    <row r="11" ht="22.5" spans="1:10">
      <c r="A11" s="85" t="s">
        <v>11658</v>
      </c>
      <c r="B11" s="84" t="s">
        <v>11882</v>
      </c>
      <c r="C11" s="85" t="s">
        <v>11758</v>
      </c>
      <c r="D11" s="84" t="s">
        <v>11883</v>
      </c>
      <c r="E11" s="85" t="s">
        <v>11737</v>
      </c>
      <c r="F11" s="84" t="s">
        <v>11884</v>
      </c>
      <c r="G11" s="85" t="s">
        <v>11673</v>
      </c>
      <c r="H11" s="87" t="s">
        <v>11885</v>
      </c>
      <c r="I11" s="88" t="s">
        <v>11712</v>
      </c>
      <c r="J11" s="89" t="s">
        <v>11886</v>
      </c>
    </row>
    <row r="12" ht="33.75" spans="1:10">
      <c r="A12" s="85" t="s">
        <v>11724</v>
      </c>
      <c r="B12" s="84" t="s">
        <v>11887</v>
      </c>
      <c r="C12" s="85" t="s">
        <v>11699</v>
      </c>
      <c r="D12" s="84" t="s">
        <v>11888</v>
      </c>
      <c r="E12" s="85" t="s">
        <v>11690</v>
      </c>
      <c r="F12" s="84" t="s">
        <v>11889</v>
      </c>
      <c r="G12" s="85" t="s">
        <v>11726</v>
      </c>
      <c r="H12" s="87" t="s">
        <v>11890</v>
      </c>
      <c r="I12" s="86" t="s">
        <v>11710</v>
      </c>
      <c r="J12" s="87" t="s">
        <v>11891</v>
      </c>
    </row>
    <row r="13" ht="33.75" spans="1:10">
      <c r="A13" s="85" t="s">
        <v>11673</v>
      </c>
      <c r="B13" s="84" t="s">
        <v>11892</v>
      </c>
      <c r="C13" s="85"/>
      <c r="D13" s="84"/>
      <c r="E13" s="85" t="s">
        <v>11684</v>
      </c>
      <c r="F13" s="84" t="s">
        <v>11893</v>
      </c>
      <c r="G13" s="85" t="s">
        <v>11646</v>
      </c>
      <c r="H13" s="87" t="s">
        <v>11894</v>
      </c>
      <c r="I13" s="86" t="s">
        <v>11654</v>
      </c>
      <c r="J13" s="84" t="s">
        <v>11895</v>
      </c>
    </row>
    <row r="14" ht="22.5" spans="1:10">
      <c r="A14" s="85" t="s">
        <v>11726</v>
      </c>
      <c r="B14" s="84" t="s">
        <v>11896</v>
      </c>
      <c r="C14" s="85"/>
      <c r="D14" s="84"/>
      <c r="E14" s="85"/>
      <c r="F14" s="84"/>
      <c r="G14" s="85"/>
      <c r="H14" s="84"/>
      <c r="I14" s="86" t="s">
        <v>11664</v>
      </c>
      <c r="J14" s="84" t="s">
        <v>11897</v>
      </c>
    </row>
    <row r="15" ht="15" spans="1:10">
      <c r="A15" s="85" t="s">
        <v>11721</v>
      </c>
      <c r="B15" s="84" t="s">
        <v>11898</v>
      </c>
      <c r="C15" s="82"/>
      <c r="D15" s="82"/>
      <c r="E15" s="82"/>
      <c r="F15" s="82"/>
      <c r="G15" s="82"/>
      <c r="H15" s="82"/>
      <c r="I15" s="86" t="s">
        <v>11746</v>
      </c>
      <c r="J15" s="84" t="s">
        <v>11899</v>
      </c>
    </row>
    <row r="16" ht="22.5" spans="1:10">
      <c r="A16" s="85"/>
      <c r="B16" s="82"/>
      <c r="C16" s="85"/>
      <c r="D16" s="82"/>
      <c r="E16" s="85"/>
      <c r="F16" s="82"/>
      <c r="G16" s="82"/>
      <c r="H16" s="82"/>
      <c r="I16" s="83" t="s">
        <v>11758</v>
      </c>
      <c r="J16" s="84" t="s">
        <v>11900</v>
      </c>
    </row>
    <row r="17" ht="22.5" spans="1:10">
      <c r="A17" s="82"/>
      <c r="B17" s="82"/>
      <c r="C17" s="85"/>
      <c r="D17" s="82"/>
      <c r="E17" s="85"/>
      <c r="F17" s="82"/>
      <c r="G17" s="82"/>
      <c r="H17" s="82"/>
      <c r="I17" s="86" t="s">
        <v>11726</v>
      </c>
      <c r="J17" s="87" t="s">
        <v>11901</v>
      </c>
    </row>
    <row r="18" ht="33.75" spans="1:10">
      <c r="A18" s="85"/>
      <c r="B18" s="84"/>
      <c r="C18" s="85"/>
      <c r="D18" s="84"/>
      <c r="E18" s="85"/>
      <c r="F18" s="84"/>
      <c r="G18" s="85"/>
      <c r="H18" s="84"/>
      <c r="I18" s="86" t="s">
        <v>11699</v>
      </c>
      <c r="J18" s="84" t="s">
        <v>11902</v>
      </c>
    </row>
    <row r="19" ht="33.75" spans="1:10">
      <c r="A19" s="85"/>
      <c r="B19" s="84"/>
      <c r="C19" s="85"/>
      <c r="D19" s="84"/>
      <c r="E19" s="85"/>
      <c r="F19" s="84"/>
      <c r="G19" s="85"/>
      <c r="H19" s="84"/>
      <c r="I19" s="86" t="s">
        <v>11721</v>
      </c>
      <c r="J19" s="84" t="s">
        <v>11903</v>
      </c>
    </row>
    <row r="20" ht="33.75" spans="1:10">
      <c r="A20" s="85"/>
      <c r="B20" s="84"/>
      <c r="C20" s="85"/>
      <c r="D20" s="84"/>
      <c r="E20" s="85"/>
      <c r="F20" s="84"/>
      <c r="G20" s="85"/>
      <c r="H20" s="84"/>
      <c r="I20" s="86" t="s">
        <v>11752</v>
      </c>
      <c r="J20" s="84" t="s">
        <v>11904</v>
      </c>
    </row>
    <row r="21" ht="15" spans="1:10">
      <c r="A21" s="85"/>
      <c r="B21" s="82"/>
      <c r="C21" s="85"/>
      <c r="D21" s="82"/>
      <c r="E21" s="90"/>
      <c r="F21" s="82"/>
      <c r="G21" s="82"/>
      <c r="H21" s="82"/>
      <c r="I21" s="86" t="s">
        <v>11728</v>
      </c>
      <c r="J21" s="84" t="s">
        <v>11905</v>
      </c>
    </row>
    <row r="22" ht="15" spans="1:10">
      <c r="A22" s="85"/>
      <c r="B22" s="82"/>
      <c r="C22" s="85"/>
      <c r="D22" s="82"/>
      <c r="E22" s="90"/>
      <c r="F22" s="82"/>
      <c r="G22" s="82"/>
      <c r="H22" s="82"/>
      <c r="I22" s="86" t="s">
        <v>11704</v>
      </c>
      <c r="J22" s="84" t="s">
        <v>11906</v>
      </c>
    </row>
    <row r="23" ht="15" spans="1:10">
      <c r="A23" s="85"/>
      <c r="B23" s="82"/>
      <c r="C23" s="85"/>
      <c r="D23" s="82"/>
      <c r="E23" s="90"/>
      <c r="F23" s="82"/>
      <c r="G23" s="82"/>
      <c r="H23" s="82"/>
      <c r="I23" s="86" t="s">
        <v>11701</v>
      </c>
      <c r="J23" s="84" t="s">
        <v>11907</v>
      </c>
    </row>
    <row r="24" ht="15" spans="1:10">
      <c r="A24" s="85"/>
      <c r="B24" s="82"/>
      <c r="C24" s="85"/>
      <c r="D24" s="82"/>
      <c r="E24" s="90"/>
      <c r="F24" s="82"/>
      <c r="G24" s="82"/>
      <c r="H24" s="82"/>
      <c r="I24" s="86" t="s">
        <v>11721</v>
      </c>
      <c r="J24" s="84" t="s">
        <v>11908</v>
      </c>
    </row>
    <row r="25" ht="15" spans="1:10">
      <c r="A25" s="85"/>
      <c r="B25" s="82"/>
      <c r="C25" s="85"/>
      <c r="D25" s="82"/>
      <c r="E25" s="90"/>
      <c r="F25" s="82"/>
      <c r="G25" s="82"/>
      <c r="H25" s="82"/>
      <c r="I25" s="86" t="s">
        <v>11778</v>
      </c>
      <c r="J25" s="84" t="s">
        <v>11909</v>
      </c>
    </row>
    <row r="26" ht="15" spans="1:10">
      <c r="A26" s="85"/>
      <c r="B26" s="82"/>
      <c r="C26" s="85"/>
      <c r="D26" s="82"/>
      <c r="E26" s="90"/>
      <c r="F26" s="82"/>
      <c r="G26" s="82"/>
      <c r="H26" s="82"/>
      <c r="I26" s="86" t="s">
        <v>11676</v>
      </c>
      <c r="J26" s="84" t="s">
        <v>11910</v>
      </c>
    </row>
    <row r="27" ht="22.5" spans="1:10">
      <c r="A27" s="85"/>
      <c r="B27" s="82"/>
      <c r="C27" s="85"/>
      <c r="D27" s="82"/>
      <c r="E27" s="90"/>
      <c r="F27" s="82"/>
      <c r="G27" s="82"/>
      <c r="H27" s="82"/>
      <c r="I27" s="86" t="s">
        <v>11724</v>
      </c>
      <c r="J27" s="84" t="s">
        <v>11911</v>
      </c>
    </row>
    <row r="28" ht="33.75" spans="1:10">
      <c r="A28" s="85"/>
      <c r="B28" s="82"/>
      <c r="C28" s="85"/>
      <c r="D28" s="82"/>
      <c r="E28" s="90"/>
      <c r="F28" s="82"/>
      <c r="G28" s="82"/>
      <c r="H28" s="82"/>
      <c r="I28" s="91" t="s">
        <v>11912</v>
      </c>
      <c r="J28" s="87" t="s">
        <v>11913</v>
      </c>
    </row>
    <row r="29" ht="33.75" spans="1:10">
      <c r="A29" s="85"/>
      <c r="B29" s="82"/>
      <c r="C29" s="85"/>
      <c r="D29" s="82"/>
      <c r="E29" s="90"/>
      <c r="F29" s="82"/>
      <c r="G29" s="82"/>
      <c r="H29" s="82"/>
      <c r="I29" s="91" t="s">
        <v>11914</v>
      </c>
      <c r="J29" s="87" t="s">
        <v>11915</v>
      </c>
    </row>
    <row r="30" ht="15" spans="1:10">
      <c r="A30" s="85"/>
      <c r="B30" s="82"/>
      <c r="C30" s="85"/>
      <c r="D30" s="82"/>
      <c r="E30" s="90"/>
      <c r="F30" s="82"/>
      <c r="G30" s="82"/>
      <c r="H30" s="82"/>
      <c r="I30" s="91" t="s">
        <v>11673</v>
      </c>
      <c r="J30" s="87" t="s">
        <v>11916</v>
      </c>
    </row>
    <row r="31" ht="22.5" spans="1:10">
      <c r="A31" s="85"/>
      <c r="B31" s="84"/>
      <c r="C31" s="85"/>
      <c r="D31" s="84"/>
      <c r="E31" s="85"/>
      <c r="F31" s="84"/>
      <c r="G31" s="85"/>
      <c r="H31" s="84"/>
      <c r="I31" s="86">
        <v>2</v>
      </c>
      <c r="J31" s="84" t="s">
        <v>11917</v>
      </c>
    </row>
    <row r="32" ht="22.5" spans="1:10">
      <c r="A32" s="85"/>
      <c r="B32" s="84"/>
      <c r="C32" s="85"/>
      <c r="D32" s="84"/>
      <c r="E32" s="85"/>
      <c r="F32" s="84"/>
      <c r="G32" s="85"/>
      <c r="H32" s="84"/>
      <c r="I32" s="86">
        <v>3</v>
      </c>
      <c r="J32" s="84" t="s">
        <v>11918</v>
      </c>
    </row>
  </sheetData>
  <mergeCells count="9">
    <mergeCell ref="A1:J1"/>
    <mergeCell ref="C2:D2"/>
    <mergeCell ref="E2:F2"/>
    <mergeCell ref="G2:H2"/>
    <mergeCell ref="I2:J2"/>
    <mergeCell ref="C3:D3"/>
    <mergeCell ref="E3:F3"/>
    <mergeCell ref="G3:H3"/>
    <mergeCell ref="I3:J3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C13" sqref="C13"/>
    </sheetView>
  </sheetViews>
  <sheetFormatPr defaultColWidth="9" defaultRowHeight="14.25" outlineLevelRow="5" outlineLevelCol="7"/>
  <cols>
    <col min="1" max="1" width="11.2" customWidth="1"/>
    <col min="2" max="2" width="10.4"/>
  </cols>
  <sheetData>
    <row r="1" ht="15" spans="1:8">
      <c r="A1" s="66" t="s">
        <v>11919</v>
      </c>
      <c r="B1" s="66"/>
      <c r="C1" s="66"/>
      <c r="D1" s="66"/>
      <c r="E1" s="66"/>
      <c r="F1" s="66"/>
      <c r="G1" s="66"/>
      <c r="H1" s="66"/>
    </row>
    <row r="2" ht="16.5" spans="1:8">
      <c r="A2" s="67" t="s">
        <v>11920</v>
      </c>
      <c r="B2" s="68">
        <v>46140</v>
      </c>
      <c r="C2" s="69"/>
      <c r="D2" s="69"/>
      <c r="E2" s="69"/>
      <c r="F2" s="69"/>
      <c r="G2" s="69"/>
      <c r="H2" s="70"/>
    </row>
    <row r="3" ht="16.5" spans="1:8">
      <c r="A3" s="71" t="s">
        <v>11921</v>
      </c>
      <c r="B3" s="72"/>
      <c r="C3" s="73"/>
      <c r="D3" s="73"/>
      <c r="E3" s="73"/>
      <c r="F3" s="73"/>
      <c r="G3" s="73"/>
      <c r="H3" s="74"/>
    </row>
    <row r="4" ht="19.95" customHeight="1" spans="1:8">
      <c r="A4" s="75" t="s">
        <v>11922</v>
      </c>
      <c r="B4" s="75"/>
      <c r="C4" s="75"/>
      <c r="D4" s="75"/>
      <c r="E4" s="75"/>
      <c r="F4" s="75"/>
      <c r="G4" s="75"/>
      <c r="H4" s="75"/>
    </row>
    <row r="5" ht="55.05" customHeight="1" spans="1:8">
      <c r="A5" s="76" t="s">
        <v>11923</v>
      </c>
      <c r="B5" s="76"/>
      <c r="C5" s="76"/>
      <c r="D5" s="76"/>
      <c r="E5" s="76"/>
      <c r="F5" s="76"/>
      <c r="G5" s="76"/>
      <c r="H5" s="76"/>
    </row>
    <row r="6" ht="19.95" customHeight="1" spans="1:8">
      <c r="A6" s="77" t="s">
        <v>11924</v>
      </c>
      <c r="B6" s="78"/>
      <c r="C6" s="78"/>
      <c r="D6" s="78"/>
      <c r="E6" s="78"/>
      <c r="F6" s="78"/>
      <c r="G6" s="78"/>
      <c r="H6" s="78"/>
    </row>
  </sheetData>
  <mergeCells count="7">
    <mergeCell ref="A1:H1"/>
    <mergeCell ref="C2:H2"/>
    <mergeCell ref="A3:B3"/>
    <mergeCell ref="C3:H3"/>
    <mergeCell ref="A4:H4"/>
    <mergeCell ref="A5:H5"/>
    <mergeCell ref="A6:H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1"/>
  <sheetViews>
    <sheetView topLeftCell="C1" workbookViewId="0">
      <pane xSplit="19" ySplit="3" topLeftCell="V46" activePane="bottomRight" state="frozen"/>
      <selection/>
      <selection pane="topRight"/>
      <selection pane="bottomLeft"/>
      <selection pane="bottomRight" activeCell="A53" sqref="A53"/>
    </sheetView>
  </sheetViews>
  <sheetFormatPr defaultColWidth="9" defaultRowHeight="14.25"/>
  <cols>
    <col min="1" max="1" width="9.7" customWidth="1"/>
    <col min="2" max="3" width="10.1" customWidth="1"/>
    <col min="4" max="4" width="11" customWidth="1"/>
    <col min="5" max="5" width="18.4" style="34" customWidth="1"/>
    <col min="6" max="6" width="13.1" customWidth="1"/>
    <col min="7" max="7" width="15.1" customWidth="1"/>
    <col min="8" max="8" width="13.6" style="34" customWidth="1"/>
    <col min="9" max="9" width="13" customWidth="1"/>
    <col min="10" max="10" width="11.5" customWidth="1"/>
    <col min="11" max="11" width="10.4"/>
    <col min="12" max="12" width="10"/>
    <col min="13" max="21" width="9" hidden="1" customWidth="1"/>
    <col min="22" max="22" width="9.6" customWidth="1"/>
    <col min="23" max="23" width="17.1" customWidth="1"/>
    <col min="24" max="24" width="9.9" customWidth="1"/>
    <col min="25" max="25" width="8.9" customWidth="1"/>
    <col min="26" max="26" width="9.6"/>
  </cols>
  <sheetData>
    <row r="1" ht="45" customHeight="1" spans="1:29">
      <c r="A1" s="35" t="s">
        <v>11925</v>
      </c>
      <c r="B1" s="36"/>
      <c r="C1" s="36"/>
      <c r="D1" s="36"/>
      <c r="E1" s="37"/>
      <c r="F1" s="36"/>
      <c r="G1" s="36"/>
      <c r="H1" s="37"/>
      <c r="I1" s="36"/>
      <c r="J1" s="36"/>
      <c r="K1" s="36"/>
      <c r="L1" s="36"/>
      <c r="M1" s="36"/>
      <c r="N1" s="38" t="s">
        <v>1</v>
      </c>
      <c r="O1" s="38"/>
      <c r="P1" s="38"/>
      <c r="Q1" s="39"/>
      <c r="R1" s="38"/>
      <c r="S1" s="38"/>
      <c r="T1" s="38"/>
      <c r="U1" s="38"/>
      <c r="V1" s="40" t="s">
        <v>11926</v>
      </c>
      <c r="W1" s="41"/>
      <c r="X1" s="41"/>
      <c r="Y1" s="41"/>
      <c r="Z1" s="41"/>
      <c r="AA1" s="41"/>
      <c r="AB1" s="41"/>
      <c r="AC1" s="41"/>
    </row>
    <row r="2" spans="1:29">
      <c r="A2" s="42" t="s">
        <v>11927</v>
      </c>
      <c r="B2" s="43" t="s">
        <v>11928</v>
      </c>
      <c r="C2" s="44" t="s">
        <v>11929</v>
      </c>
      <c r="D2" s="45" t="s">
        <v>11930</v>
      </c>
      <c r="E2" s="46" t="s">
        <v>11931</v>
      </c>
      <c r="F2" s="47" t="s">
        <v>11932</v>
      </c>
      <c r="G2" s="43" t="s">
        <v>11933</v>
      </c>
      <c r="H2" s="43" t="s">
        <v>11934</v>
      </c>
      <c r="I2" s="44" t="s">
        <v>11935</v>
      </c>
      <c r="J2" s="43" t="s">
        <v>11936</v>
      </c>
      <c r="K2" s="48" t="s">
        <v>11937</v>
      </c>
      <c r="L2" s="48" t="s">
        <v>11938</v>
      </c>
      <c r="M2" s="48" t="s">
        <v>11939</v>
      </c>
      <c r="N2" s="49" t="s">
        <v>11940</v>
      </c>
      <c r="O2" s="49" t="s">
        <v>11941</v>
      </c>
      <c r="P2" s="50" t="s">
        <v>11942</v>
      </c>
      <c r="Q2" s="51"/>
      <c r="R2" s="52"/>
      <c r="S2" s="52"/>
      <c r="T2" s="52"/>
      <c r="U2" s="52"/>
      <c r="V2" s="47" t="s">
        <v>11943</v>
      </c>
      <c r="W2" s="43" t="s">
        <v>11944</v>
      </c>
      <c r="X2" s="53" t="s">
        <v>11945</v>
      </c>
      <c r="Y2" s="53"/>
      <c r="Z2" s="54" t="s">
        <v>11946</v>
      </c>
      <c r="AA2" s="54" t="s">
        <v>11947</v>
      </c>
      <c r="AB2" s="54" t="s">
        <v>11948</v>
      </c>
      <c r="AC2" s="54" t="s">
        <v>11949</v>
      </c>
    </row>
    <row r="3" ht="87.75" spans="1:29">
      <c r="A3" s="43" t="s">
        <v>11950</v>
      </c>
      <c r="B3" s="43"/>
      <c r="C3" s="44"/>
      <c r="D3" s="55"/>
      <c r="E3" s="56"/>
      <c r="F3" s="47"/>
      <c r="G3" s="43"/>
      <c r="H3" s="43"/>
      <c r="I3" s="44"/>
      <c r="J3" s="44"/>
      <c r="K3" s="57"/>
      <c r="L3" s="57"/>
      <c r="M3" s="57" t="s">
        <v>11951</v>
      </c>
      <c r="N3" s="58"/>
      <c r="O3" s="58"/>
      <c r="P3" s="59" t="s">
        <v>11952</v>
      </c>
      <c r="Q3" s="60" t="s">
        <v>11953</v>
      </c>
      <c r="R3" s="61" t="s">
        <v>11954</v>
      </c>
      <c r="S3" s="61" t="s">
        <v>11955</v>
      </c>
      <c r="T3" s="61" t="s">
        <v>11956</v>
      </c>
      <c r="U3" s="61" t="s">
        <v>11957</v>
      </c>
      <c r="V3" s="44"/>
      <c r="W3" s="44"/>
      <c r="X3" s="62" t="s">
        <v>11952</v>
      </c>
      <c r="Y3" s="44" t="s">
        <v>11953</v>
      </c>
      <c r="Z3" s="54"/>
      <c r="AA3" s="54"/>
      <c r="AB3" s="54"/>
      <c r="AC3" s="54"/>
    </row>
    <row r="4" spans="1:29">
      <c r="A4" s="63">
        <v>45870</v>
      </c>
      <c r="B4" s="15" t="s">
        <v>3277</v>
      </c>
      <c r="C4" s="15" t="s">
        <v>11958</v>
      </c>
      <c r="D4" s="15" t="s">
        <v>11959</v>
      </c>
      <c r="E4" s="24" t="s">
        <v>11960</v>
      </c>
      <c r="F4" s="15" t="s">
        <v>3218</v>
      </c>
      <c r="G4" s="15" t="s">
        <v>330</v>
      </c>
      <c r="H4" s="24" t="s">
        <v>11961</v>
      </c>
      <c r="I4" s="15" t="s">
        <v>11962</v>
      </c>
      <c r="J4" s="15" t="s">
        <v>11963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 t="s">
        <v>3402</v>
      </c>
      <c r="W4" s="15" t="s">
        <v>11960</v>
      </c>
      <c r="X4" s="15"/>
      <c r="Y4" s="15"/>
      <c r="Z4" s="15"/>
      <c r="AA4" s="15"/>
      <c r="AB4" s="15"/>
      <c r="AC4" s="15"/>
    </row>
    <row r="5" spans="1:29">
      <c r="A5" s="63">
        <v>45870</v>
      </c>
      <c r="B5" s="15" t="s">
        <v>3277</v>
      </c>
      <c r="C5" s="15" t="s">
        <v>11964</v>
      </c>
      <c r="D5" s="15" t="s">
        <v>11965</v>
      </c>
      <c r="E5" s="24" t="s">
        <v>11966</v>
      </c>
      <c r="F5" s="15" t="s">
        <v>11967</v>
      </c>
      <c r="G5" s="15" t="s">
        <v>11968</v>
      </c>
      <c r="H5" s="24" t="s">
        <v>11969</v>
      </c>
      <c r="I5" s="15" t="s">
        <v>11845</v>
      </c>
      <c r="J5" s="15" t="s">
        <v>48</v>
      </c>
      <c r="K5" s="15">
        <v>145</v>
      </c>
      <c r="L5" s="15">
        <v>105</v>
      </c>
      <c r="M5" s="15"/>
      <c r="N5" s="15"/>
      <c r="O5" s="15"/>
      <c r="P5" s="15"/>
      <c r="Q5" s="15"/>
      <c r="R5" s="15"/>
      <c r="S5" s="15"/>
      <c r="T5" s="15"/>
      <c r="U5" s="15"/>
      <c r="V5" s="15" t="s">
        <v>3402</v>
      </c>
      <c r="W5" s="15" t="s">
        <v>11966</v>
      </c>
      <c r="X5" s="15"/>
      <c r="Y5" s="15"/>
      <c r="Z5" s="15"/>
      <c r="AA5" s="15"/>
      <c r="AB5" s="15"/>
      <c r="AC5" s="15"/>
    </row>
    <row r="6" ht="27" spans="1:29">
      <c r="A6" s="64">
        <v>45950</v>
      </c>
      <c r="B6" s="15" t="s">
        <v>3646</v>
      </c>
      <c r="C6" s="15" t="s">
        <v>4483</v>
      </c>
      <c r="D6" s="15" t="s">
        <v>11970</v>
      </c>
      <c r="E6" s="24" t="s">
        <v>11971</v>
      </c>
      <c r="F6" s="15" t="s">
        <v>3218</v>
      </c>
      <c r="G6" s="15"/>
      <c r="H6" s="24" t="s">
        <v>11972</v>
      </c>
      <c r="I6" s="15" t="s">
        <v>48</v>
      </c>
      <c r="J6" s="15"/>
      <c r="K6" s="15">
        <v>150</v>
      </c>
      <c r="L6" s="15">
        <v>204</v>
      </c>
      <c r="M6" s="15"/>
      <c r="N6" s="15"/>
      <c r="O6" s="15"/>
      <c r="P6" s="15"/>
      <c r="Q6" s="15"/>
      <c r="R6" s="15"/>
      <c r="S6" s="15"/>
      <c r="T6" s="15"/>
      <c r="U6" s="15"/>
      <c r="V6" s="15" t="s">
        <v>11973</v>
      </c>
      <c r="W6" s="15" t="s">
        <v>11974</v>
      </c>
      <c r="X6" s="15"/>
      <c r="Y6" s="15">
        <v>10.2</v>
      </c>
      <c r="Z6" s="15"/>
      <c r="AA6" s="15"/>
      <c r="AB6" s="15"/>
      <c r="AC6" s="15"/>
    </row>
    <row r="7" spans="1:29">
      <c r="A7" s="64">
        <v>45954</v>
      </c>
      <c r="B7" s="15" t="s">
        <v>3277</v>
      </c>
      <c r="C7" s="15" t="s">
        <v>11958</v>
      </c>
      <c r="D7" s="15" t="s">
        <v>11975</v>
      </c>
      <c r="E7" s="24" t="s">
        <v>11976</v>
      </c>
      <c r="F7" s="15" t="s">
        <v>3218</v>
      </c>
      <c r="G7" s="15"/>
      <c r="H7" s="24" t="s">
        <v>11961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>
      <c r="A8" s="64">
        <v>45954</v>
      </c>
      <c r="B8" s="15" t="s">
        <v>3277</v>
      </c>
      <c r="C8" s="15" t="s">
        <v>11958</v>
      </c>
      <c r="D8" s="15" t="s">
        <v>11977</v>
      </c>
      <c r="E8" s="24" t="s">
        <v>11978</v>
      </c>
      <c r="F8" s="15" t="s">
        <v>3218</v>
      </c>
      <c r="G8" s="15"/>
      <c r="H8" s="24" t="s">
        <v>11979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>
      <c r="A9" s="64">
        <v>45959</v>
      </c>
      <c r="B9" s="15" t="s">
        <v>3646</v>
      </c>
      <c r="C9" s="15" t="s">
        <v>4483</v>
      </c>
      <c r="D9" s="15" t="s">
        <v>11980</v>
      </c>
      <c r="E9" s="24" t="s">
        <v>11971</v>
      </c>
      <c r="F9" s="15" t="s">
        <v>3218</v>
      </c>
      <c r="G9" s="15"/>
      <c r="H9" s="24" t="s">
        <v>11981</v>
      </c>
      <c r="I9" s="15" t="s">
        <v>48</v>
      </c>
      <c r="J9" s="15"/>
      <c r="K9" s="15">
        <v>150</v>
      </c>
      <c r="L9" s="15">
        <v>242</v>
      </c>
      <c r="M9" s="15"/>
      <c r="N9" s="15"/>
      <c r="O9" s="15"/>
      <c r="P9" s="15"/>
      <c r="Q9" s="15"/>
      <c r="R9" s="15"/>
      <c r="S9" s="15"/>
      <c r="T9" s="15"/>
      <c r="U9" s="15"/>
      <c r="V9" s="15" t="s">
        <v>11973</v>
      </c>
      <c r="W9" s="15" t="s">
        <v>11982</v>
      </c>
      <c r="X9" s="15"/>
      <c r="Y9" s="15">
        <v>10.25</v>
      </c>
      <c r="Z9" s="15"/>
      <c r="AA9" s="15"/>
      <c r="AB9" s="15"/>
      <c r="AC9" s="15"/>
    </row>
    <row r="10" spans="1:29">
      <c r="A10" s="64">
        <v>45959</v>
      </c>
      <c r="B10" s="15" t="s">
        <v>3646</v>
      </c>
      <c r="C10" s="15" t="s">
        <v>4483</v>
      </c>
      <c r="D10" s="15" t="s">
        <v>11983</v>
      </c>
      <c r="E10" s="24" t="s">
        <v>11984</v>
      </c>
      <c r="F10" s="15" t="s">
        <v>3218</v>
      </c>
      <c r="G10" s="15"/>
      <c r="H10" s="24"/>
      <c r="I10" s="15" t="s">
        <v>48</v>
      </c>
      <c r="J10" s="15"/>
      <c r="K10" s="15">
        <v>145</v>
      </c>
      <c r="L10" s="15">
        <v>170</v>
      </c>
      <c r="M10" s="15"/>
      <c r="N10" s="15"/>
      <c r="O10" s="15"/>
      <c r="P10" s="15"/>
      <c r="Q10" s="15"/>
      <c r="R10" s="15"/>
      <c r="S10" s="15"/>
      <c r="T10" s="15"/>
      <c r="U10" s="15"/>
      <c r="V10" s="15" t="s">
        <v>11985</v>
      </c>
      <c r="W10" s="15" t="s">
        <v>11986</v>
      </c>
      <c r="X10" s="15"/>
      <c r="Y10" s="15"/>
      <c r="Z10" s="15"/>
      <c r="AA10" s="15"/>
      <c r="AB10" s="15"/>
      <c r="AC10" s="15"/>
    </row>
    <row r="11" spans="1:29">
      <c r="A11" s="64">
        <v>45959</v>
      </c>
      <c r="B11" s="15" t="s">
        <v>3646</v>
      </c>
      <c r="C11" s="15" t="s">
        <v>4483</v>
      </c>
      <c r="D11" s="15" t="s">
        <v>11987</v>
      </c>
      <c r="E11" s="24" t="s">
        <v>11988</v>
      </c>
      <c r="F11" s="15" t="s">
        <v>3218</v>
      </c>
      <c r="G11" s="15"/>
      <c r="H11" s="24"/>
      <c r="I11" s="15" t="s">
        <v>48</v>
      </c>
      <c r="J11" s="15"/>
      <c r="K11" s="15">
        <v>145</v>
      </c>
      <c r="L11" s="15">
        <v>213</v>
      </c>
      <c r="M11" s="15"/>
      <c r="N11" s="15"/>
      <c r="O11" s="15"/>
      <c r="P11" s="15"/>
      <c r="Q11" s="15"/>
      <c r="R11" s="15"/>
      <c r="S11" s="15"/>
      <c r="T11" s="15"/>
      <c r="U11" s="15"/>
      <c r="V11" s="15" t="s">
        <v>11985</v>
      </c>
      <c r="W11" s="15" t="s">
        <v>11989</v>
      </c>
      <c r="X11" s="15"/>
      <c r="Y11" s="15"/>
      <c r="Z11" s="15"/>
      <c r="AA11" s="15"/>
      <c r="AB11" s="15"/>
      <c r="AC11" s="15"/>
    </row>
    <row r="12" spans="1:29">
      <c r="A12" s="64">
        <v>45961</v>
      </c>
      <c r="B12" s="15" t="s">
        <v>3646</v>
      </c>
      <c r="C12" s="15" t="s">
        <v>4483</v>
      </c>
      <c r="D12" s="15" t="s">
        <v>11990</v>
      </c>
      <c r="E12" s="24" t="s">
        <v>11991</v>
      </c>
      <c r="F12" s="15" t="s">
        <v>11992</v>
      </c>
      <c r="G12" s="15"/>
      <c r="H12" s="24" t="s">
        <v>11993</v>
      </c>
      <c r="I12" s="15"/>
      <c r="J12" s="15"/>
      <c r="K12" s="15">
        <v>137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 t="s">
        <v>11994</v>
      </c>
      <c r="W12" s="15" t="s">
        <v>11991</v>
      </c>
      <c r="X12" s="15"/>
      <c r="Y12" s="15">
        <v>10.3</v>
      </c>
      <c r="Z12" s="15"/>
      <c r="AA12" s="15"/>
      <c r="AB12" s="15"/>
      <c r="AC12" s="15"/>
    </row>
    <row r="13" spans="1:29">
      <c r="A13" s="64">
        <v>45961</v>
      </c>
      <c r="B13" s="15" t="s">
        <v>3646</v>
      </c>
      <c r="C13" s="15" t="s">
        <v>4483</v>
      </c>
      <c r="D13" s="15" t="s">
        <v>11995</v>
      </c>
      <c r="E13" s="24" t="s">
        <v>11996</v>
      </c>
      <c r="F13" s="15" t="s">
        <v>11992</v>
      </c>
      <c r="G13" s="15"/>
      <c r="H13" s="24" t="s">
        <v>11997</v>
      </c>
      <c r="I13" s="15"/>
      <c r="J13" s="15"/>
      <c r="K13" s="15">
        <v>132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 t="s">
        <v>11998</v>
      </c>
      <c r="W13" s="15" t="s">
        <v>11996</v>
      </c>
      <c r="X13" s="15" t="s">
        <v>11999</v>
      </c>
      <c r="Y13" s="15">
        <v>10.31</v>
      </c>
      <c r="Z13" s="15" t="s">
        <v>12000</v>
      </c>
      <c r="AA13" s="15" t="s">
        <v>12001</v>
      </c>
      <c r="AB13" s="15" t="s">
        <v>12002</v>
      </c>
      <c r="AC13" s="15"/>
    </row>
    <row r="14" spans="1:29">
      <c r="A14" s="64">
        <v>45961</v>
      </c>
      <c r="B14" s="15" t="s">
        <v>3646</v>
      </c>
      <c r="C14" s="15" t="s">
        <v>4483</v>
      </c>
      <c r="D14" s="15" t="s">
        <v>12003</v>
      </c>
      <c r="E14" s="24" t="s">
        <v>12004</v>
      </c>
      <c r="F14" s="15" t="s">
        <v>12005</v>
      </c>
      <c r="G14" s="15"/>
      <c r="H14" s="24" t="s">
        <v>11997</v>
      </c>
      <c r="I14" s="15"/>
      <c r="J14" s="15"/>
      <c r="K14" s="15">
        <v>132</v>
      </c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 t="s">
        <v>11998</v>
      </c>
      <c r="W14" s="15" t="s">
        <v>12004</v>
      </c>
      <c r="X14" s="15" t="s">
        <v>12006</v>
      </c>
      <c r="Y14" s="15">
        <v>10.31</v>
      </c>
      <c r="Z14" s="15" t="s">
        <v>12000</v>
      </c>
      <c r="AA14" s="15" t="s">
        <v>12001</v>
      </c>
      <c r="AB14" s="15" t="s">
        <v>12002</v>
      </c>
      <c r="AC14" s="15"/>
    </row>
    <row r="15" ht="27" spans="1:29">
      <c r="A15" s="64">
        <v>45961</v>
      </c>
      <c r="B15" s="15" t="s">
        <v>3646</v>
      </c>
      <c r="C15" s="15" t="s">
        <v>4483</v>
      </c>
      <c r="D15" s="15" t="s">
        <v>12007</v>
      </c>
      <c r="E15" s="24" t="s">
        <v>12008</v>
      </c>
      <c r="F15" s="15" t="s">
        <v>2603</v>
      </c>
      <c r="G15" s="15"/>
      <c r="H15" s="24" t="s">
        <v>12009</v>
      </c>
      <c r="I15" s="15" t="s">
        <v>48</v>
      </c>
      <c r="J15" s="15"/>
      <c r="K15" s="15">
        <v>145</v>
      </c>
      <c r="L15" s="15">
        <v>280</v>
      </c>
      <c r="M15" s="15"/>
      <c r="N15" s="15"/>
      <c r="O15" s="15"/>
      <c r="P15" s="15"/>
      <c r="Q15" s="15"/>
      <c r="R15" s="15"/>
      <c r="S15" s="15"/>
      <c r="T15" s="15"/>
      <c r="U15" s="15"/>
      <c r="V15" s="15" t="s">
        <v>11985</v>
      </c>
      <c r="W15" s="15" t="s">
        <v>12010</v>
      </c>
      <c r="X15" s="15" t="s">
        <v>12011</v>
      </c>
      <c r="Y15" s="15">
        <v>10.31</v>
      </c>
      <c r="Z15" s="15"/>
      <c r="AA15" s="15"/>
      <c r="AB15" s="15"/>
      <c r="AC15" s="15"/>
    </row>
    <row r="16" ht="27" spans="1:29">
      <c r="A16" s="64">
        <v>45961</v>
      </c>
      <c r="B16" s="15" t="s">
        <v>3646</v>
      </c>
      <c r="C16" s="15" t="s">
        <v>4483</v>
      </c>
      <c r="D16" s="15" t="s">
        <v>12012</v>
      </c>
      <c r="E16" s="24" t="s">
        <v>12013</v>
      </c>
      <c r="F16" s="15" t="s">
        <v>12014</v>
      </c>
      <c r="G16" s="15"/>
      <c r="H16" s="24" t="s">
        <v>12015</v>
      </c>
      <c r="I16" s="15" t="s">
        <v>48</v>
      </c>
      <c r="J16" s="15"/>
      <c r="K16" s="15">
        <v>145</v>
      </c>
      <c r="L16" s="15">
        <v>265</v>
      </c>
      <c r="M16" s="15"/>
      <c r="N16" s="15"/>
      <c r="O16" s="15"/>
      <c r="P16" s="15"/>
      <c r="Q16" s="15"/>
      <c r="R16" s="15"/>
      <c r="S16" s="15"/>
      <c r="T16" s="15"/>
      <c r="U16" s="15"/>
      <c r="V16" s="15" t="s">
        <v>11985</v>
      </c>
      <c r="W16" s="15" t="s">
        <v>12016</v>
      </c>
      <c r="X16" s="15" t="s">
        <v>12017</v>
      </c>
      <c r="Y16" s="15">
        <v>10.31</v>
      </c>
      <c r="Z16" s="15"/>
      <c r="AA16" s="15"/>
      <c r="AB16" s="15"/>
      <c r="AC16" s="15"/>
    </row>
    <row r="17" ht="27" spans="1:29">
      <c r="A17" s="64">
        <v>45961</v>
      </c>
      <c r="B17" s="15" t="s">
        <v>3646</v>
      </c>
      <c r="C17" s="15" t="s">
        <v>4483</v>
      </c>
      <c r="D17" s="15" t="s">
        <v>12018</v>
      </c>
      <c r="E17" s="24" t="s">
        <v>12019</v>
      </c>
      <c r="F17" s="15" t="s">
        <v>12020</v>
      </c>
      <c r="G17" s="15"/>
      <c r="H17" s="24" t="s">
        <v>12021</v>
      </c>
      <c r="I17" s="15" t="s">
        <v>48</v>
      </c>
      <c r="J17" s="15"/>
      <c r="K17" s="15">
        <v>145</v>
      </c>
      <c r="L17" s="15">
        <v>285</v>
      </c>
      <c r="M17" s="15"/>
      <c r="N17" s="15"/>
      <c r="O17" s="15"/>
      <c r="P17" s="15"/>
      <c r="Q17" s="15"/>
      <c r="R17" s="15"/>
      <c r="S17" s="15"/>
      <c r="T17" s="15"/>
      <c r="U17" s="15"/>
      <c r="V17" s="15" t="s">
        <v>11985</v>
      </c>
      <c r="W17" s="15" t="s">
        <v>12022</v>
      </c>
      <c r="X17" s="15" t="s">
        <v>12023</v>
      </c>
      <c r="Y17" s="15">
        <v>10.31</v>
      </c>
      <c r="Z17" s="15"/>
      <c r="AA17" s="15"/>
      <c r="AB17" s="15"/>
      <c r="AC17" s="15"/>
    </row>
    <row r="18" ht="27" spans="1:29">
      <c r="A18" s="64">
        <v>45961</v>
      </c>
      <c r="B18" s="15" t="s">
        <v>3646</v>
      </c>
      <c r="C18" s="15" t="s">
        <v>4483</v>
      </c>
      <c r="D18" s="15" t="s">
        <v>12024</v>
      </c>
      <c r="E18" s="24" t="s">
        <v>12025</v>
      </c>
      <c r="F18" s="15" t="s">
        <v>12020</v>
      </c>
      <c r="G18" s="15"/>
      <c r="H18" s="24" t="s">
        <v>12026</v>
      </c>
      <c r="I18" s="15" t="s">
        <v>48</v>
      </c>
      <c r="J18" s="15"/>
      <c r="K18" s="15">
        <v>145</v>
      </c>
      <c r="L18" s="15">
        <v>305</v>
      </c>
      <c r="M18" s="15"/>
      <c r="N18" s="15"/>
      <c r="O18" s="15"/>
      <c r="P18" s="15"/>
      <c r="Q18" s="15"/>
      <c r="R18" s="15"/>
      <c r="S18" s="15"/>
      <c r="T18" s="15"/>
      <c r="U18" s="15"/>
      <c r="V18" s="15" t="s">
        <v>11985</v>
      </c>
      <c r="W18" s="15" t="s">
        <v>12027</v>
      </c>
      <c r="X18" s="15" t="s">
        <v>12023</v>
      </c>
      <c r="Y18" s="15">
        <v>10.31</v>
      </c>
      <c r="Z18" s="15"/>
      <c r="AA18" s="15"/>
      <c r="AB18" s="15"/>
      <c r="AC18" s="15"/>
    </row>
    <row r="19" spans="1:29">
      <c r="A19" s="64">
        <v>45966</v>
      </c>
      <c r="B19" s="15" t="s">
        <v>3646</v>
      </c>
      <c r="C19" s="15" t="s">
        <v>10260</v>
      </c>
      <c r="D19" s="15" t="s">
        <v>12028</v>
      </c>
      <c r="E19" s="24" t="s">
        <v>8889</v>
      </c>
      <c r="F19" s="15" t="s">
        <v>3218</v>
      </c>
      <c r="G19" s="15"/>
      <c r="H19" s="24" t="s">
        <v>8889</v>
      </c>
      <c r="I19" s="15" t="s">
        <v>48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 t="s">
        <v>12029</v>
      </c>
      <c r="W19" s="15"/>
      <c r="X19" s="15"/>
      <c r="Y19" s="15"/>
      <c r="Z19" s="15"/>
      <c r="AA19" s="15"/>
      <c r="AB19" s="15"/>
      <c r="AC19" s="15"/>
    </row>
    <row r="20" spans="1:29">
      <c r="A20" s="64">
        <v>45967</v>
      </c>
      <c r="B20" s="15" t="s">
        <v>3646</v>
      </c>
      <c r="C20" s="15" t="s">
        <v>10260</v>
      </c>
      <c r="D20" s="15" t="s">
        <v>12030</v>
      </c>
      <c r="E20" s="24" t="s">
        <v>12031</v>
      </c>
      <c r="F20" s="15" t="s">
        <v>6413</v>
      </c>
      <c r="G20" s="15"/>
      <c r="H20" s="24" t="s">
        <v>9466</v>
      </c>
      <c r="I20" s="15" t="s">
        <v>48</v>
      </c>
      <c r="J20" s="15"/>
      <c r="K20" s="15" t="s">
        <v>12032</v>
      </c>
      <c r="L20" s="15">
        <v>600</v>
      </c>
      <c r="M20" s="15"/>
      <c r="N20" s="15"/>
      <c r="O20" s="15"/>
      <c r="P20" s="15"/>
      <c r="Q20" s="15"/>
      <c r="R20" s="15"/>
      <c r="S20" s="15"/>
      <c r="T20" s="15"/>
      <c r="U20" s="15"/>
      <c r="V20" s="15" t="s">
        <v>12033</v>
      </c>
      <c r="W20" s="15" t="s">
        <v>12031</v>
      </c>
      <c r="X20" s="15" t="s">
        <v>12034</v>
      </c>
      <c r="Y20" s="65">
        <v>45966</v>
      </c>
      <c r="Z20" s="15"/>
      <c r="AA20" s="15"/>
      <c r="AB20" s="15"/>
      <c r="AC20" s="15"/>
    </row>
    <row r="21" ht="27" spans="1:29">
      <c r="A21" s="64">
        <v>45967</v>
      </c>
      <c r="B21" s="15" t="s">
        <v>3646</v>
      </c>
      <c r="C21" s="15" t="s">
        <v>10260</v>
      </c>
      <c r="D21" s="15" t="s">
        <v>12035</v>
      </c>
      <c r="E21" s="24" t="s">
        <v>12036</v>
      </c>
      <c r="F21" s="15" t="s">
        <v>3870</v>
      </c>
      <c r="G21" s="15"/>
      <c r="H21" s="24" t="s">
        <v>12037</v>
      </c>
      <c r="I21" s="15" t="s">
        <v>48</v>
      </c>
      <c r="J21" s="15"/>
      <c r="K21" s="15">
        <v>57</v>
      </c>
      <c r="L21" s="15">
        <v>270</v>
      </c>
      <c r="M21" s="15"/>
      <c r="N21" s="15"/>
      <c r="O21" s="15"/>
      <c r="P21" s="15"/>
      <c r="Q21" s="15"/>
      <c r="R21" s="15"/>
      <c r="S21" s="15"/>
      <c r="T21" s="15"/>
      <c r="U21" s="15"/>
      <c r="V21" s="15" t="s">
        <v>11985</v>
      </c>
      <c r="W21" s="15" t="s">
        <v>12038</v>
      </c>
      <c r="X21" s="15" t="s">
        <v>12039</v>
      </c>
      <c r="Y21" s="65">
        <v>45965</v>
      </c>
      <c r="Z21" s="15"/>
      <c r="AA21" s="15"/>
      <c r="AB21" s="15"/>
      <c r="AC21" s="15"/>
    </row>
    <row r="22" ht="27" spans="1:29">
      <c r="A22" s="64">
        <v>45967</v>
      </c>
      <c r="B22" s="15" t="s">
        <v>3646</v>
      </c>
      <c r="C22" s="15" t="s">
        <v>10260</v>
      </c>
      <c r="D22" s="15" t="s">
        <v>12040</v>
      </c>
      <c r="E22" s="24" t="s">
        <v>12041</v>
      </c>
      <c r="F22" s="15" t="s">
        <v>3870</v>
      </c>
      <c r="G22" s="15"/>
      <c r="H22" s="24" t="s">
        <v>12037</v>
      </c>
      <c r="I22" s="15" t="s">
        <v>48</v>
      </c>
      <c r="J22" s="15"/>
      <c r="K22" s="15">
        <v>57</v>
      </c>
      <c r="L22" s="15">
        <v>270</v>
      </c>
      <c r="M22" s="15"/>
      <c r="N22" s="15"/>
      <c r="O22" s="15"/>
      <c r="P22" s="15"/>
      <c r="Q22" s="15"/>
      <c r="R22" s="15"/>
      <c r="S22" s="15"/>
      <c r="T22" s="15"/>
      <c r="U22" s="15"/>
      <c r="V22" s="15" t="s">
        <v>11985</v>
      </c>
      <c r="W22" s="15" t="s">
        <v>12042</v>
      </c>
      <c r="X22" s="15" t="s">
        <v>12043</v>
      </c>
      <c r="Y22" s="65">
        <v>45965</v>
      </c>
      <c r="Z22" s="15"/>
      <c r="AA22" s="15"/>
      <c r="AB22" s="15"/>
      <c r="AC22" s="15"/>
    </row>
    <row r="23" ht="27" spans="1:29">
      <c r="A23" s="64">
        <v>45967</v>
      </c>
      <c r="B23" s="15" t="s">
        <v>3646</v>
      </c>
      <c r="C23" s="15" t="s">
        <v>10260</v>
      </c>
      <c r="D23" s="15" t="s">
        <v>12044</v>
      </c>
      <c r="E23" s="24" t="s">
        <v>12045</v>
      </c>
      <c r="F23" s="15" t="s">
        <v>3870</v>
      </c>
      <c r="G23" s="15"/>
      <c r="H23" s="24" t="s">
        <v>12037</v>
      </c>
      <c r="I23" s="15" t="s">
        <v>48</v>
      </c>
      <c r="J23" s="15"/>
      <c r="K23" s="15">
        <v>57</v>
      </c>
      <c r="L23" s="15">
        <v>276</v>
      </c>
      <c r="M23" s="15"/>
      <c r="N23" s="15"/>
      <c r="O23" s="15"/>
      <c r="P23" s="15"/>
      <c r="Q23" s="15"/>
      <c r="R23" s="15"/>
      <c r="S23" s="15"/>
      <c r="T23" s="15"/>
      <c r="U23" s="15"/>
      <c r="V23" s="15" t="s">
        <v>11985</v>
      </c>
      <c r="W23" s="15" t="s">
        <v>12046</v>
      </c>
      <c r="X23" s="15" t="s">
        <v>12039</v>
      </c>
      <c r="Y23" s="65">
        <v>45965</v>
      </c>
      <c r="Z23" s="15"/>
      <c r="AA23" s="15"/>
      <c r="AB23" s="15"/>
      <c r="AC23" s="15"/>
    </row>
    <row r="24" spans="1:29">
      <c r="A24" s="64">
        <v>45967</v>
      </c>
      <c r="B24" s="15" t="s">
        <v>3646</v>
      </c>
      <c r="C24" s="15" t="s">
        <v>10260</v>
      </c>
      <c r="D24" s="15" t="s">
        <v>12047</v>
      </c>
      <c r="E24" s="24" t="s">
        <v>12048</v>
      </c>
      <c r="F24" s="15" t="s">
        <v>330</v>
      </c>
      <c r="G24" s="15"/>
      <c r="H24" s="24" t="s">
        <v>12049</v>
      </c>
      <c r="I24" s="15" t="s">
        <v>12050</v>
      </c>
      <c r="J24" s="15"/>
      <c r="K24" s="15">
        <v>57</v>
      </c>
      <c r="L24" s="15">
        <v>125</v>
      </c>
      <c r="M24" s="15"/>
      <c r="N24" s="15"/>
      <c r="O24" s="15"/>
      <c r="P24" s="15"/>
      <c r="Q24" s="15"/>
      <c r="R24" s="15"/>
      <c r="S24" s="15"/>
      <c r="T24" s="15"/>
      <c r="U24" s="15"/>
      <c r="V24" s="15" t="s">
        <v>11985</v>
      </c>
      <c r="W24" s="15" t="s">
        <v>12051</v>
      </c>
      <c r="X24" s="15" t="s">
        <v>12052</v>
      </c>
      <c r="Y24" s="65">
        <v>45965</v>
      </c>
      <c r="Z24" s="15"/>
      <c r="AA24" s="15"/>
      <c r="AB24" s="15"/>
      <c r="AC24" s="15"/>
    </row>
    <row r="25" spans="1:29">
      <c r="A25" s="64">
        <v>45967</v>
      </c>
      <c r="B25" s="15" t="s">
        <v>3646</v>
      </c>
      <c r="C25" s="15" t="s">
        <v>10260</v>
      </c>
      <c r="D25" s="15" t="s">
        <v>12053</v>
      </c>
      <c r="E25" s="24" t="s">
        <v>12054</v>
      </c>
      <c r="F25" s="15" t="s">
        <v>330</v>
      </c>
      <c r="G25" s="15"/>
      <c r="H25" s="24" t="s">
        <v>8889</v>
      </c>
      <c r="I25" s="15" t="s">
        <v>48</v>
      </c>
      <c r="J25" s="15"/>
      <c r="K25" s="15">
        <v>57</v>
      </c>
      <c r="L25" s="15">
        <v>121</v>
      </c>
      <c r="M25" s="15"/>
      <c r="N25" s="15"/>
      <c r="O25" s="15"/>
      <c r="P25" s="15"/>
      <c r="Q25" s="15"/>
      <c r="R25" s="15"/>
      <c r="S25" s="15"/>
      <c r="T25" s="15"/>
      <c r="U25" s="15"/>
      <c r="V25" s="15" t="s">
        <v>11985</v>
      </c>
      <c r="W25" s="15" t="s">
        <v>12055</v>
      </c>
      <c r="X25" s="15" t="s">
        <v>12056</v>
      </c>
      <c r="Y25" s="65">
        <v>45965</v>
      </c>
      <c r="Z25" s="15"/>
      <c r="AA25" s="15"/>
      <c r="AB25" s="15"/>
      <c r="AC25" s="15"/>
    </row>
    <row r="26" spans="1:29">
      <c r="A26" s="64">
        <v>45967</v>
      </c>
      <c r="B26" s="15" t="s">
        <v>3646</v>
      </c>
      <c r="C26" s="15" t="s">
        <v>10260</v>
      </c>
      <c r="D26" s="15" t="s">
        <v>12057</v>
      </c>
      <c r="E26" s="24" t="s">
        <v>12058</v>
      </c>
      <c r="F26" s="15" t="s">
        <v>330</v>
      </c>
      <c r="G26" s="15"/>
      <c r="H26" s="24" t="s">
        <v>12059</v>
      </c>
      <c r="I26" s="15" t="s">
        <v>12050</v>
      </c>
      <c r="J26" s="15"/>
      <c r="K26" s="15">
        <v>57</v>
      </c>
      <c r="L26" s="15">
        <v>150</v>
      </c>
      <c r="M26" s="15"/>
      <c r="N26" s="15"/>
      <c r="O26" s="15"/>
      <c r="P26" s="15"/>
      <c r="Q26" s="15"/>
      <c r="R26" s="15"/>
      <c r="S26" s="15"/>
      <c r="T26" s="15"/>
      <c r="U26" s="15"/>
      <c r="V26" s="15" t="s">
        <v>11985</v>
      </c>
      <c r="W26" s="15" t="s">
        <v>12060</v>
      </c>
      <c r="X26" s="15" t="s">
        <v>12061</v>
      </c>
      <c r="Y26" s="65">
        <v>45965</v>
      </c>
      <c r="Z26" s="15"/>
      <c r="AA26" s="15"/>
      <c r="AB26" s="15"/>
      <c r="AC26" s="15"/>
    </row>
    <row r="27" spans="1:29">
      <c r="A27" s="64">
        <v>45967</v>
      </c>
      <c r="B27" s="15" t="s">
        <v>3646</v>
      </c>
      <c r="C27" s="15" t="s">
        <v>10260</v>
      </c>
      <c r="D27" s="15" t="s">
        <v>12062</v>
      </c>
      <c r="E27" s="24" t="s">
        <v>12063</v>
      </c>
      <c r="F27" s="15" t="s">
        <v>330</v>
      </c>
      <c r="G27" s="15"/>
      <c r="H27" s="24" t="s">
        <v>12059</v>
      </c>
      <c r="I27" s="15" t="s">
        <v>12050</v>
      </c>
      <c r="J27" s="15"/>
      <c r="K27" s="15">
        <v>57</v>
      </c>
      <c r="L27" s="15">
        <v>150</v>
      </c>
      <c r="M27" s="15"/>
      <c r="N27" s="15"/>
      <c r="O27" s="15"/>
      <c r="P27" s="15"/>
      <c r="Q27" s="15"/>
      <c r="R27" s="15"/>
      <c r="S27" s="15"/>
      <c r="T27" s="15"/>
      <c r="U27" s="15"/>
      <c r="V27" s="15" t="s">
        <v>11985</v>
      </c>
      <c r="W27" s="15" t="s">
        <v>12064</v>
      </c>
      <c r="X27" s="15" t="s">
        <v>12061</v>
      </c>
      <c r="Y27" s="65">
        <v>45965</v>
      </c>
      <c r="Z27" s="15"/>
      <c r="AA27" s="15"/>
      <c r="AB27" s="15"/>
      <c r="AC27" s="15"/>
    </row>
    <row r="28" ht="27" spans="1:29">
      <c r="A28" s="64">
        <v>45967</v>
      </c>
      <c r="B28" s="15" t="s">
        <v>3646</v>
      </c>
      <c r="C28" s="15" t="s">
        <v>10260</v>
      </c>
      <c r="D28" s="15" t="s">
        <v>12065</v>
      </c>
      <c r="E28" s="24" t="s">
        <v>12066</v>
      </c>
      <c r="F28" s="15" t="s">
        <v>330</v>
      </c>
      <c r="G28" s="15"/>
      <c r="H28" s="24" t="s">
        <v>12067</v>
      </c>
      <c r="I28" s="15" t="s">
        <v>12050</v>
      </c>
      <c r="J28" s="15"/>
      <c r="K28" s="15">
        <v>57</v>
      </c>
      <c r="L28" s="15">
        <v>187</v>
      </c>
      <c r="M28" s="15"/>
      <c r="N28" s="15"/>
      <c r="O28" s="15"/>
      <c r="P28" s="15"/>
      <c r="Q28" s="15"/>
      <c r="R28" s="15"/>
      <c r="S28" s="15"/>
      <c r="T28" s="15"/>
      <c r="U28" s="15"/>
      <c r="V28" s="15" t="s">
        <v>11985</v>
      </c>
      <c r="W28" s="15" t="s">
        <v>12068</v>
      </c>
      <c r="X28" s="15" t="s">
        <v>12069</v>
      </c>
      <c r="Y28" s="65">
        <v>45965</v>
      </c>
      <c r="Z28" s="15"/>
      <c r="AA28" s="15"/>
      <c r="AB28" s="15"/>
      <c r="AC28" s="15"/>
    </row>
    <row r="29" ht="27" spans="1:29">
      <c r="A29" s="64">
        <v>45968</v>
      </c>
      <c r="B29" s="15" t="s">
        <v>3277</v>
      </c>
      <c r="C29" s="15" t="s">
        <v>12070</v>
      </c>
      <c r="D29" s="15" t="s">
        <v>12071</v>
      </c>
      <c r="E29" s="24" t="s">
        <v>12072</v>
      </c>
      <c r="F29" s="15" t="s">
        <v>330</v>
      </c>
      <c r="G29" s="15"/>
      <c r="H29" s="24" t="s">
        <v>12073</v>
      </c>
      <c r="I29" s="15"/>
      <c r="J29" s="15"/>
      <c r="K29" s="15"/>
      <c r="L29" s="15">
        <v>310</v>
      </c>
      <c r="M29" s="15"/>
      <c r="N29" s="15"/>
      <c r="O29" s="15"/>
      <c r="P29" s="15"/>
      <c r="Q29" s="15"/>
      <c r="R29" s="15"/>
      <c r="S29" s="15"/>
      <c r="T29" s="15"/>
      <c r="U29" s="15"/>
      <c r="V29" s="15" t="s">
        <v>12074</v>
      </c>
      <c r="W29" s="15" t="s">
        <v>12075</v>
      </c>
      <c r="X29" s="15"/>
      <c r="Y29" s="15"/>
      <c r="Z29" s="15"/>
      <c r="AA29" s="15"/>
      <c r="AB29" s="15"/>
      <c r="AC29" s="15"/>
    </row>
    <row r="30" spans="1:29">
      <c r="A30" s="64">
        <v>45968</v>
      </c>
      <c r="B30" s="15" t="s">
        <v>3277</v>
      </c>
      <c r="C30" s="15" t="s">
        <v>12070</v>
      </c>
      <c r="D30" s="15" t="s">
        <v>12076</v>
      </c>
      <c r="E30" s="24" t="s">
        <v>12077</v>
      </c>
      <c r="F30" s="15" t="s">
        <v>282</v>
      </c>
      <c r="G30" s="15"/>
      <c r="H30" s="24" t="s">
        <v>12078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 t="s">
        <v>3402</v>
      </c>
      <c r="W30" s="15" t="s">
        <v>12079</v>
      </c>
      <c r="X30" s="15"/>
      <c r="Y30" s="15"/>
      <c r="Z30" s="15"/>
      <c r="AA30" s="15"/>
      <c r="AB30" s="15"/>
      <c r="AC30" s="15"/>
    </row>
    <row r="31" hidden="1" spans="1:29">
      <c r="A31" s="64">
        <v>45973</v>
      </c>
      <c r="B31" s="15" t="s">
        <v>3277</v>
      </c>
      <c r="C31" s="15" t="s">
        <v>12080</v>
      </c>
      <c r="D31" s="15" t="s">
        <v>12081</v>
      </c>
      <c r="E31" s="24" t="s">
        <v>12082</v>
      </c>
      <c r="F31" s="15"/>
      <c r="G31" s="15"/>
      <c r="H31" s="2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 t="s">
        <v>3402</v>
      </c>
      <c r="W31" s="15" t="s">
        <v>12083</v>
      </c>
      <c r="X31" s="15"/>
      <c r="Y31" s="15"/>
      <c r="Z31" s="15"/>
      <c r="AA31" s="15"/>
      <c r="AB31" s="15"/>
      <c r="AC31" s="15"/>
    </row>
    <row r="32" ht="27" hidden="1" spans="1:29">
      <c r="A32" s="64">
        <v>45975</v>
      </c>
      <c r="B32" s="15" t="s">
        <v>3646</v>
      </c>
      <c r="C32" s="15" t="s">
        <v>4483</v>
      </c>
      <c r="D32" s="15" t="s">
        <v>12084</v>
      </c>
      <c r="E32" s="24" t="s">
        <v>12085</v>
      </c>
      <c r="F32" s="15" t="s">
        <v>4238</v>
      </c>
      <c r="G32" s="15"/>
      <c r="H32" s="24" t="s">
        <v>12086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 t="s">
        <v>11973</v>
      </c>
      <c r="W32" s="15" t="s">
        <v>12087</v>
      </c>
      <c r="X32" s="15"/>
      <c r="Y32" s="65">
        <v>45975</v>
      </c>
      <c r="Z32" s="15"/>
      <c r="AA32" s="15"/>
      <c r="AB32" s="15"/>
      <c r="AC32" s="15"/>
    </row>
    <row r="33" ht="40.5" spans="1:30">
      <c r="A33" s="64">
        <v>45978</v>
      </c>
      <c r="B33" s="15" t="s">
        <v>3277</v>
      </c>
      <c r="C33" s="15" t="s">
        <v>12070</v>
      </c>
      <c r="D33" s="15" t="s">
        <v>12088</v>
      </c>
      <c r="E33" s="24" t="s">
        <v>12089</v>
      </c>
      <c r="F33" s="15" t="s">
        <v>12090</v>
      </c>
      <c r="G33" s="15"/>
      <c r="H33" s="24" t="s">
        <v>12091</v>
      </c>
      <c r="I33" s="15" t="s">
        <v>284</v>
      </c>
      <c r="J33" s="15"/>
      <c r="K33" s="15">
        <v>141</v>
      </c>
      <c r="L33" s="15">
        <v>225</v>
      </c>
      <c r="M33" s="15"/>
      <c r="N33" s="15"/>
      <c r="O33" s="15"/>
      <c r="P33" s="15"/>
      <c r="Q33" s="15"/>
      <c r="R33" s="15"/>
      <c r="S33" s="15"/>
      <c r="T33" s="15"/>
      <c r="U33" s="15"/>
      <c r="V33" s="15" t="s">
        <v>3402</v>
      </c>
      <c r="W33" s="15" t="s">
        <v>12089</v>
      </c>
      <c r="X33" s="15"/>
      <c r="Y33" s="15"/>
      <c r="Z33" s="15"/>
      <c r="AA33" s="15"/>
      <c r="AB33" s="15"/>
      <c r="AC33" s="15"/>
    </row>
    <row r="34" ht="27" spans="1:30">
      <c r="A34" s="64">
        <v>45985</v>
      </c>
      <c r="B34" s="15" t="s">
        <v>3646</v>
      </c>
      <c r="C34" s="15" t="s">
        <v>4483</v>
      </c>
      <c r="D34" s="15" t="s">
        <v>12092</v>
      </c>
      <c r="E34" s="24" t="s">
        <v>12093</v>
      </c>
      <c r="F34" s="15" t="s">
        <v>330</v>
      </c>
      <c r="G34" s="15"/>
      <c r="H34" s="24" t="s">
        <v>12094</v>
      </c>
      <c r="I34" s="15" t="s">
        <v>12050</v>
      </c>
      <c r="J34" s="15"/>
      <c r="K34" s="15">
        <v>150</v>
      </c>
      <c r="L34" s="15">
        <v>143</v>
      </c>
      <c r="M34" s="15"/>
      <c r="N34" s="15"/>
      <c r="O34" s="15"/>
      <c r="P34" s="15"/>
      <c r="Q34" s="15"/>
      <c r="R34" s="15"/>
      <c r="S34" s="15"/>
      <c r="T34" s="15"/>
      <c r="U34" s="15"/>
      <c r="V34" s="15" t="s">
        <v>11973</v>
      </c>
      <c r="W34" s="15" t="s">
        <v>12095</v>
      </c>
      <c r="X34" s="15"/>
      <c r="Y34" s="15"/>
      <c r="Z34" s="15"/>
      <c r="AA34" s="15"/>
      <c r="AB34" s="15"/>
      <c r="AC34" s="15"/>
    </row>
    <row r="35" spans="1:30">
      <c r="A35" s="64"/>
      <c r="B35" s="15" t="s">
        <v>3277</v>
      </c>
      <c r="C35" s="15" t="s">
        <v>12080</v>
      </c>
      <c r="D35" s="15" t="s">
        <v>12096</v>
      </c>
      <c r="E35" s="24"/>
      <c r="F35" s="15"/>
      <c r="G35" s="15"/>
      <c r="H35" s="2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30">
      <c r="A36" s="64">
        <v>45999</v>
      </c>
      <c r="B36" s="15" t="s">
        <v>3277</v>
      </c>
      <c r="C36" s="15" t="s">
        <v>10452</v>
      </c>
      <c r="D36" s="15" t="s">
        <v>12097</v>
      </c>
      <c r="E36" s="24" t="s">
        <v>12098</v>
      </c>
      <c r="F36" s="15"/>
      <c r="G36" s="15"/>
      <c r="H36" s="2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 t="s">
        <v>3402</v>
      </c>
      <c r="W36" s="15"/>
      <c r="X36" s="15"/>
      <c r="Y36" s="15"/>
      <c r="Z36" s="15"/>
      <c r="AA36" s="15"/>
      <c r="AB36" s="15"/>
      <c r="AC36" s="15"/>
    </row>
    <row r="37" spans="1:30">
      <c r="A37" s="64">
        <v>45999</v>
      </c>
      <c r="B37" s="15" t="s">
        <v>3277</v>
      </c>
      <c r="C37" s="15" t="s">
        <v>10452</v>
      </c>
      <c r="D37" s="15" t="s">
        <v>12099</v>
      </c>
      <c r="E37" s="24" t="s">
        <v>12100</v>
      </c>
      <c r="F37" s="15"/>
      <c r="G37" s="15"/>
      <c r="H37" s="2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 t="s">
        <v>3402</v>
      </c>
      <c r="W37" s="15"/>
      <c r="X37" s="15"/>
      <c r="Y37" s="15"/>
      <c r="Z37" s="15"/>
      <c r="AA37" s="15"/>
      <c r="AB37" s="15"/>
      <c r="AC37" s="15"/>
    </row>
    <row r="38" ht="27" spans="1:30">
      <c r="A38" s="64">
        <v>45999</v>
      </c>
      <c r="B38" s="15" t="s">
        <v>3277</v>
      </c>
      <c r="C38" s="15" t="s">
        <v>10452</v>
      </c>
      <c r="D38" s="15" t="s">
        <v>12101</v>
      </c>
      <c r="E38" s="24" t="s">
        <v>12102</v>
      </c>
      <c r="F38" s="15"/>
      <c r="G38" s="15"/>
      <c r="H38" s="24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 t="s">
        <v>3402</v>
      </c>
      <c r="W38" s="15"/>
      <c r="X38" s="15"/>
      <c r="Y38" s="15"/>
      <c r="Z38" s="15"/>
      <c r="AA38" s="15"/>
      <c r="AB38" s="15"/>
      <c r="AC38" s="15"/>
    </row>
    <row r="39" spans="1:30">
      <c r="A39" s="64"/>
      <c r="B39" s="15"/>
      <c r="C39" s="15" t="s">
        <v>10452</v>
      </c>
      <c r="D39" s="15" t="s">
        <v>12103</v>
      </c>
      <c r="E39" s="24" t="s">
        <v>12104</v>
      </c>
      <c r="F39" s="15" t="s">
        <v>282</v>
      </c>
      <c r="G39" s="15"/>
      <c r="H39" s="24"/>
      <c r="I39" s="15" t="s">
        <v>11962</v>
      </c>
      <c r="J39" s="15"/>
      <c r="K39" s="15" t="s">
        <v>1303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 t="s">
        <v>12105</v>
      </c>
      <c r="W39" s="15" t="s">
        <v>12106</v>
      </c>
      <c r="X39" s="15">
        <v>10.5</v>
      </c>
      <c r="Y39" s="15">
        <v>46001</v>
      </c>
      <c r="Z39" s="15">
        <v>100</v>
      </c>
      <c r="AA39" s="15"/>
      <c r="AB39" s="15"/>
      <c r="AC39" s="15"/>
      <c r="AD39" t="s">
        <v>12107</v>
      </c>
    </row>
    <row r="40" spans="1:30">
      <c r="A40" s="64"/>
      <c r="B40" s="15"/>
      <c r="C40" s="15" t="s">
        <v>10452</v>
      </c>
      <c r="D40" s="15" t="s">
        <v>12108</v>
      </c>
      <c r="E40" s="24" t="s">
        <v>12109</v>
      </c>
      <c r="F40" s="15" t="s">
        <v>282</v>
      </c>
      <c r="G40" s="15"/>
      <c r="H40" s="24"/>
      <c r="I40" s="15" t="s">
        <v>11962</v>
      </c>
      <c r="J40" s="15"/>
      <c r="K40" s="15" t="s">
        <v>1303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 t="s">
        <v>12105</v>
      </c>
      <c r="W40" s="15" t="s">
        <v>12110</v>
      </c>
      <c r="X40" s="15">
        <v>19</v>
      </c>
      <c r="Y40" s="15">
        <v>46001</v>
      </c>
      <c r="Z40" s="15">
        <v>100</v>
      </c>
      <c r="AA40" s="15"/>
      <c r="AB40" s="15"/>
      <c r="AC40" s="15"/>
      <c r="AD40" t="s">
        <v>12107</v>
      </c>
    </row>
    <row r="41" spans="1:30">
      <c r="A41" s="64"/>
      <c r="B41" s="15"/>
      <c r="C41" s="15" t="s">
        <v>10260</v>
      </c>
      <c r="D41" s="15" t="s">
        <v>12111</v>
      </c>
      <c r="E41" s="24" t="s">
        <v>12112</v>
      </c>
      <c r="F41" s="15" t="s">
        <v>4238</v>
      </c>
      <c r="G41" s="15" t="s">
        <v>3870</v>
      </c>
      <c r="H41" s="24"/>
      <c r="I41" s="15"/>
      <c r="J41" s="15"/>
      <c r="K41" s="15">
        <v>140</v>
      </c>
      <c r="L41" s="15">
        <v>290</v>
      </c>
      <c r="M41" s="15"/>
      <c r="N41" s="15"/>
      <c r="O41" s="15"/>
      <c r="P41" s="15"/>
      <c r="Q41" s="15"/>
      <c r="R41" s="15"/>
      <c r="S41" s="15"/>
      <c r="T41" s="15"/>
      <c r="U41" s="15"/>
      <c r="V41" s="15" t="s">
        <v>11973</v>
      </c>
      <c r="W41" s="15" t="s">
        <v>12113</v>
      </c>
      <c r="X41" s="15">
        <v>28.6</v>
      </c>
      <c r="Y41" s="15" t="s">
        <v>3873</v>
      </c>
      <c r="Z41" s="15"/>
      <c r="AA41" s="15"/>
      <c r="AB41" s="15"/>
      <c r="AC41" s="15"/>
    </row>
    <row r="42" spans="1:30">
      <c r="A42" s="64"/>
      <c r="B42" s="15"/>
      <c r="C42" s="15" t="s">
        <v>12114</v>
      </c>
      <c r="D42" s="15" t="s">
        <v>12115</v>
      </c>
      <c r="E42" s="24" t="s">
        <v>12116</v>
      </c>
      <c r="F42" s="15" t="s">
        <v>282</v>
      </c>
      <c r="G42" s="15" t="s">
        <v>282</v>
      </c>
      <c r="H42" s="24"/>
      <c r="I42" s="15"/>
      <c r="J42" s="15"/>
      <c r="K42" s="15">
        <v>145</v>
      </c>
      <c r="L42" s="15">
        <v>68</v>
      </c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27" spans="1:30">
      <c r="A43" s="63"/>
      <c r="B43" s="15"/>
      <c r="C43" s="15" t="s">
        <v>12117</v>
      </c>
      <c r="D43" s="15" t="s">
        <v>12118</v>
      </c>
      <c r="E43" s="24" t="s">
        <v>12119</v>
      </c>
      <c r="F43" s="15" t="s">
        <v>3157</v>
      </c>
      <c r="G43" s="15" t="s">
        <v>105</v>
      </c>
      <c r="H43" s="24" t="s">
        <v>12120</v>
      </c>
      <c r="I43" s="15" t="s">
        <v>12121</v>
      </c>
      <c r="J43" s="15" t="s">
        <v>284</v>
      </c>
      <c r="K43" s="15"/>
      <c r="L43" s="15">
        <v>300</v>
      </c>
      <c r="M43" s="15"/>
      <c r="N43" s="15"/>
      <c r="O43" s="15"/>
      <c r="P43" s="15"/>
      <c r="Q43" s="15"/>
      <c r="R43" s="15"/>
      <c r="S43" s="15"/>
      <c r="T43" s="15"/>
      <c r="U43" s="15"/>
      <c r="V43" s="15" t="s">
        <v>3402</v>
      </c>
      <c r="W43" s="15" t="s">
        <v>12122</v>
      </c>
      <c r="X43" s="15"/>
      <c r="Y43" s="15"/>
      <c r="Z43" s="15"/>
      <c r="AA43" s="15"/>
      <c r="AB43" s="15"/>
      <c r="AC43" s="15"/>
    </row>
    <row r="44" ht="27" spans="1:30">
      <c r="A44" s="63"/>
      <c r="B44" s="15"/>
      <c r="C44" s="15" t="s">
        <v>12117</v>
      </c>
      <c r="D44" s="15" t="s">
        <v>12123</v>
      </c>
      <c r="E44" s="24" t="s">
        <v>12124</v>
      </c>
      <c r="F44" s="15" t="s">
        <v>3157</v>
      </c>
      <c r="G44" s="15" t="s">
        <v>105</v>
      </c>
      <c r="H44" s="24" t="s">
        <v>12125</v>
      </c>
      <c r="I44" s="15" t="s">
        <v>12121</v>
      </c>
      <c r="J44" s="15" t="s">
        <v>284</v>
      </c>
      <c r="K44" s="15"/>
      <c r="L44" s="15">
        <v>260</v>
      </c>
      <c r="M44" s="15"/>
      <c r="N44" s="15"/>
      <c r="O44" s="15"/>
      <c r="P44" s="15"/>
      <c r="Q44" s="15"/>
      <c r="R44" s="15"/>
      <c r="S44" s="15"/>
      <c r="T44" s="15"/>
      <c r="U44" s="15"/>
      <c r="V44" s="15" t="s">
        <v>3402</v>
      </c>
      <c r="W44" s="15" t="s">
        <v>12126</v>
      </c>
      <c r="X44" s="15"/>
      <c r="Y44" s="15"/>
      <c r="Z44" s="15"/>
      <c r="AA44" s="15"/>
      <c r="AB44" s="15"/>
      <c r="AC44" s="15"/>
    </row>
    <row r="45" spans="1:30">
      <c r="A45" s="63"/>
      <c r="B45" s="15"/>
      <c r="C45" s="15" t="s">
        <v>4468</v>
      </c>
      <c r="D45" s="15" t="s">
        <v>12127</v>
      </c>
      <c r="E45" s="24" t="s">
        <v>12128</v>
      </c>
      <c r="F45" s="15"/>
      <c r="G45" s="15"/>
      <c r="H45" s="24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 t="s">
        <v>3402</v>
      </c>
      <c r="W45" s="15" t="s">
        <v>12129</v>
      </c>
      <c r="X45" s="15"/>
      <c r="Y45" s="15"/>
      <c r="Z45" s="15"/>
      <c r="AA45" s="15"/>
      <c r="AB45" s="15"/>
      <c r="AC45" s="15"/>
    </row>
    <row r="46" spans="1:30">
      <c r="A46" s="63"/>
      <c r="B46" s="15"/>
      <c r="C46" s="15" t="s">
        <v>12130</v>
      </c>
      <c r="D46" s="15" t="s">
        <v>12131</v>
      </c>
      <c r="E46" s="24" t="s">
        <v>12132</v>
      </c>
      <c r="F46" s="15" t="s">
        <v>3218</v>
      </c>
      <c r="G46" s="15" t="s">
        <v>330</v>
      </c>
      <c r="H46" s="24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 t="s">
        <v>3402</v>
      </c>
      <c r="W46" s="15" t="s">
        <v>12133</v>
      </c>
      <c r="X46" s="15"/>
      <c r="Y46" s="15"/>
      <c r="Z46" s="15"/>
      <c r="AA46" s="15"/>
      <c r="AB46" s="15"/>
      <c r="AC46" s="15"/>
    </row>
    <row r="47" spans="1:30">
      <c r="A47" s="63"/>
      <c r="B47" s="15"/>
      <c r="C47" s="15" t="s">
        <v>12130</v>
      </c>
      <c r="D47" s="15" t="s">
        <v>12134</v>
      </c>
      <c r="E47" s="24" t="s">
        <v>12135</v>
      </c>
      <c r="F47" s="15" t="s">
        <v>3218</v>
      </c>
      <c r="G47" s="15" t="s">
        <v>330</v>
      </c>
      <c r="H47" s="24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 t="s">
        <v>3402</v>
      </c>
      <c r="W47" s="15" t="s">
        <v>12136</v>
      </c>
      <c r="X47" s="15"/>
      <c r="Y47" s="15"/>
      <c r="Z47" s="15"/>
      <c r="AA47" s="15"/>
      <c r="AB47" s="15"/>
      <c r="AC47" s="15"/>
    </row>
    <row r="48" spans="1:30">
      <c r="A48" s="63"/>
      <c r="B48" s="15"/>
      <c r="C48" s="15" t="s">
        <v>12080</v>
      </c>
      <c r="D48" s="15" t="s">
        <v>12137</v>
      </c>
      <c r="E48" s="24" t="s">
        <v>12138</v>
      </c>
      <c r="F48" s="15" t="s">
        <v>3218</v>
      </c>
      <c r="G48" s="15" t="s">
        <v>330</v>
      </c>
      <c r="H48" s="24"/>
      <c r="I48" s="15"/>
      <c r="J48" s="15"/>
      <c r="K48" s="15">
        <v>145</v>
      </c>
      <c r="L48" s="15">
        <v>298</v>
      </c>
      <c r="M48" s="15"/>
      <c r="N48" s="15"/>
      <c r="O48" s="15"/>
      <c r="P48" s="15"/>
      <c r="Q48" s="15"/>
      <c r="R48" s="15"/>
      <c r="S48" s="15"/>
      <c r="T48" s="15"/>
      <c r="U48" s="15"/>
      <c r="V48" s="15" t="s">
        <v>3402</v>
      </c>
      <c r="W48" s="15" t="s">
        <v>12139</v>
      </c>
      <c r="X48" s="15"/>
      <c r="Y48" s="15"/>
      <c r="Z48" s="15"/>
      <c r="AA48" s="15"/>
      <c r="AB48" s="15"/>
      <c r="AC48" s="15"/>
    </row>
    <row r="49" spans="1:29">
      <c r="A49" s="63"/>
      <c r="B49" s="15"/>
      <c r="C49" s="15" t="s">
        <v>10260</v>
      </c>
      <c r="D49" s="15" t="s">
        <v>12140</v>
      </c>
      <c r="E49" s="24" t="s">
        <v>12141</v>
      </c>
      <c r="F49" s="15" t="s">
        <v>3218</v>
      </c>
      <c r="G49" s="15" t="s">
        <v>330</v>
      </c>
      <c r="H49" s="24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 t="s">
        <v>12142</v>
      </c>
      <c r="W49" s="15"/>
      <c r="X49" s="15"/>
      <c r="Y49" s="15"/>
      <c r="Z49" s="15"/>
      <c r="AA49" s="15"/>
      <c r="AB49" s="15"/>
      <c r="AC49" s="15"/>
    </row>
    <row r="50" spans="1:29">
      <c r="A50" s="63"/>
      <c r="B50" s="15"/>
      <c r="C50" s="15" t="s">
        <v>12143</v>
      </c>
      <c r="D50" s="15" t="s">
        <v>12144</v>
      </c>
      <c r="E50" s="24"/>
      <c r="F50" s="15" t="s">
        <v>12145</v>
      </c>
      <c r="G50" s="15" t="s">
        <v>12146</v>
      </c>
      <c r="H50" s="24"/>
      <c r="I50" s="15"/>
      <c r="J50" s="15"/>
      <c r="K50" s="15">
        <v>136</v>
      </c>
      <c r="L50" s="15">
        <v>220</v>
      </c>
      <c r="M50" s="15"/>
      <c r="N50" s="15"/>
      <c r="O50" s="15"/>
      <c r="P50" s="15"/>
      <c r="Q50" s="15"/>
      <c r="R50" s="15"/>
      <c r="S50" s="15"/>
      <c r="T50" s="15"/>
      <c r="U50" s="15"/>
      <c r="V50" s="15" t="s">
        <v>12147</v>
      </c>
      <c r="W50" s="15"/>
      <c r="X50" s="15"/>
      <c r="Y50" s="15"/>
      <c r="Z50" s="15"/>
      <c r="AA50" s="15"/>
      <c r="AB50" s="15"/>
      <c r="AC50" s="15"/>
    </row>
    <row r="51" spans="1:29">
      <c r="A51" s="63"/>
      <c r="B51" s="15"/>
      <c r="C51" s="15" t="s">
        <v>12143</v>
      </c>
      <c r="D51" s="15" t="s">
        <v>12148</v>
      </c>
      <c r="E51" s="24" t="s">
        <v>12149</v>
      </c>
      <c r="F51" s="15"/>
      <c r="G51" s="15"/>
      <c r="H51" s="24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 t="s">
        <v>11985</v>
      </c>
      <c r="W51" s="15" t="s">
        <v>12150</v>
      </c>
      <c r="X51" s="15"/>
      <c r="Y51" s="15"/>
      <c r="Z51" s="15"/>
      <c r="AA51" s="15"/>
      <c r="AB51" s="15"/>
      <c r="AC51" s="15"/>
    </row>
    <row r="52" spans="1:29">
      <c r="A52" s="63"/>
      <c r="B52" s="15"/>
      <c r="C52" s="15" t="s">
        <v>12143</v>
      </c>
      <c r="D52" s="15" t="s">
        <v>12151</v>
      </c>
      <c r="E52" s="24"/>
      <c r="F52" s="15"/>
      <c r="G52" s="15"/>
      <c r="H52" s="24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 t="s">
        <v>11973</v>
      </c>
      <c r="W52" s="15" t="s">
        <v>12152</v>
      </c>
      <c r="X52" s="15" t="s">
        <v>12153</v>
      </c>
      <c r="Y52" s="15"/>
      <c r="Z52" s="15"/>
      <c r="AA52" s="15"/>
      <c r="AB52" s="15"/>
      <c r="AC52" s="15"/>
    </row>
    <row r="53" spans="1:29">
      <c r="A53" s="63"/>
      <c r="B53" s="15"/>
      <c r="C53" s="15" t="s">
        <v>12143</v>
      </c>
      <c r="D53" s="15" t="s">
        <v>12154</v>
      </c>
      <c r="E53" s="24" t="s">
        <v>12155</v>
      </c>
      <c r="F53" s="15"/>
      <c r="G53" s="15"/>
      <c r="H53" s="24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 t="s">
        <v>11985</v>
      </c>
      <c r="W53" s="15" t="s">
        <v>12156</v>
      </c>
      <c r="X53" s="15"/>
      <c r="Y53" s="15"/>
      <c r="Z53" s="15"/>
      <c r="AA53" s="15"/>
      <c r="AB53" s="15"/>
      <c r="AC53" s="15"/>
    </row>
    <row r="54" spans="1:29">
      <c r="A54" s="63"/>
      <c r="B54" s="15"/>
      <c r="C54" s="15"/>
      <c r="D54" s="15"/>
      <c r="E54" s="24"/>
      <c r="F54" s="15"/>
      <c r="G54" s="15"/>
      <c r="H54" s="24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spans="1:29">
      <c r="A55" s="63"/>
      <c r="B55" s="15"/>
      <c r="C55" s="15"/>
      <c r="D55" s="15"/>
      <c r="E55" s="24"/>
      <c r="F55" s="15"/>
      <c r="G55" s="15"/>
      <c r="H55" s="24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spans="1:29">
      <c r="A56" s="63"/>
      <c r="B56" s="15"/>
      <c r="C56" s="15"/>
      <c r="D56" s="15"/>
      <c r="E56" s="24"/>
      <c r="F56" s="15"/>
      <c r="G56" s="15"/>
      <c r="H56" s="24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spans="1:29">
      <c r="A57" s="63"/>
      <c r="B57" s="15"/>
      <c r="C57" s="15"/>
      <c r="D57" s="15"/>
      <c r="E57" s="24"/>
      <c r="F57" s="15"/>
      <c r="G57" s="15"/>
      <c r="H57" s="24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spans="1:29">
      <c r="A58" s="63"/>
      <c r="B58" s="15"/>
      <c r="C58" s="15"/>
      <c r="D58" s="15"/>
      <c r="E58" s="24"/>
      <c r="F58" s="15"/>
      <c r="G58" s="15"/>
      <c r="H58" s="24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spans="1:29">
      <c r="A59" s="63"/>
      <c r="B59" s="15"/>
      <c r="C59" s="15"/>
      <c r="D59" s="15"/>
      <c r="E59" s="24"/>
      <c r="F59" s="15"/>
      <c r="G59" s="15"/>
      <c r="H59" s="24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spans="1:29">
      <c r="A60" s="63"/>
      <c r="B60" s="15"/>
      <c r="C60" s="15"/>
      <c r="D60" s="15"/>
      <c r="E60" s="24"/>
      <c r="F60" s="15"/>
      <c r="G60" s="15"/>
      <c r="H60" s="2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spans="1:29">
      <c r="A61" s="63"/>
      <c r="B61" s="15"/>
      <c r="C61" s="15"/>
      <c r="D61" s="15"/>
      <c r="E61" s="24"/>
      <c r="F61" s="15"/>
      <c r="G61" s="15"/>
      <c r="H61" s="24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</sheetData>
  <mergeCells count="23">
    <mergeCell ref="N1:U1"/>
    <mergeCell ref="V1:AC1"/>
    <mergeCell ref="P2:Q2"/>
    <mergeCell ref="X2:Y2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N2:N3"/>
    <mergeCell ref="O2:O3"/>
    <mergeCell ref="V2:V3"/>
    <mergeCell ref="W2:W3"/>
    <mergeCell ref="Z2:Z3"/>
    <mergeCell ref="AA2:AA3"/>
    <mergeCell ref="AB2:AB3"/>
    <mergeCell ref="AC2:AC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285"/>
  <sheetViews>
    <sheetView zoomScale="90" zoomScaleNormal="90" workbookViewId="0">
      <pane ySplit="1" topLeftCell="A60" activePane="bottomLeft" state="frozen"/>
      <selection/>
      <selection pane="bottomLeft" activeCell="A1" sqref="A1"/>
    </sheetView>
  </sheetViews>
  <sheetFormatPr defaultColWidth="9" defaultRowHeight="13.5"/>
  <cols>
    <col min="1" max="1" width="11" style="6" customWidth="1"/>
    <col min="2" max="2" width="10.4" style="7" customWidth="1"/>
    <col min="3" max="3" width="11.1" style="7" customWidth="1"/>
    <col min="4" max="4" width="12.9" style="7" customWidth="1"/>
    <col min="5" max="5" width="17.9" style="7" customWidth="1"/>
    <col min="6" max="6" width="14" style="7" customWidth="1"/>
    <col min="7" max="7" width="7" style="7" customWidth="1"/>
    <col min="8" max="8" width="6.6" style="7" customWidth="1"/>
    <col min="9" max="9" width="9.4" style="7" customWidth="1"/>
    <col min="10" max="10" width="11.2" style="6" customWidth="1"/>
    <col min="11" max="11" width="9.2" style="8" customWidth="1"/>
    <col min="12" max="12" width="11" style="8" customWidth="1"/>
    <col min="13" max="14" width="10" style="7" customWidth="1"/>
    <col min="15" max="16" width="10" style="8" customWidth="1"/>
    <col min="17" max="17" width="23.4" style="7" customWidth="1"/>
    <col min="18" max="16384" width="9" style="7"/>
  </cols>
  <sheetData>
    <row r="1" ht="42" customHeight="1" spans="1:18">
      <c r="A1" s="9" t="s">
        <v>12157</v>
      </c>
      <c r="B1" s="10" t="s">
        <v>12158</v>
      </c>
      <c r="C1" s="20" t="s">
        <v>12159</v>
      </c>
      <c r="D1" s="11" t="s">
        <v>12160</v>
      </c>
      <c r="E1" s="11" t="s">
        <v>12161</v>
      </c>
      <c r="F1" s="11" t="s">
        <v>12162</v>
      </c>
      <c r="G1" s="11" t="s">
        <v>12163</v>
      </c>
      <c r="H1" s="11" t="s">
        <v>12164</v>
      </c>
      <c r="I1" s="21" t="s">
        <v>12165</v>
      </c>
      <c r="J1" s="22" t="s">
        <v>12166</v>
      </c>
      <c r="K1" s="13" t="s">
        <v>12167</v>
      </c>
      <c r="L1" s="13" t="s">
        <v>12168</v>
      </c>
      <c r="M1" s="11" t="s">
        <v>12169</v>
      </c>
      <c r="N1" s="11" t="s">
        <v>12170</v>
      </c>
      <c r="O1" s="13" t="s">
        <v>12171</v>
      </c>
      <c r="P1" s="13" t="s">
        <v>12172</v>
      </c>
      <c r="Q1" s="11" t="s">
        <v>12173</v>
      </c>
      <c r="R1" s="7" t="s">
        <v>12174</v>
      </c>
    </row>
    <row r="2" ht="18" hidden="1" customHeight="1" spans="1:18">
      <c r="A2" s="14">
        <v>45770</v>
      </c>
      <c r="B2" s="15" t="s">
        <v>12175</v>
      </c>
      <c r="C2" s="15" t="s">
        <v>723</v>
      </c>
      <c r="D2" s="15" t="str">
        <f>_xlfn.SINGLE(INDEX(样品编号表!Y:Y,_xlfn.SINGLE(MATCH(_xlfn.SINGLE(C:C),样品编号表!H:H,0))))</f>
        <v>光大纺织</v>
      </c>
      <c r="E2" s="15" t="str">
        <f>_xlfn.SINGLE(INDEX(样品编号表!Z:Z,_xlfn.SINGLE(MATCH(_xlfn.SINGLE(C:C),样品编号表!H:H,0))))</f>
        <v>C580</v>
      </c>
      <c r="F2" s="15" t="s">
        <v>12176</v>
      </c>
      <c r="G2" s="15">
        <v>7</v>
      </c>
      <c r="H2" s="15" t="s">
        <v>12177</v>
      </c>
      <c r="I2" s="15">
        <v>7</v>
      </c>
      <c r="J2" s="14">
        <v>45771</v>
      </c>
      <c r="K2" s="16">
        <v>17</v>
      </c>
      <c r="L2" s="16">
        <f t="shared" ref="L2:L65" si="0">I2*K2</f>
        <v>119</v>
      </c>
      <c r="M2" s="15" t="s">
        <v>12178</v>
      </c>
      <c r="N2" s="15">
        <f>_xlfn.SINGLE(INDEX(样品编号表!AA:AA,_xlfn.SINGLE(MATCH(_xlfn.SINGLE(C:C),样品编号表!H:H,0))))</f>
        <v>9.8</v>
      </c>
      <c r="O2" s="16">
        <v>14</v>
      </c>
      <c r="P2" s="16">
        <f t="shared" ref="P2:P65" si="1">I2*O2</f>
        <v>98</v>
      </c>
      <c r="Q2" s="15"/>
      <c r="R2" s="7" t="s">
        <v>12179</v>
      </c>
    </row>
    <row r="3" ht="18" hidden="1" customHeight="1" spans="1:18">
      <c r="A3" s="14">
        <v>45793</v>
      </c>
      <c r="B3" s="15" t="s">
        <v>12180</v>
      </c>
      <c r="C3" s="15" t="s">
        <v>430</v>
      </c>
      <c r="D3" s="15" t="str">
        <f>_xlfn.SINGLE(INDEX(样品编号表!Y:Y,_xlfn.SINGLE(MATCH(_xlfn.SINGLE(C:C),样品编号表!H:H,0))))</f>
        <v>昌勋纺织</v>
      </c>
      <c r="E3" s="15" t="str">
        <f>_xlfn.SINGLE(INDEX(样品编号表!Z:Z,_xlfn.SINGLE(MATCH(_xlfn.SINGLE(C:C),样品编号表!H:H,0))))</f>
        <v>C734</v>
      </c>
      <c r="F3" s="15" t="s">
        <v>12181</v>
      </c>
      <c r="G3" s="15">
        <v>4</v>
      </c>
      <c r="H3" s="15" t="s">
        <v>12177</v>
      </c>
      <c r="I3" s="15">
        <v>4</v>
      </c>
      <c r="J3" s="14">
        <v>45796</v>
      </c>
      <c r="K3" s="16">
        <v>22</v>
      </c>
      <c r="L3" s="16">
        <f t="shared" si="0"/>
        <v>88</v>
      </c>
      <c r="M3" s="15" t="s">
        <v>12178</v>
      </c>
      <c r="N3" s="15">
        <f>_xlfn.SINGLE(INDEX(样品编号表!AA:AA,_xlfn.SINGLE(MATCH(_xlfn.SINGLE(C:C),样品编号表!H:H,0))))</f>
        <v>10.8</v>
      </c>
      <c r="O3" s="16">
        <v>14</v>
      </c>
      <c r="P3" s="16">
        <f t="shared" si="1"/>
        <v>56</v>
      </c>
      <c r="Q3" s="15"/>
      <c r="R3" s="7" t="s">
        <v>12179</v>
      </c>
    </row>
    <row r="4" ht="18" hidden="1" customHeight="1" spans="1:18">
      <c r="A4" s="14">
        <v>45801</v>
      </c>
      <c r="B4" s="15" t="s">
        <v>12182</v>
      </c>
      <c r="C4" s="15" t="s">
        <v>12183</v>
      </c>
      <c r="D4" s="15" t="s">
        <v>3147</v>
      </c>
      <c r="E4" s="15" t="s">
        <v>12184</v>
      </c>
      <c r="F4" s="15" t="s">
        <v>12185</v>
      </c>
      <c r="G4" s="15">
        <v>20</v>
      </c>
      <c r="H4" s="15" t="s">
        <v>12177</v>
      </c>
      <c r="I4" s="15">
        <v>20</v>
      </c>
      <c r="J4" s="14">
        <v>45803</v>
      </c>
      <c r="K4" s="16">
        <v>15.6</v>
      </c>
      <c r="L4" s="16">
        <f t="shared" si="0"/>
        <v>312</v>
      </c>
      <c r="M4" s="15" t="s">
        <v>12178</v>
      </c>
      <c r="N4" s="15">
        <v>11</v>
      </c>
      <c r="O4" s="16">
        <v>11</v>
      </c>
      <c r="P4" s="16">
        <f t="shared" si="1"/>
        <v>220</v>
      </c>
      <c r="Q4" s="15"/>
      <c r="R4" s="7" t="s">
        <v>12179</v>
      </c>
    </row>
    <row r="5" ht="18" hidden="1" customHeight="1" spans="1:18">
      <c r="A5" s="14">
        <v>45803</v>
      </c>
      <c r="B5" s="15" t="s">
        <v>12175</v>
      </c>
      <c r="C5" s="15" t="s">
        <v>723</v>
      </c>
      <c r="D5" s="15" t="str">
        <f>_xlfn.SINGLE(INDEX(样品编号表!Y:Y,_xlfn.SINGLE(MATCH(_xlfn.SINGLE(C:C),样品编号表!H:H,0))))</f>
        <v>光大纺织</v>
      </c>
      <c r="E5" s="15" t="str">
        <f>_xlfn.SINGLE(INDEX(样品编号表!Z:Z,_xlfn.SINGLE(MATCH(_xlfn.SINGLE(C:C),样品编号表!H:H,0))))</f>
        <v>C580</v>
      </c>
      <c r="F5" s="15" t="s">
        <v>12186</v>
      </c>
      <c r="G5" s="15">
        <v>2</v>
      </c>
      <c r="H5" s="15" t="s">
        <v>12177</v>
      </c>
      <c r="I5" s="15">
        <v>2</v>
      </c>
      <c r="J5" s="14">
        <v>45804</v>
      </c>
      <c r="K5" s="16">
        <v>17</v>
      </c>
      <c r="L5" s="16">
        <f t="shared" si="0"/>
        <v>34</v>
      </c>
      <c r="M5" s="15" t="s">
        <v>12178</v>
      </c>
      <c r="N5" s="15">
        <f>_xlfn.SINGLE(INDEX(样品编号表!AA:AA,_xlfn.SINGLE(MATCH(_xlfn.SINGLE(C:C),样品编号表!H:H,0))))</f>
        <v>9.8</v>
      </c>
      <c r="O5" s="16">
        <v>14</v>
      </c>
      <c r="P5" s="16">
        <f t="shared" si="1"/>
        <v>28</v>
      </c>
      <c r="Q5" s="15"/>
      <c r="R5" s="7" t="s">
        <v>12179</v>
      </c>
    </row>
    <row r="6" ht="18" hidden="1" customHeight="1" spans="1:18">
      <c r="A6" s="14">
        <v>45803</v>
      </c>
      <c r="B6" s="15" t="s">
        <v>12175</v>
      </c>
      <c r="C6" s="15" t="s">
        <v>723</v>
      </c>
      <c r="D6" s="15" t="str">
        <f>_xlfn.SINGLE(INDEX(样品编号表!Y:Y,_xlfn.SINGLE(MATCH(_xlfn.SINGLE(C:C),样品编号表!H:H,0))))</f>
        <v>光大纺织</v>
      </c>
      <c r="E6" s="15" t="str">
        <f>_xlfn.SINGLE(INDEX(样品编号表!Z:Z,_xlfn.SINGLE(MATCH(_xlfn.SINGLE(C:C),样品编号表!H:H,0))))</f>
        <v>C580</v>
      </c>
      <c r="F6" s="15" t="s">
        <v>12187</v>
      </c>
      <c r="G6" s="15">
        <v>1</v>
      </c>
      <c r="H6" s="15" t="s">
        <v>12177</v>
      </c>
      <c r="I6" s="15">
        <v>1</v>
      </c>
      <c r="J6" s="14">
        <v>45804</v>
      </c>
      <c r="K6" s="16">
        <v>17</v>
      </c>
      <c r="L6" s="16">
        <f t="shared" si="0"/>
        <v>17</v>
      </c>
      <c r="M6" s="15" t="s">
        <v>12178</v>
      </c>
      <c r="N6" s="15">
        <f>_xlfn.SINGLE(INDEX(样品编号表!AA:AA,_xlfn.SINGLE(MATCH(_xlfn.SINGLE(C:C),样品编号表!H:H,0))))</f>
        <v>9.8</v>
      </c>
      <c r="O6" s="16">
        <v>14</v>
      </c>
      <c r="P6" s="16">
        <f t="shared" si="1"/>
        <v>14</v>
      </c>
      <c r="Q6" s="15"/>
      <c r="R6" s="7" t="s">
        <v>12179</v>
      </c>
    </row>
    <row r="7" ht="18" hidden="1" customHeight="1" spans="1:18">
      <c r="A7" s="14">
        <v>45814</v>
      </c>
      <c r="B7" s="15" t="s">
        <v>12188</v>
      </c>
      <c r="C7" s="15" t="s">
        <v>164</v>
      </c>
      <c r="D7" s="15" t="str">
        <f>_xlfn.SINGLE(INDEX(样品编号表!Y:Y,_xlfn.SINGLE(MATCH(_xlfn.SINGLE(C:C),样品编号表!H:H,0))))</f>
        <v>金绣</v>
      </c>
      <c r="E7" s="15" t="str">
        <f>_xlfn.SINGLE(INDEX(样品编号表!Z:Z,_xlfn.SINGLE(MATCH(_xlfn.SINGLE(C:C),样品编号表!H:H,0))))</f>
        <v>A2185</v>
      </c>
      <c r="F7" s="15" t="s">
        <v>12185</v>
      </c>
      <c r="G7" s="15">
        <v>6</v>
      </c>
      <c r="H7" s="15" t="s">
        <v>12177</v>
      </c>
      <c r="I7" s="15">
        <v>6</v>
      </c>
      <c r="J7" s="14">
        <v>45815</v>
      </c>
      <c r="K7" s="16">
        <v>33</v>
      </c>
      <c r="L7" s="16">
        <f t="shared" si="0"/>
        <v>198</v>
      </c>
      <c r="M7" s="15" t="s">
        <v>12178</v>
      </c>
      <c r="N7" s="15">
        <f>_xlfn.SINGLE(INDEX(样品编号表!AA:AA,_xlfn.SINGLE(MATCH(_xlfn.SINGLE(C:C),样品编号表!H:H,0))))</f>
        <v>14.6</v>
      </c>
      <c r="O7" s="16">
        <v>25</v>
      </c>
      <c r="P7" s="16">
        <f t="shared" si="1"/>
        <v>150</v>
      </c>
      <c r="Q7" s="15"/>
      <c r="R7" s="7" t="s">
        <v>12179</v>
      </c>
    </row>
    <row r="8" ht="18" hidden="1" customHeight="1" spans="1:18">
      <c r="A8" s="14">
        <v>45814</v>
      </c>
      <c r="B8" s="15" t="s">
        <v>12188</v>
      </c>
      <c r="C8" s="15" t="s">
        <v>174</v>
      </c>
      <c r="D8" s="15" t="str">
        <f>_xlfn.SINGLE(INDEX(样品编号表!Y:Y,_xlfn.SINGLE(MATCH(_xlfn.SINGLE(C:C),样品编号表!H:H,0))))</f>
        <v>真成纺织</v>
      </c>
      <c r="E8" s="15" t="str">
        <f>_xlfn.SINGLE(INDEX(样品编号表!Z:Z,_xlfn.SINGLE(MATCH(_xlfn.SINGLE(C:C),样品编号表!H:H,0))))</f>
        <v>B-894</v>
      </c>
      <c r="F8" s="15" t="s">
        <v>12185</v>
      </c>
      <c r="G8" s="15">
        <v>3</v>
      </c>
      <c r="H8" s="15" t="s">
        <v>12177</v>
      </c>
      <c r="I8" s="15">
        <v>3</v>
      </c>
      <c r="J8" s="14">
        <v>45815</v>
      </c>
      <c r="K8" s="16">
        <v>33.7</v>
      </c>
      <c r="L8" s="16">
        <f t="shared" si="0"/>
        <v>101.1</v>
      </c>
      <c r="M8" s="15" t="s">
        <v>12178</v>
      </c>
      <c r="N8" s="15">
        <f>_xlfn.SINGLE(INDEX(样品编号表!AA:AA,_xlfn.SINGLE(MATCH(_xlfn.SINGLE(C:C),样品编号表!H:H,0))))</f>
        <v>16.5</v>
      </c>
      <c r="O8" s="16">
        <v>25</v>
      </c>
      <c r="P8" s="16">
        <f t="shared" si="1"/>
        <v>75</v>
      </c>
      <c r="Q8" s="15"/>
      <c r="R8" s="7" t="s">
        <v>12179</v>
      </c>
    </row>
    <row r="9" ht="18" hidden="1" customHeight="1" spans="1:18">
      <c r="A9" s="14">
        <v>45817</v>
      </c>
      <c r="B9" s="15" t="s">
        <v>12189</v>
      </c>
      <c r="C9" s="15" t="s">
        <v>910</v>
      </c>
      <c r="D9" s="15" t="str">
        <f>_xlfn.SINGLE(INDEX(样品编号表!Y:Y,_xlfn.SINGLE(MATCH(_xlfn.SINGLE(C:C),样品编号表!H:H,0))))</f>
        <v>年年发纺织</v>
      </c>
      <c r="E9" s="15" t="str">
        <f>_xlfn.SINGLE(INDEX(样品编号表!Z:Z,_xlfn.SINGLE(MATCH(_xlfn.SINGLE(C:C),样品编号表!H:H,0))))</f>
        <v>303#</v>
      </c>
      <c r="F9" s="15" t="s">
        <v>12190</v>
      </c>
      <c r="G9" s="15">
        <v>4</v>
      </c>
      <c r="H9" s="15" t="s">
        <v>12177</v>
      </c>
      <c r="I9" s="15">
        <v>4</v>
      </c>
      <c r="J9" s="14">
        <v>45818</v>
      </c>
      <c r="K9" s="16">
        <v>21</v>
      </c>
      <c r="L9" s="16">
        <f t="shared" si="0"/>
        <v>84</v>
      </c>
      <c r="M9" s="15" t="s">
        <v>12178</v>
      </c>
      <c r="N9" s="15">
        <f>_xlfn.SINGLE(INDEX(样品编号表!AA:AA,_xlfn.SINGLE(MATCH(_xlfn.SINGLE(C:C),样品编号表!H:H,0))))</f>
        <v>11.3</v>
      </c>
      <c r="O9" s="16">
        <v>15</v>
      </c>
      <c r="P9" s="16">
        <f t="shared" si="1"/>
        <v>60</v>
      </c>
      <c r="Q9" s="15"/>
      <c r="R9" s="7" t="s">
        <v>12179</v>
      </c>
    </row>
    <row r="10" ht="18" hidden="1" customHeight="1" spans="1:18">
      <c r="A10" s="14">
        <v>45818</v>
      </c>
      <c r="B10" s="15" t="s">
        <v>12180</v>
      </c>
      <c r="C10" s="15" t="s">
        <v>723</v>
      </c>
      <c r="D10" s="15" t="str">
        <f>_xlfn.SINGLE(INDEX(样品编号表!Y:Y,_xlfn.SINGLE(MATCH(_xlfn.SINGLE(C:C),样品编号表!H:H,0))))</f>
        <v>光大纺织</v>
      </c>
      <c r="E10" s="15" t="str">
        <f>_xlfn.SINGLE(INDEX(样品编号表!Z:Z,_xlfn.SINGLE(MATCH(_xlfn.SINGLE(C:C),样品编号表!H:H,0))))</f>
        <v>C580</v>
      </c>
      <c r="F10" s="15" t="s">
        <v>12191</v>
      </c>
      <c r="G10" s="15">
        <v>6</v>
      </c>
      <c r="H10" s="15" t="s">
        <v>12177</v>
      </c>
      <c r="I10" s="15">
        <v>6</v>
      </c>
      <c r="J10" s="14">
        <v>45819</v>
      </c>
      <c r="K10" s="16">
        <v>17</v>
      </c>
      <c r="L10" s="16">
        <f t="shared" si="0"/>
        <v>102</v>
      </c>
      <c r="M10" s="15" t="s">
        <v>12178</v>
      </c>
      <c r="N10" s="15">
        <f>_xlfn.SINGLE(INDEX(样品编号表!AA:AA,_xlfn.SINGLE(MATCH(_xlfn.SINGLE(C:C),样品编号表!H:H,0))))</f>
        <v>9.8</v>
      </c>
      <c r="O10" s="16">
        <v>14</v>
      </c>
      <c r="P10" s="16">
        <f t="shared" si="1"/>
        <v>84</v>
      </c>
      <c r="Q10" s="15"/>
      <c r="R10" s="7" t="s">
        <v>12179</v>
      </c>
    </row>
    <row r="11" ht="18" hidden="1" customHeight="1" spans="1:18">
      <c r="A11" s="14">
        <v>45828</v>
      </c>
      <c r="B11" s="15" t="s">
        <v>12175</v>
      </c>
      <c r="C11" s="15" t="s">
        <v>723</v>
      </c>
      <c r="D11" s="15" t="str">
        <f>_xlfn.SINGLE(INDEX(样品编号表!Y:Y,_xlfn.SINGLE(MATCH(_xlfn.SINGLE(C:C),样品编号表!H:H,0))))</f>
        <v>光大纺织</v>
      </c>
      <c r="E11" s="15" t="str">
        <f>_xlfn.SINGLE(INDEX(样品编号表!Z:Z,_xlfn.SINGLE(MATCH(_xlfn.SINGLE(C:C),样品编号表!H:H,0))))</f>
        <v>C580</v>
      </c>
      <c r="F11" s="15" t="s">
        <v>12186</v>
      </c>
      <c r="G11" s="15">
        <v>2</v>
      </c>
      <c r="H11" s="15" t="s">
        <v>12177</v>
      </c>
      <c r="I11" s="15">
        <v>2</v>
      </c>
      <c r="J11" s="14">
        <v>45829</v>
      </c>
      <c r="K11" s="16">
        <v>17</v>
      </c>
      <c r="L11" s="16">
        <f t="shared" si="0"/>
        <v>34</v>
      </c>
      <c r="M11" s="15" t="s">
        <v>12178</v>
      </c>
      <c r="N11" s="15">
        <f>_xlfn.SINGLE(INDEX(样品编号表!AA:AA,_xlfn.SINGLE(MATCH(_xlfn.SINGLE(C:C),样品编号表!H:H,0))))</f>
        <v>9.8</v>
      </c>
      <c r="O11" s="16">
        <v>14</v>
      </c>
      <c r="P11" s="16">
        <f t="shared" si="1"/>
        <v>28</v>
      </c>
      <c r="Q11" s="15"/>
      <c r="R11" s="7" t="s">
        <v>12179</v>
      </c>
    </row>
    <row r="12" ht="18" hidden="1" customHeight="1" spans="1:18">
      <c r="A12" s="14">
        <v>45842</v>
      </c>
      <c r="B12" s="15" t="s">
        <v>12182</v>
      </c>
      <c r="C12" s="15" t="s">
        <v>12183</v>
      </c>
      <c r="D12" s="15" t="s">
        <v>3147</v>
      </c>
      <c r="E12" s="15" t="s">
        <v>12184</v>
      </c>
      <c r="F12" s="15" t="s">
        <v>12185</v>
      </c>
      <c r="G12" s="15">
        <v>20</v>
      </c>
      <c r="H12" s="15" t="s">
        <v>12177</v>
      </c>
      <c r="I12" s="15">
        <v>20</v>
      </c>
      <c r="J12" s="14">
        <v>45843</v>
      </c>
      <c r="K12" s="16">
        <v>15.6</v>
      </c>
      <c r="L12" s="16">
        <f t="shared" si="0"/>
        <v>312</v>
      </c>
      <c r="M12" s="15" t="s">
        <v>12178</v>
      </c>
      <c r="N12" s="15">
        <v>11</v>
      </c>
      <c r="O12" s="16">
        <v>11</v>
      </c>
      <c r="P12" s="16">
        <f t="shared" si="1"/>
        <v>220</v>
      </c>
      <c r="Q12" s="15"/>
      <c r="R12" s="7" t="s">
        <v>12179</v>
      </c>
    </row>
    <row r="13" ht="18" hidden="1" customHeight="1" spans="1:18">
      <c r="A13" s="14">
        <v>45847</v>
      </c>
      <c r="B13" s="15" t="s">
        <v>12188</v>
      </c>
      <c r="C13" s="15" t="s">
        <v>121</v>
      </c>
      <c r="D13" s="15" t="str">
        <f>_xlfn.SINGLE(INDEX(样品编号表!Y:Y,_xlfn.SINGLE(MATCH(_xlfn.SINGLE(C:C),样品编号表!H:H,0))))</f>
        <v>星海</v>
      </c>
      <c r="E13" s="15" t="str">
        <f>_xlfn.SINGLE(INDEX(样品编号表!Z:Z,_xlfn.SINGLE(MATCH(_xlfn.SINGLE(C:C),样品编号表!H:H,0))))</f>
        <v>2C1505</v>
      </c>
      <c r="F13" s="15" t="s">
        <v>12192</v>
      </c>
      <c r="G13" s="15">
        <v>2</v>
      </c>
      <c r="H13" s="15" t="s">
        <v>12177</v>
      </c>
      <c r="I13" s="15">
        <v>2</v>
      </c>
      <c r="J13" s="14">
        <v>45850</v>
      </c>
      <c r="K13" s="16">
        <v>30</v>
      </c>
      <c r="L13" s="16">
        <f t="shared" si="0"/>
        <v>60</v>
      </c>
      <c r="M13" s="15" t="s">
        <v>12178</v>
      </c>
      <c r="N13" s="15">
        <f>_xlfn.SINGLE(INDEX(样品编号表!AA:AA,_xlfn.SINGLE(MATCH(_xlfn.SINGLE(C:C),样品编号表!H:H,0))))</f>
        <v>17.2</v>
      </c>
      <c r="O13" s="31">
        <v>30</v>
      </c>
      <c r="P13" s="16">
        <f t="shared" si="1"/>
        <v>60</v>
      </c>
      <c r="Q13" s="15"/>
      <c r="R13" s="7" t="s">
        <v>12179</v>
      </c>
    </row>
    <row r="14" ht="18" hidden="1" customHeight="1" spans="1:18">
      <c r="A14" s="14">
        <v>45847</v>
      </c>
      <c r="B14" s="15" t="s">
        <v>12188</v>
      </c>
      <c r="C14" s="15" t="s">
        <v>121</v>
      </c>
      <c r="D14" s="15" t="str">
        <f>_xlfn.SINGLE(INDEX(样品编号表!Y:Y,_xlfn.SINGLE(MATCH(_xlfn.SINGLE(C:C),样品编号表!H:H,0))))</f>
        <v>星海</v>
      </c>
      <c r="E14" s="15" t="str">
        <f>_xlfn.SINGLE(INDEX(样品编号表!Z:Z,_xlfn.SINGLE(MATCH(_xlfn.SINGLE(C:C),样品编号表!H:H,0))))</f>
        <v>2C1505</v>
      </c>
      <c r="F14" s="15" t="s">
        <v>12193</v>
      </c>
      <c r="G14" s="15">
        <v>2</v>
      </c>
      <c r="H14" s="15" t="s">
        <v>12177</v>
      </c>
      <c r="I14" s="15">
        <v>2</v>
      </c>
      <c r="J14" s="14">
        <v>45850</v>
      </c>
      <c r="K14" s="16">
        <v>30</v>
      </c>
      <c r="L14" s="16">
        <f t="shared" si="0"/>
        <v>60</v>
      </c>
      <c r="M14" s="15" t="s">
        <v>12178</v>
      </c>
      <c r="N14" s="15">
        <f>_xlfn.SINGLE(INDEX(样品编号表!AA:AA,_xlfn.SINGLE(MATCH(_xlfn.SINGLE(C:C),样品编号表!H:H,0))))</f>
        <v>17.2</v>
      </c>
      <c r="O14" s="31">
        <v>30</v>
      </c>
      <c r="P14" s="16">
        <f t="shared" si="1"/>
        <v>60</v>
      </c>
      <c r="Q14" s="15"/>
      <c r="R14" s="7" t="s">
        <v>12179</v>
      </c>
    </row>
    <row r="15" ht="18" hidden="1" customHeight="1" spans="1:18">
      <c r="A15" s="14">
        <v>45854</v>
      </c>
      <c r="B15" s="15" t="s">
        <v>12194</v>
      </c>
      <c r="C15" s="15" t="s">
        <v>2183</v>
      </c>
      <c r="D15" s="15" t="str">
        <f>_xlfn.SINGLE(INDEX(样品编号表!Y:Y,_xlfn.SINGLE(MATCH(_xlfn.SINGLE(C:C),样品编号表!H:H,0))))</f>
        <v>恒鑫</v>
      </c>
      <c r="E15" s="15" t="str">
        <f>_xlfn.SINGLE(INDEX(样品编号表!Z:Z,_xlfn.SINGLE(MATCH(_xlfn.SINGLE(C:C),样品编号表!H:H,0))))</f>
        <v>1090A#</v>
      </c>
      <c r="F15" s="15" t="s">
        <v>12191</v>
      </c>
      <c r="G15" s="15">
        <v>1</v>
      </c>
      <c r="H15" s="15" t="s">
        <v>12177</v>
      </c>
      <c r="I15" s="15">
        <v>1</v>
      </c>
      <c r="J15" s="14">
        <v>45855</v>
      </c>
      <c r="K15" s="16">
        <v>26</v>
      </c>
      <c r="L15" s="16">
        <f t="shared" si="0"/>
        <v>26</v>
      </c>
      <c r="M15" s="15" t="s">
        <v>12178</v>
      </c>
      <c r="N15" s="15">
        <f>_xlfn.SINGLE(INDEX(样品编号表!AA:AA,_xlfn.SINGLE(MATCH(_xlfn.SINGLE(C:C),样品编号表!H:H,0))))</f>
        <v>13.5</v>
      </c>
      <c r="O15" s="16">
        <v>20</v>
      </c>
      <c r="P15" s="16">
        <f t="shared" si="1"/>
        <v>20</v>
      </c>
      <c r="Q15" s="15"/>
      <c r="R15" s="7" t="s">
        <v>12179</v>
      </c>
    </row>
    <row r="16" ht="18" hidden="1" customHeight="1" spans="1:18">
      <c r="A16" s="14">
        <v>45863</v>
      </c>
      <c r="B16" s="15" t="s">
        <v>12175</v>
      </c>
      <c r="C16" s="15" t="s">
        <v>723</v>
      </c>
      <c r="D16" s="15" t="str">
        <f>_xlfn.SINGLE(INDEX(样品编号表!Y:Y,_xlfn.SINGLE(MATCH(_xlfn.SINGLE(C:C),样品编号表!H:H,0))))</f>
        <v>光大纺织</v>
      </c>
      <c r="E16" s="15" t="str">
        <f>_xlfn.SINGLE(INDEX(样品编号表!Z:Z,_xlfn.SINGLE(MATCH(_xlfn.SINGLE(C:C),样品编号表!H:H,0))))</f>
        <v>C580</v>
      </c>
      <c r="F16" s="15" t="s">
        <v>12187</v>
      </c>
      <c r="G16" s="15">
        <v>1</v>
      </c>
      <c r="H16" s="15" t="s">
        <v>12177</v>
      </c>
      <c r="I16" s="15">
        <v>1</v>
      </c>
      <c r="J16" s="14">
        <v>45866</v>
      </c>
      <c r="K16" s="16">
        <v>17</v>
      </c>
      <c r="L16" s="16">
        <f t="shared" si="0"/>
        <v>17</v>
      </c>
      <c r="M16" s="15" t="s">
        <v>12178</v>
      </c>
      <c r="N16" s="15">
        <f>_xlfn.SINGLE(INDEX(样品编号表!AA:AA,_xlfn.SINGLE(MATCH(_xlfn.SINGLE(C:C),样品编号表!H:H,0))))</f>
        <v>9.8</v>
      </c>
      <c r="O16" s="16">
        <v>14</v>
      </c>
      <c r="P16" s="16">
        <f t="shared" si="1"/>
        <v>14</v>
      </c>
      <c r="Q16" s="15"/>
      <c r="R16" s="7" t="s">
        <v>12179</v>
      </c>
    </row>
    <row r="17" ht="18" hidden="1" customHeight="1" spans="1:18">
      <c r="A17" s="14">
        <v>45869</v>
      </c>
      <c r="B17" s="15" t="s">
        <v>12195</v>
      </c>
      <c r="C17" s="15" t="s">
        <v>495</v>
      </c>
      <c r="D17" s="15" t="str">
        <f>_xlfn.SINGLE(INDEX(样品编号表!Y:Y,_xlfn.SINGLE(MATCH(_xlfn.SINGLE(C:C),样品编号表!H:H,0))))</f>
        <v>马利布行</v>
      </c>
      <c r="E17" s="15" t="str">
        <f>_xlfn.SINGLE(INDEX(样品编号表!Z:Z,_xlfn.SINGLE(MATCH(_xlfn.SINGLE(C:C),样品编号表!H:H,0))))</f>
        <v>10172#</v>
      </c>
      <c r="F17" s="15" t="s">
        <v>12196</v>
      </c>
      <c r="G17" s="15">
        <v>3</v>
      </c>
      <c r="H17" s="15" t="s">
        <v>12177</v>
      </c>
      <c r="I17" s="15">
        <v>3</v>
      </c>
      <c r="J17" s="14">
        <v>45871</v>
      </c>
      <c r="K17" s="16">
        <v>25.7</v>
      </c>
      <c r="L17" s="16">
        <f t="shared" si="0"/>
        <v>77.1</v>
      </c>
      <c r="M17" s="15" t="s">
        <v>12178</v>
      </c>
      <c r="N17" s="15">
        <f>_xlfn.SINGLE(INDEX(样品编号表!AA:AA,_xlfn.SINGLE(MATCH(_xlfn.SINGLE(C:C),样品编号表!H:H,0))))</f>
        <v>12.2</v>
      </c>
      <c r="O17" s="16">
        <v>17</v>
      </c>
      <c r="P17" s="16">
        <f t="shared" si="1"/>
        <v>51</v>
      </c>
      <c r="Q17" s="15"/>
      <c r="R17" s="7" t="s">
        <v>12179</v>
      </c>
    </row>
    <row r="18" ht="18" hidden="1" customHeight="1" spans="1:18">
      <c r="A18" s="14">
        <v>45874</v>
      </c>
      <c r="B18" s="15" t="s">
        <v>12188</v>
      </c>
      <c r="C18" s="15" t="s">
        <v>2916</v>
      </c>
      <c r="D18" s="15" t="str">
        <f>_xlfn.SINGLE(INDEX(样品编号表!Y:Y,_xlfn.SINGLE(MATCH(_xlfn.SINGLE(C:C),样品编号表!H:H,0))))</f>
        <v>万利行</v>
      </c>
      <c r="E18" s="15" t="str">
        <f>_xlfn.SINGLE(INDEX(样品编号表!Z:Z,_xlfn.SINGLE(MATCH(_xlfn.SINGLE(C:C),样品编号表!H:H,0))))</f>
        <v>521-2#</v>
      </c>
      <c r="F18" s="15" t="s">
        <v>12197</v>
      </c>
      <c r="G18" s="15">
        <v>7</v>
      </c>
      <c r="H18" s="15" t="s">
        <v>12177</v>
      </c>
      <c r="I18" s="15">
        <v>7</v>
      </c>
      <c r="J18" s="14">
        <v>45880</v>
      </c>
      <c r="K18" s="16">
        <v>21.1</v>
      </c>
      <c r="L18" s="16">
        <f t="shared" si="0"/>
        <v>147.7</v>
      </c>
      <c r="M18" s="15" t="s">
        <v>12178</v>
      </c>
      <c r="N18" s="15">
        <f>_xlfn.SINGLE(INDEX(样品编号表!AA:AA,_xlfn.SINGLE(MATCH(_xlfn.SINGLE(C:C),样品编号表!H:H,0))))</f>
        <v>10.5</v>
      </c>
      <c r="O18" s="16">
        <v>16</v>
      </c>
      <c r="P18" s="16">
        <f t="shared" si="1"/>
        <v>112</v>
      </c>
      <c r="Q18" s="15"/>
      <c r="R18" s="7" t="s">
        <v>12179</v>
      </c>
    </row>
    <row r="19" ht="18" hidden="1" customHeight="1" spans="1:18">
      <c r="A19" s="14">
        <v>45874</v>
      </c>
      <c r="B19" s="15" t="s">
        <v>12188</v>
      </c>
      <c r="C19" s="15" t="s">
        <v>2916</v>
      </c>
      <c r="D19" s="15" t="str">
        <f>_xlfn.SINGLE(INDEX(样品编号表!Y:Y,_xlfn.SINGLE(MATCH(_xlfn.SINGLE(C:C),样品编号表!H:H,0))))</f>
        <v>万利行</v>
      </c>
      <c r="E19" s="15" t="str">
        <f>_xlfn.SINGLE(INDEX(样品编号表!Z:Z,_xlfn.SINGLE(MATCH(_xlfn.SINGLE(C:C),样品编号表!H:H,0))))</f>
        <v>521-2#</v>
      </c>
      <c r="F19" s="15" t="s">
        <v>12198</v>
      </c>
      <c r="G19" s="15">
        <v>23</v>
      </c>
      <c r="H19" s="15" t="s">
        <v>12177</v>
      </c>
      <c r="I19" s="15">
        <v>23</v>
      </c>
      <c r="J19" s="14">
        <v>45880</v>
      </c>
      <c r="K19" s="16">
        <v>21.1</v>
      </c>
      <c r="L19" s="16">
        <f t="shared" si="0"/>
        <v>485.3</v>
      </c>
      <c r="M19" s="15" t="s">
        <v>12178</v>
      </c>
      <c r="N19" s="15">
        <f>_xlfn.SINGLE(INDEX(样品编号表!AA:AA,_xlfn.SINGLE(MATCH(_xlfn.SINGLE(C:C),样品编号表!H:H,0))))</f>
        <v>10.5</v>
      </c>
      <c r="O19" s="16">
        <v>11</v>
      </c>
      <c r="P19" s="16">
        <f t="shared" si="1"/>
        <v>253</v>
      </c>
      <c r="Q19" s="15"/>
      <c r="R19" s="7" t="s">
        <v>12179</v>
      </c>
    </row>
    <row r="20" ht="18" hidden="1" customHeight="1" spans="1:18">
      <c r="A20" s="14">
        <v>45875</v>
      </c>
      <c r="B20" s="15" t="s">
        <v>12199</v>
      </c>
      <c r="C20" s="15" t="s">
        <v>2113</v>
      </c>
      <c r="D20" s="15" t="str">
        <f>_xlfn.SINGLE(INDEX(样品编号表!Y:Y,_xlfn.SINGLE(MATCH(_xlfn.SINGLE(C:C),样品编号表!H:H,0))))</f>
        <v>凯盛亨</v>
      </c>
      <c r="E20" s="15" t="str">
        <f>_xlfn.SINGLE(INDEX(样品编号表!Z:Z,_xlfn.SINGLE(MATCH(_xlfn.SINGLE(C:C),样品编号表!H:H,0))))</f>
        <v>839#</v>
      </c>
      <c r="F20" s="15" t="s">
        <v>12191</v>
      </c>
      <c r="G20" s="15">
        <v>3</v>
      </c>
      <c r="H20" s="15" t="s">
        <v>12177</v>
      </c>
      <c r="I20" s="15">
        <v>3</v>
      </c>
      <c r="J20" s="14">
        <v>45879</v>
      </c>
      <c r="K20" s="16">
        <v>20</v>
      </c>
      <c r="L20" s="16">
        <f t="shared" si="0"/>
        <v>60</v>
      </c>
      <c r="M20" s="15" t="s">
        <v>12200</v>
      </c>
      <c r="N20" s="15">
        <f>_xlfn.SINGLE(INDEX(样品编号表!AA:AA,_xlfn.SINGLE(MATCH(_xlfn.SINGLE(C:C),样品编号表!H:H,0))))</f>
        <v>11.3</v>
      </c>
      <c r="O20" s="16">
        <v>16</v>
      </c>
      <c r="P20" s="16">
        <f t="shared" si="1"/>
        <v>48</v>
      </c>
      <c r="Q20" s="15"/>
      <c r="R20" s="7" t="s">
        <v>12179</v>
      </c>
    </row>
    <row r="21" ht="18" hidden="1" customHeight="1" spans="1:18">
      <c r="A21" s="14">
        <v>45876</v>
      </c>
      <c r="B21" s="15" t="s">
        <v>12180</v>
      </c>
      <c r="C21" s="15" t="s">
        <v>723</v>
      </c>
      <c r="D21" s="15" t="str">
        <f>_xlfn.SINGLE(INDEX(样品编号表!Y:Y,_xlfn.SINGLE(MATCH(_xlfn.SINGLE(C:C),样品编号表!H:H,0))))</f>
        <v>光大纺织</v>
      </c>
      <c r="E21" s="15" t="str">
        <f>_xlfn.SINGLE(INDEX(样品编号表!Z:Z,_xlfn.SINGLE(MATCH(_xlfn.SINGLE(C:C),样品编号表!H:H,0))))</f>
        <v>C580</v>
      </c>
      <c r="F21" s="15" t="s">
        <v>12191</v>
      </c>
      <c r="G21" s="15">
        <v>2</v>
      </c>
      <c r="H21" s="15" t="s">
        <v>12177</v>
      </c>
      <c r="I21" s="15">
        <v>2</v>
      </c>
      <c r="J21" s="14">
        <v>45877</v>
      </c>
      <c r="K21" s="16">
        <v>17</v>
      </c>
      <c r="L21" s="16">
        <f t="shared" si="0"/>
        <v>34</v>
      </c>
      <c r="M21" s="15" t="s">
        <v>12178</v>
      </c>
      <c r="N21" s="15">
        <f>_xlfn.SINGLE(INDEX(样品编号表!AA:AA,_xlfn.SINGLE(MATCH(_xlfn.SINGLE(C:C),样品编号表!H:H,0))))</f>
        <v>9.8</v>
      </c>
      <c r="O21" s="16">
        <v>14</v>
      </c>
      <c r="P21" s="16">
        <f t="shared" si="1"/>
        <v>28</v>
      </c>
      <c r="Q21" s="15"/>
      <c r="R21" s="7" t="s">
        <v>12179</v>
      </c>
    </row>
    <row r="22" ht="18" hidden="1" customHeight="1" spans="1:18">
      <c r="A22" s="14">
        <v>45876</v>
      </c>
      <c r="B22" s="15" t="s">
        <v>12180</v>
      </c>
      <c r="C22" s="15" t="s">
        <v>1593</v>
      </c>
      <c r="D22" s="15" t="str">
        <f>_xlfn.SINGLE(INDEX(样品编号表!Y:Y,_xlfn.SINGLE(MATCH(_xlfn.SINGLE(C:C),样品编号表!H:H,0))))</f>
        <v>宝隆纺织</v>
      </c>
      <c r="E22" s="15">
        <f>_xlfn.SINGLE(INDEX(样品编号表!Z:Z,_xlfn.SINGLE(MATCH(_xlfn.SINGLE(C:C),样品编号表!H:H,0))))</f>
        <v>1562</v>
      </c>
      <c r="F22" s="15" t="s">
        <v>12201</v>
      </c>
      <c r="G22" s="15">
        <v>3</v>
      </c>
      <c r="H22" s="15" t="s">
        <v>12177</v>
      </c>
      <c r="I22" s="15">
        <v>3</v>
      </c>
      <c r="J22" s="14">
        <v>45877</v>
      </c>
      <c r="K22" s="16">
        <v>21</v>
      </c>
      <c r="L22" s="16">
        <f t="shared" si="0"/>
        <v>63</v>
      </c>
      <c r="M22" s="15" t="s">
        <v>12178</v>
      </c>
      <c r="N22" s="15">
        <f>_xlfn.SINGLE(INDEX(样品编号表!AA:AA,_xlfn.SINGLE(MATCH(_xlfn.SINGLE(C:C),样品编号表!H:H,0))))</f>
        <v>6.8</v>
      </c>
      <c r="O22" s="16">
        <v>12</v>
      </c>
      <c r="P22" s="16">
        <f t="shared" si="1"/>
        <v>36</v>
      </c>
      <c r="Q22" s="15"/>
      <c r="R22" s="7" t="s">
        <v>12179</v>
      </c>
    </row>
    <row r="23" ht="18" hidden="1" customHeight="1" spans="1:18">
      <c r="A23" s="14">
        <v>45876</v>
      </c>
      <c r="B23" s="15" t="s">
        <v>12180</v>
      </c>
      <c r="C23" s="15" t="s">
        <v>1593</v>
      </c>
      <c r="D23" s="15" t="str">
        <f>_xlfn.SINGLE(INDEX(样品编号表!Y:Y,_xlfn.SINGLE(MATCH(_xlfn.SINGLE(C:C),样品编号表!H:H,0))))</f>
        <v>宝隆纺织</v>
      </c>
      <c r="E23" s="15">
        <f>_xlfn.SINGLE(INDEX(样品编号表!Z:Z,_xlfn.SINGLE(MATCH(_xlfn.SINGLE(C:C),样品编号表!H:H,0))))</f>
        <v>1562</v>
      </c>
      <c r="F23" s="15" t="s">
        <v>12202</v>
      </c>
      <c r="G23" s="15">
        <v>2</v>
      </c>
      <c r="H23" s="15" t="s">
        <v>12177</v>
      </c>
      <c r="I23" s="15">
        <v>2</v>
      </c>
      <c r="J23" s="14">
        <v>45881</v>
      </c>
      <c r="K23" s="16">
        <v>21</v>
      </c>
      <c r="L23" s="16">
        <f t="shared" si="0"/>
        <v>42</v>
      </c>
      <c r="M23" s="15" t="s">
        <v>12178</v>
      </c>
      <c r="N23" s="15">
        <f>_xlfn.SINGLE(INDEX(样品编号表!AA:AA,_xlfn.SINGLE(MATCH(_xlfn.SINGLE(C:C),样品编号表!H:H,0))))</f>
        <v>6.8</v>
      </c>
      <c r="O23" s="16">
        <v>12</v>
      </c>
      <c r="P23" s="16">
        <f t="shared" si="1"/>
        <v>24</v>
      </c>
      <c r="Q23" s="15"/>
      <c r="R23" s="7" t="s">
        <v>12179</v>
      </c>
    </row>
    <row r="24" ht="18" hidden="1" customHeight="1" spans="1:18">
      <c r="A24" s="14">
        <v>45876</v>
      </c>
      <c r="B24" s="15" t="s">
        <v>12175</v>
      </c>
      <c r="C24" s="15" t="s">
        <v>2113</v>
      </c>
      <c r="D24" s="15" t="str">
        <f>_xlfn.SINGLE(INDEX(样品编号表!Y:Y,_xlfn.SINGLE(MATCH(_xlfn.SINGLE(C:C),样品编号表!H:H,0))))</f>
        <v>凯盛亨</v>
      </c>
      <c r="E24" s="15" t="str">
        <f>_xlfn.SINGLE(INDEX(样品编号表!Z:Z,_xlfn.SINGLE(MATCH(_xlfn.SINGLE(C:C),样品编号表!H:H,0))))</f>
        <v>839#</v>
      </c>
      <c r="F24" s="15" t="s">
        <v>12203</v>
      </c>
      <c r="G24" s="15">
        <v>2</v>
      </c>
      <c r="H24" s="15" t="s">
        <v>12177</v>
      </c>
      <c r="I24" s="15">
        <v>2</v>
      </c>
      <c r="J24" s="14">
        <v>45879</v>
      </c>
      <c r="K24" s="16">
        <v>20</v>
      </c>
      <c r="L24" s="16">
        <f t="shared" si="0"/>
        <v>40</v>
      </c>
      <c r="M24" s="15" t="s">
        <v>12178</v>
      </c>
      <c r="N24" s="15">
        <f>_xlfn.SINGLE(INDEX(样品编号表!AA:AA,_xlfn.SINGLE(MATCH(_xlfn.SINGLE(C:C),样品编号表!H:H,0))))</f>
        <v>11.3</v>
      </c>
      <c r="O24" s="16">
        <v>16</v>
      </c>
      <c r="P24" s="16">
        <f t="shared" si="1"/>
        <v>32</v>
      </c>
      <c r="Q24" s="15"/>
      <c r="R24" s="7" t="s">
        <v>12179</v>
      </c>
    </row>
    <row r="25" ht="18" hidden="1" customHeight="1" spans="1:18">
      <c r="A25" s="14">
        <v>45877</v>
      </c>
      <c r="B25" s="15" t="s">
        <v>12204</v>
      </c>
      <c r="C25" s="15" t="s">
        <v>2888</v>
      </c>
      <c r="D25" s="15" t="str">
        <f>_xlfn.SINGLE(INDEX(样品编号表!Y:Y,_xlfn.SINGLE(MATCH(_xlfn.SINGLE(C:C),样品编号表!H:H,0))))</f>
        <v>和兴（和泰）</v>
      </c>
      <c r="E25" s="15" t="str">
        <f>_xlfn.SINGLE(INDEX(样品编号表!Z:Z,_xlfn.SINGLE(MATCH(_xlfn.SINGLE(C:C),样品编号表!H:H,0))))</f>
        <v>8581#</v>
      </c>
      <c r="F25" s="15" t="s">
        <v>12181</v>
      </c>
      <c r="G25" s="15">
        <v>3</v>
      </c>
      <c r="H25" s="15" t="s">
        <v>12177</v>
      </c>
      <c r="I25" s="15">
        <v>3</v>
      </c>
      <c r="J25" s="14">
        <v>45880</v>
      </c>
      <c r="K25" s="16">
        <v>21</v>
      </c>
      <c r="L25" s="16">
        <f t="shared" si="0"/>
        <v>63</v>
      </c>
      <c r="M25" s="15" t="s">
        <v>12178</v>
      </c>
      <c r="N25" s="15">
        <f>_xlfn.SINGLE(INDEX(样品编号表!AA:AA,_xlfn.SINGLE(MATCH(_xlfn.SINGLE(C:C),样品编号表!H:H,0))))</f>
        <v>12.7</v>
      </c>
      <c r="O25" s="16">
        <v>18</v>
      </c>
      <c r="P25" s="16">
        <f t="shared" si="1"/>
        <v>54</v>
      </c>
      <c r="Q25" s="15"/>
      <c r="R25" s="7" t="s">
        <v>12179</v>
      </c>
    </row>
    <row r="26" ht="18" hidden="1" customHeight="1" spans="1:18">
      <c r="A26" s="14">
        <v>45877</v>
      </c>
      <c r="B26" s="15" t="s">
        <v>12204</v>
      </c>
      <c r="C26" s="15" t="s">
        <v>2888</v>
      </c>
      <c r="D26" s="15" t="str">
        <f>_xlfn.SINGLE(INDEX(样品编号表!Y:Y,_xlfn.SINGLE(MATCH(_xlfn.SINGLE(C:C),样品编号表!H:H,0))))</f>
        <v>和兴（和泰）</v>
      </c>
      <c r="E26" s="15" t="str">
        <f>_xlfn.SINGLE(INDEX(样品编号表!Z:Z,_xlfn.SINGLE(MATCH(_xlfn.SINGLE(C:C),样品编号表!H:H,0))))</f>
        <v>8581#</v>
      </c>
      <c r="F26" s="15" t="s">
        <v>12205</v>
      </c>
      <c r="G26" s="15">
        <v>3</v>
      </c>
      <c r="H26" s="15" t="s">
        <v>12177</v>
      </c>
      <c r="I26" s="15">
        <v>3</v>
      </c>
      <c r="J26" s="14">
        <v>45880</v>
      </c>
      <c r="K26" s="16">
        <v>21</v>
      </c>
      <c r="L26" s="16">
        <f t="shared" si="0"/>
        <v>63</v>
      </c>
      <c r="M26" s="15" t="s">
        <v>12178</v>
      </c>
      <c r="N26" s="15">
        <f>_xlfn.SINGLE(INDEX(样品编号表!AA:AA,_xlfn.SINGLE(MATCH(_xlfn.SINGLE(C:C),样品编号表!H:H,0))))</f>
        <v>12.7</v>
      </c>
      <c r="O26" s="16">
        <v>18</v>
      </c>
      <c r="P26" s="16">
        <f t="shared" si="1"/>
        <v>54</v>
      </c>
      <c r="Q26" s="15"/>
      <c r="R26" s="7" t="s">
        <v>12179</v>
      </c>
    </row>
    <row r="27" ht="18" hidden="1" customHeight="1" spans="1:18">
      <c r="A27" s="14">
        <v>45880</v>
      </c>
      <c r="B27" s="15" t="s">
        <v>12204</v>
      </c>
      <c r="C27" s="15" t="s">
        <v>1780</v>
      </c>
      <c r="D27" s="15" t="str">
        <f>_xlfn.SINGLE(INDEX(样品编号表!Y:Y,_xlfn.SINGLE(MATCH(_xlfn.SINGLE(C:C),样品编号表!H:H,0))))</f>
        <v>艺纺</v>
      </c>
      <c r="E27" s="15" t="str">
        <f>_xlfn.SINGLE(INDEX(样品编号表!Z:Z,_xlfn.SINGLE(MATCH(_xlfn.SINGLE(C:C),样品编号表!H:H,0))))</f>
        <v>11865-3</v>
      </c>
      <c r="F27" s="15" t="s">
        <v>12191</v>
      </c>
      <c r="G27" s="15">
        <v>1</v>
      </c>
      <c r="H27" s="15" t="s">
        <v>12177</v>
      </c>
      <c r="I27" s="15">
        <v>1</v>
      </c>
      <c r="J27" s="14">
        <v>45883</v>
      </c>
      <c r="K27" s="16">
        <v>25</v>
      </c>
      <c r="L27" s="16">
        <f t="shared" si="0"/>
        <v>25</v>
      </c>
      <c r="M27" s="15" t="s">
        <v>12178</v>
      </c>
      <c r="N27" s="15">
        <f>_xlfn.SINGLE(INDEX(样品编号表!AA:AA,_xlfn.SINGLE(MATCH(_xlfn.SINGLE(C:C),样品编号表!H:H,0))))</f>
        <v>12.8</v>
      </c>
      <c r="O27" s="16">
        <v>18</v>
      </c>
      <c r="P27" s="16">
        <f t="shared" si="1"/>
        <v>18</v>
      </c>
      <c r="Q27" s="15"/>
      <c r="R27" s="7" t="s">
        <v>12179</v>
      </c>
    </row>
    <row r="28" ht="18" hidden="1" customHeight="1" spans="1:18">
      <c r="A28" s="14">
        <v>45880</v>
      </c>
      <c r="B28" s="15" t="s">
        <v>12204</v>
      </c>
      <c r="C28" s="15" t="s">
        <v>1780</v>
      </c>
      <c r="D28" s="15" t="str">
        <f>_xlfn.SINGLE(INDEX(样品编号表!Y:Y,_xlfn.SINGLE(MATCH(_xlfn.SINGLE(C:C),样品编号表!H:H,0))))</f>
        <v>艺纺</v>
      </c>
      <c r="E28" s="15" t="str">
        <f>_xlfn.SINGLE(INDEX(样品编号表!Z:Z,_xlfn.SINGLE(MATCH(_xlfn.SINGLE(C:C),样品编号表!H:H,0))))</f>
        <v>11865-3</v>
      </c>
      <c r="F28" s="15" t="s">
        <v>12206</v>
      </c>
      <c r="G28" s="15">
        <v>6</v>
      </c>
      <c r="H28" s="15" t="s">
        <v>12177</v>
      </c>
      <c r="I28" s="15">
        <v>6</v>
      </c>
      <c r="J28" s="14">
        <v>45883</v>
      </c>
      <c r="K28" s="16">
        <v>25</v>
      </c>
      <c r="L28" s="16">
        <f t="shared" si="0"/>
        <v>150</v>
      </c>
      <c r="M28" s="15" t="s">
        <v>12178</v>
      </c>
      <c r="N28" s="15">
        <f>_xlfn.SINGLE(INDEX(样品编号表!AA:AA,_xlfn.SINGLE(MATCH(_xlfn.SINGLE(C:C),样品编号表!H:H,0))))</f>
        <v>12.8</v>
      </c>
      <c r="O28" s="16">
        <v>18</v>
      </c>
      <c r="P28" s="16">
        <f t="shared" si="1"/>
        <v>108</v>
      </c>
      <c r="Q28" s="15"/>
      <c r="R28" s="7" t="s">
        <v>12179</v>
      </c>
    </row>
    <row r="29" ht="18" hidden="1" customHeight="1" spans="1:18">
      <c r="A29" s="14">
        <v>45896</v>
      </c>
      <c r="B29" s="15" t="s">
        <v>12204</v>
      </c>
      <c r="C29" s="15" t="s">
        <v>1780</v>
      </c>
      <c r="D29" s="15" t="str">
        <f>_xlfn.SINGLE(INDEX(样品编号表!Y:Y,_xlfn.SINGLE(MATCH(_xlfn.SINGLE(C:C),样品编号表!H:H,0))))</f>
        <v>艺纺</v>
      </c>
      <c r="E29" s="15" t="str">
        <f>_xlfn.SINGLE(INDEX(样品编号表!Z:Z,_xlfn.SINGLE(MATCH(_xlfn.SINGLE(C:C),样品编号表!H:H,0))))</f>
        <v>11865-3</v>
      </c>
      <c r="F29" s="15" t="s">
        <v>12207</v>
      </c>
      <c r="G29" s="15">
        <v>5</v>
      </c>
      <c r="H29" s="15" t="s">
        <v>12177</v>
      </c>
      <c r="I29" s="15">
        <v>5</v>
      </c>
      <c r="J29" s="14">
        <v>45898</v>
      </c>
      <c r="K29" s="16">
        <v>20</v>
      </c>
      <c r="L29" s="16">
        <f t="shared" si="0"/>
        <v>100</v>
      </c>
      <c r="M29" s="15" t="s">
        <v>12178</v>
      </c>
      <c r="N29" s="15">
        <f>_xlfn.SINGLE(INDEX(样品编号表!AA:AA,_xlfn.SINGLE(MATCH(_xlfn.SINGLE(C:C),样品编号表!H:H,0))))</f>
        <v>12.8</v>
      </c>
      <c r="O29" s="16">
        <v>18</v>
      </c>
      <c r="P29" s="16">
        <f t="shared" si="1"/>
        <v>90</v>
      </c>
      <c r="Q29" s="15"/>
      <c r="R29" s="7" t="s">
        <v>12179</v>
      </c>
    </row>
    <row r="30" ht="18" hidden="1" customHeight="1" spans="1:18">
      <c r="A30" s="14">
        <v>45896</v>
      </c>
      <c r="B30" s="15" t="s">
        <v>9156</v>
      </c>
      <c r="C30" s="15" t="s">
        <v>2638</v>
      </c>
      <c r="D30" s="15" t="str">
        <f>_xlfn.SINGLE(INDEX(样品编号表!Y:Y,_xlfn.SINGLE(MATCH(_xlfn.SINGLE(C:C),样品编号表!H:H,0))))</f>
        <v>新嘉彩</v>
      </c>
      <c r="E30" s="15">
        <f>_xlfn.SINGLE(INDEX(样品编号表!Z:Z,_xlfn.SINGLE(MATCH(_xlfn.SINGLE(C:C),样品编号表!H:H,0))))</f>
        <v>938</v>
      </c>
      <c r="F30" s="15" t="s">
        <v>12208</v>
      </c>
      <c r="G30" s="15">
        <v>4</v>
      </c>
      <c r="H30" s="15" t="s">
        <v>12177</v>
      </c>
      <c r="I30" s="15">
        <v>4</v>
      </c>
      <c r="J30" s="14">
        <v>45897</v>
      </c>
      <c r="K30" s="16">
        <v>20</v>
      </c>
      <c r="L30" s="16">
        <f t="shared" si="0"/>
        <v>80</v>
      </c>
      <c r="M30" s="15" t="s">
        <v>12178</v>
      </c>
      <c r="N30" s="15">
        <f>_xlfn.SINGLE(INDEX(样品编号表!AA:AA,_xlfn.SINGLE(MATCH(_xlfn.SINGLE(C:C),样品编号表!H:H,0))))</f>
        <v>8.8</v>
      </c>
      <c r="O30" s="16">
        <v>15</v>
      </c>
      <c r="P30" s="16">
        <f t="shared" si="1"/>
        <v>60</v>
      </c>
      <c r="Q30" s="15"/>
      <c r="R30" s="7" t="s">
        <v>12179</v>
      </c>
    </row>
    <row r="31" ht="18" hidden="1" customHeight="1" spans="1:18">
      <c r="A31" s="14">
        <v>45896</v>
      </c>
      <c r="B31" s="15" t="s">
        <v>12204</v>
      </c>
      <c r="C31" s="15" t="s">
        <v>3145</v>
      </c>
      <c r="D31" s="15" t="str">
        <f>_xlfn.SINGLE(INDEX(样品编号表!Y:Y,_xlfn.SINGLE(MATCH(_xlfn.SINGLE(C:C),样品编号表!H:H,0))))</f>
        <v>三好</v>
      </c>
      <c r="E31" s="15">
        <f>_xlfn.SINGLE(INDEX(样品编号表!Z:Z,_xlfn.SINGLE(MATCH(_xlfn.SINGLE(C:C),样品编号表!H:H,0))))</f>
        <v>1808</v>
      </c>
      <c r="F31" s="15" t="s">
        <v>12209</v>
      </c>
      <c r="G31" s="15">
        <v>3</v>
      </c>
      <c r="H31" s="15" t="s">
        <v>12177</v>
      </c>
      <c r="I31" s="15">
        <v>3</v>
      </c>
      <c r="J31" s="14">
        <v>45898</v>
      </c>
      <c r="K31" s="16">
        <v>12</v>
      </c>
      <c r="L31" s="16">
        <f t="shared" si="0"/>
        <v>36</v>
      </c>
      <c r="M31" s="15" t="s">
        <v>12178</v>
      </c>
      <c r="N31" s="15">
        <f>_xlfn.SINGLE(INDEX(样品编号表!AA:AA,_xlfn.SINGLE(MATCH(_xlfn.SINGLE(C:C),样品编号表!H:H,0))))</f>
        <v>12.8</v>
      </c>
      <c r="O31" s="16">
        <v>18</v>
      </c>
      <c r="P31" s="16">
        <f t="shared" si="1"/>
        <v>54</v>
      </c>
      <c r="Q31" s="15"/>
      <c r="R31" s="7" t="s">
        <v>12179</v>
      </c>
    </row>
    <row r="32" ht="18" hidden="1" customHeight="1" spans="1:18">
      <c r="A32" s="14">
        <v>45897</v>
      </c>
      <c r="B32" s="15" t="s">
        <v>12180</v>
      </c>
      <c r="C32" s="15" t="s">
        <v>723</v>
      </c>
      <c r="D32" s="15" t="str">
        <f>_xlfn.SINGLE(INDEX(样品编号表!Y:Y,_xlfn.SINGLE(MATCH(_xlfn.SINGLE(C:C),样品编号表!H:H,0))))</f>
        <v>光大纺织</v>
      </c>
      <c r="E32" s="15" t="str">
        <f>_xlfn.SINGLE(INDEX(样品编号表!Z:Z,_xlfn.SINGLE(MATCH(_xlfn.SINGLE(C:C),样品编号表!H:H,0))))</f>
        <v>C580</v>
      </c>
      <c r="F32" s="15" t="s">
        <v>12210</v>
      </c>
      <c r="G32" s="15">
        <v>2</v>
      </c>
      <c r="H32" s="15" t="s">
        <v>12177</v>
      </c>
      <c r="I32" s="15">
        <v>2</v>
      </c>
      <c r="J32" s="14">
        <v>45898</v>
      </c>
      <c r="K32" s="16">
        <v>17</v>
      </c>
      <c r="L32" s="16">
        <f t="shared" si="0"/>
        <v>34</v>
      </c>
      <c r="M32" s="15" t="s">
        <v>12178</v>
      </c>
      <c r="N32" s="15">
        <f>_xlfn.SINGLE(INDEX(样品编号表!AA:AA,_xlfn.SINGLE(MATCH(_xlfn.SINGLE(C:C),样品编号表!H:H,0))))</f>
        <v>9.8</v>
      </c>
      <c r="O32" s="16">
        <v>15</v>
      </c>
      <c r="P32" s="16">
        <f t="shared" si="1"/>
        <v>30</v>
      </c>
      <c r="Q32" s="15"/>
      <c r="R32" s="7" t="s">
        <v>12179</v>
      </c>
    </row>
    <row r="33" ht="18" hidden="1" customHeight="1" spans="1:18">
      <c r="A33" s="14">
        <v>45897</v>
      </c>
      <c r="B33" s="15" t="s">
        <v>12180</v>
      </c>
      <c r="C33" s="15" t="s">
        <v>723</v>
      </c>
      <c r="D33" s="15" t="str">
        <f>_xlfn.SINGLE(INDEX(样品编号表!Y:Y,_xlfn.SINGLE(MATCH(_xlfn.SINGLE(C:C),样品编号表!H:H,0))))</f>
        <v>光大纺织</v>
      </c>
      <c r="E33" s="15" t="str">
        <f>_xlfn.SINGLE(INDEX(样品编号表!Z:Z,_xlfn.SINGLE(MATCH(_xlfn.SINGLE(C:C),样品编号表!H:H,0))))</f>
        <v>C580</v>
      </c>
      <c r="F33" s="15" t="s">
        <v>12211</v>
      </c>
      <c r="G33" s="15">
        <v>3</v>
      </c>
      <c r="H33" s="15" t="s">
        <v>12177</v>
      </c>
      <c r="I33" s="15">
        <v>3</v>
      </c>
      <c r="J33" s="14">
        <v>45898</v>
      </c>
      <c r="K33" s="16">
        <v>17</v>
      </c>
      <c r="L33" s="16">
        <f t="shared" si="0"/>
        <v>51</v>
      </c>
      <c r="M33" s="15" t="s">
        <v>12178</v>
      </c>
      <c r="N33" s="15">
        <f>_xlfn.SINGLE(INDEX(样品编号表!AA:AA,_xlfn.SINGLE(MATCH(_xlfn.SINGLE(C:C),样品编号表!H:H,0))))</f>
        <v>9.8</v>
      </c>
      <c r="O33" s="16">
        <v>15</v>
      </c>
      <c r="P33" s="16">
        <f t="shared" si="1"/>
        <v>45</v>
      </c>
      <c r="Q33" s="15"/>
      <c r="R33" s="7" t="s">
        <v>12179</v>
      </c>
    </row>
    <row r="34" ht="18" hidden="1" customHeight="1" spans="1:18">
      <c r="A34" s="14">
        <v>45902</v>
      </c>
      <c r="B34" s="15" t="s">
        <v>12180</v>
      </c>
      <c r="C34" s="15" t="s">
        <v>723</v>
      </c>
      <c r="D34" s="15" t="str">
        <f>_xlfn.SINGLE(INDEX(样品编号表!Y:Y,_xlfn.SINGLE(MATCH(_xlfn.SINGLE(C:C),样品编号表!H:H,0))))</f>
        <v>光大纺织</v>
      </c>
      <c r="E34" s="15" t="str">
        <f>_xlfn.SINGLE(INDEX(样品编号表!Z:Z,_xlfn.SINGLE(MATCH(_xlfn.SINGLE(C:C),样品编号表!H:H,0))))</f>
        <v>C580</v>
      </c>
      <c r="F34" s="15" t="s">
        <v>12211</v>
      </c>
      <c r="G34" s="15">
        <v>3</v>
      </c>
      <c r="H34" s="15" t="s">
        <v>12177</v>
      </c>
      <c r="I34" s="15">
        <v>3</v>
      </c>
      <c r="J34" s="14">
        <v>45903</v>
      </c>
      <c r="K34" s="16">
        <v>17</v>
      </c>
      <c r="L34" s="16">
        <f t="shared" si="0"/>
        <v>51</v>
      </c>
      <c r="M34" s="15" t="s">
        <v>12178</v>
      </c>
      <c r="N34" s="15">
        <f>_xlfn.SINGLE(INDEX(样品编号表!AA:AA,_xlfn.SINGLE(MATCH(_xlfn.SINGLE(C:C),样品编号表!H:H,0))))</f>
        <v>9.8</v>
      </c>
      <c r="O34" s="16">
        <v>15</v>
      </c>
      <c r="P34" s="16">
        <f t="shared" si="1"/>
        <v>45</v>
      </c>
      <c r="Q34" s="15"/>
      <c r="R34" s="7" t="s">
        <v>12179</v>
      </c>
    </row>
    <row r="35" ht="18" hidden="1" customHeight="1" spans="1:18">
      <c r="A35" s="14">
        <v>45902</v>
      </c>
      <c r="B35" s="15" t="s">
        <v>12204</v>
      </c>
      <c r="C35" s="15" t="s">
        <v>2113</v>
      </c>
      <c r="D35" s="15" t="str">
        <f>_xlfn.SINGLE(INDEX(样品编号表!Y:Y,_xlfn.SINGLE(MATCH(_xlfn.SINGLE(C:C),样品编号表!H:H,0))))</f>
        <v>凯盛亨</v>
      </c>
      <c r="E35" s="15" t="str">
        <f>_xlfn.SINGLE(INDEX(样品编号表!Z:Z,_xlfn.SINGLE(MATCH(_xlfn.SINGLE(C:C),样品编号表!H:H,0))))</f>
        <v>839#</v>
      </c>
      <c r="F35" s="15" t="s">
        <v>12212</v>
      </c>
      <c r="G35" s="15">
        <v>2</v>
      </c>
      <c r="H35" s="15" t="s">
        <v>12177</v>
      </c>
      <c r="I35" s="15">
        <v>2</v>
      </c>
      <c r="J35" s="14">
        <v>45904</v>
      </c>
      <c r="K35" s="16">
        <v>20</v>
      </c>
      <c r="L35" s="16">
        <f t="shared" si="0"/>
        <v>40</v>
      </c>
      <c r="M35" s="15" t="s">
        <v>12178</v>
      </c>
      <c r="N35" s="15">
        <f>_xlfn.SINGLE(INDEX(样品编号表!AA:AA,_xlfn.SINGLE(MATCH(_xlfn.SINGLE(C:C),样品编号表!H:H,0))))</f>
        <v>11.3</v>
      </c>
      <c r="O35" s="16">
        <v>16</v>
      </c>
      <c r="P35" s="16">
        <f t="shared" si="1"/>
        <v>32</v>
      </c>
      <c r="Q35" s="15"/>
      <c r="R35" s="7" t="s">
        <v>12179</v>
      </c>
    </row>
    <row r="36" ht="18" hidden="1" customHeight="1" spans="1:18">
      <c r="A36" s="14">
        <v>45911</v>
      </c>
      <c r="B36" s="15" t="s">
        <v>12180</v>
      </c>
      <c r="C36" s="15" t="s">
        <v>723</v>
      </c>
      <c r="D36" s="15" t="str">
        <f>_xlfn.SINGLE(INDEX(样品编号表!Y:Y,_xlfn.SINGLE(MATCH(_xlfn.SINGLE(C:C),样品编号表!H:H,0))))</f>
        <v>光大纺织</v>
      </c>
      <c r="E36" s="15" t="str">
        <f>_xlfn.SINGLE(INDEX(样品编号表!Z:Z,_xlfn.SINGLE(MATCH(_xlfn.SINGLE(C:C),样品编号表!H:H,0))))</f>
        <v>C580</v>
      </c>
      <c r="F36" s="15" t="s">
        <v>12211</v>
      </c>
      <c r="G36" s="15">
        <v>4</v>
      </c>
      <c r="H36" s="15" t="s">
        <v>12177</v>
      </c>
      <c r="I36" s="15">
        <v>4</v>
      </c>
      <c r="J36" s="14">
        <v>45913</v>
      </c>
      <c r="K36" s="16">
        <v>17</v>
      </c>
      <c r="L36" s="16">
        <f t="shared" si="0"/>
        <v>68</v>
      </c>
      <c r="M36" s="15" t="s">
        <v>12178</v>
      </c>
      <c r="N36" s="15">
        <f>_xlfn.SINGLE(INDEX(样品编号表!AA:AA,_xlfn.SINGLE(MATCH(_xlfn.SINGLE(C:C),样品编号表!H:H,0))))</f>
        <v>9.8</v>
      </c>
      <c r="O36" s="16">
        <v>15</v>
      </c>
      <c r="P36" s="16">
        <f t="shared" si="1"/>
        <v>60</v>
      </c>
      <c r="Q36" s="15"/>
      <c r="R36" s="7" t="s">
        <v>12179</v>
      </c>
    </row>
    <row r="37" ht="18" hidden="1" customHeight="1" spans="1:18">
      <c r="A37" s="14">
        <v>45916</v>
      </c>
      <c r="B37" s="15" t="s">
        <v>12204</v>
      </c>
      <c r="C37" s="15" t="s">
        <v>1780</v>
      </c>
      <c r="D37" s="15" t="str">
        <f>_xlfn.SINGLE(INDEX(样品编号表!Y:Y,_xlfn.SINGLE(MATCH(_xlfn.SINGLE(C:C),样品编号表!H:H,0))))</f>
        <v>艺纺</v>
      </c>
      <c r="E37" s="15" t="str">
        <f>_xlfn.SINGLE(INDEX(样品编号表!Z:Z,_xlfn.SINGLE(MATCH(_xlfn.SINGLE(C:C),样品编号表!H:H,0))))</f>
        <v>11865-3</v>
      </c>
      <c r="F37" s="15" t="s">
        <v>12206</v>
      </c>
      <c r="G37" s="15">
        <v>4</v>
      </c>
      <c r="H37" s="15" t="s">
        <v>12177</v>
      </c>
      <c r="I37" s="15">
        <v>4</v>
      </c>
      <c r="J37" s="14">
        <v>45917</v>
      </c>
      <c r="K37" s="16">
        <v>20</v>
      </c>
      <c r="L37" s="16">
        <f t="shared" si="0"/>
        <v>80</v>
      </c>
      <c r="M37" s="15" t="s">
        <v>12178</v>
      </c>
      <c r="N37" s="15">
        <f>_xlfn.SINGLE(INDEX(样品编号表!AA:AA,_xlfn.SINGLE(MATCH(_xlfn.SINGLE(C:C),样品编号表!H:H,0))))</f>
        <v>12.8</v>
      </c>
      <c r="O37" s="16">
        <v>18</v>
      </c>
      <c r="P37" s="16">
        <f t="shared" si="1"/>
        <v>72</v>
      </c>
      <c r="Q37" s="15"/>
      <c r="R37" s="7" t="s">
        <v>12179</v>
      </c>
    </row>
    <row r="38" ht="18" hidden="1" customHeight="1" spans="1:18">
      <c r="A38" s="14">
        <v>45919</v>
      </c>
      <c r="B38" s="15" t="s">
        <v>12180</v>
      </c>
      <c r="C38" s="15" t="s">
        <v>558</v>
      </c>
      <c r="D38" s="15" t="str">
        <f>_xlfn.SINGLE(INDEX(样品编号表!Y:Y,_xlfn.SINGLE(MATCH(_xlfn.SINGLE(C:C),样品编号表!H:H,0))))</f>
        <v>联众</v>
      </c>
      <c r="E38" s="15" t="str">
        <f>_xlfn.SINGLE(INDEX(样品编号表!Z:Z,_xlfn.SINGLE(MATCH(_xlfn.SINGLE(C:C),样品编号表!H:H,0))))</f>
        <v>A8207</v>
      </c>
      <c r="F38" s="18" t="s">
        <v>12213</v>
      </c>
      <c r="G38" s="15">
        <v>5</v>
      </c>
      <c r="H38" s="15" t="s">
        <v>12177</v>
      </c>
      <c r="I38" s="15">
        <v>4</v>
      </c>
      <c r="J38" s="14">
        <v>45925</v>
      </c>
      <c r="K38" s="16">
        <v>21</v>
      </c>
      <c r="L38" s="16">
        <f t="shared" si="0"/>
        <v>84</v>
      </c>
      <c r="M38" s="15" t="s">
        <v>12178</v>
      </c>
      <c r="N38" s="15">
        <f>_xlfn.SINGLE(INDEX(样品编号表!AA:AA,_xlfn.SINGLE(MATCH(_xlfn.SINGLE(C:C),样品编号表!H:H,0))))</f>
        <v>48</v>
      </c>
      <c r="O38" s="31">
        <v>20</v>
      </c>
      <c r="P38" s="16">
        <f t="shared" si="1"/>
        <v>80</v>
      </c>
      <c r="Q38" s="15"/>
      <c r="R38" s="7" t="s">
        <v>12179</v>
      </c>
    </row>
    <row r="39" ht="18" hidden="1" customHeight="1" spans="1:18">
      <c r="A39" s="14">
        <v>45919</v>
      </c>
      <c r="B39" s="15" t="s">
        <v>12180</v>
      </c>
      <c r="C39" s="15" t="s">
        <v>558</v>
      </c>
      <c r="D39" s="15" t="str">
        <f>_xlfn.SINGLE(INDEX(样品编号表!Y:Y,_xlfn.SINGLE(MATCH(_xlfn.SINGLE(C:C),样品编号表!H:H,0))))</f>
        <v>联众</v>
      </c>
      <c r="E39" s="15" t="str">
        <f>_xlfn.SINGLE(INDEX(样品编号表!Z:Z,_xlfn.SINGLE(MATCH(_xlfn.SINGLE(C:C),样品编号表!H:H,0))))</f>
        <v>A8207</v>
      </c>
      <c r="F39" s="18" t="s">
        <v>12214</v>
      </c>
      <c r="G39" s="15">
        <v>6</v>
      </c>
      <c r="H39" s="15" t="s">
        <v>12177</v>
      </c>
      <c r="I39" s="15">
        <v>5</v>
      </c>
      <c r="J39" s="14">
        <v>45925</v>
      </c>
      <c r="K39" s="16">
        <v>21</v>
      </c>
      <c r="L39" s="16">
        <f t="shared" si="0"/>
        <v>105</v>
      </c>
      <c r="M39" s="15" t="s">
        <v>12178</v>
      </c>
      <c r="N39" s="15">
        <f>_xlfn.SINGLE(INDEX(样品编号表!AA:AA,_xlfn.SINGLE(MATCH(_xlfn.SINGLE(C:C),样品编号表!H:H,0))))</f>
        <v>48</v>
      </c>
      <c r="O39" s="31">
        <v>20</v>
      </c>
      <c r="P39" s="16">
        <f t="shared" si="1"/>
        <v>100</v>
      </c>
      <c r="Q39" s="15"/>
      <c r="R39" s="7" t="s">
        <v>12179</v>
      </c>
    </row>
    <row r="40" ht="18" hidden="1" customHeight="1" spans="1:18">
      <c r="A40" s="14">
        <v>45919</v>
      </c>
      <c r="B40" s="15" t="s">
        <v>12180</v>
      </c>
      <c r="C40" s="15" t="s">
        <v>2155</v>
      </c>
      <c r="D40" s="15" t="str">
        <f>_xlfn.SINGLE(INDEX(样品编号表!Y:Y,_xlfn.SINGLE(MATCH(_xlfn.SINGLE(C:C),样品编号表!H:H,0))))</f>
        <v>润森</v>
      </c>
      <c r="E40" s="15" t="str">
        <f>_xlfn.SINGLE(INDEX(样品编号表!Z:Z,_xlfn.SINGLE(MATCH(_xlfn.SINGLE(C:C),样品编号表!H:H,0))))</f>
        <v>华尔缎</v>
      </c>
      <c r="F40" s="18" t="s">
        <v>12215</v>
      </c>
      <c r="G40" s="15">
        <v>8</v>
      </c>
      <c r="H40" s="15" t="s">
        <v>12177</v>
      </c>
      <c r="I40" s="15">
        <v>7</v>
      </c>
      <c r="J40" s="14">
        <v>45925</v>
      </c>
      <c r="K40" s="16">
        <v>18</v>
      </c>
      <c r="L40" s="16">
        <f t="shared" si="0"/>
        <v>126</v>
      </c>
      <c r="M40" s="15" t="s">
        <v>12178</v>
      </c>
      <c r="N40" s="15">
        <f>_xlfn.SINGLE(INDEX(样品编号表!AA:AA,_xlfn.SINGLE(MATCH(_xlfn.SINGLE(C:C),样品编号表!H:H,0))))</f>
        <v>10.5</v>
      </c>
      <c r="O40" s="16">
        <v>15</v>
      </c>
      <c r="P40" s="16">
        <f t="shared" si="1"/>
        <v>105</v>
      </c>
      <c r="Q40" s="15"/>
      <c r="R40" s="7" t="s">
        <v>12179</v>
      </c>
    </row>
    <row r="41" ht="18" hidden="1" customHeight="1" spans="1:18">
      <c r="A41" s="14">
        <v>45919</v>
      </c>
      <c r="B41" s="15" t="s">
        <v>12180</v>
      </c>
      <c r="C41" s="15" t="s">
        <v>2155</v>
      </c>
      <c r="D41" s="15" t="str">
        <f>_xlfn.SINGLE(INDEX(样品编号表!Y:Y,_xlfn.SINGLE(MATCH(_xlfn.SINGLE(C:C),样品编号表!H:H,0))))</f>
        <v>润森</v>
      </c>
      <c r="E41" s="15" t="str">
        <f>_xlfn.SINGLE(INDEX(样品编号表!Z:Z,_xlfn.SINGLE(MATCH(_xlfn.SINGLE(C:C),样品编号表!H:H,0))))</f>
        <v>华尔缎</v>
      </c>
      <c r="F41" s="18" t="s">
        <v>12216</v>
      </c>
      <c r="G41" s="15">
        <v>3</v>
      </c>
      <c r="H41" s="15" t="s">
        <v>12177</v>
      </c>
      <c r="I41" s="15">
        <v>2</v>
      </c>
      <c r="J41" s="14">
        <v>45925</v>
      </c>
      <c r="K41" s="16">
        <v>18</v>
      </c>
      <c r="L41" s="16">
        <f t="shared" si="0"/>
        <v>36</v>
      </c>
      <c r="M41" s="15" t="s">
        <v>12178</v>
      </c>
      <c r="N41" s="15">
        <f>_xlfn.SINGLE(INDEX(样品编号表!AA:AA,_xlfn.SINGLE(MATCH(_xlfn.SINGLE(C:C),样品编号表!H:H,0))))</f>
        <v>10.5</v>
      </c>
      <c r="O41" s="16">
        <v>15</v>
      </c>
      <c r="P41" s="16">
        <f t="shared" si="1"/>
        <v>30</v>
      </c>
      <c r="Q41" s="15" t="s">
        <v>12179</v>
      </c>
      <c r="R41" s="7" t="s">
        <v>12179</v>
      </c>
    </row>
    <row r="42" ht="18" hidden="1" customHeight="1" spans="1:18">
      <c r="A42" s="14">
        <v>45923</v>
      </c>
      <c r="B42" s="15" t="s">
        <v>9156</v>
      </c>
      <c r="C42" s="15" t="s">
        <v>495</v>
      </c>
      <c r="D42" s="15" t="str">
        <f>_xlfn.SINGLE(INDEX(样品编号表!Y:Y,_xlfn.SINGLE(MATCH(_xlfn.SINGLE(C:C),样品编号表!H:H,0))))</f>
        <v>马利布行</v>
      </c>
      <c r="E42" s="15" t="str">
        <f>_xlfn.SINGLE(INDEX(样品编号表!Z:Z,_xlfn.SINGLE(MATCH(_xlfn.SINGLE(C:C),样品编号表!H:H,0))))</f>
        <v>10172#</v>
      </c>
      <c r="F42" s="15" t="s">
        <v>12217</v>
      </c>
      <c r="G42" s="15">
        <v>2</v>
      </c>
      <c r="H42" s="15" t="s">
        <v>12177</v>
      </c>
      <c r="I42" s="15">
        <v>2</v>
      </c>
      <c r="J42" s="14">
        <v>45926</v>
      </c>
      <c r="K42" s="16">
        <v>25.7</v>
      </c>
      <c r="L42" s="16">
        <f t="shared" si="0"/>
        <v>51.4</v>
      </c>
      <c r="M42" s="15" t="s">
        <v>12178</v>
      </c>
      <c r="N42" s="15">
        <f>_xlfn.SINGLE(INDEX(样品编号表!AA:AA,_xlfn.SINGLE(MATCH(_xlfn.SINGLE(C:C),样品编号表!H:H,0))))</f>
        <v>12.2</v>
      </c>
      <c r="O42" s="16">
        <v>17</v>
      </c>
      <c r="P42" s="16">
        <f t="shared" si="1"/>
        <v>34</v>
      </c>
      <c r="Q42" s="15"/>
      <c r="R42" s="7" t="s">
        <v>12179</v>
      </c>
    </row>
    <row r="43" ht="18" hidden="1" customHeight="1" spans="1:18">
      <c r="A43" s="14">
        <v>45923</v>
      </c>
      <c r="B43" s="15" t="s">
        <v>9156</v>
      </c>
      <c r="C43" s="15" t="s">
        <v>2771</v>
      </c>
      <c r="D43" s="15" t="str">
        <f>_xlfn.SINGLE(INDEX(样品编号表!Y:Y,_xlfn.SINGLE(MATCH(_xlfn.SINGLE(C:C),样品编号表!H:H,0))))</f>
        <v>新合盛布业</v>
      </c>
      <c r="E43" s="15">
        <f>_xlfn.SINGLE(INDEX(样品编号表!Z:Z,_xlfn.SINGLE(MATCH(_xlfn.SINGLE(C:C),样品编号表!H:H,0))))</f>
        <v>8112</v>
      </c>
      <c r="F43" s="15" t="s">
        <v>12214</v>
      </c>
      <c r="G43" s="15">
        <v>14</v>
      </c>
      <c r="H43" s="15" t="s">
        <v>12177</v>
      </c>
      <c r="I43" s="15">
        <v>14</v>
      </c>
      <c r="J43" s="14">
        <v>45926</v>
      </c>
      <c r="K43" s="16">
        <v>17</v>
      </c>
      <c r="L43" s="16">
        <f t="shared" si="0"/>
        <v>238</v>
      </c>
      <c r="M43" s="15" t="s">
        <v>12178</v>
      </c>
      <c r="N43" s="15">
        <f>_xlfn.SINGLE(INDEX(样品编号表!AA:AA,_xlfn.SINGLE(MATCH(_xlfn.SINGLE(C:C),样品编号表!H:H,0))))</f>
        <v>9.6</v>
      </c>
      <c r="O43" s="16">
        <v>14</v>
      </c>
      <c r="P43" s="16">
        <f t="shared" si="1"/>
        <v>196</v>
      </c>
      <c r="Q43" s="15"/>
      <c r="R43" s="7" t="s">
        <v>12179</v>
      </c>
    </row>
    <row r="44" ht="18" hidden="1" customHeight="1" spans="1:18">
      <c r="A44" s="14">
        <v>45923</v>
      </c>
      <c r="B44" s="15" t="s">
        <v>9156</v>
      </c>
      <c r="C44" s="15" t="s">
        <v>2771</v>
      </c>
      <c r="D44" s="15" t="str">
        <f>_xlfn.SINGLE(INDEX(样品编号表!Y:Y,_xlfn.SINGLE(MATCH(_xlfn.SINGLE(C:C),样品编号表!H:H,0))))</f>
        <v>新合盛布业</v>
      </c>
      <c r="E44" s="15">
        <f>_xlfn.SINGLE(INDEX(样品编号表!Z:Z,_xlfn.SINGLE(MATCH(_xlfn.SINGLE(C:C),样品编号表!H:H,0))))</f>
        <v>8112</v>
      </c>
      <c r="F44" s="15" t="s">
        <v>12208</v>
      </c>
      <c r="G44" s="15">
        <v>3</v>
      </c>
      <c r="H44" s="15" t="s">
        <v>12177</v>
      </c>
      <c r="I44" s="15">
        <v>3</v>
      </c>
      <c r="J44" s="14">
        <v>45926</v>
      </c>
      <c r="K44" s="16">
        <v>17</v>
      </c>
      <c r="L44" s="16">
        <f t="shared" si="0"/>
        <v>51</v>
      </c>
      <c r="M44" s="15" t="s">
        <v>12178</v>
      </c>
      <c r="N44" s="15">
        <f>_xlfn.SINGLE(INDEX(样品编号表!AA:AA,_xlfn.SINGLE(MATCH(_xlfn.SINGLE(C:C),样品编号表!H:H,0))))</f>
        <v>9.6</v>
      </c>
      <c r="O44" s="16">
        <v>14</v>
      </c>
      <c r="P44" s="16">
        <f t="shared" si="1"/>
        <v>42</v>
      </c>
      <c r="Q44" s="15" t="s">
        <v>12179</v>
      </c>
      <c r="R44" s="7" t="s">
        <v>12179</v>
      </c>
    </row>
    <row r="45" ht="18" hidden="1" customHeight="1" spans="1:18">
      <c r="A45" s="14">
        <v>45925</v>
      </c>
      <c r="B45" s="15" t="s">
        <v>12204</v>
      </c>
      <c r="C45" s="15" t="s">
        <v>1780</v>
      </c>
      <c r="D45" s="15" t="str">
        <f>_xlfn.SINGLE(INDEX(样品编号表!Y:Y,_xlfn.SINGLE(MATCH(_xlfn.SINGLE(C:C),样品编号表!H:H,0))))</f>
        <v>艺纺</v>
      </c>
      <c r="E45" s="15" t="str">
        <f>_xlfn.SINGLE(INDEX(样品编号表!Z:Z,_xlfn.SINGLE(MATCH(_xlfn.SINGLE(C:C),样品编号表!H:H,0))))</f>
        <v>11865-3</v>
      </c>
      <c r="F45" s="15" t="s">
        <v>12218</v>
      </c>
      <c r="G45" s="15">
        <v>3</v>
      </c>
      <c r="H45" s="15" t="s">
        <v>12177</v>
      </c>
      <c r="I45" s="15">
        <v>3</v>
      </c>
      <c r="J45" s="14">
        <v>45929</v>
      </c>
      <c r="K45" s="16">
        <v>25</v>
      </c>
      <c r="L45" s="16">
        <f t="shared" si="0"/>
        <v>75</v>
      </c>
      <c r="M45" s="15" t="s">
        <v>12178</v>
      </c>
      <c r="N45" s="15">
        <f>_xlfn.SINGLE(INDEX(样品编号表!AA:AA,_xlfn.SINGLE(MATCH(_xlfn.SINGLE(C:C),样品编号表!H:H,0))))</f>
        <v>12.8</v>
      </c>
      <c r="O45" s="16">
        <v>18</v>
      </c>
      <c r="P45" s="16">
        <f t="shared" si="1"/>
        <v>54</v>
      </c>
      <c r="Q45" s="15"/>
      <c r="R45" s="7" t="s">
        <v>12179</v>
      </c>
    </row>
    <row r="46" ht="18" hidden="1" customHeight="1" spans="1:18">
      <c r="A46" s="14">
        <v>45926</v>
      </c>
      <c r="B46" s="15" t="s">
        <v>9156</v>
      </c>
      <c r="C46" s="15" t="s">
        <v>2638</v>
      </c>
      <c r="D46" s="15" t="str">
        <f>_xlfn.SINGLE(INDEX(样品编号表!Y:Y,_xlfn.SINGLE(MATCH(_xlfn.SINGLE(C:C),样品编号表!H:H,0))))</f>
        <v>新嘉彩</v>
      </c>
      <c r="E46" s="15">
        <f>_xlfn.SINGLE(INDEX(样品编号表!Z:Z,_xlfn.SINGLE(MATCH(_xlfn.SINGLE(C:C),样品编号表!H:H,0))))</f>
        <v>938</v>
      </c>
      <c r="F46" s="15" t="s">
        <v>12208</v>
      </c>
      <c r="G46" s="15">
        <v>3</v>
      </c>
      <c r="H46" s="15" t="s">
        <v>12177</v>
      </c>
      <c r="I46" s="15">
        <v>3</v>
      </c>
      <c r="J46" s="14">
        <v>45926</v>
      </c>
      <c r="K46" s="16">
        <v>20</v>
      </c>
      <c r="L46" s="16">
        <f t="shared" si="0"/>
        <v>60</v>
      </c>
      <c r="M46" s="15" t="s">
        <v>12178</v>
      </c>
      <c r="N46" s="15">
        <f>_xlfn.SINGLE(INDEX(样品编号表!AA:AA,_xlfn.SINGLE(MATCH(_xlfn.SINGLE(C:C),样品编号表!H:H,0))))</f>
        <v>8.8</v>
      </c>
      <c r="O46" s="16">
        <v>15</v>
      </c>
      <c r="P46" s="16">
        <f t="shared" si="1"/>
        <v>45</v>
      </c>
      <c r="Q46" s="15" t="s">
        <v>12179</v>
      </c>
      <c r="R46" s="7" t="s">
        <v>12179</v>
      </c>
    </row>
    <row r="47" ht="18" hidden="1" customHeight="1" spans="1:18">
      <c r="A47" s="14">
        <v>45926</v>
      </c>
      <c r="B47" s="15" t="s">
        <v>9156</v>
      </c>
      <c r="C47" s="15" t="s">
        <v>2771</v>
      </c>
      <c r="D47" s="15" t="str">
        <f>_xlfn.SINGLE(INDEX(样品编号表!Y:Y,_xlfn.SINGLE(MATCH(_xlfn.SINGLE(C:C),样品编号表!H:H,0))))</f>
        <v>新合盛布业</v>
      </c>
      <c r="E47" s="15">
        <f>_xlfn.SINGLE(INDEX(样品编号表!Z:Z,_xlfn.SINGLE(MATCH(_xlfn.SINGLE(C:C),样品编号表!H:H,0))))</f>
        <v>8112</v>
      </c>
      <c r="F47" s="15" t="s">
        <v>12208</v>
      </c>
      <c r="G47" s="15">
        <v>4</v>
      </c>
      <c r="H47" s="15" t="s">
        <v>12177</v>
      </c>
      <c r="I47" s="15">
        <v>4</v>
      </c>
      <c r="J47" s="14">
        <v>45926</v>
      </c>
      <c r="K47" s="16">
        <v>17</v>
      </c>
      <c r="L47" s="16">
        <f t="shared" si="0"/>
        <v>68</v>
      </c>
      <c r="M47" s="15" t="s">
        <v>12178</v>
      </c>
      <c r="N47" s="15">
        <f>_xlfn.SINGLE(INDEX(样品编号表!AA:AA,_xlfn.SINGLE(MATCH(_xlfn.SINGLE(C:C),样品编号表!H:H,0))))</f>
        <v>9.6</v>
      </c>
      <c r="O47" s="16">
        <v>14</v>
      </c>
      <c r="P47" s="16">
        <f t="shared" si="1"/>
        <v>56</v>
      </c>
      <c r="Q47" s="15" t="s">
        <v>12179</v>
      </c>
      <c r="R47" s="7" t="s">
        <v>12179</v>
      </c>
    </row>
    <row r="48" ht="18" hidden="1" customHeight="1" spans="1:18">
      <c r="A48" s="14">
        <v>45930</v>
      </c>
      <c r="B48" s="15" t="s">
        <v>12180</v>
      </c>
      <c r="C48" s="15" t="s">
        <v>2607</v>
      </c>
      <c r="D48" s="15" t="str">
        <f>_xlfn.SINGLE(INDEX(样品编号表!Y:Y,_xlfn.SINGLE(MATCH(_xlfn.SINGLE(C:C),样品编号表!H:H,0))))</f>
        <v>锦地印染</v>
      </c>
      <c r="E48" s="15">
        <f>_xlfn.SINGLE(INDEX(样品编号表!Z:Z,_xlfn.SINGLE(MATCH(_xlfn.SINGLE(C:C),样品编号表!H:H,0))))</f>
        <v>10993</v>
      </c>
      <c r="F48" s="15" t="s">
        <v>12214</v>
      </c>
      <c r="G48" s="15">
        <v>2</v>
      </c>
      <c r="H48" s="15" t="s">
        <v>12177</v>
      </c>
      <c r="I48" s="15">
        <v>2</v>
      </c>
      <c r="J48" s="14">
        <v>45937</v>
      </c>
      <c r="K48" s="16">
        <v>20</v>
      </c>
      <c r="L48" s="16">
        <f t="shared" si="0"/>
        <v>40</v>
      </c>
      <c r="M48" s="15" t="s">
        <v>12178</v>
      </c>
      <c r="N48" s="15">
        <f>_xlfn.SINGLE(INDEX(样品编号表!AA:AA,_xlfn.SINGLE(MATCH(_xlfn.SINGLE(C:C),样品编号表!H:H,0))))</f>
        <v>8.2</v>
      </c>
      <c r="O48" s="16">
        <v>14</v>
      </c>
      <c r="P48" s="16">
        <f t="shared" si="1"/>
        <v>28</v>
      </c>
      <c r="Q48" s="15" t="s">
        <v>12179</v>
      </c>
      <c r="R48" s="7" t="s">
        <v>12179</v>
      </c>
    </row>
    <row r="49" ht="18" hidden="1" customHeight="1" spans="1:18">
      <c r="A49" s="14">
        <v>45930</v>
      </c>
      <c r="B49" s="15" t="s">
        <v>12204</v>
      </c>
      <c r="C49" s="15" t="s">
        <v>2607</v>
      </c>
      <c r="D49" s="15" t="str">
        <f>_xlfn.SINGLE(INDEX(样品编号表!Y:Y,_xlfn.SINGLE(MATCH(_xlfn.SINGLE(C:C),样品编号表!H:H,0))))</f>
        <v>锦地印染</v>
      </c>
      <c r="E49" s="15">
        <f>_xlfn.SINGLE(INDEX(样品编号表!Z:Z,_xlfn.SINGLE(MATCH(_xlfn.SINGLE(C:C),样品编号表!H:H,0))))</f>
        <v>10993</v>
      </c>
      <c r="F49" s="15" t="s">
        <v>12219</v>
      </c>
      <c r="G49" s="15">
        <v>1</v>
      </c>
      <c r="H49" s="15" t="s">
        <v>12177</v>
      </c>
      <c r="I49" s="15">
        <v>1</v>
      </c>
      <c r="J49" s="14">
        <v>45937</v>
      </c>
      <c r="K49" s="16">
        <v>20</v>
      </c>
      <c r="L49" s="16">
        <f t="shared" si="0"/>
        <v>20</v>
      </c>
      <c r="M49" s="15" t="s">
        <v>12178</v>
      </c>
      <c r="N49" s="15">
        <f>_xlfn.SINGLE(INDEX(样品编号表!AA:AA,_xlfn.SINGLE(MATCH(_xlfn.SINGLE(C:C),样品编号表!H:H,0))))</f>
        <v>8.2</v>
      </c>
      <c r="O49" s="16">
        <v>14</v>
      </c>
      <c r="P49" s="16">
        <f t="shared" si="1"/>
        <v>14</v>
      </c>
      <c r="Q49" s="15" t="s">
        <v>12179</v>
      </c>
      <c r="R49" s="7" t="s">
        <v>12179</v>
      </c>
    </row>
    <row r="50" ht="18" hidden="1" customHeight="1" spans="1:18">
      <c r="A50" s="14">
        <v>45930</v>
      </c>
      <c r="B50" s="15" t="s">
        <v>12204</v>
      </c>
      <c r="C50" s="15" t="s">
        <v>2638</v>
      </c>
      <c r="D50" s="15" t="str">
        <f>_xlfn.SINGLE(INDEX(样品编号表!Y:Y,_xlfn.SINGLE(MATCH(_xlfn.SINGLE(C:C),样品编号表!H:H,0))))</f>
        <v>新嘉彩</v>
      </c>
      <c r="E50" s="15">
        <f>_xlfn.SINGLE(INDEX(样品编号表!Z:Z,_xlfn.SINGLE(MATCH(_xlfn.SINGLE(C:C),样品编号表!H:H,0))))</f>
        <v>938</v>
      </c>
      <c r="F50" s="15" t="s">
        <v>12220</v>
      </c>
      <c r="G50" s="15">
        <v>3</v>
      </c>
      <c r="H50" s="15" t="s">
        <v>12177</v>
      </c>
      <c r="I50" s="15">
        <v>3</v>
      </c>
      <c r="J50" s="14">
        <v>45937</v>
      </c>
      <c r="K50" s="16">
        <v>22</v>
      </c>
      <c r="L50" s="16">
        <f t="shared" si="0"/>
        <v>66</v>
      </c>
      <c r="M50" s="15" t="s">
        <v>12178</v>
      </c>
      <c r="N50" s="15">
        <f>_xlfn.SINGLE(INDEX(样品编号表!AA:AA,_xlfn.SINGLE(MATCH(_xlfn.SINGLE(C:C),样品编号表!H:H,0))))</f>
        <v>8.8</v>
      </c>
      <c r="O50" s="16">
        <v>15</v>
      </c>
      <c r="P50" s="16">
        <f t="shared" si="1"/>
        <v>45</v>
      </c>
      <c r="Q50" s="15" t="s">
        <v>12179</v>
      </c>
      <c r="R50" s="7" t="s">
        <v>12179</v>
      </c>
    </row>
    <row r="51" ht="18" hidden="1" customHeight="1" spans="1:18">
      <c r="A51" s="14">
        <v>45930</v>
      </c>
      <c r="B51" s="15" t="s">
        <v>12204</v>
      </c>
      <c r="C51" s="15" t="s">
        <v>2638</v>
      </c>
      <c r="D51" s="15" t="str">
        <f>_xlfn.SINGLE(INDEX(样品编号表!Y:Y,_xlfn.SINGLE(MATCH(_xlfn.SINGLE(C:C),样品编号表!H:H,0))))</f>
        <v>新嘉彩</v>
      </c>
      <c r="E51" s="15">
        <f>_xlfn.SINGLE(INDEX(样品编号表!Z:Z,_xlfn.SINGLE(MATCH(_xlfn.SINGLE(C:C),样品编号表!H:H,0))))</f>
        <v>938</v>
      </c>
      <c r="F51" s="15" t="s">
        <v>12221</v>
      </c>
      <c r="G51" s="15">
        <v>3</v>
      </c>
      <c r="H51" s="15" t="s">
        <v>12177</v>
      </c>
      <c r="I51" s="15">
        <v>3</v>
      </c>
      <c r="J51" s="14">
        <v>45937</v>
      </c>
      <c r="K51" s="16">
        <v>22</v>
      </c>
      <c r="L51" s="16">
        <f t="shared" si="0"/>
        <v>66</v>
      </c>
      <c r="M51" s="15" t="s">
        <v>12178</v>
      </c>
      <c r="N51" s="15">
        <f>_xlfn.SINGLE(INDEX(样品编号表!AA:AA,_xlfn.SINGLE(MATCH(_xlfn.SINGLE(C:C),样品编号表!H:H,0))))</f>
        <v>8.8</v>
      </c>
      <c r="O51" s="16">
        <v>15</v>
      </c>
      <c r="P51" s="16">
        <f t="shared" si="1"/>
        <v>45</v>
      </c>
      <c r="Q51" s="15" t="s">
        <v>12179</v>
      </c>
      <c r="R51" s="7" t="s">
        <v>12179</v>
      </c>
    </row>
    <row r="52" ht="18" hidden="1" customHeight="1" spans="1:18">
      <c r="A52" s="14">
        <v>45930</v>
      </c>
      <c r="B52" s="15" t="s">
        <v>12204</v>
      </c>
      <c r="C52" s="15" t="s">
        <v>2771</v>
      </c>
      <c r="D52" s="15" t="str">
        <f>_xlfn.SINGLE(INDEX(样品编号表!Y:Y,_xlfn.SINGLE(MATCH(_xlfn.SINGLE(C:C),样品编号表!H:H,0))))</f>
        <v>新合盛布业</v>
      </c>
      <c r="E52" s="15">
        <f>_xlfn.SINGLE(INDEX(样品编号表!Z:Z,_xlfn.SINGLE(MATCH(_xlfn.SINGLE(C:C),样品编号表!H:H,0))))</f>
        <v>8112</v>
      </c>
      <c r="F52" s="15" t="s">
        <v>12208</v>
      </c>
      <c r="G52" s="15">
        <v>2</v>
      </c>
      <c r="H52" s="15" t="s">
        <v>12177</v>
      </c>
      <c r="I52" s="15">
        <v>2</v>
      </c>
      <c r="J52" s="14">
        <v>45937</v>
      </c>
      <c r="K52" s="16">
        <v>21</v>
      </c>
      <c r="L52" s="16">
        <f t="shared" si="0"/>
        <v>42</v>
      </c>
      <c r="M52" s="15" t="s">
        <v>12178</v>
      </c>
      <c r="N52" s="15">
        <f>_xlfn.SINGLE(INDEX(样品编号表!AA:AA,_xlfn.SINGLE(MATCH(_xlfn.SINGLE(C:C),样品编号表!H:H,0))))</f>
        <v>9.6</v>
      </c>
      <c r="O52" s="16">
        <v>14</v>
      </c>
      <c r="P52" s="16">
        <f t="shared" si="1"/>
        <v>28</v>
      </c>
      <c r="Q52" s="15" t="s">
        <v>12179</v>
      </c>
      <c r="R52" s="7" t="s">
        <v>12179</v>
      </c>
    </row>
    <row r="53" ht="18" hidden="1" customHeight="1" spans="1:18">
      <c r="A53" s="14">
        <v>45933</v>
      </c>
      <c r="B53" s="15" t="s">
        <v>12199</v>
      </c>
      <c r="C53" s="15" t="s">
        <v>2155</v>
      </c>
      <c r="D53" s="15" t="str">
        <f>_xlfn.SINGLE(INDEX(样品编号表!Y:Y,_xlfn.SINGLE(MATCH(_xlfn.SINGLE(C:C),样品编号表!H:H,0))))</f>
        <v>润森</v>
      </c>
      <c r="E53" s="15" t="str">
        <f>_xlfn.SINGLE(INDEX(样品编号表!Z:Z,_xlfn.SINGLE(MATCH(_xlfn.SINGLE(C:C),样品编号表!H:H,0))))</f>
        <v>华尔缎</v>
      </c>
      <c r="F53" s="15" t="s">
        <v>12191</v>
      </c>
      <c r="G53" s="15">
        <v>2</v>
      </c>
      <c r="H53" s="15" t="s">
        <v>12177</v>
      </c>
      <c r="I53" s="15">
        <v>2</v>
      </c>
      <c r="J53" s="14">
        <v>45937</v>
      </c>
      <c r="K53" s="16">
        <v>18</v>
      </c>
      <c r="L53" s="16">
        <f t="shared" si="0"/>
        <v>36</v>
      </c>
      <c r="M53" s="15" t="s">
        <v>12200</v>
      </c>
      <c r="N53" s="15">
        <f>_xlfn.SINGLE(INDEX(样品编号表!AA:AA,_xlfn.SINGLE(MATCH(_xlfn.SINGLE(C:C),样品编号表!H:H,0))))</f>
        <v>10.5</v>
      </c>
      <c r="O53" s="16">
        <v>15</v>
      </c>
      <c r="P53" s="16">
        <f t="shared" si="1"/>
        <v>30</v>
      </c>
      <c r="Q53" s="15" t="s">
        <v>12179</v>
      </c>
      <c r="R53" s="7" t="s">
        <v>12179</v>
      </c>
    </row>
    <row r="54" ht="18" hidden="1" customHeight="1" spans="1:18">
      <c r="A54" s="14">
        <v>45939</v>
      </c>
      <c r="B54" s="15" t="s">
        <v>9156</v>
      </c>
      <c r="C54" s="15" t="s">
        <v>2771</v>
      </c>
      <c r="D54" s="15" t="str">
        <f>_xlfn.SINGLE(INDEX(样品编号表!Y:Y,_xlfn.SINGLE(MATCH(_xlfn.SINGLE(C:C),样品编号表!H:H,0))))</f>
        <v>新合盛布业</v>
      </c>
      <c r="E54" s="15">
        <f>_xlfn.SINGLE(INDEX(样品编号表!Z:Z,_xlfn.SINGLE(MATCH(_xlfn.SINGLE(C:C),样品编号表!H:H,0))))</f>
        <v>8112</v>
      </c>
      <c r="F54" s="15" t="s">
        <v>12222</v>
      </c>
      <c r="G54" s="15">
        <v>9</v>
      </c>
      <c r="H54" s="15" t="s">
        <v>12177</v>
      </c>
      <c r="I54" s="15">
        <v>9</v>
      </c>
      <c r="J54" s="14">
        <v>45940</v>
      </c>
      <c r="K54" s="16">
        <v>17</v>
      </c>
      <c r="L54" s="16">
        <f t="shared" si="0"/>
        <v>153</v>
      </c>
      <c r="M54" s="15" t="s">
        <v>12178</v>
      </c>
      <c r="N54" s="15">
        <f>_xlfn.SINGLE(INDEX(样品编号表!AA:AA,_xlfn.SINGLE(MATCH(_xlfn.SINGLE(C:C),样品编号表!H:H,0))))</f>
        <v>9.6</v>
      </c>
      <c r="O54" s="16">
        <v>14</v>
      </c>
      <c r="P54" s="16">
        <f t="shared" si="1"/>
        <v>126</v>
      </c>
      <c r="Q54" s="15"/>
      <c r="R54" s="7" t="s">
        <v>12179</v>
      </c>
    </row>
    <row r="55" ht="18" hidden="1" customHeight="1" spans="1:18">
      <c r="A55" s="14">
        <v>45939</v>
      </c>
      <c r="B55" s="15" t="s">
        <v>12188</v>
      </c>
      <c r="C55" s="15" t="s">
        <v>2905</v>
      </c>
      <c r="D55" s="15" t="str">
        <f>_xlfn.SINGLE(INDEX(样品编号表!Y:Y,_xlfn.SINGLE(MATCH(_xlfn.SINGLE(C:C),样品编号表!H:H,0))))</f>
        <v>合泰隆纺织</v>
      </c>
      <c r="E55" s="15" t="str">
        <f>_xlfn.SINGLE(INDEX(样品编号表!Z:Z,_xlfn.SINGLE(MATCH(_xlfn.SINGLE(C:C),样品编号表!H:H,0))))</f>
        <v>T985</v>
      </c>
      <c r="F55" s="15" t="s">
        <v>12223</v>
      </c>
      <c r="G55" s="15">
        <v>6</v>
      </c>
      <c r="H55" s="15" t="s">
        <v>12177</v>
      </c>
      <c r="I55" s="15">
        <v>6</v>
      </c>
      <c r="J55" s="14">
        <v>45940</v>
      </c>
      <c r="K55" s="16">
        <v>24</v>
      </c>
      <c r="L55" s="16">
        <f t="shared" si="0"/>
        <v>144</v>
      </c>
      <c r="M55" s="15" t="s">
        <v>12178</v>
      </c>
      <c r="N55" s="15">
        <f>_xlfn.SINGLE(INDEX(样品编号表!AA:AA,_xlfn.SINGLE(MATCH(_xlfn.SINGLE(C:C),样品编号表!H:H,0))))</f>
        <v>10.8</v>
      </c>
      <c r="O55" s="16">
        <v>18</v>
      </c>
      <c r="P55" s="16">
        <f t="shared" si="1"/>
        <v>108</v>
      </c>
      <c r="Q55" s="15" t="s">
        <v>12224</v>
      </c>
      <c r="R55" s="7" t="s">
        <v>12179</v>
      </c>
    </row>
    <row r="56" ht="18" hidden="1" customHeight="1" spans="1:18">
      <c r="A56" s="14">
        <v>45939</v>
      </c>
      <c r="B56" s="15" t="s">
        <v>12188</v>
      </c>
      <c r="C56" s="15" t="s">
        <v>2916</v>
      </c>
      <c r="D56" s="15" t="str">
        <f>_xlfn.SINGLE(INDEX(样品编号表!Y:Y,_xlfn.SINGLE(MATCH(_xlfn.SINGLE(C:C),样品编号表!H:H,0))))</f>
        <v>万利行</v>
      </c>
      <c r="E56" s="15" t="str">
        <f>_xlfn.SINGLE(INDEX(样品编号表!Z:Z,_xlfn.SINGLE(MATCH(_xlfn.SINGLE(C:C),样品编号表!H:H,0))))</f>
        <v>521-2#</v>
      </c>
      <c r="F56" s="15" t="s">
        <v>12196</v>
      </c>
      <c r="G56" s="15">
        <v>3</v>
      </c>
      <c r="H56" s="15" t="s">
        <v>12177</v>
      </c>
      <c r="I56" s="15">
        <v>3</v>
      </c>
      <c r="J56" s="14">
        <v>45940</v>
      </c>
      <c r="K56" s="16">
        <v>20.1</v>
      </c>
      <c r="L56" s="16">
        <f t="shared" si="0"/>
        <v>60.3</v>
      </c>
      <c r="M56" s="15" t="s">
        <v>12178</v>
      </c>
      <c r="N56" s="15">
        <f>_xlfn.SINGLE(INDEX(样品编号表!AA:AA,_xlfn.SINGLE(MATCH(_xlfn.SINGLE(C:C),样品编号表!H:H,0))))</f>
        <v>10.5</v>
      </c>
      <c r="O56" s="16">
        <v>15</v>
      </c>
      <c r="P56" s="16">
        <f t="shared" si="1"/>
        <v>45</v>
      </c>
      <c r="Q56" s="15"/>
      <c r="R56" s="7" t="s">
        <v>12179</v>
      </c>
    </row>
    <row r="57" ht="18" hidden="1" customHeight="1" spans="1:18">
      <c r="A57" s="14">
        <v>45944</v>
      </c>
      <c r="B57" s="15" t="s">
        <v>12180</v>
      </c>
      <c r="C57" s="15" t="s">
        <v>1593</v>
      </c>
      <c r="D57" s="15" t="str">
        <f>_xlfn.SINGLE(INDEX(样品编号表!Y:Y,_xlfn.SINGLE(MATCH(_xlfn.SINGLE(C:C),样品编号表!H:H,0))))</f>
        <v>宝隆纺织</v>
      </c>
      <c r="E57" s="15">
        <f>_xlfn.SINGLE(INDEX(样品编号表!Z:Z,_xlfn.SINGLE(MATCH(_xlfn.SINGLE(C:C),样品编号表!H:H,0))))</f>
        <v>1562</v>
      </c>
      <c r="F57" s="15" t="s">
        <v>12201</v>
      </c>
      <c r="G57" s="15">
        <v>3</v>
      </c>
      <c r="H57" s="15" t="s">
        <v>12177</v>
      </c>
      <c r="I57" s="15">
        <v>3</v>
      </c>
      <c r="J57" s="14">
        <v>45945</v>
      </c>
      <c r="K57" s="16">
        <v>21</v>
      </c>
      <c r="L57" s="16">
        <f t="shared" si="0"/>
        <v>63</v>
      </c>
      <c r="M57" s="15" t="s">
        <v>12178</v>
      </c>
      <c r="N57" s="15">
        <f>_xlfn.SINGLE(INDEX(样品编号表!AA:AA,_xlfn.SINGLE(MATCH(_xlfn.SINGLE(C:C),样品编号表!H:H,0))))</f>
        <v>6.8</v>
      </c>
      <c r="O57" s="16">
        <v>13</v>
      </c>
      <c r="P57" s="16">
        <f t="shared" si="1"/>
        <v>39</v>
      </c>
      <c r="Q57" s="15"/>
      <c r="R57" s="7" t="s">
        <v>12179</v>
      </c>
    </row>
    <row r="58" ht="18" hidden="1" customHeight="1" spans="1:18">
      <c r="A58" s="14">
        <v>45944</v>
      </c>
      <c r="B58" s="15" t="s">
        <v>9156</v>
      </c>
      <c r="C58" s="15" t="s">
        <v>1780</v>
      </c>
      <c r="D58" s="15" t="str">
        <f>_xlfn.SINGLE(INDEX(样品编号表!Y:Y,_xlfn.SINGLE(MATCH(_xlfn.SINGLE(C:C),样品编号表!H:H,0))))</f>
        <v>艺纺</v>
      </c>
      <c r="E58" s="15" t="str">
        <f>_xlfn.SINGLE(INDEX(样品编号表!Z:Z,_xlfn.SINGLE(MATCH(_xlfn.SINGLE(C:C),样品编号表!H:H,0))))</f>
        <v>11865-3</v>
      </c>
      <c r="F58" s="15" t="s">
        <v>12214</v>
      </c>
      <c r="G58" s="15">
        <v>4</v>
      </c>
      <c r="H58" s="15" t="s">
        <v>12177</v>
      </c>
      <c r="I58" s="15">
        <v>4</v>
      </c>
      <c r="J58" s="14">
        <v>45946</v>
      </c>
      <c r="K58" s="16">
        <v>25</v>
      </c>
      <c r="L58" s="16">
        <f t="shared" si="0"/>
        <v>100</v>
      </c>
      <c r="M58" s="15" t="s">
        <v>12178</v>
      </c>
      <c r="N58" s="15">
        <f>_xlfn.SINGLE(INDEX(样品编号表!AA:AA,_xlfn.SINGLE(MATCH(_xlfn.SINGLE(C:C),样品编号表!H:H,0))))</f>
        <v>12.8</v>
      </c>
      <c r="O58" s="16">
        <v>18</v>
      </c>
      <c r="P58" s="16">
        <f t="shared" si="1"/>
        <v>72</v>
      </c>
      <c r="Q58" s="15"/>
      <c r="R58" s="7" t="s">
        <v>12179</v>
      </c>
    </row>
    <row r="59" ht="18" hidden="1" customHeight="1" spans="1:18">
      <c r="A59" s="14">
        <v>45944</v>
      </c>
      <c r="B59" s="15" t="s">
        <v>12204</v>
      </c>
      <c r="C59" s="15" t="s">
        <v>2113</v>
      </c>
      <c r="D59" s="15" t="str">
        <f>_xlfn.SINGLE(INDEX(样品编号表!Y:Y,_xlfn.SINGLE(MATCH(_xlfn.SINGLE(C:C),样品编号表!H:H,0))))</f>
        <v>凯盛亨</v>
      </c>
      <c r="E59" s="15" t="str">
        <f>_xlfn.SINGLE(INDEX(样品编号表!Z:Z,_xlfn.SINGLE(MATCH(_xlfn.SINGLE(C:C),样品编号表!H:H,0))))</f>
        <v>839#</v>
      </c>
      <c r="F59" s="15" t="s">
        <v>12225</v>
      </c>
      <c r="G59" s="15">
        <v>5</v>
      </c>
      <c r="H59" s="15" t="s">
        <v>12177</v>
      </c>
      <c r="I59" s="15">
        <v>5</v>
      </c>
      <c r="J59" s="14">
        <v>45945</v>
      </c>
      <c r="K59" s="16">
        <v>37</v>
      </c>
      <c r="L59" s="16">
        <f t="shared" si="0"/>
        <v>185</v>
      </c>
      <c r="M59" s="15" t="s">
        <v>12178</v>
      </c>
      <c r="N59" s="15">
        <f>_xlfn.SINGLE(INDEX(样品编号表!AA:AA,_xlfn.SINGLE(MATCH(_xlfn.SINGLE(C:C),样品编号表!H:H,0))))</f>
        <v>11.3</v>
      </c>
      <c r="O59" s="16">
        <v>19.9</v>
      </c>
      <c r="P59" s="16">
        <f t="shared" si="1"/>
        <v>99.5</v>
      </c>
      <c r="Q59" s="15" t="s">
        <v>12226</v>
      </c>
      <c r="R59" s="7" t="s">
        <v>12179</v>
      </c>
    </row>
    <row r="60" ht="18" customHeight="1" spans="1:18">
      <c r="A60" s="14">
        <v>45945</v>
      </c>
      <c r="B60" s="15" t="s">
        <v>9156</v>
      </c>
      <c r="C60" s="15" t="s">
        <v>3618</v>
      </c>
      <c r="D60" s="15" t="str">
        <f>_xlfn.SINGLE(INDEX(样品编号表!Y:Y,_xlfn.SINGLE(MATCH(_xlfn.SINGLE(C:C),样品编号表!H:H,0))))</f>
        <v>万顺纺织</v>
      </c>
      <c r="E60" s="15" t="str">
        <f>_xlfn.SINGLE(INDEX(样品编号表!Z:Z,_xlfn.SINGLE(MATCH(_xlfn.SINGLE(C:C),样品编号表!H:H,0))))</f>
        <v>A8784</v>
      </c>
      <c r="F60" s="15" t="s">
        <v>12213</v>
      </c>
      <c r="G60" s="15">
        <v>4</v>
      </c>
      <c r="H60" s="15" t="s">
        <v>12177</v>
      </c>
      <c r="I60" s="15">
        <v>4</v>
      </c>
      <c r="J60" s="14">
        <v>45946</v>
      </c>
      <c r="K60" s="16">
        <v>21</v>
      </c>
      <c r="L60" s="16">
        <f t="shared" si="0"/>
        <v>84</v>
      </c>
      <c r="M60" s="15" t="s">
        <v>12178</v>
      </c>
      <c r="N60" s="15">
        <f>_xlfn.SINGLE(INDEX(样品编号表!AA:AA,_xlfn.SINGLE(MATCH(_xlfn.SINGLE(C:C),样品编号表!H:H,0))))</f>
        <v>8.8</v>
      </c>
      <c r="O60" s="16">
        <v>14</v>
      </c>
      <c r="P60" s="16">
        <f t="shared" si="1"/>
        <v>56</v>
      </c>
      <c r="Q60" s="15"/>
      <c r="R60" s="7" t="s">
        <v>12179</v>
      </c>
    </row>
    <row r="61" ht="18" customHeight="1" spans="1:18">
      <c r="A61" s="14">
        <v>45945</v>
      </c>
      <c r="B61" s="15" t="s">
        <v>9156</v>
      </c>
      <c r="C61" s="15" t="s">
        <v>3618</v>
      </c>
      <c r="D61" s="15" t="str">
        <f>_xlfn.SINGLE(INDEX(样品编号表!Y:Y,_xlfn.SINGLE(MATCH(_xlfn.SINGLE(C:C),样品编号表!H:H,0))))</f>
        <v>万顺纺织</v>
      </c>
      <c r="E61" s="15" t="str">
        <f>_xlfn.SINGLE(INDEX(样品编号表!Z:Z,_xlfn.SINGLE(MATCH(_xlfn.SINGLE(C:C),样品编号表!H:H,0))))</f>
        <v>A8784</v>
      </c>
      <c r="F61" s="15" t="s">
        <v>12227</v>
      </c>
      <c r="G61" s="15">
        <v>5</v>
      </c>
      <c r="H61" s="15" t="s">
        <v>12177</v>
      </c>
      <c r="I61" s="15">
        <v>5</v>
      </c>
      <c r="J61" s="14">
        <v>45946</v>
      </c>
      <c r="K61" s="16">
        <v>21</v>
      </c>
      <c r="L61" s="16">
        <f t="shared" si="0"/>
        <v>105</v>
      </c>
      <c r="M61" s="15" t="s">
        <v>12178</v>
      </c>
      <c r="N61" s="15">
        <f>_xlfn.SINGLE(INDEX(样品编号表!AA:AA,_xlfn.SINGLE(MATCH(_xlfn.SINGLE(C:C),样品编号表!H:H,0))))</f>
        <v>8.8</v>
      </c>
      <c r="O61" s="16">
        <v>14</v>
      </c>
      <c r="P61" s="16">
        <f t="shared" si="1"/>
        <v>70</v>
      </c>
      <c r="Q61" s="15"/>
      <c r="R61" s="7" t="s">
        <v>12179</v>
      </c>
    </row>
    <row r="62" ht="18" hidden="1" customHeight="1" spans="1:18">
      <c r="A62" s="14">
        <v>45946</v>
      </c>
      <c r="B62" s="15" t="s">
        <v>12204</v>
      </c>
      <c r="C62" s="15" t="s">
        <v>558</v>
      </c>
      <c r="D62" s="15" t="str">
        <f>_xlfn.SINGLE(INDEX(样品编号表!Y:Y,_xlfn.SINGLE(MATCH(_xlfn.SINGLE(C:C),样品编号表!H:H,0))))</f>
        <v>联众</v>
      </c>
      <c r="E62" s="15" t="str">
        <f>_xlfn.SINGLE(INDEX(样品编号表!Z:Z,_xlfn.SINGLE(MATCH(_xlfn.SINGLE(C:C),样品编号表!H:H,0))))</f>
        <v>A8207</v>
      </c>
      <c r="F62" s="15" t="s">
        <v>12213</v>
      </c>
      <c r="G62" s="15">
        <v>8</v>
      </c>
      <c r="H62" s="15" t="s">
        <v>12177</v>
      </c>
      <c r="I62" s="15">
        <v>8</v>
      </c>
      <c r="J62" s="14">
        <v>45947</v>
      </c>
      <c r="K62" s="16">
        <v>32</v>
      </c>
      <c r="L62" s="16">
        <f t="shared" si="0"/>
        <v>256</v>
      </c>
      <c r="M62" s="15" t="s">
        <v>12178</v>
      </c>
      <c r="N62" s="15">
        <f>_xlfn.SINGLE(INDEX(样品编号表!AA:AA,_xlfn.SINGLE(MATCH(_xlfn.SINGLE(C:C),样品编号表!H:H,0))))</f>
        <v>48</v>
      </c>
      <c r="O62" s="16">
        <v>25</v>
      </c>
      <c r="P62" s="16">
        <f t="shared" si="1"/>
        <v>200</v>
      </c>
      <c r="Q62" s="15"/>
      <c r="R62" s="7" t="s">
        <v>12179</v>
      </c>
    </row>
    <row r="63" ht="18" hidden="1" customHeight="1" spans="1:18">
      <c r="A63" s="14">
        <v>45946</v>
      </c>
      <c r="B63" s="15" t="s">
        <v>12194</v>
      </c>
      <c r="C63" s="15" t="s">
        <v>2638</v>
      </c>
      <c r="D63" s="15" t="str">
        <f>_xlfn.SINGLE(INDEX(样品编号表!Y:Y,_xlfn.SINGLE(MATCH(_xlfn.SINGLE(C:C),样品编号表!H:H,0))))</f>
        <v>新嘉彩</v>
      </c>
      <c r="E63" s="15">
        <f>_xlfn.SINGLE(INDEX(样品编号表!Z:Z,_xlfn.SINGLE(MATCH(_xlfn.SINGLE(C:C),样品编号表!H:H,0))))</f>
        <v>938</v>
      </c>
      <c r="F63" s="15" t="s">
        <v>12185</v>
      </c>
      <c r="G63" s="15">
        <v>5</v>
      </c>
      <c r="H63" s="15" t="s">
        <v>12177</v>
      </c>
      <c r="I63" s="15">
        <v>5</v>
      </c>
      <c r="J63" s="14">
        <v>45947</v>
      </c>
      <c r="K63" s="16">
        <v>20</v>
      </c>
      <c r="L63" s="16">
        <f t="shared" si="0"/>
        <v>100</v>
      </c>
      <c r="M63" s="15" t="s">
        <v>12178</v>
      </c>
      <c r="N63" s="15">
        <f>_xlfn.SINGLE(INDEX(样品编号表!AA:AA,_xlfn.SINGLE(MATCH(_xlfn.SINGLE(C:C),样品编号表!H:H,0))))</f>
        <v>8.8</v>
      </c>
      <c r="O63" s="16">
        <v>15</v>
      </c>
      <c r="P63" s="16">
        <f t="shared" si="1"/>
        <v>75</v>
      </c>
      <c r="Q63" s="15"/>
      <c r="R63" s="7" t="s">
        <v>12179</v>
      </c>
    </row>
    <row r="64" ht="18" hidden="1" customHeight="1" spans="1:18">
      <c r="A64" s="14">
        <v>45947</v>
      </c>
      <c r="B64" s="15" t="s">
        <v>12180</v>
      </c>
      <c r="C64" s="15" t="s">
        <v>417</v>
      </c>
      <c r="D64" s="15" t="str">
        <f>_xlfn.SINGLE(INDEX(样品编号表!Y:Y,_xlfn.SINGLE(MATCH(_xlfn.SINGLE(C:C),样品编号表!H:H,0))))</f>
        <v>新合盛布业</v>
      </c>
      <c r="E64" s="15">
        <f>_xlfn.SINGLE(INDEX(样品编号表!Z:Z,_xlfn.SINGLE(MATCH(_xlfn.SINGLE(C:C),样品编号表!H:H,0))))</f>
        <v>6002</v>
      </c>
      <c r="F64" s="15" t="s">
        <v>12228</v>
      </c>
      <c r="G64" s="15">
        <v>6</v>
      </c>
      <c r="H64" s="15" t="s">
        <v>12177</v>
      </c>
      <c r="I64" s="15">
        <v>6</v>
      </c>
      <c r="J64" s="14">
        <v>45951</v>
      </c>
      <c r="K64" s="16">
        <v>24</v>
      </c>
      <c r="L64" s="16">
        <f t="shared" si="0"/>
        <v>144</v>
      </c>
      <c r="M64" s="15" t="s">
        <v>12178</v>
      </c>
      <c r="N64" s="15">
        <f>_xlfn.SINGLE(INDEX(样品编号表!AA:AA,_xlfn.SINGLE(MATCH(_xlfn.SINGLE(C:C),样品编号表!H:H,0))))</f>
        <v>6.6</v>
      </c>
      <c r="O64" s="16">
        <v>18</v>
      </c>
      <c r="P64" s="16">
        <f t="shared" si="1"/>
        <v>108</v>
      </c>
      <c r="Q64" s="15"/>
      <c r="R64" s="7" t="s">
        <v>12179</v>
      </c>
    </row>
    <row r="65" ht="18" customHeight="1" spans="1:18">
      <c r="A65" s="14">
        <v>45947</v>
      </c>
      <c r="B65" s="15" t="s">
        <v>9156</v>
      </c>
      <c r="C65" s="15" t="s">
        <v>3618</v>
      </c>
      <c r="D65" s="15" t="str">
        <f>_xlfn.SINGLE(INDEX(样品编号表!Y:Y,_xlfn.SINGLE(MATCH(_xlfn.SINGLE(C:C),样品编号表!H:H,0))))</f>
        <v>万顺纺织</v>
      </c>
      <c r="E65" s="15" t="str">
        <f>_xlfn.SINGLE(INDEX(样品编号表!Z:Z,_xlfn.SINGLE(MATCH(_xlfn.SINGLE(C:C),样品编号表!H:H,0))))</f>
        <v>A8784</v>
      </c>
      <c r="F65" s="15" t="s">
        <v>12222</v>
      </c>
      <c r="G65" s="15">
        <v>1</v>
      </c>
      <c r="H65" s="15" t="s">
        <v>12177</v>
      </c>
      <c r="I65" s="15">
        <v>1</v>
      </c>
      <c r="J65" s="14">
        <v>45950</v>
      </c>
      <c r="K65" s="16">
        <v>22</v>
      </c>
      <c r="L65" s="16">
        <f t="shared" si="0"/>
        <v>22</v>
      </c>
      <c r="M65" s="15" t="s">
        <v>12178</v>
      </c>
      <c r="N65" s="15">
        <f>_xlfn.SINGLE(INDEX(样品编号表!AA:AA,_xlfn.SINGLE(MATCH(_xlfn.SINGLE(C:C),样品编号表!H:H,0))))</f>
        <v>8.8</v>
      </c>
      <c r="O65" s="16">
        <v>14</v>
      </c>
      <c r="P65" s="16">
        <f t="shared" si="1"/>
        <v>14</v>
      </c>
      <c r="Q65" s="15"/>
      <c r="R65" s="7" t="s">
        <v>12179</v>
      </c>
    </row>
    <row r="66" ht="18" hidden="1" customHeight="1" spans="1:18">
      <c r="A66" s="14">
        <v>45947</v>
      </c>
      <c r="B66" s="15" t="s">
        <v>12194</v>
      </c>
      <c r="C66" s="15" t="s">
        <v>1780</v>
      </c>
      <c r="D66" s="15" t="str">
        <f>_xlfn.SINGLE(INDEX(样品编号表!Y:Y,_xlfn.SINGLE(MATCH(_xlfn.SINGLE(C:C),样品编号表!H:H,0))))</f>
        <v>艺纺</v>
      </c>
      <c r="E66" s="15" t="str">
        <f>_xlfn.SINGLE(INDEX(样品编号表!Z:Z,_xlfn.SINGLE(MATCH(_xlfn.SINGLE(C:C),样品编号表!H:H,0))))</f>
        <v>11865-3</v>
      </c>
      <c r="F66" s="15" t="s">
        <v>12229</v>
      </c>
      <c r="G66" s="15">
        <v>4</v>
      </c>
      <c r="H66" s="15" t="s">
        <v>12177</v>
      </c>
      <c r="I66" s="15">
        <v>4</v>
      </c>
      <c r="J66" s="14">
        <v>45950</v>
      </c>
      <c r="K66" s="16">
        <v>25</v>
      </c>
      <c r="L66" s="16">
        <f t="shared" ref="L66:L103" si="2">I66*K66</f>
        <v>100</v>
      </c>
      <c r="M66" s="15" t="s">
        <v>12178</v>
      </c>
      <c r="N66" s="15">
        <f>_xlfn.SINGLE(INDEX(样品编号表!AA:AA,_xlfn.SINGLE(MATCH(_xlfn.SINGLE(C:C),样品编号表!H:H,0))))</f>
        <v>12.8</v>
      </c>
      <c r="O66" s="16">
        <v>18</v>
      </c>
      <c r="P66" s="16">
        <f t="shared" ref="P66:P74" si="3">I66*O66</f>
        <v>72</v>
      </c>
      <c r="Q66" s="15"/>
      <c r="R66" s="7" t="s">
        <v>12179</v>
      </c>
    </row>
    <row r="67" ht="18" hidden="1" customHeight="1" spans="1:18">
      <c r="A67" s="14">
        <v>45947</v>
      </c>
      <c r="B67" s="15" t="s">
        <v>12188</v>
      </c>
      <c r="C67" s="15" t="s">
        <v>2625</v>
      </c>
      <c r="D67" s="15" t="str">
        <f>_xlfn.SINGLE(INDEX(样品编号表!Y:Y,_xlfn.SINGLE(MATCH(_xlfn.SINGLE(C:C),样品编号表!H:H,0))))</f>
        <v>锦地印染</v>
      </c>
      <c r="E67" s="15" t="str">
        <f>_xlfn.SINGLE(INDEX(样品编号表!Z:Z,_xlfn.SINGLE(MATCH(_xlfn.SINGLE(C:C),样品编号表!H:H,0))))</f>
        <v>醋酸金銮缎</v>
      </c>
      <c r="F67" s="15" t="s">
        <v>12230</v>
      </c>
      <c r="G67" s="15">
        <v>5</v>
      </c>
      <c r="H67" s="15" t="s">
        <v>12177</v>
      </c>
      <c r="I67" s="15">
        <v>5</v>
      </c>
      <c r="J67" s="14">
        <v>45950</v>
      </c>
      <c r="K67" s="16">
        <v>22</v>
      </c>
      <c r="L67" s="16">
        <f t="shared" si="2"/>
        <v>110</v>
      </c>
      <c r="M67" s="15" t="s">
        <v>12178</v>
      </c>
      <c r="N67" s="15">
        <f>_xlfn.SINGLE(INDEX(样品编号表!AA:AA,_xlfn.SINGLE(MATCH(_xlfn.SINGLE(C:C),样品编号表!H:H,0))))</f>
        <v>9</v>
      </c>
      <c r="O67" s="16">
        <v>15</v>
      </c>
      <c r="P67" s="16">
        <f t="shared" si="3"/>
        <v>75</v>
      </c>
      <c r="Q67" s="15"/>
      <c r="R67" s="7" t="s">
        <v>12179</v>
      </c>
    </row>
    <row r="68" ht="18" hidden="1" customHeight="1" spans="1:18">
      <c r="A68" s="14">
        <v>45948</v>
      </c>
      <c r="B68" s="15" t="s">
        <v>12188</v>
      </c>
      <c r="C68" s="15" t="s">
        <v>3359</v>
      </c>
      <c r="D68" s="15" t="str">
        <f>_xlfn.SINGLE(INDEX(样品编号表!Y:Y,_xlfn.SINGLE(MATCH(_xlfn.SINGLE(C:C),样品编号表!H:H,0))))</f>
        <v>健润纺织</v>
      </c>
      <c r="E68" s="15" t="str">
        <f>_xlfn.SINGLE(INDEX(样品编号表!Z:Z,_xlfn.SINGLE(MATCH(_xlfn.SINGLE(C:C),样品编号表!H:H,0))))</f>
        <v>逸柔3*2罗纹-RS</v>
      </c>
      <c r="F68" s="15" t="s">
        <v>12231</v>
      </c>
      <c r="G68" s="15">
        <v>2</v>
      </c>
      <c r="H68" s="15" t="s">
        <v>12177</v>
      </c>
      <c r="I68" s="15">
        <v>2</v>
      </c>
      <c r="J68" s="14">
        <v>45951</v>
      </c>
      <c r="K68" s="16">
        <v>18</v>
      </c>
      <c r="L68" s="16">
        <f t="shared" si="2"/>
        <v>36</v>
      </c>
      <c r="M68" s="15" t="s">
        <v>12178</v>
      </c>
      <c r="N68" s="15">
        <f>_xlfn.SINGLE(INDEX(样品编号表!AA:AA,_xlfn.SINGLE(MATCH(_xlfn.SINGLE(C:C),样品编号表!H:H,0))))</f>
        <v>42</v>
      </c>
      <c r="O68" s="31">
        <v>30</v>
      </c>
      <c r="P68" s="16">
        <f t="shared" si="3"/>
        <v>60</v>
      </c>
      <c r="Q68" s="15"/>
      <c r="R68" s="7" t="s">
        <v>12179</v>
      </c>
    </row>
    <row r="69" ht="18" hidden="1" customHeight="1" spans="1:18">
      <c r="A69" s="14">
        <v>45948</v>
      </c>
      <c r="B69" s="15" t="s">
        <v>12188</v>
      </c>
      <c r="C69" s="15" t="s">
        <v>3359</v>
      </c>
      <c r="D69" s="15" t="str">
        <f>_xlfn.SINGLE(INDEX(样品编号表!Y:Y,_xlfn.SINGLE(MATCH(_xlfn.SINGLE(C:C),样品编号表!H:H,0))))</f>
        <v>健润纺织</v>
      </c>
      <c r="E69" s="15" t="str">
        <f>_xlfn.SINGLE(INDEX(样品编号表!Z:Z,_xlfn.SINGLE(MATCH(_xlfn.SINGLE(C:C),样品编号表!H:H,0))))</f>
        <v>逸柔3*2罗纹-RS</v>
      </c>
      <c r="F69" s="15" t="s">
        <v>12232</v>
      </c>
      <c r="G69" s="15">
        <v>2</v>
      </c>
      <c r="H69" s="15" t="s">
        <v>12177</v>
      </c>
      <c r="I69" s="15">
        <v>2</v>
      </c>
      <c r="J69" s="14">
        <v>45950</v>
      </c>
      <c r="K69" s="16">
        <v>18</v>
      </c>
      <c r="L69" s="16">
        <f t="shared" si="2"/>
        <v>36</v>
      </c>
      <c r="M69" s="15" t="s">
        <v>12178</v>
      </c>
      <c r="N69" s="15">
        <f>_xlfn.SINGLE(INDEX(样品编号表!AA:AA,_xlfn.SINGLE(MATCH(_xlfn.SINGLE(C:C),样品编号表!H:H,0))))</f>
        <v>42</v>
      </c>
      <c r="O69" s="31">
        <v>30</v>
      </c>
      <c r="P69" s="16">
        <f t="shared" si="3"/>
        <v>60</v>
      </c>
      <c r="Q69" s="15"/>
      <c r="R69" s="7" t="s">
        <v>12179</v>
      </c>
    </row>
    <row r="70" ht="18" hidden="1" customHeight="1" spans="1:18">
      <c r="A70" s="14">
        <v>45948</v>
      </c>
      <c r="B70" s="15" t="s">
        <v>12188</v>
      </c>
      <c r="C70" s="15" t="s">
        <v>3359</v>
      </c>
      <c r="D70" s="15" t="str">
        <f>_xlfn.SINGLE(INDEX(样品编号表!Y:Y,_xlfn.SINGLE(MATCH(_xlfn.SINGLE(C:C),样品编号表!H:H,0))))</f>
        <v>健润纺织</v>
      </c>
      <c r="E70" s="15" t="str">
        <f>_xlfn.SINGLE(INDEX(样品编号表!Z:Z,_xlfn.SINGLE(MATCH(_xlfn.SINGLE(C:C),样品编号表!H:H,0))))</f>
        <v>逸柔3*2罗纹-RS</v>
      </c>
      <c r="F70" s="15" t="s">
        <v>12233</v>
      </c>
      <c r="G70" s="15">
        <v>2</v>
      </c>
      <c r="H70" s="15" t="s">
        <v>12177</v>
      </c>
      <c r="I70" s="15">
        <v>2</v>
      </c>
      <c r="J70" s="14">
        <v>45950</v>
      </c>
      <c r="K70" s="16">
        <v>18</v>
      </c>
      <c r="L70" s="16">
        <f t="shared" si="2"/>
        <v>36</v>
      </c>
      <c r="M70" s="15" t="s">
        <v>12178</v>
      </c>
      <c r="N70" s="15">
        <f>_xlfn.SINGLE(INDEX(样品编号表!AA:AA,_xlfn.SINGLE(MATCH(_xlfn.SINGLE(C:C),样品编号表!H:H,0))))</f>
        <v>42</v>
      </c>
      <c r="O70" s="31">
        <v>30</v>
      </c>
      <c r="P70" s="16">
        <f t="shared" si="3"/>
        <v>60</v>
      </c>
      <c r="Q70" s="15"/>
      <c r="R70" s="7" t="s">
        <v>12179</v>
      </c>
    </row>
    <row r="71" ht="18" hidden="1" customHeight="1" spans="1:18">
      <c r="A71" s="14">
        <v>45951</v>
      </c>
      <c r="B71" s="15" t="s">
        <v>12180</v>
      </c>
      <c r="C71" s="15" t="s">
        <v>2155</v>
      </c>
      <c r="D71" s="15" t="str">
        <f>_xlfn.SINGLE(INDEX(样品编号表!Y:Y,_xlfn.SINGLE(MATCH(_xlfn.SINGLE(C:C),样品编号表!H:H,0))))</f>
        <v>润森</v>
      </c>
      <c r="E71" s="15" t="str">
        <f>_xlfn.SINGLE(INDEX(样品编号表!Z:Z,_xlfn.SINGLE(MATCH(_xlfn.SINGLE(C:C),样品编号表!H:H,0))))</f>
        <v>华尔缎</v>
      </c>
      <c r="F71" s="15" t="s">
        <v>12234</v>
      </c>
      <c r="G71" s="15">
        <v>6</v>
      </c>
      <c r="H71" s="15" t="s">
        <v>12177</v>
      </c>
      <c r="I71" s="15">
        <v>6</v>
      </c>
      <c r="J71" s="14">
        <v>45952</v>
      </c>
      <c r="K71" s="16">
        <v>18</v>
      </c>
      <c r="L71" s="16">
        <f t="shared" si="2"/>
        <v>108</v>
      </c>
      <c r="M71" s="15" t="s">
        <v>12178</v>
      </c>
      <c r="N71" s="15">
        <f>_xlfn.SINGLE(INDEX(样品编号表!AA:AA,_xlfn.SINGLE(MATCH(_xlfn.SINGLE(C:C),样品编号表!H:H,0))))</f>
        <v>10.5</v>
      </c>
      <c r="O71" s="16">
        <v>15</v>
      </c>
      <c r="P71" s="16">
        <f t="shared" si="3"/>
        <v>90</v>
      </c>
      <c r="Q71" s="15"/>
      <c r="R71" s="7" t="s">
        <v>12179</v>
      </c>
    </row>
    <row r="72" ht="18" hidden="1" customHeight="1" spans="1:18">
      <c r="A72" s="14">
        <v>45951</v>
      </c>
      <c r="B72" s="15" t="s">
        <v>12180</v>
      </c>
      <c r="C72" s="15" t="s">
        <v>2155</v>
      </c>
      <c r="D72" s="15" t="str">
        <f>_xlfn.SINGLE(INDEX(样品编号表!Y:Y,_xlfn.SINGLE(MATCH(_xlfn.SINGLE(C:C),样品编号表!H:H,0))))</f>
        <v>润森</v>
      </c>
      <c r="E72" s="15" t="str">
        <f>_xlfn.SINGLE(INDEX(样品编号表!Z:Z,_xlfn.SINGLE(MATCH(_xlfn.SINGLE(C:C),样品编号表!H:H,0))))</f>
        <v>华尔缎</v>
      </c>
      <c r="F72" s="15" t="s">
        <v>12235</v>
      </c>
      <c r="G72" s="15">
        <v>2</v>
      </c>
      <c r="H72" s="15" t="s">
        <v>12177</v>
      </c>
      <c r="I72" s="15">
        <v>2</v>
      </c>
      <c r="J72" s="14">
        <v>45952</v>
      </c>
      <c r="K72" s="16">
        <v>18</v>
      </c>
      <c r="L72" s="16">
        <f t="shared" si="2"/>
        <v>36</v>
      </c>
      <c r="M72" s="15" t="s">
        <v>12178</v>
      </c>
      <c r="N72" s="15">
        <f>_xlfn.SINGLE(INDEX(样品编号表!AA:AA,_xlfn.SINGLE(MATCH(_xlfn.SINGLE(C:C),样品编号表!H:H,0))))</f>
        <v>10.5</v>
      </c>
      <c r="O72" s="16">
        <v>15</v>
      </c>
      <c r="P72" s="16">
        <f t="shared" si="3"/>
        <v>30</v>
      </c>
      <c r="Q72" s="15"/>
      <c r="R72" s="7" t="s">
        <v>12179</v>
      </c>
    </row>
    <row r="73" ht="18" hidden="1" customHeight="1" spans="1:18">
      <c r="A73" s="14">
        <v>45951</v>
      </c>
      <c r="B73" s="15" t="s">
        <v>12199</v>
      </c>
      <c r="C73" s="15" t="s">
        <v>2155</v>
      </c>
      <c r="D73" s="15" t="str">
        <f>_xlfn.SINGLE(INDEX(样品编号表!Y:Y,_xlfn.SINGLE(MATCH(_xlfn.SINGLE(C:C),样品编号表!H:H,0))))</f>
        <v>润森</v>
      </c>
      <c r="E73" s="15" t="str">
        <f>_xlfn.SINGLE(INDEX(样品编号表!Z:Z,_xlfn.SINGLE(MATCH(_xlfn.SINGLE(C:C),样品编号表!H:H,0))))</f>
        <v>华尔缎</v>
      </c>
      <c r="F73" s="32" t="s">
        <v>12236</v>
      </c>
      <c r="G73" s="15">
        <v>5</v>
      </c>
      <c r="H73" s="15" t="s">
        <v>12177</v>
      </c>
      <c r="I73" s="15">
        <v>5</v>
      </c>
      <c r="J73" s="14">
        <v>45952</v>
      </c>
      <c r="K73" s="16">
        <v>18</v>
      </c>
      <c r="L73" s="16">
        <f t="shared" si="2"/>
        <v>90</v>
      </c>
      <c r="M73" s="15" t="s">
        <v>12178</v>
      </c>
      <c r="N73" s="15">
        <f>_xlfn.SINGLE(INDEX(样品编号表!AA:AA,_xlfn.SINGLE(MATCH(_xlfn.SINGLE(C:C),样品编号表!H:H,0))))</f>
        <v>10.5</v>
      </c>
      <c r="O73" s="16">
        <v>15</v>
      </c>
      <c r="P73" s="16">
        <f t="shared" si="3"/>
        <v>75</v>
      </c>
      <c r="Q73" s="15"/>
      <c r="R73" s="7" t="s">
        <v>12179</v>
      </c>
    </row>
    <row r="74" ht="18" hidden="1" customHeight="1" spans="1:18">
      <c r="A74" s="14">
        <v>45951</v>
      </c>
      <c r="B74" s="15" t="s">
        <v>12199</v>
      </c>
      <c r="C74" s="15" t="s">
        <v>2155</v>
      </c>
      <c r="D74" s="15" t="str">
        <f>_xlfn.SINGLE(INDEX(样品编号表!Y:Y,_xlfn.SINGLE(MATCH(_xlfn.SINGLE(C:C),样品编号表!H:H,0))))</f>
        <v>润森</v>
      </c>
      <c r="E74" s="15" t="str">
        <f>_xlfn.SINGLE(INDEX(样品编号表!Z:Z,_xlfn.SINGLE(MATCH(_xlfn.SINGLE(C:C),样品编号表!H:H,0))))</f>
        <v>华尔缎</v>
      </c>
      <c r="F74" s="32" t="s">
        <v>12237</v>
      </c>
      <c r="G74" s="15">
        <v>3</v>
      </c>
      <c r="H74" s="15" t="s">
        <v>12177</v>
      </c>
      <c r="I74" s="15">
        <v>3</v>
      </c>
      <c r="J74" s="14">
        <v>45952</v>
      </c>
      <c r="K74" s="16">
        <v>18</v>
      </c>
      <c r="L74" s="16">
        <f t="shared" si="2"/>
        <v>54</v>
      </c>
      <c r="M74" s="15" t="s">
        <v>12178</v>
      </c>
      <c r="N74" s="15">
        <f>_xlfn.SINGLE(INDEX(样品编号表!AA:AA,_xlfn.SINGLE(MATCH(_xlfn.SINGLE(C:C),样品编号表!H:H,0))))</f>
        <v>10.5</v>
      </c>
      <c r="O74" s="16">
        <v>15</v>
      </c>
      <c r="P74" s="16">
        <f t="shared" si="3"/>
        <v>45</v>
      </c>
      <c r="Q74" s="15"/>
      <c r="R74" s="7" t="s">
        <v>12179</v>
      </c>
    </row>
    <row r="75" ht="18" hidden="1" customHeight="1" spans="1:18">
      <c r="A75" s="14">
        <v>45952</v>
      </c>
      <c r="B75" s="15" t="s">
        <v>12180</v>
      </c>
      <c r="C75" s="15" t="s">
        <v>486</v>
      </c>
      <c r="D75" s="15" t="str">
        <f>_xlfn.SINGLE(INDEX(样品编号表!Y:Y,_xlfn.SINGLE(MATCH(_xlfn.SINGLE(C:C),样品编号表!H:H,0))))</f>
        <v>三好纺织</v>
      </c>
      <c r="E75" s="15" t="str">
        <f>_xlfn.SINGLE(INDEX(样品编号表!Z:Z,_xlfn.SINGLE(MATCH(_xlfn.SINGLE(C:C),样品编号表!H:H,0))))</f>
        <v>0953#</v>
      </c>
      <c r="F75" s="15" t="s">
        <v>12238</v>
      </c>
      <c r="G75" s="15">
        <v>2</v>
      </c>
      <c r="H75" s="15" t="s">
        <v>12177</v>
      </c>
      <c r="I75" s="15">
        <v>2</v>
      </c>
      <c r="J75" s="14">
        <v>45955</v>
      </c>
      <c r="K75" s="16">
        <v>25</v>
      </c>
      <c r="L75" s="16">
        <f t="shared" si="2"/>
        <v>50</v>
      </c>
      <c r="M75" s="15" t="s">
        <v>12178</v>
      </c>
      <c r="N75" s="15">
        <f>_xlfn.SINGLE(INDEX(样品编号表!AA:AA,_xlfn.SINGLE(MATCH(_xlfn.SINGLE(C:C),样品编号表!H:H,0))))</f>
        <v>11.5</v>
      </c>
      <c r="O75" s="16">
        <v>14</v>
      </c>
      <c r="P75" s="16">
        <f t="shared" ref="P75:P106" si="4">I75*O75</f>
        <v>28</v>
      </c>
      <c r="Q75" s="15"/>
      <c r="R75" s="7" t="s">
        <v>12179</v>
      </c>
    </row>
    <row r="76" ht="18" customHeight="1" spans="1:18">
      <c r="A76" s="14">
        <v>45952</v>
      </c>
      <c r="B76" s="15" t="s">
        <v>9156</v>
      </c>
      <c r="C76" s="15" t="s">
        <v>3618</v>
      </c>
      <c r="D76" s="15" t="str">
        <f>_xlfn.SINGLE(INDEX(样品编号表!Y:Y,_xlfn.SINGLE(MATCH(_xlfn.SINGLE(C:C),样品编号表!H:H,0))))</f>
        <v>万顺纺织</v>
      </c>
      <c r="E76" s="15" t="str">
        <f>_xlfn.SINGLE(INDEX(样品编号表!Z:Z,_xlfn.SINGLE(MATCH(_xlfn.SINGLE(C:C),样品编号表!H:H,0))))</f>
        <v>A8784</v>
      </c>
      <c r="F76" s="15" t="s">
        <v>12213</v>
      </c>
      <c r="G76" s="15">
        <v>7</v>
      </c>
      <c r="H76" s="15" t="s">
        <v>12177</v>
      </c>
      <c r="I76" s="15">
        <v>7</v>
      </c>
      <c r="J76" s="14">
        <v>45953</v>
      </c>
      <c r="K76" s="16">
        <v>21</v>
      </c>
      <c r="L76" s="16">
        <f t="shared" si="2"/>
        <v>147</v>
      </c>
      <c r="M76" s="15" t="s">
        <v>12178</v>
      </c>
      <c r="N76" s="15">
        <f>_xlfn.SINGLE(INDEX(样品编号表!AA:AA,_xlfn.SINGLE(MATCH(_xlfn.SINGLE(C:C),样品编号表!H:H,0))))</f>
        <v>8.8</v>
      </c>
      <c r="O76" s="16">
        <v>14</v>
      </c>
      <c r="P76" s="16">
        <f t="shared" si="4"/>
        <v>98</v>
      </c>
      <c r="Q76" s="15"/>
      <c r="R76" s="7" t="s">
        <v>12179</v>
      </c>
    </row>
    <row r="77" ht="18" customHeight="1" spans="1:18">
      <c r="A77" s="14">
        <v>45952</v>
      </c>
      <c r="B77" s="15" t="s">
        <v>9156</v>
      </c>
      <c r="C77" s="15" t="s">
        <v>3618</v>
      </c>
      <c r="D77" s="15" t="str">
        <f>_xlfn.SINGLE(INDEX(样品编号表!Y:Y,_xlfn.SINGLE(MATCH(_xlfn.SINGLE(C:C),样品编号表!H:H,0))))</f>
        <v>万顺纺织</v>
      </c>
      <c r="E77" s="15" t="str">
        <f>_xlfn.SINGLE(INDEX(样品编号表!Z:Z,_xlfn.SINGLE(MATCH(_xlfn.SINGLE(C:C),样品编号表!H:H,0))))</f>
        <v>A8784</v>
      </c>
      <c r="F77" s="15" t="s">
        <v>12185</v>
      </c>
      <c r="G77" s="15">
        <v>3</v>
      </c>
      <c r="H77" s="15" t="s">
        <v>12177</v>
      </c>
      <c r="I77" s="15">
        <v>3</v>
      </c>
      <c r="J77" s="14">
        <v>45953</v>
      </c>
      <c r="K77" s="16">
        <v>21</v>
      </c>
      <c r="L77" s="16">
        <f t="shared" si="2"/>
        <v>63</v>
      </c>
      <c r="M77" s="15" t="s">
        <v>12178</v>
      </c>
      <c r="N77" s="15">
        <f>_xlfn.SINGLE(INDEX(样品编号表!AA:AA,_xlfn.SINGLE(MATCH(_xlfn.SINGLE(C:C),样品编号表!H:H,0))))</f>
        <v>8.8</v>
      </c>
      <c r="O77" s="16">
        <v>14</v>
      </c>
      <c r="P77" s="16">
        <f t="shared" si="4"/>
        <v>42</v>
      </c>
      <c r="Q77" s="15"/>
      <c r="R77" s="7" t="s">
        <v>12179</v>
      </c>
    </row>
    <row r="78" ht="18" hidden="1" customHeight="1" spans="1:18">
      <c r="A78" s="14">
        <v>45952</v>
      </c>
      <c r="B78" s="15" t="s">
        <v>9156</v>
      </c>
      <c r="C78" s="15" t="s">
        <v>1593</v>
      </c>
      <c r="D78" s="15" t="str">
        <f>_xlfn.SINGLE(INDEX(样品编号表!Y:Y,_xlfn.SINGLE(MATCH(_xlfn.SINGLE(C:C),样品编号表!H:H,0))))</f>
        <v>宝隆纺织</v>
      </c>
      <c r="E78" s="15">
        <f>_xlfn.SINGLE(INDEX(样品编号表!Z:Z,_xlfn.SINGLE(MATCH(_xlfn.SINGLE(C:C),样品编号表!H:H,0))))</f>
        <v>1562</v>
      </c>
      <c r="F78" s="32" t="s">
        <v>12239</v>
      </c>
      <c r="G78" s="15">
        <v>8</v>
      </c>
      <c r="H78" s="15" t="s">
        <v>12177</v>
      </c>
      <c r="I78" s="15">
        <v>8</v>
      </c>
      <c r="J78" s="14">
        <v>45953</v>
      </c>
      <c r="K78" s="16">
        <v>21</v>
      </c>
      <c r="L78" s="16">
        <f t="shared" si="2"/>
        <v>168</v>
      </c>
      <c r="M78" s="15" t="s">
        <v>12178</v>
      </c>
      <c r="N78" s="15">
        <f>_xlfn.SINGLE(INDEX(样品编号表!AA:AA,_xlfn.SINGLE(MATCH(_xlfn.SINGLE(C:C),样品编号表!H:H,0))))</f>
        <v>6.8</v>
      </c>
      <c r="O78" s="16">
        <v>12</v>
      </c>
      <c r="P78" s="16">
        <f t="shared" si="4"/>
        <v>96</v>
      </c>
      <c r="Q78" s="15"/>
      <c r="R78" s="7" t="s">
        <v>12179</v>
      </c>
    </row>
    <row r="79" ht="18" hidden="1" customHeight="1" spans="1:18">
      <c r="A79" s="14">
        <v>45953</v>
      </c>
      <c r="B79" s="15" t="s">
        <v>12240</v>
      </c>
      <c r="C79" s="15" t="s">
        <v>1780</v>
      </c>
      <c r="D79" s="15" t="str">
        <f>_xlfn.SINGLE(INDEX(样品编号表!Y:Y,_xlfn.SINGLE(MATCH(_xlfn.SINGLE(C:C),样品编号表!H:H,0))))</f>
        <v>艺纺</v>
      </c>
      <c r="E79" s="15" t="str">
        <f>_xlfn.SINGLE(INDEX(样品编号表!Z:Z,_xlfn.SINGLE(MATCH(_xlfn.SINGLE(C:C),样品编号表!H:H,0))))</f>
        <v>11865-3</v>
      </c>
      <c r="F79" s="15" t="s">
        <v>12205</v>
      </c>
      <c r="G79" s="15">
        <v>5</v>
      </c>
      <c r="H79" s="15" t="s">
        <v>12177</v>
      </c>
      <c r="I79" s="15">
        <v>5</v>
      </c>
      <c r="J79" s="14">
        <v>45955</v>
      </c>
      <c r="K79" s="16">
        <v>25</v>
      </c>
      <c r="L79" s="16">
        <f t="shared" si="2"/>
        <v>125</v>
      </c>
      <c r="M79" s="15" t="s">
        <v>12178</v>
      </c>
      <c r="N79" s="15">
        <f>_xlfn.SINGLE(INDEX(样品编号表!AA:AA,_xlfn.SINGLE(MATCH(_xlfn.SINGLE(C:C),样品编号表!H:H,0))))</f>
        <v>12.8</v>
      </c>
      <c r="O79" s="16">
        <v>18</v>
      </c>
      <c r="P79" s="16">
        <f t="shared" si="4"/>
        <v>90</v>
      </c>
      <c r="Q79" s="15"/>
      <c r="R79" s="7" t="s">
        <v>12179</v>
      </c>
    </row>
    <row r="80" ht="18" hidden="1" customHeight="1" spans="1:18">
      <c r="A80" s="14">
        <v>45954</v>
      </c>
      <c r="B80" s="15" t="s">
        <v>9722</v>
      </c>
      <c r="C80" s="15" t="s">
        <v>2155</v>
      </c>
      <c r="D80" s="15" t="str">
        <f>_xlfn.SINGLE(INDEX(样品编号表!Y:Y,_xlfn.SINGLE(MATCH(_xlfn.SINGLE(C:C),样品编号表!H:H,0))))</f>
        <v>润森</v>
      </c>
      <c r="E80" s="15" t="str">
        <f>_xlfn.SINGLE(INDEX(样品编号表!Z:Z,_xlfn.SINGLE(MATCH(_xlfn.SINGLE(C:C),样品编号表!H:H,0))))</f>
        <v>华尔缎</v>
      </c>
      <c r="F80" s="33" t="s">
        <v>12236</v>
      </c>
      <c r="G80" s="15">
        <v>6</v>
      </c>
      <c r="H80" s="15" t="s">
        <v>12177</v>
      </c>
      <c r="I80" s="15">
        <v>6</v>
      </c>
      <c r="J80" s="14">
        <v>45955</v>
      </c>
      <c r="K80" s="16">
        <v>18</v>
      </c>
      <c r="L80" s="16">
        <f t="shared" si="2"/>
        <v>108</v>
      </c>
      <c r="M80" s="15" t="s">
        <v>12178</v>
      </c>
      <c r="N80" s="15">
        <f>_xlfn.SINGLE(INDEX(样品编号表!AA:AA,_xlfn.SINGLE(MATCH(_xlfn.SINGLE(C:C),样品编号表!H:H,0))))</f>
        <v>10.5</v>
      </c>
      <c r="O80" s="16">
        <v>15</v>
      </c>
      <c r="P80" s="16">
        <f t="shared" si="4"/>
        <v>90</v>
      </c>
      <c r="Q80" s="15"/>
      <c r="R80" s="7" t="s">
        <v>12179</v>
      </c>
    </row>
    <row r="81" ht="18" hidden="1" customHeight="1" spans="1:18">
      <c r="A81" s="14">
        <v>45957</v>
      </c>
      <c r="B81" s="15" t="s">
        <v>12240</v>
      </c>
      <c r="C81" s="15" t="s">
        <v>1780</v>
      </c>
      <c r="D81" s="15" t="str">
        <f>_xlfn.SINGLE(INDEX(样品编号表!Y:Y,_xlfn.SINGLE(MATCH(_xlfn.SINGLE(C:C),样品编号表!H:H,0))))</f>
        <v>艺纺</v>
      </c>
      <c r="E81" s="15" t="str">
        <f>_xlfn.SINGLE(INDEX(样品编号表!Z:Z,_xlfn.SINGLE(MATCH(_xlfn.SINGLE(C:C),样品编号表!H:H,0))))</f>
        <v>11865-3</v>
      </c>
      <c r="F81" s="15" t="s">
        <v>12241</v>
      </c>
      <c r="G81" s="15">
        <v>2</v>
      </c>
      <c r="H81" s="15" t="s">
        <v>12177</v>
      </c>
      <c r="I81" s="15">
        <v>2</v>
      </c>
      <c r="J81" s="14">
        <v>45959</v>
      </c>
      <c r="K81" s="16">
        <v>25</v>
      </c>
      <c r="L81" s="16">
        <f t="shared" si="2"/>
        <v>50</v>
      </c>
      <c r="M81" s="15" t="s">
        <v>12178</v>
      </c>
      <c r="N81" s="15">
        <f>_xlfn.SINGLE(INDEX(样品编号表!AA:AA,_xlfn.SINGLE(MATCH(_xlfn.SINGLE(C:C),样品编号表!H:H,0))))</f>
        <v>12.8</v>
      </c>
      <c r="O81" s="16">
        <v>18</v>
      </c>
      <c r="P81" s="16">
        <f t="shared" si="4"/>
        <v>36</v>
      </c>
      <c r="Q81" s="15"/>
      <c r="R81" s="7" t="s">
        <v>12179</v>
      </c>
    </row>
    <row r="82" ht="18" hidden="1" customHeight="1" spans="1:18">
      <c r="A82" s="14">
        <v>45957</v>
      </c>
      <c r="B82" s="15" t="s">
        <v>12240</v>
      </c>
      <c r="C82" s="15" t="s">
        <v>1780</v>
      </c>
      <c r="D82" s="15" t="str">
        <f>_xlfn.SINGLE(INDEX(样品编号表!Y:Y,_xlfn.SINGLE(MATCH(_xlfn.SINGLE(C:C),样品编号表!H:H,0))))</f>
        <v>艺纺</v>
      </c>
      <c r="E82" s="15" t="str">
        <f>_xlfn.SINGLE(INDEX(样品编号表!Z:Z,_xlfn.SINGLE(MATCH(_xlfn.SINGLE(C:C),样品编号表!H:H,0))))</f>
        <v>11865-3</v>
      </c>
      <c r="F82" s="15" t="s">
        <v>12242</v>
      </c>
      <c r="G82" s="15">
        <v>2</v>
      </c>
      <c r="H82" s="15" t="s">
        <v>12177</v>
      </c>
      <c r="I82" s="15">
        <v>2</v>
      </c>
      <c r="J82" s="14">
        <v>45959</v>
      </c>
      <c r="K82" s="16">
        <v>25</v>
      </c>
      <c r="L82" s="16">
        <f t="shared" si="2"/>
        <v>50</v>
      </c>
      <c r="M82" s="15" t="s">
        <v>12178</v>
      </c>
      <c r="N82" s="15">
        <f>_xlfn.SINGLE(INDEX(样品编号表!AA:AA,_xlfn.SINGLE(MATCH(_xlfn.SINGLE(C:C),样品编号表!H:H,0))))</f>
        <v>12.8</v>
      </c>
      <c r="O82" s="16">
        <v>18</v>
      </c>
      <c r="P82" s="16">
        <f t="shared" si="4"/>
        <v>36</v>
      </c>
      <c r="Q82" s="15"/>
      <c r="R82" s="7" t="s">
        <v>12179</v>
      </c>
    </row>
    <row r="83" ht="18" hidden="1" customHeight="1" spans="1:18">
      <c r="A83" s="14">
        <v>45958</v>
      </c>
      <c r="B83" s="15" t="s">
        <v>9156</v>
      </c>
      <c r="C83" s="15" t="s">
        <v>3785</v>
      </c>
      <c r="D83" s="15" t="str">
        <f>_xlfn.SINGLE(INDEX(样品编号表!Y:Y,_xlfn.SINGLE(MATCH(_xlfn.SINGLE(C:C),样品编号表!H:H,0))))</f>
        <v>华纶纺织</v>
      </c>
      <c r="E83" s="15" t="str">
        <f>_xlfn.SINGLE(INDEX(样品编号表!Z:Z,_xlfn.SINGLE(MATCH(_xlfn.SINGLE(C:C),样品编号表!H:H,0))))</f>
        <v>HL177-A 双层棉锦</v>
      </c>
      <c r="F83" s="15" t="s">
        <v>12213</v>
      </c>
      <c r="G83" s="15">
        <v>3</v>
      </c>
      <c r="H83" s="15" t="s">
        <v>12177</v>
      </c>
      <c r="I83" s="15">
        <v>3</v>
      </c>
      <c r="J83" s="14">
        <v>45960</v>
      </c>
      <c r="K83" s="16">
        <v>34</v>
      </c>
      <c r="L83" s="16">
        <f t="shared" si="2"/>
        <v>102</v>
      </c>
      <c r="M83" s="15" t="s">
        <v>12178</v>
      </c>
      <c r="N83" s="15">
        <f>_xlfn.SINGLE(INDEX(样品编号表!AA:AA,_xlfn.SINGLE(MATCH(_xlfn.SINGLE(C:C),样品编号表!H:H,0))))</f>
        <v>19.3</v>
      </c>
      <c r="O83" s="16">
        <v>24</v>
      </c>
      <c r="P83" s="16">
        <f t="shared" si="4"/>
        <v>72</v>
      </c>
      <c r="Q83" s="15"/>
      <c r="R83" s="7" t="s">
        <v>12179</v>
      </c>
    </row>
    <row r="84" ht="18" hidden="1" customHeight="1" spans="1:18">
      <c r="A84" s="14">
        <v>45958</v>
      </c>
      <c r="B84" s="15" t="s">
        <v>9156</v>
      </c>
      <c r="C84" s="15" t="s">
        <v>1593</v>
      </c>
      <c r="D84" s="15" t="str">
        <f>_xlfn.SINGLE(INDEX(样品编号表!Y:Y,_xlfn.SINGLE(MATCH(_xlfn.SINGLE(C:C),样品编号表!H:H,0))))</f>
        <v>宝隆纺织</v>
      </c>
      <c r="E84" s="15">
        <f>_xlfn.SINGLE(INDEX(样品编号表!Z:Z,_xlfn.SINGLE(MATCH(_xlfn.SINGLE(C:C),样品编号表!H:H,0))))</f>
        <v>1562</v>
      </c>
      <c r="F84" s="15" t="s">
        <v>12243</v>
      </c>
      <c r="G84" s="15">
        <v>6</v>
      </c>
      <c r="H84" s="15" t="s">
        <v>12177</v>
      </c>
      <c r="I84" s="15">
        <v>6</v>
      </c>
      <c r="J84" s="14">
        <v>45961</v>
      </c>
      <c r="K84" s="16">
        <v>21</v>
      </c>
      <c r="L84" s="16">
        <f t="shared" si="2"/>
        <v>126</v>
      </c>
      <c r="M84" s="15" t="s">
        <v>12178</v>
      </c>
      <c r="N84" s="15">
        <f>_xlfn.SINGLE(INDEX(样品编号表!AA:AA,_xlfn.SINGLE(MATCH(_xlfn.SINGLE(C:C),样品编号表!H:H,0))))</f>
        <v>6.8</v>
      </c>
      <c r="O84" s="16">
        <v>12</v>
      </c>
      <c r="P84" s="16">
        <f t="shared" si="4"/>
        <v>72</v>
      </c>
      <c r="Q84" s="15"/>
      <c r="R84" s="7" t="s">
        <v>12179</v>
      </c>
    </row>
    <row r="85" ht="18" hidden="1" customHeight="1" spans="1:18">
      <c r="A85" s="14">
        <v>45958</v>
      </c>
      <c r="B85" s="15" t="s">
        <v>9156</v>
      </c>
      <c r="C85" s="15" t="s">
        <v>1780</v>
      </c>
      <c r="D85" s="15" t="str">
        <f>_xlfn.SINGLE(INDEX(样品编号表!Y:Y,_xlfn.SINGLE(MATCH(_xlfn.SINGLE(C:C),样品编号表!H:H,0))))</f>
        <v>艺纺</v>
      </c>
      <c r="E85" s="15" t="str">
        <f>_xlfn.SINGLE(INDEX(样品编号表!Z:Z,_xlfn.SINGLE(MATCH(_xlfn.SINGLE(C:C),样品编号表!H:H,0))))</f>
        <v>11865-3</v>
      </c>
      <c r="F85" s="15" t="s">
        <v>12213</v>
      </c>
      <c r="G85" s="15">
        <v>8</v>
      </c>
      <c r="H85" s="15" t="s">
        <v>12177</v>
      </c>
      <c r="I85" s="15">
        <v>8</v>
      </c>
      <c r="J85" s="14">
        <v>45959</v>
      </c>
      <c r="K85" s="16">
        <v>25</v>
      </c>
      <c r="L85" s="16">
        <f t="shared" si="2"/>
        <v>200</v>
      </c>
      <c r="M85" s="15" t="s">
        <v>12178</v>
      </c>
      <c r="N85" s="15">
        <f>_xlfn.SINGLE(INDEX(样品编号表!AA:AA,_xlfn.SINGLE(MATCH(_xlfn.SINGLE(C:C),样品编号表!H:H,0))))</f>
        <v>12.8</v>
      </c>
      <c r="O85" s="16">
        <v>18</v>
      </c>
      <c r="P85" s="16">
        <f t="shared" si="4"/>
        <v>144</v>
      </c>
      <c r="Q85" s="15"/>
      <c r="R85" s="7" t="s">
        <v>12179</v>
      </c>
    </row>
    <row r="86" ht="18" hidden="1" customHeight="1" spans="1:18">
      <c r="A86" s="14">
        <v>45959</v>
      </c>
      <c r="B86" s="15" t="s">
        <v>12180</v>
      </c>
      <c r="C86" s="15" t="s">
        <v>723</v>
      </c>
      <c r="D86" s="15" t="str">
        <f>_xlfn.SINGLE(INDEX(样品编号表!Y:Y,_xlfn.SINGLE(MATCH(_xlfn.SINGLE(C:C),样品编号表!H:H,0))))</f>
        <v>光大纺织</v>
      </c>
      <c r="E86" s="15" t="str">
        <f>_xlfn.SINGLE(INDEX(样品编号表!Z:Z,_xlfn.SINGLE(MATCH(_xlfn.SINGLE(C:C),样品编号表!H:H,0))))</f>
        <v>C580</v>
      </c>
      <c r="F86" s="15" t="s">
        <v>12185</v>
      </c>
      <c r="G86" s="15">
        <v>2</v>
      </c>
      <c r="H86" s="15" t="s">
        <v>12177</v>
      </c>
      <c r="I86" s="15">
        <v>2</v>
      </c>
      <c r="J86" s="14">
        <v>45960</v>
      </c>
      <c r="K86" s="16">
        <v>17</v>
      </c>
      <c r="L86" s="16">
        <f t="shared" si="2"/>
        <v>34</v>
      </c>
      <c r="M86" s="15" t="s">
        <v>12178</v>
      </c>
      <c r="N86" s="15">
        <f>_xlfn.SINGLE(INDEX(样品编号表!AA:AA,_xlfn.SINGLE(MATCH(_xlfn.SINGLE(C:C),样品编号表!H:H,0))))</f>
        <v>9.8</v>
      </c>
      <c r="O86" s="16">
        <v>15</v>
      </c>
      <c r="P86" s="16">
        <f t="shared" si="4"/>
        <v>30</v>
      </c>
      <c r="Q86" s="15"/>
      <c r="R86" s="7" t="s">
        <v>12179</v>
      </c>
    </row>
    <row r="87" ht="18" customHeight="1" spans="1:18">
      <c r="A87" s="14">
        <v>45959</v>
      </c>
      <c r="B87" s="15" t="s">
        <v>9156</v>
      </c>
      <c r="C87" s="15" t="s">
        <v>3618</v>
      </c>
      <c r="D87" s="15" t="str">
        <f>_xlfn.SINGLE(INDEX(样品编号表!Y:Y,_xlfn.SINGLE(MATCH(_xlfn.SINGLE(C:C),样品编号表!H:H,0))))</f>
        <v>万顺纺织</v>
      </c>
      <c r="E87" s="15" t="str">
        <f>_xlfn.SINGLE(INDEX(样品编号表!Z:Z,_xlfn.SINGLE(MATCH(_xlfn.SINGLE(C:C),样品编号表!H:H,0))))</f>
        <v>A8784</v>
      </c>
      <c r="F87" s="15" t="s">
        <v>12222</v>
      </c>
      <c r="G87" s="15">
        <v>2</v>
      </c>
      <c r="H87" s="15" t="s">
        <v>12177</v>
      </c>
      <c r="I87" s="15">
        <v>2</v>
      </c>
      <c r="J87" s="14">
        <v>45959</v>
      </c>
      <c r="K87" s="16">
        <v>21</v>
      </c>
      <c r="L87" s="16">
        <f t="shared" si="2"/>
        <v>42</v>
      </c>
      <c r="M87" s="15" t="s">
        <v>12178</v>
      </c>
      <c r="N87" s="15">
        <f>_xlfn.SINGLE(INDEX(样品编号表!AA:AA,_xlfn.SINGLE(MATCH(_xlfn.SINGLE(C:C),样品编号表!H:H,0))))</f>
        <v>8.8</v>
      </c>
      <c r="O87" s="16">
        <v>14</v>
      </c>
      <c r="P87" s="16">
        <f t="shared" si="4"/>
        <v>28</v>
      </c>
      <c r="Q87" s="15"/>
      <c r="R87" s="7" t="s">
        <v>12179</v>
      </c>
    </row>
    <row r="88" ht="18" customHeight="1" spans="1:18">
      <c r="A88" s="14">
        <v>45959</v>
      </c>
      <c r="B88" s="15" t="s">
        <v>9156</v>
      </c>
      <c r="C88" s="15" t="s">
        <v>3618</v>
      </c>
      <c r="D88" s="15" t="str">
        <f>_xlfn.SINGLE(INDEX(样品编号表!Y:Y,_xlfn.SINGLE(MATCH(_xlfn.SINGLE(C:C),样品编号表!H:H,0))))</f>
        <v>万顺纺织</v>
      </c>
      <c r="E88" s="15" t="str">
        <f>_xlfn.SINGLE(INDEX(样品编号表!Z:Z,_xlfn.SINGLE(MATCH(_xlfn.SINGLE(C:C),样品编号表!H:H,0))))</f>
        <v>A8784</v>
      </c>
      <c r="F88" s="15" t="s">
        <v>12213</v>
      </c>
      <c r="G88" s="15">
        <v>7</v>
      </c>
      <c r="H88" s="15" t="s">
        <v>12177</v>
      </c>
      <c r="I88" s="15">
        <v>7</v>
      </c>
      <c r="J88" s="14">
        <v>45959</v>
      </c>
      <c r="K88" s="16">
        <v>21</v>
      </c>
      <c r="L88" s="16">
        <f t="shared" si="2"/>
        <v>147</v>
      </c>
      <c r="M88" s="15" t="s">
        <v>12178</v>
      </c>
      <c r="N88" s="15">
        <f>_xlfn.SINGLE(INDEX(样品编号表!AA:AA,_xlfn.SINGLE(MATCH(_xlfn.SINGLE(C:C),样品编号表!H:H,0))))</f>
        <v>8.8</v>
      </c>
      <c r="O88" s="16">
        <v>14</v>
      </c>
      <c r="P88" s="16">
        <f t="shared" si="4"/>
        <v>98</v>
      </c>
      <c r="Q88" s="15"/>
      <c r="R88" s="7" t="s">
        <v>12179</v>
      </c>
    </row>
    <row r="89" ht="18" hidden="1" customHeight="1" spans="1:18">
      <c r="A89" s="14">
        <v>45959</v>
      </c>
      <c r="B89" s="15" t="s">
        <v>12194</v>
      </c>
      <c r="C89" s="15" t="s">
        <v>4143</v>
      </c>
      <c r="D89" s="15" t="str">
        <f>_xlfn.SINGLE(INDEX(样品编号表!Y:Y,_xlfn.SINGLE(MATCH(_xlfn.SINGLE(C:C),样品编号表!H:H,0))))</f>
        <v>凯盛亨</v>
      </c>
      <c r="E89" s="15" t="str">
        <f>_xlfn.SINGLE(INDEX(样品编号表!Z:Z,_xlfn.SINGLE(MATCH(_xlfn.SINGLE(C:C),样品编号表!H:H,0))))</f>
        <v>1016#</v>
      </c>
      <c r="F89" s="15" t="s">
        <v>12213</v>
      </c>
      <c r="G89" s="15">
        <v>1</v>
      </c>
      <c r="H89" s="15" t="s">
        <v>12177</v>
      </c>
      <c r="I89" s="15">
        <v>1</v>
      </c>
      <c r="J89" s="14">
        <v>45960</v>
      </c>
      <c r="K89" s="16">
        <v>24</v>
      </c>
      <c r="L89" s="16">
        <f t="shared" si="2"/>
        <v>24</v>
      </c>
      <c r="M89" s="15" t="s">
        <v>12178</v>
      </c>
      <c r="N89" s="15">
        <f>_xlfn.SINGLE(INDEX(样品编号表!AA:AA,_xlfn.SINGLE(MATCH(_xlfn.SINGLE(C:C),样品编号表!H:H,0))))</f>
        <v>10.8</v>
      </c>
      <c r="O89" s="16">
        <v>16</v>
      </c>
      <c r="P89" s="16">
        <f t="shared" si="4"/>
        <v>16</v>
      </c>
      <c r="Q89" s="15"/>
      <c r="R89" s="7" t="s">
        <v>12179</v>
      </c>
    </row>
    <row r="90" ht="18" hidden="1" customHeight="1" spans="1:18">
      <c r="A90" s="14">
        <v>45959</v>
      </c>
      <c r="B90" s="15" t="s">
        <v>12194</v>
      </c>
      <c r="C90" s="15" t="s">
        <v>1780</v>
      </c>
      <c r="D90" s="15" t="str">
        <f>_xlfn.SINGLE(INDEX(样品编号表!Y:Y,_xlfn.SINGLE(MATCH(_xlfn.SINGLE(C:C),样品编号表!H:H,0))))</f>
        <v>艺纺</v>
      </c>
      <c r="E90" s="15" t="str">
        <f>_xlfn.SINGLE(INDEX(样品编号表!Z:Z,_xlfn.SINGLE(MATCH(_xlfn.SINGLE(C:C),样品编号表!H:H,0))))</f>
        <v>11865-3</v>
      </c>
      <c r="F90" s="15" t="s">
        <v>12244</v>
      </c>
      <c r="G90" s="15">
        <v>2</v>
      </c>
      <c r="H90" s="15" t="s">
        <v>12177</v>
      </c>
      <c r="I90" s="15">
        <v>2</v>
      </c>
      <c r="J90" s="14">
        <v>45960</v>
      </c>
      <c r="K90" s="16">
        <v>25</v>
      </c>
      <c r="L90" s="16">
        <f t="shared" si="2"/>
        <v>50</v>
      </c>
      <c r="M90" s="15" t="s">
        <v>12178</v>
      </c>
      <c r="N90" s="15">
        <f>_xlfn.SINGLE(INDEX(样品编号表!AA:AA,_xlfn.SINGLE(MATCH(_xlfn.SINGLE(C:C),样品编号表!H:H,0))))</f>
        <v>12.8</v>
      </c>
      <c r="O90" s="16">
        <v>18</v>
      </c>
      <c r="P90" s="16">
        <f t="shared" si="4"/>
        <v>36</v>
      </c>
      <c r="Q90" s="15"/>
      <c r="R90" s="7" t="s">
        <v>12179</v>
      </c>
    </row>
    <row r="91" ht="18" hidden="1" customHeight="1" spans="1:18">
      <c r="A91" s="14">
        <v>45959</v>
      </c>
      <c r="B91" s="15" t="s">
        <v>12194</v>
      </c>
      <c r="C91" s="15" t="s">
        <v>1780</v>
      </c>
      <c r="D91" s="15" t="str">
        <f>_xlfn.SINGLE(INDEX(样品编号表!Y:Y,_xlfn.SINGLE(MATCH(_xlfn.SINGLE(C:C),样品编号表!H:H,0))))</f>
        <v>艺纺</v>
      </c>
      <c r="E91" s="15" t="str">
        <f>_xlfn.SINGLE(INDEX(样品编号表!Z:Z,_xlfn.SINGLE(MATCH(_xlfn.SINGLE(C:C),样品编号表!H:H,0))))</f>
        <v>11865-3</v>
      </c>
      <c r="F91" s="15" t="s">
        <v>12213</v>
      </c>
      <c r="G91" s="15">
        <v>6</v>
      </c>
      <c r="H91" s="15" t="s">
        <v>12177</v>
      </c>
      <c r="I91" s="15">
        <v>6</v>
      </c>
      <c r="J91" s="14">
        <v>45960</v>
      </c>
      <c r="K91" s="16">
        <v>25</v>
      </c>
      <c r="L91" s="16">
        <f t="shared" si="2"/>
        <v>150</v>
      </c>
      <c r="M91" s="15" t="s">
        <v>12178</v>
      </c>
      <c r="N91" s="15">
        <f>_xlfn.SINGLE(INDEX(样品编号表!AA:AA,_xlfn.SINGLE(MATCH(_xlfn.SINGLE(C:C),样品编号表!H:H,0))))</f>
        <v>12.8</v>
      </c>
      <c r="O91" s="16">
        <v>18</v>
      </c>
      <c r="P91" s="16">
        <f t="shared" si="4"/>
        <v>108</v>
      </c>
      <c r="Q91" s="15"/>
      <c r="R91" s="7" t="s">
        <v>12179</v>
      </c>
    </row>
    <row r="92" ht="18" hidden="1" customHeight="1" spans="1:18">
      <c r="A92" s="14">
        <v>45959</v>
      </c>
      <c r="B92" s="15" t="s">
        <v>12194</v>
      </c>
      <c r="C92" s="15" t="s">
        <v>2104</v>
      </c>
      <c r="D92" s="15" t="str">
        <f>_xlfn.SINGLE(INDEX(样品编号表!Y:Y,_xlfn.SINGLE(MATCH(_xlfn.SINGLE(C:C),样品编号表!H:H,0))))</f>
        <v>凯盛亨</v>
      </c>
      <c r="E92" s="15" t="str">
        <f>_xlfn.SINGLE(INDEX(样品编号表!Z:Z,_xlfn.SINGLE(MATCH(_xlfn.SINGLE(C:C),样品编号表!H:H,0))))</f>
        <v>1082#</v>
      </c>
      <c r="F92" s="15" t="s">
        <v>12213</v>
      </c>
      <c r="G92" s="15">
        <v>16</v>
      </c>
      <c r="H92" s="15" t="s">
        <v>12177</v>
      </c>
      <c r="I92" s="15">
        <v>16</v>
      </c>
      <c r="J92" s="14">
        <v>45960</v>
      </c>
      <c r="K92" s="16">
        <v>18</v>
      </c>
      <c r="L92" s="16">
        <f t="shared" si="2"/>
        <v>288</v>
      </c>
      <c r="M92" s="15" t="s">
        <v>12178</v>
      </c>
      <c r="N92" s="15">
        <f>_xlfn.SINGLE(INDEX(样品编号表!AA:AA,_xlfn.SINGLE(MATCH(_xlfn.SINGLE(C:C),样品编号表!H:H,0))))</f>
        <v>12.6</v>
      </c>
      <c r="O92" s="16">
        <v>17</v>
      </c>
      <c r="P92" s="16">
        <f t="shared" si="4"/>
        <v>272</v>
      </c>
      <c r="Q92" s="15"/>
      <c r="R92" s="7" t="s">
        <v>12179</v>
      </c>
    </row>
    <row r="93" ht="18" customHeight="1" spans="1:18">
      <c r="A93" s="14">
        <v>45960</v>
      </c>
      <c r="B93" s="15" t="s">
        <v>9156</v>
      </c>
      <c r="C93" s="15" t="s">
        <v>3618</v>
      </c>
      <c r="D93" s="15" t="str">
        <f>_xlfn.SINGLE(INDEX(样品编号表!Y:Y,_xlfn.SINGLE(MATCH(_xlfn.SINGLE(C:C),样品编号表!H:H,0))))</f>
        <v>万顺纺织</v>
      </c>
      <c r="E93" s="15" t="str">
        <f>_xlfn.SINGLE(INDEX(样品编号表!Z:Z,_xlfn.SINGLE(MATCH(_xlfn.SINGLE(C:C),样品编号表!H:H,0))))</f>
        <v>A8784</v>
      </c>
      <c r="F93" s="15" t="s">
        <v>12213</v>
      </c>
      <c r="G93" s="15">
        <v>5</v>
      </c>
      <c r="H93" s="15" t="s">
        <v>12177</v>
      </c>
      <c r="I93" s="15">
        <v>5</v>
      </c>
      <c r="J93" s="14">
        <v>45961</v>
      </c>
      <c r="K93" s="16">
        <v>21</v>
      </c>
      <c r="L93" s="16">
        <f t="shared" si="2"/>
        <v>105</v>
      </c>
      <c r="M93" s="15" t="s">
        <v>12178</v>
      </c>
      <c r="N93" s="15">
        <f>_xlfn.SINGLE(INDEX(样品编号表!AA:AA,_xlfn.SINGLE(MATCH(_xlfn.SINGLE(C:C),样品编号表!H:H,0))))</f>
        <v>8.8</v>
      </c>
      <c r="O93" s="16">
        <v>14</v>
      </c>
      <c r="P93" s="16">
        <f t="shared" si="4"/>
        <v>70</v>
      </c>
      <c r="Q93" s="15"/>
      <c r="R93" s="7" t="s">
        <v>12179</v>
      </c>
    </row>
    <row r="94" ht="18" hidden="1" customHeight="1" spans="1:18">
      <c r="A94" s="14">
        <v>45961</v>
      </c>
      <c r="B94" s="15" t="s">
        <v>12180</v>
      </c>
      <c r="C94" s="15" t="s">
        <v>723</v>
      </c>
      <c r="D94" s="15" t="str">
        <f>_xlfn.SINGLE(INDEX(样品编号表!Y:Y,_xlfn.SINGLE(MATCH(_xlfn.SINGLE(C:C),样品编号表!H:H,0))))</f>
        <v>光大纺织</v>
      </c>
      <c r="E94" s="15" t="str">
        <f>_xlfn.SINGLE(INDEX(样品编号表!Z:Z,_xlfn.SINGLE(MATCH(_xlfn.SINGLE(C:C),样品编号表!H:H,0))))</f>
        <v>C580</v>
      </c>
      <c r="F94" s="15" t="s">
        <v>12185</v>
      </c>
      <c r="G94" s="15">
        <v>9</v>
      </c>
      <c r="H94" s="15" t="s">
        <v>12177</v>
      </c>
      <c r="I94" s="15">
        <v>9</v>
      </c>
      <c r="J94" s="14">
        <v>45964</v>
      </c>
      <c r="K94" s="16">
        <v>17</v>
      </c>
      <c r="L94" s="16">
        <f t="shared" si="2"/>
        <v>153</v>
      </c>
      <c r="M94" s="15" t="s">
        <v>12178</v>
      </c>
      <c r="N94" s="15">
        <f>_xlfn.SINGLE(INDEX(样品编号表!AA:AA,_xlfn.SINGLE(MATCH(_xlfn.SINGLE(C:C),样品编号表!H:H,0))))</f>
        <v>9.8</v>
      </c>
      <c r="O94" s="16">
        <v>15</v>
      </c>
      <c r="P94" s="16">
        <f t="shared" si="4"/>
        <v>135</v>
      </c>
      <c r="Q94" s="15"/>
      <c r="R94" s="7" t="s">
        <v>12179</v>
      </c>
    </row>
    <row r="95" ht="18" hidden="1" customHeight="1" spans="1:18">
      <c r="A95" s="14">
        <v>45961</v>
      </c>
      <c r="B95" s="15" t="s">
        <v>12245</v>
      </c>
      <c r="C95" s="15" t="s">
        <v>4681</v>
      </c>
      <c r="D95" s="15" t="str">
        <f>_xlfn.SINGLE(INDEX(样品编号表!Y:Y,_xlfn.SINGLE(MATCH(_xlfn.SINGLE(C:C),样品编号表!H:H,0))))</f>
        <v>联兴纺织</v>
      </c>
      <c r="E95" s="15" t="str">
        <f>_xlfn.SINGLE(INDEX(样品编号表!Z:Z,_xlfn.SINGLE(MATCH(_xlfn.SINGLE(C:C),样品编号表!H:H,0))))</f>
        <v>K5175-42</v>
      </c>
      <c r="F95" s="15" t="s">
        <v>12246</v>
      </c>
      <c r="G95" s="15">
        <v>5</v>
      </c>
      <c r="H95" s="15" t="s">
        <v>12177</v>
      </c>
      <c r="I95" s="15">
        <v>5</v>
      </c>
      <c r="J95" s="14">
        <v>45968</v>
      </c>
      <c r="K95" s="16">
        <v>40</v>
      </c>
      <c r="L95" s="16">
        <f t="shared" si="2"/>
        <v>200</v>
      </c>
      <c r="M95" s="15" t="s">
        <v>12178</v>
      </c>
      <c r="N95" s="15">
        <f>_xlfn.SINGLE(INDEX(样品编号表!AA:AA,_xlfn.SINGLE(MATCH(_xlfn.SINGLE(C:C),样品编号表!H:H,0))))</f>
        <v>21.4</v>
      </c>
      <c r="O95" s="16">
        <v>26</v>
      </c>
      <c r="P95" s="16">
        <f t="shared" si="4"/>
        <v>130</v>
      </c>
      <c r="Q95" s="15"/>
      <c r="R95" s="7" t="s">
        <v>12179</v>
      </c>
    </row>
    <row r="96" ht="18" hidden="1" customHeight="1" spans="1:18">
      <c r="A96" s="14">
        <v>45961</v>
      </c>
      <c r="B96" s="15" t="s">
        <v>12240</v>
      </c>
      <c r="C96" s="15" t="s">
        <v>1780</v>
      </c>
      <c r="D96" s="15" t="str">
        <f>_xlfn.SINGLE(INDEX(样品编号表!Y:Y,_xlfn.SINGLE(MATCH(_xlfn.SINGLE(C:C),样品编号表!H:H,0))))</f>
        <v>艺纺</v>
      </c>
      <c r="E96" s="15" t="str">
        <f>_xlfn.SINGLE(INDEX(样品编号表!Z:Z,_xlfn.SINGLE(MATCH(_xlfn.SINGLE(C:C),样品编号表!H:H,0))))</f>
        <v>11865-3</v>
      </c>
      <c r="F96" s="15" t="s">
        <v>12247</v>
      </c>
      <c r="G96" s="15">
        <v>3</v>
      </c>
      <c r="H96" s="15" t="s">
        <v>12177</v>
      </c>
      <c r="I96" s="15">
        <v>3</v>
      </c>
      <c r="J96" s="14">
        <v>45962</v>
      </c>
      <c r="K96" s="16">
        <v>25</v>
      </c>
      <c r="L96" s="16">
        <f t="shared" si="2"/>
        <v>75</v>
      </c>
      <c r="M96" s="15" t="s">
        <v>12178</v>
      </c>
      <c r="N96" s="15">
        <f>_xlfn.SINGLE(INDEX(样品编号表!AA:AA,_xlfn.SINGLE(MATCH(_xlfn.SINGLE(C:C),样品编号表!H:H,0))))</f>
        <v>12.8</v>
      </c>
      <c r="O96" s="16">
        <v>18</v>
      </c>
      <c r="P96" s="16">
        <f t="shared" si="4"/>
        <v>54</v>
      </c>
      <c r="Q96" s="15"/>
      <c r="R96" s="7" t="s">
        <v>12179</v>
      </c>
    </row>
    <row r="97" ht="18" hidden="1" customHeight="1" spans="1:18">
      <c r="A97" s="14">
        <v>45961</v>
      </c>
      <c r="B97" s="15" t="s">
        <v>12180</v>
      </c>
      <c r="C97" s="15" t="s">
        <v>2144</v>
      </c>
      <c r="D97" s="15" t="str">
        <f>_xlfn.SINGLE(INDEX(样品编号表!Y:Y,_xlfn.SINGLE(MATCH(_xlfn.SINGLE(C:C),样品编号表!H:H,0))))</f>
        <v>源隆纺织</v>
      </c>
      <c r="E97" s="15" t="str">
        <f>_xlfn.SINGLE(INDEX(样品编号表!Z:Z,_xlfn.SINGLE(MATCH(_xlfn.SINGLE(C:C),样品编号表!H:H,0))))</f>
        <v>醋酸金銮缎</v>
      </c>
      <c r="F97" s="15" t="s">
        <v>12248</v>
      </c>
      <c r="G97" s="15">
        <v>4</v>
      </c>
      <c r="H97" s="15" t="s">
        <v>12177</v>
      </c>
      <c r="I97" s="15">
        <v>4</v>
      </c>
      <c r="J97" s="14">
        <v>45964</v>
      </c>
      <c r="K97" s="16">
        <v>24</v>
      </c>
      <c r="L97" s="16">
        <f t="shared" si="2"/>
        <v>96</v>
      </c>
      <c r="M97" s="15" t="s">
        <v>12178</v>
      </c>
      <c r="N97" s="15">
        <f>_xlfn.SINGLE(INDEX(样品编号表!AA:AA,_xlfn.SINGLE(MATCH(_xlfn.SINGLE(C:C),样品编号表!H:H,0))))</f>
        <v>10.8</v>
      </c>
      <c r="O97" s="16">
        <v>16</v>
      </c>
      <c r="P97" s="16">
        <f t="shared" si="4"/>
        <v>64</v>
      </c>
      <c r="Q97" s="15"/>
      <c r="R97" s="7" t="s">
        <v>12179</v>
      </c>
    </row>
    <row r="98" ht="18" hidden="1" customHeight="1" spans="1:18">
      <c r="A98" s="14">
        <v>45961</v>
      </c>
      <c r="B98" s="15" t="s">
        <v>12180</v>
      </c>
      <c r="C98" s="15" t="s">
        <v>2155</v>
      </c>
      <c r="D98" s="15" t="str">
        <f>_xlfn.SINGLE(INDEX(样品编号表!Y:Y,_xlfn.SINGLE(MATCH(_xlfn.SINGLE(C:C),样品编号表!H:H,0))))</f>
        <v>润森</v>
      </c>
      <c r="E98" s="15" t="str">
        <f>_xlfn.SINGLE(INDEX(样品编号表!Z:Z,_xlfn.SINGLE(MATCH(_xlfn.SINGLE(C:C),样品编号表!H:H,0))))</f>
        <v>华尔缎</v>
      </c>
      <c r="F98" s="15" t="s">
        <v>12249</v>
      </c>
      <c r="G98" s="15">
        <v>3</v>
      </c>
      <c r="H98" s="15" t="s">
        <v>12177</v>
      </c>
      <c r="I98" s="15">
        <v>3</v>
      </c>
      <c r="J98" s="14">
        <v>45964</v>
      </c>
      <c r="K98" s="16">
        <v>18</v>
      </c>
      <c r="L98" s="16">
        <f t="shared" si="2"/>
        <v>54</v>
      </c>
      <c r="M98" s="15" t="s">
        <v>12178</v>
      </c>
      <c r="N98" s="15">
        <f>_xlfn.SINGLE(INDEX(样品编号表!AA:AA,_xlfn.SINGLE(MATCH(_xlfn.SINGLE(C:C),样品编号表!H:H,0))))</f>
        <v>10.5</v>
      </c>
      <c r="O98" s="16">
        <v>15</v>
      </c>
      <c r="P98" s="16">
        <f t="shared" si="4"/>
        <v>45</v>
      </c>
      <c r="Q98" s="15"/>
      <c r="R98" s="7" t="s">
        <v>12179</v>
      </c>
    </row>
    <row r="99" ht="18" hidden="1" customHeight="1" spans="1:18">
      <c r="A99" s="14">
        <v>45964</v>
      </c>
      <c r="B99" s="15" t="s">
        <v>12245</v>
      </c>
      <c r="C99" s="15" t="s">
        <v>715</v>
      </c>
      <c r="D99" s="15" t="str">
        <f>_xlfn.SINGLE(INDEX(样品编号表!Y:Y,_xlfn.SINGLE(MATCH(_xlfn.SINGLE(C:C),样品编号表!H:H,0))))</f>
        <v>联兴纺织</v>
      </c>
      <c r="E99" s="15" t="str">
        <f>_xlfn.SINGLE(INDEX(样品编号表!Z:Z,_xlfn.SINGLE(MATCH(_xlfn.SINGLE(C:C),样品编号表!H:H,0))))</f>
        <v>K72203-18</v>
      </c>
      <c r="F99" s="15" t="s">
        <v>12207</v>
      </c>
      <c r="G99" s="15">
        <v>5</v>
      </c>
      <c r="H99" s="15" t="s">
        <v>12177</v>
      </c>
      <c r="I99" s="15">
        <v>5</v>
      </c>
      <c r="J99" s="14">
        <v>45968</v>
      </c>
      <c r="K99" s="16">
        <v>43</v>
      </c>
      <c r="L99" s="16">
        <f t="shared" si="2"/>
        <v>215</v>
      </c>
      <c r="M99" s="15" t="s">
        <v>12178</v>
      </c>
      <c r="N99" s="15">
        <f>_xlfn.SINGLE(INDEX(样品编号表!AA:AA,_xlfn.SINGLE(MATCH(_xlfn.SINGLE(C:C),样品编号表!H:H,0))))</f>
        <v>27.5</v>
      </c>
      <c r="O99" s="16">
        <v>40</v>
      </c>
      <c r="P99" s="16">
        <f t="shared" si="4"/>
        <v>200</v>
      </c>
      <c r="Q99" s="15"/>
      <c r="R99" s="7" t="s">
        <v>12179</v>
      </c>
    </row>
    <row r="100" ht="18" customHeight="1" spans="1:18">
      <c r="A100" s="14">
        <v>45964</v>
      </c>
      <c r="B100" s="15" t="s">
        <v>9156</v>
      </c>
      <c r="C100" s="15" t="s">
        <v>3618</v>
      </c>
      <c r="D100" s="15" t="str">
        <f>_xlfn.SINGLE(INDEX(样品编号表!Y:Y,_xlfn.SINGLE(MATCH(_xlfn.SINGLE(C:C),样品编号表!H:H,0))))</f>
        <v>万顺纺织</v>
      </c>
      <c r="E100" s="15" t="str">
        <f>_xlfn.SINGLE(INDEX(样品编号表!Z:Z,_xlfn.SINGLE(MATCH(_xlfn.SINGLE(C:C),样品编号表!H:H,0))))</f>
        <v>A8784</v>
      </c>
      <c r="F100" s="15" t="s">
        <v>12214</v>
      </c>
      <c r="G100" s="15">
        <v>18</v>
      </c>
      <c r="H100" s="15" t="s">
        <v>12177</v>
      </c>
      <c r="I100" s="15">
        <v>18</v>
      </c>
      <c r="J100" s="14">
        <v>45966</v>
      </c>
      <c r="K100" s="16">
        <v>21</v>
      </c>
      <c r="L100" s="16">
        <f t="shared" si="2"/>
        <v>378</v>
      </c>
      <c r="M100" s="15" t="s">
        <v>12178</v>
      </c>
      <c r="N100" s="15">
        <f>_xlfn.SINGLE(INDEX(样品编号表!AA:AA,_xlfn.SINGLE(MATCH(_xlfn.SINGLE(C:C),样品编号表!H:H,0))))</f>
        <v>8.8</v>
      </c>
      <c r="O100" s="16">
        <v>14</v>
      </c>
      <c r="P100" s="16">
        <f t="shared" si="4"/>
        <v>252</v>
      </c>
      <c r="Q100" s="15"/>
      <c r="R100" s="7" t="s">
        <v>12179</v>
      </c>
    </row>
    <row r="101" ht="18" customHeight="1" spans="1:18">
      <c r="A101" s="14">
        <v>45964</v>
      </c>
      <c r="B101" s="15" t="s">
        <v>9156</v>
      </c>
      <c r="C101" s="15" t="s">
        <v>3618</v>
      </c>
      <c r="D101" s="15" t="str">
        <f>_xlfn.SINGLE(INDEX(样品编号表!Y:Y,_xlfn.SINGLE(MATCH(_xlfn.SINGLE(C:C),样品编号表!H:H,0))))</f>
        <v>万顺纺织</v>
      </c>
      <c r="E101" s="15" t="str">
        <f>_xlfn.SINGLE(INDEX(样品编号表!Z:Z,_xlfn.SINGLE(MATCH(_xlfn.SINGLE(C:C),样品编号表!H:H,0))))</f>
        <v>A8784</v>
      </c>
      <c r="F101" s="15" t="s">
        <v>12250</v>
      </c>
      <c r="G101" s="15">
        <v>7</v>
      </c>
      <c r="H101" s="15" t="s">
        <v>12177</v>
      </c>
      <c r="I101" s="15">
        <v>7</v>
      </c>
      <c r="J101" s="14">
        <v>45966</v>
      </c>
      <c r="K101" s="16">
        <v>21</v>
      </c>
      <c r="L101" s="16">
        <f t="shared" si="2"/>
        <v>147</v>
      </c>
      <c r="M101" s="15" t="s">
        <v>12178</v>
      </c>
      <c r="N101" s="15">
        <f>_xlfn.SINGLE(INDEX(样品编号表!AA:AA,_xlfn.SINGLE(MATCH(_xlfn.SINGLE(C:C),样品编号表!H:H,0))))</f>
        <v>8.8</v>
      </c>
      <c r="O101" s="16">
        <v>14</v>
      </c>
      <c r="P101" s="16">
        <f t="shared" si="4"/>
        <v>98</v>
      </c>
      <c r="Q101" s="15"/>
      <c r="R101" s="7" t="s">
        <v>12179</v>
      </c>
    </row>
    <row r="102" ht="18" customHeight="1" spans="1:18">
      <c r="A102" s="14">
        <v>45964</v>
      </c>
      <c r="B102" s="15" t="s">
        <v>9156</v>
      </c>
      <c r="C102" s="15" t="s">
        <v>3618</v>
      </c>
      <c r="D102" s="15" t="str">
        <f>_xlfn.SINGLE(INDEX(样品编号表!Y:Y,_xlfn.SINGLE(MATCH(_xlfn.SINGLE(C:C),样品编号表!H:H,0))))</f>
        <v>万顺纺织</v>
      </c>
      <c r="E102" s="15" t="str">
        <f>_xlfn.SINGLE(INDEX(样品编号表!Z:Z,_xlfn.SINGLE(MATCH(_xlfn.SINGLE(C:C),样品编号表!H:H,0))))</f>
        <v>A8784</v>
      </c>
      <c r="F102" s="15" t="s">
        <v>12251</v>
      </c>
      <c r="G102" s="15">
        <v>19</v>
      </c>
      <c r="H102" s="15"/>
      <c r="I102" s="15">
        <v>19</v>
      </c>
      <c r="J102" s="14">
        <v>45966</v>
      </c>
      <c r="K102" s="16">
        <v>21</v>
      </c>
      <c r="L102" s="16">
        <f t="shared" si="2"/>
        <v>399</v>
      </c>
      <c r="M102" s="15" t="s">
        <v>12178</v>
      </c>
      <c r="N102" s="15">
        <f>_xlfn.SINGLE(INDEX(样品编号表!AA:AA,_xlfn.SINGLE(MATCH(_xlfn.SINGLE(C:C),样品编号表!H:H,0))))</f>
        <v>8.8</v>
      </c>
      <c r="O102" s="16">
        <v>14</v>
      </c>
      <c r="P102" s="16">
        <f t="shared" si="4"/>
        <v>266</v>
      </c>
      <c r="Q102" s="15"/>
      <c r="R102" s="7" t="s">
        <v>12179</v>
      </c>
    </row>
    <row r="103" ht="18" hidden="1" customHeight="1" spans="1:18">
      <c r="A103" s="14">
        <v>45964</v>
      </c>
      <c r="B103" s="15" t="s">
        <v>9156</v>
      </c>
      <c r="C103" s="15" t="s">
        <v>1780</v>
      </c>
      <c r="D103" s="15" t="str">
        <f>_xlfn.SINGLE(INDEX(样品编号表!Y:Y,_xlfn.SINGLE(MATCH(_xlfn.SINGLE(C:C),样品编号表!H:H,0))))</f>
        <v>艺纺</v>
      </c>
      <c r="E103" s="15" t="str">
        <f>_xlfn.SINGLE(INDEX(样品编号表!Z:Z,_xlfn.SINGLE(MATCH(_xlfn.SINGLE(C:C),样品编号表!H:H,0))))</f>
        <v>11865-3</v>
      </c>
      <c r="F103" s="15" t="s">
        <v>12213</v>
      </c>
      <c r="G103" s="15">
        <v>4</v>
      </c>
      <c r="H103" s="15" t="s">
        <v>12177</v>
      </c>
      <c r="I103" s="15">
        <v>4</v>
      </c>
      <c r="J103" s="14">
        <v>45966</v>
      </c>
      <c r="K103" s="16">
        <v>25</v>
      </c>
      <c r="L103" s="16">
        <f t="shared" si="2"/>
        <v>100</v>
      </c>
      <c r="M103" s="15" t="s">
        <v>12178</v>
      </c>
      <c r="N103" s="15">
        <f>_xlfn.SINGLE(INDEX(样品编号表!AA:AA,_xlfn.SINGLE(MATCH(_xlfn.SINGLE(C:C),样品编号表!H:H,0))))</f>
        <v>12.8</v>
      </c>
      <c r="O103" s="16">
        <v>18</v>
      </c>
      <c r="P103" s="16">
        <f t="shared" si="4"/>
        <v>72</v>
      </c>
      <c r="Q103" s="15"/>
      <c r="R103" s="7" t="s">
        <v>12179</v>
      </c>
    </row>
    <row r="104" ht="18" hidden="1" customHeight="1" spans="1:18">
      <c r="A104" s="14">
        <v>45965</v>
      </c>
      <c r="B104" s="15" t="s">
        <v>12180</v>
      </c>
      <c r="C104" s="15" t="s">
        <v>723</v>
      </c>
      <c r="D104" s="15" t="str">
        <f>_xlfn.SINGLE(INDEX(样品编号表!Y:Y,_xlfn.SINGLE(MATCH(_xlfn.SINGLE(C:C),样品编号表!H:H,0))))</f>
        <v>光大纺织</v>
      </c>
      <c r="E104" s="15" t="str">
        <f>_xlfn.SINGLE(INDEX(样品编号表!Z:Z,_xlfn.SINGLE(MATCH(_xlfn.SINGLE(C:C),样品编号表!H:H,0))))</f>
        <v>C580</v>
      </c>
      <c r="F104" s="15" t="s">
        <v>12185</v>
      </c>
      <c r="G104" s="15">
        <v>1</v>
      </c>
      <c r="H104" s="15" t="s">
        <v>12177</v>
      </c>
      <c r="I104" s="15">
        <v>1</v>
      </c>
      <c r="J104" s="14">
        <v>45966</v>
      </c>
      <c r="K104" s="16"/>
      <c r="L104" s="16"/>
      <c r="M104" s="15"/>
      <c r="N104" s="15">
        <f>_xlfn.SINGLE(INDEX(样品编号表!AA:AA,_xlfn.SINGLE(MATCH(_xlfn.SINGLE(C:C),样品编号表!H:H,0))))</f>
        <v>9.8</v>
      </c>
      <c r="O104" s="16">
        <v>15</v>
      </c>
      <c r="P104" s="16">
        <f t="shared" si="4"/>
        <v>15</v>
      </c>
      <c r="Q104" s="15" t="s">
        <v>12252</v>
      </c>
      <c r="R104" s="7" t="s">
        <v>12179</v>
      </c>
    </row>
    <row r="105" ht="18" hidden="1" customHeight="1" spans="1:18">
      <c r="A105" s="14">
        <v>45965</v>
      </c>
      <c r="B105" s="15" t="s">
        <v>12253</v>
      </c>
      <c r="C105" s="15" t="s">
        <v>417</v>
      </c>
      <c r="D105" s="15" t="str">
        <f>_xlfn.SINGLE(INDEX(样品编号表!Y:Y,_xlfn.SINGLE(MATCH(_xlfn.SINGLE(C:C),样品编号表!H:H,0))))</f>
        <v>新合盛布业</v>
      </c>
      <c r="E105" s="15">
        <f>_xlfn.SINGLE(INDEX(样品编号表!Z:Z,_xlfn.SINGLE(MATCH(_xlfn.SINGLE(C:C),样品编号表!H:H,0))))</f>
        <v>6002</v>
      </c>
      <c r="F105" s="15" t="s">
        <v>12191</v>
      </c>
      <c r="G105" s="15">
        <v>3</v>
      </c>
      <c r="H105" s="15" t="s">
        <v>12177</v>
      </c>
      <c r="I105" s="15">
        <v>3</v>
      </c>
      <c r="J105" s="14">
        <v>45966</v>
      </c>
      <c r="K105" s="16">
        <v>18</v>
      </c>
      <c r="L105" s="16">
        <f t="shared" ref="L105:L130" si="5">I105*K105</f>
        <v>54</v>
      </c>
      <c r="M105" s="15" t="s">
        <v>12178</v>
      </c>
      <c r="N105" s="15">
        <f>_xlfn.SINGLE(INDEX(样品编号表!AA:AA,_xlfn.SINGLE(MATCH(_xlfn.SINGLE(C:C),样品编号表!H:H,0))))</f>
        <v>6.6</v>
      </c>
      <c r="O105" s="16">
        <v>12</v>
      </c>
      <c r="P105" s="16">
        <f t="shared" si="4"/>
        <v>36</v>
      </c>
      <c r="Q105" s="15"/>
      <c r="R105" s="7" t="s">
        <v>12179</v>
      </c>
    </row>
    <row r="106" ht="18" hidden="1" customHeight="1" spans="1:18">
      <c r="A106" s="14">
        <v>45965</v>
      </c>
      <c r="B106" s="15" t="s">
        <v>12253</v>
      </c>
      <c r="C106" s="15" t="s">
        <v>417</v>
      </c>
      <c r="D106" s="15" t="str">
        <f>_xlfn.SINGLE(INDEX(样品编号表!Y:Y,_xlfn.SINGLE(MATCH(_xlfn.SINGLE(C:C),样品编号表!H:H,0))))</f>
        <v>新合盛布业</v>
      </c>
      <c r="E106" s="15">
        <f>_xlfn.SINGLE(INDEX(样品编号表!Z:Z,_xlfn.SINGLE(MATCH(_xlfn.SINGLE(C:C),样品编号表!H:H,0))))</f>
        <v>6002</v>
      </c>
      <c r="F106" s="15" t="s">
        <v>12254</v>
      </c>
      <c r="G106" s="15">
        <v>1</v>
      </c>
      <c r="H106" s="15" t="s">
        <v>12177</v>
      </c>
      <c r="I106" s="15">
        <v>1</v>
      </c>
      <c r="J106" s="14">
        <v>45966</v>
      </c>
      <c r="K106" s="16">
        <v>18</v>
      </c>
      <c r="L106" s="16">
        <f t="shared" si="5"/>
        <v>18</v>
      </c>
      <c r="M106" s="15" t="s">
        <v>12178</v>
      </c>
      <c r="N106" s="15">
        <f>_xlfn.SINGLE(INDEX(样品编号表!AA:AA,_xlfn.SINGLE(MATCH(_xlfn.SINGLE(C:C),样品编号表!H:H,0))))</f>
        <v>6.6</v>
      </c>
      <c r="O106" s="16">
        <v>12</v>
      </c>
      <c r="P106" s="16">
        <f t="shared" si="4"/>
        <v>12</v>
      </c>
      <c r="Q106" s="15"/>
      <c r="R106" s="7" t="s">
        <v>12179</v>
      </c>
    </row>
    <row r="107" ht="18" hidden="1" customHeight="1" spans="1:18">
      <c r="A107" s="14">
        <v>45965</v>
      </c>
      <c r="B107" s="15" t="s">
        <v>12253</v>
      </c>
      <c r="C107" s="15" t="s">
        <v>417</v>
      </c>
      <c r="D107" s="15" t="str">
        <f>_xlfn.SINGLE(INDEX(样品编号表!Y:Y,_xlfn.SINGLE(MATCH(_xlfn.SINGLE(C:C),样品编号表!H:H,0))))</f>
        <v>新合盛布业</v>
      </c>
      <c r="E107" s="15">
        <f>_xlfn.SINGLE(INDEX(样品编号表!Z:Z,_xlfn.SINGLE(MATCH(_xlfn.SINGLE(C:C),样品编号表!H:H,0))))</f>
        <v>6002</v>
      </c>
      <c r="F107" s="15" t="s">
        <v>12255</v>
      </c>
      <c r="G107" s="15">
        <v>2</v>
      </c>
      <c r="H107" s="15" t="s">
        <v>12177</v>
      </c>
      <c r="I107" s="15">
        <v>2</v>
      </c>
      <c r="J107" s="14">
        <v>45966</v>
      </c>
      <c r="K107" s="16">
        <v>18</v>
      </c>
      <c r="L107" s="16">
        <f t="shared" si="5"/>
        <v>36</v>
      </c>
      <c r="M107" s="15" t="s">
        <v>12178</v>
      </c>
      <c r="N107" s="15">
        <f>_xlfn.SINGLE(INDEX(样品编号表!AA:AA,_xlfn.SINGLE(MATCH(_xlfn.SINGLE(C:C),样品编号表!H:H,0))))</f>
        <v>6.6</v>
      </c>
      <c r="O107" s="16">
        <v>12</v>
      </c>
      <c r="P107" s="16">
        <f t="shared" ref="P107:P138" si="6">I107*O107</f>
        <v>24</v>
      </c>
      <c r="Q107" s="15"/>
      <c r="R107" s="7" t="s">
        <v>12179</v>
      </c>
    </row>
    <row r="108" ht="18" hidden="1" customHeight="1" spans="1:18">
      <c r="A108" s="14">
        <v>45965</v>
      </c>
      <c r="B108" s="15" t="s">
        <v>12188</v>
      </c>
      <c r="C108" s="15" t="s">
        <v>1780</v>
      </c>
      <c r="D108" s="15" t="str">
        <f>_xlfn.SINGLE(INDEX(样品编号表!Y:Y,_xlfn.SINGLE(MATCH(_xlfn.SINGLE(C:C),样品编号表!H:H,0))))</f>
        <v>艺纺</v>
      </c>
      <c r="E108" s="15" t="str">
        <f>_xlfn.SINGLE(INDEX(样品编号表!Z:Z,_xlfn.SINGLE(MATCH(_xlfn.SINGLE(C:C),样品编号表!H:H,0))))</f>
        <v>11865-3</v>
      </c>
      <c r="F108" s="15" t="s">
        <v>12213</v>
      </c>
      <c r="G108" s="15">
        <v>1</v>
      </c>
      <c r="H108" s="15"/>
      <c r="I108" s="15">
        <v>1</v>
      </c>
      <c r="J108" s="14">
        <v>45966</v>
      </c>
      <c r="K108" s="16">
        <v>25</v>
      </c>
      <c r="L108" s="16">
        <f t="shared" si="5"/>
        <v>25</v>
      </c>
      <c r="M108" s="15" t="s">
        <v>12178</v>
      </c>
      <c r="N108" s="15">
        <f>_xlfn.SINGLE(INDEX(样品编号表!AA:AA,_xlfn.SINGLE(MATCH(_xlfn.SINGLE(C:C),样品编号表!H:H,0))))</f>
        <v>12.8</v>
      </c>
      <c r="O108" s="16">
        <v>18</v>
      </c>
      <c r="P108" s="16">
        <f t="shared" si="6"/>
        <v>18</v>
      </c>
      <c r="Q108" s="15"/>
      <c r="R108" s="7" t="s">
        <v>12179</v>
      </c>
    </row>
    <row r="109" ht="18" customHeight="1" spans="1:18">
      <c r="A109" s="14">
        <v>45966</v>
      </c>
      <c r="B109" s="15" t="s">
        <v>9156</v>
      </c>
      <c r="C109" s="15" t="s">
        <v>3618</v>
      </c>
      <c r="D109" s="15" t="str">
        <f>_xlfn.SINGLE(INDEX(样品编号表!Y:Y,_xlfn.SINGLE(MATCH(_xlfn.SINGLE(C:C),样品编号表!H:H,0))))</f>
        <v>万顺纺织</v>
      </c>
      <c r="E109" s="15" t="str">
        <f>_xlfn.SINGLE(INDEX(样品编号表!Z:Z,_xlfn.SINGLE(MATCH(_xlfn.SINGLE(C:C),样品编号表!H:H,0))))</f>
        <v>A8784</v>
      </c>
      <c r="F109" s="15" t="s">
        <v>12213</v>
      </c>
      <c r="G109" s="15">
        <v>12</v>
      </c>
      <c r="H109" s="15" t="s">
        <v>12177</v>
      </c>
      <c r="I109" s="15">
        <v>12</v>
      </c>
      <c r="J109" s="14">
        <v>45968</v>
      </c>
      <c r="K109" s="16">
        <v>21</v>
      </c>
      <c r="L109" s="16">
        <f t="shared" si="5"/>
        <v>252</v>
      </c>
      <c r="M109" s="15" t="s">
        <v>12178</v>
      </c>
      <c r="N109" s="15">
        <f>_xlfn.SINGLE(INDEX(样品编号表!AA:AA,_xlfn.SINGLE(MATCH(_xlfn.SINGLE(C:C),样品编号表!H:H,0))))</f>
        <v>8.8</v>
      </c>
      <c r="O109" s="16">
        <v>14</v>
      </c>
      <c r="P109" s="16">
        <f t="shared" si="6"/>
        <v>168</v>
      </c>
      <c r="Q109" s="15"/>
      <c r="R109" s="7" t="s">
        <v>12179</v>
      </c>
    </row>
    <row r="110" ht="18" hidden="1" customHeight="1" spans="1:18">
      <c r="A110" s="14">
        <v>45966</v>
      </c>
      <c r="B110" s="15" t="s">
        <v>9156</v>
      </c>
      <c r="C110" s="15" t="s">
        <v>4670</v>
      </c>
      <c r="D110" s="15" t="str">
        <f>_xlfn.SINGLE(INDEX(样品编号表!Y:Y,_xlfn.SINGLE(MATCH(_xlfn.SINGLE(C:C),样品编号表!H:H,0))))</f>
        <v>粤信布业</v>
      </c>
      <c r="E110" s="15" t="str">
        <f>_xlfn.SINGLE(INDEX(样品编号表!Z:Z,_xlfn.SINGLE(MATCH(_xlfn.SINGLE(C:C),样品编号表!H:H,0))))</f>
        <v>32支精棉拉架YX81010</v>
      </c>
      <c r="F110" s="15" t="s">
        <v>12256</v>
      </c>
      <c r="G110" s="15">
        <v>4</v>
      </c>
      <c r="H110" s="15" t="s">
        <v>12177</v>
      </c>
      <c r="I110" s="15">
        <v>4</v>
      </c>
      <c r="J110" s="14">
        <v>45968</v>
      </c>
      <c r="K110" s="16">
        <v>26</v>
      </c>
      <c r="L110" s="16">
        <f t="shared" si="5"/>
        <v>104</v>
      </c>
      <c r="M110" s="15" t="s">
        <v>12178</v>
      </c>
      <c r="N110" s="15">
        <f>_xlfn.SINGLE(INDEX(样品编号表!AA:AA,_xlfn.SINGLE(MATCH(_xlfn.SINGLE(C:C),样品编号表!H:H,0))))</f>
        <v>44</v>
      </c>
      <c r="O110" s="31">
        <v>30</v>
      </c>
      <c r="P110" s="16">
        <f t="shared" si="6"/>
        <v>120</v>
      </c>
      <c r="Q110" s="15"/>
      <c r="R110" s="7" t="s">
        <v>12179</v>
      </c>
    </row>
    <row r="111" ht="18" hidden="1" customHeight="1" spans="1:18">
      <c r="A111" s="14">
        <v>45966</v>
      </c>
      <c r="B111" s="15" t="s">
        <v>9156</v>
      </c>
      <c r="C111" s="15" t="s">
        <v>4670</v>
      </c>
      <c r="D111" s="15" t="str">
        <f>_xlfn.SINGLE(INDEX(样品编号表!Y:Y,_xlfn.SINGLE(MATCH(_xlfn.SINGLE(C:C),样品编号表!H:H,0))))</f>
        <v>粤信布业</v>
      </c>
      <c r="E111" s="15" t="str">
        <f>_xlfn.SINGLE(INDEX(样品编号表!Z:Z,_xlfn.SINGLE(MATCH(_xlfn.SINGLE(C:C),样品编号表!H:H,0))))</f>
        <v>32支精棉拉架YX81010</v>
      </c>
      <c r="F111" s="15" t="s">
        <v>12257</v>
      </c>
      <c r="G111" s="15">
        <v>8</v>
      </c>
      <c r="H111" s="15" t="s">
        <v>12177</v>
      </c>
      <c r="I111" s="15">
        <v>8</v>
      </c>
      <c r="J111" s="14">
        <v>45968</v>
      </c>
      <c r="K111" s="16">
        <v>26</v>
      </c>
      <c r="L111" s="16">
        <f t="shared" si="5"/>
        <v>208</v>
      </c>
      <c r="M111" s="15" t="s">
        <v>12178</v>
      </c>
      <c r="N111" s="15">
        <f>_xlfn.SINGLE(INDEX(样品编号表!AA:AA,_xlfn.SINGLE(MATCH(_xlfn.SINGLE(C:C),样品编号表!H:H,0))))</f>
        <v>44</v>
      </c>
      <c r="O111" s="31">
        <v>30</v>
      </c>
      <c r="P111" s="16">
        <f t="shared" si="6"/>
        <v>240</v>
      </c>
      <c r="Q111" s="15"/>
      <c r="R111" s="7" t="s">
        <v>12179</v>
      </c>
    </row>
    <row r="112" ht="18" hidden="1" customHeight="1" spans="1:18">
      <c r="A112" s="14">
        <v>45966</v>
      </c>
      <c r="B112" s="15" t="s">
        <v>9156</v>
      </c>
      <c r="C112" s="15" t="s">
        <v>4670</v>
      </c>
      <c r="D112" s="15" t="str">
        <f>_xlfn.SINGLE(INDEX(样品编号表!Y:Y,_xlfn.SINGLE(MATCH(_xlfn.SINGLE(C:C),样品编号表!H:H,0))))</f>
        <v>粤信布业</v>
      </c>
      <c r="E112" s="15" t="str">
        <f>_xlfn.SINGLE(INDEX(样品编号表!Z:Z,_xlfn.SINGLE(MATCH(_xlfn.SINGLE(C:C),样品编号表!H:H,0))))</f>
        <v>32支精棉拉架YX81010</v>
      </c>
      <c r="F112" s="15" t="s">
        <v>12258</v>
      </c>
      <c r="G112" s="15">
        <v>7</v>
      </c>
      <c r="H112" s="15" t="s">
        <v>12177</v>
      </c>
      <c r="I112" s="15">
        <v>7</v>
      </c>
      <c r="J112" s="14">
        <v>45968</v>
      </c>
      <c r="K112" s="16">
        <v>26</v>
      </c>
      <c r="L112" s="16">
        <f t="shared" si="5"/>
        <v>182</v>
      </c>
      <c r="M112" s="15" t="s">
        <v>12178</v>
      </c>
      <c r="N112" s="15">
        <f>_xlfn.SINGLE(INDEX(样品编号表!AA:AA,_xlfn.SINGLE(MATCH(_xlfn.SINGLE(C:C),样品编号表!H:H,0))))</f>
        <v>44</v>
      </c>
      <c r="O112" s="31">
        <v>30</v>
      </c>
      <c r="P112" s="16">
        <f t="shared" si="6"/>
        <v>210</v>
      </c>
      <c r="Q112" s="15"/>
      <c r="R112" s="7" t="s">
        <v>12179</v>
      </c>
    </row>
    <row r="113" ht="18" hidden="1" customHeight="1" spans="1:18">
      <c r="A113" s="14">
        <v>45967</v>
      </c>
      <c r="B113" s="15" t="s">
        <v>12180</v>
      </c>
      <c r="C113" s="15" t="s">
        <v>1593</v>
      </c>
      <c r="D113" s="15" t="str">
        <f>_xlfn.SINGLE(INDEX(样品编号表!Y:Y,_xlfn.SINGLE(MATCH(_xlfn.SINGLE(C:C),样品编号表!H:H,0))))</f>
        <v>宝隆纺织</v>
      </c>
      <c r="E113" s="15">
        <f>_xlfn.SINGLE(INDEX(样品编号表!Z:Z,_xlfn.SINGLE(MATCH(_xlfn.SINGLE(C:C),样品编号表!H:H,0))))</f>
        <v>1562</v>
      </c>
      <c r="F113" s="15" t="s">
        <v>12214</v>
      </c>
      <c r="G113" s="15">
        <v>3</v>
      </c>
      <c r="H113" s="15" t="s">
        <v>12177</v>
      </c>
      <c r="I113" s="15">
        <v>3</v>
      </c>
      <c r="J113" s="14">
        <v>45968</v>
      </c>
      <c r="K113" s="16">
        <v>21</v>
      </c>
      <c r="L113" s="16">
        <f t="shared" si="5"/>
        <v>63</v>
      </c>
      <c r="M113" s="15" t="s">
        <v>12178</v>
      </c>
      <c r="N113" s="15">
        <f>_xlfn.SINGLE(INDEX(样品编号表!AA:AA,_xlfn.SINGLE(MATCH(_xlfn.SINGLE(C:C),样品编号表!H:H,0))))</f>
        <v>6.8</v>
      </c>
      <c r="O113" s="16">
        <v>12</v>
      </c>
      <c r="P113" s="16">
        <f t="shared" si="6"/>
        <v>36</v>
      </c>
      <c r="Q113" s="15"/>
      <c r="R113" s="7" t="s">
        <v>12179</v>
      </c>
    </row>
    <row r="114" ht="18" hidden="1" customHeight="1" spans="1:18">
      <c r="A114" s="14">
        <v>45969</v>
      </c>
      <c r="B114" s="15" t="s">
        <v>12180</v>
      </c>
      <c r="C114" s="15" t="s">
        <v>417</v>
      </c>
      <c r="D114" s="15" t="str">
        <f>_xlfn.SINGLE(INDEX(样品编号表!Y:Y,_xlfn.SINGLE(MATCH(_xlfn.SINGLE(C:C),样品编号表!H:H,0))))</f>
        <v>新合盛布业</v>
      </c>
      <c r="E114" s="15">
        <f>_xlfn.SINGLE(INDEX(样品编号表!Z:Z,_xlfn.SINGLE(MATCH(_xlfn.SINGLE(C:C),样品编号表!H:H,0))))</f>
        <v>6002</v>
      </c>
      <c r="F114" s="15" t="s">
        <v>12228</v>
      </c>
      <c r="G114" s="15">
        <v>6</v>
      </c>
      <c r="H114" s="15" t="s">
        <v>12177</v>
      </c>
      <c r="I114" s="15">
        <v>6</v>
      </c>
      <c r="J114" s="14">
        <v>45973</v>
      </c>
      <c r="K114" s="16">
        <v>24</v>
      </c>
      <c r="L114" s="16">
        <f t="shared" si="5"/>
        <v>144</v>
      </c>
      <c r="M114" s="15" t="s">
        <v>12178</v>
      </c>
      <c r="N114" s="15">
        <v>18</v>
      </c>
      <c r="O114" s="16">
        <v>18</v>
      </c>
      <c r="P114" s="16">
        <f t="shared" si="6"/>
        <v>108</v>
      </c>
      <c r="Q114" s="15"/>
      <c r="R114" s="7" t="s">
        <v>12179</v>
      </c>
    </row>
    <row r="115" ht="18" hidden="1" customHeight="1" spans="1:18">
      <c r="A115" s="14">
        <v>45969</v>
      </c>
      <c r="B115" s="15" t="s">
        <v>12180</v>
      </c>
      <c r="C115" s="15" t="s">
        <v>417</v>
      </c>
      <c r="D115" s="15" t="str">
        <f>_xlfn.SINGLE(INDEX(样品编号表!Y:Y,_xlfn.SINGLE(MATCH(_xlfn.SINGLE(C:C),样品编号表!H:H,0))))</f>
        <v>新合盛布业</v>
      </c>
      <c r="E115" s="15">
        <f>_xlfn.SINGLE(INDEX(样品编号表!Z:Z,_xlfn.SINGLE(MATCH(_xlfn.SINGLE(C:C),样品编号表!H:H,0))))</f>
        <v>6002</v>
      </c>
      <c r="F115" s="15" t="s">
        <v>12213</v>
      </c>
      <c r="G115" s="15">
        <v>2</v>
      </c>
      <c r="H115" s="15" t="s">
        <v>12177</v>
      </c>
      <c r="I115" s="15">
        <v>2</v>
      </c>
      <c r="J115" s="14">
        <v>45972</v>
      </c>
      <c r="K115" s="16">
        <v>18</v>
      </c>
      <c r="L115" s="16">
        <f t="shared" si="5"/>
        <v>36</v>
      </c>
      <c r="M115" s="15" t="s">
        <v>12178</v>
      </c>
      <c r="N115" s="15">
        <f>_xlfn.SINGLE(INDEX(样品编号表!AA:AA,_xlfn.SINGLE(MATCH(_xlfn.SINGLE(C:C),样品编号表!H:H,0))))</f>
        <v>6.6</v>
      </c>
      <c r="O115" s="16">
        <v>12</v>
      </c>
      <c r="P115" s="16">
        <f t="shared" si="6"/>
        <v>24</v>
      </c>
      <c r="Q115" s="15"/>
      <c r="R115" s="7" t="s">
        <v>12179</v>
      </c>
    </row>
    <row r="116" ht="18" hidden="1" customHeight="1" spans="1:18">
      <c r="A116" s="14">
        <v>45972</v>
      </c>
      <c r="B116" s="15" t="s">
        <v>12240</v>
      </c>
      <c r="C116" s="15" t="s">
        <v>1780</v>
      </c>
      <c r="D116" s="15" t="str">
        <f>_xlfn.SINGLE(INDEX(样品编号表!Y:Y,_xlfn.SINGLE(MATCH(_xlfn.SINGLE(C:C),样品编号表!H:H,0))))</f>
        <v>艺纺</v>
      </c>
      <c r="E116" s="15" t="str">
        <f>_xlfn.SINGLE(INDEX(样品编号表!Z:Z,_xlfn.SINGLE(MATCH(_xlfn.SINGLE(C:C),样品编号表!H:H,0))))</f>
        <v>11865-3</v>
      </c>
      <c r="F116" s="15" t="s">
        <v>12213</v>
      </c>
      <c r="G116" s="15">
        <v>2</v>
      </c>
      <c r="H116" s="15" t="s">
        <v>12177</v>
      </c>
      <c r="I116" s="15">
        <v>2</v>
      </c>
      <c r="J116" s="14">
        <v>45974</v>
      </c>
      <c r="K116" s="16">
        <v>25</v>
      </c>
      <c r="L116" s="16">
        <f t="shared" si="5"/>
        <v>50</v>
      </c>
      <c r="M116" s="15" t="s">
        <v>12178</v>
      </c>
      <c r="N116" s="15">
        <f>_xlfn.SINGLE(INDEX(样品编号表!AA:AA,_xlfn.SINGLE(MATCH(_xlfn.SINGLE(C:C),样品编号表!H:H,0))))</f>
        <v>12.8</v>
      </c>
      <c r="O116" s="16">
        <v>18</v>
      </c>
      <c r="P116" s="16">
        <f t="shared" si="6"/>
        <v>36</v>
      </c>
      <c r="Q116" s="15"/>
      <c r="R116" s="7" t="s">
        <v>12179</v>
      </c>
    </row>
    <row r="117" ht="18" hidden="1" customHeight="1" spans="1:18">
      <c r="A117" s="14">
        <v>45972</v>
      </c>
      <c r="B117" s="15" t="s">
        <v>12240</v>
      </c>
      <c r="C117" s="15" t="s">
        <v>1780</v>
      </c>
      <c r="D117" s="15" t="str">
        <f>_xlfn.SINGLE(INDEX(样品编号表!Y:Y,_xlfn.SINGLE(MATCH(_xlfn.SINGLE(C:C),样品编号表!H:H,0))))</f>
        <v>艺纺</v>
      </c>
      <c r="E117" s="15" t="str">
        <f>_xlfn.SINGLE(INDEX(样品编号表!Z:Z,_xlfn.SINGLE(MATCH(_xlfn.SINGLE(C:C),样品编号表!H:H,0))))</f>
        <v>11865-3</v>
      </c>
      <c r="F117" s="15" t="s">
        <v>12247</v>
      </c>
      <c r="G117" s="15">
        <v>3</v>
      </c>
      <c r="H117" s="15" t="s">
        <v>12177</v>
      </c>
      <c r="I117" s="15">
        <v>3</v>
      </c>
      <c r="J117" s="14">
        <v>45974</v>
      </c>
      <c r="K117" s="16">
        <v>25</v>
      </c>
      <c r="L117" s="16">
        <f t="shared" si="5"/>
        <v>75</v>
      </c>
      <c r="M117" s="15" t="s">
        <v>12178</v>
      </c>
      <c r="N117" s="15">
        <f>_xlfn.SINGLE(INDEX(样品编号表!AA:AA,_xlfn.SINGLE(MATCH(_xlfn.SINGLE(C:C),样品编号表!H:H,0))))</f>
        <v>12.8</v>
      </c>
      <c r="O117" s="16">
        <v>18</v>
      </c>
      <c r="P117" s="16">
        <f t="shared" si="6"/>
        <v>54</v>
      </c>
      <c r="Q117" s="15"/>
      <c r="R117" s="7" t="s">
        <v>12179</v>
      </c>
    </row>
    <row r="118" ht="18" hidden="1" customHeight="1" spans="1:18">
      <c r="A118" s="14">
        <v>45972</v>
      </c>
      <c r="B118" s="15" t="s">
        <v>12240</v>
      </c>
      <c r="C118" s="15" t="s">
        <v>1780</v>
      </c>
      <c r="D118" s="15" t="str">
        <f>_xlfn.SINGLE(INDEX(样品编号表!Y:Y,_xlfn.SINGLE(MATCH(_xlfn.SINGLE(C:C),样品编号表!H:H,0))))</f>
        <v>艺纺</v>
      </c>
      <c r="E118" s="15" t="str">
        <f>_xlfn.SINGLE(INDEX(样品编号表!Z:Z,_xlfn.SINGLE(MATCH(_xlfn.SINGLE(C:C),样品编号表!H:H,0))))</f>
        <v>11865-3</v>
      </c>
      <c r="F118" s="15" t="s">
        <v>12213</v>
      </c>
      <c r="G118" s="15">
        <v>3</v>
      </c>
      <c r="H118" s="15" t="s">
        <v>12177</v>
      </c>
      <c r="I118" s="15">
        <v>3</v>
      </c>
      <c r="J118" s="14">
        <v>45974</v>
      </c>
      <c r="K118" s="16">
        <v>25</v>
      </c>
      <c r="L118" s="16">
        <f t="shared" si="5"/>
        <v>75</v>
      </c>
      <c r="M118" s="15" t="s">
        <v>12178</v>
      </c>
      <c r="N118" s="15">
        <f>_xlfn.SINGLE(INDEX(样品编号表!AA:AA,_xlfn.SINGLE(MATCH(_xlfn.SINGLE(C:C),样品编号表!H:H,0))))</f>
        <v>12.8</v>
      </c>
      <c r="O118" s="16">
        <v>18</v>
      </c>
      <c r="P118" s="16">
        <f t="shared" si="6"/>
        <v>54</v>
      </c>
      <c r="Q118" s="15"/>
      <c r="R118" s="7" t="s">
        <v>12179</v>
      </c>
    </row>
    <row r="119" ht="18" hidden="1" customHeight="1" spans="1:18">
      <c r="A119" s="14">
        <v>45972</v>
      </c>
      <c r="B119" s="15" t="s">
        <v>12194</v>
      </c>
      <c r="C119" s="15" t="s">
        <v>2155</v>
      </c>
      <c r="D119" s="15" t="str">
        <f>_xlfn.SINGLE(INDEX(样品编号表!Y:Y,_xlfn.SINGLE(MATCH(_xlfn.SINGLE(C:C),样品编号表!H:H,0))))</f>
        <v>润森</v>
      </c>
      <c r="E119" s="15" t="str">
        <f>_xlfn.SINGLE(INDEX(样品编号表!Z:Z,_xlfn.SINGLE(MATCH(_xlfn.SINGLE(C:C),样品编号表!H:H,0))))</f>
        <v>华尔缎</v>
      </c>
      <c r="F119" s="15" t="s">
        <v>12215</v>
      </c>
      <c r="G119" s="15">
        <v>2</v>
      </c>
      <c r="H119" s="15" t="s">
        <v>12177</v>
      </c>
      <c r="I119" s="15">
        <v>2</v>
      </c>
      <c r="J119" s="14">
        <v>45974</v>
      </c>
      <c r="K119" s="16">
        <v>18</v>
      </c>
      <c r="L119" s="16">
        <f t="shared" si="5"/>
        <v>36</v>
      </c>
      <c r="M119" s="15" t="s">
        <v>12178</v>
      </c>
      <c r="N119" s="15">
        <f>_xlfn.SINGLE(INDEX(样品编号表!AA:AA,_xlfn.SINGLE(MATCH(_xlfn.SINGLE(C:C),样品编号表!H:H,0))))</f>
        <v>10.5</v>
      </c>
      <c r="O119" s="16">
        <v>15</v>
      </c>
      <c r="P119" s="16">
        <f t="shared" si="6"/>
        <v>30</v>
      </c>
      <c r="Q119" s="15"/>
      <c r="R119" s="7" t="s">
        <v>12179</v>
      </c>
    </row>
    <row r="120" ht="18" hidden="1" customHeight="1" spans="1:18">
      <c r="A120" s="14">
        <v>45973</v>
      </c>
      <c r="B120" s="15" t="s">
        <v>12180</v>
      </c>
      <c r="C120" s="15" t="s">
        <v>492</v>
      </c>
      <c r="D120" s="15" t="str">
        <f>_xlfn.SINGLE(INDEX(样品编号表!Y:Y,_xlfn.SINGLE(MATCH(_xlfn.SINGLE(C:C),样品编号表!H:H,0))))</f>
        <v>光大纺织</v>
      </c>
      <c r="E120" s="15" t="str">
        <f>_xlfn.SINGLE(INDEX(样品编号表!Z:Z,_xlfn.SINGLE(MATCH(_xlfn.SINGLE(C:C),样品编号表!H:H,0))))</f>
        <v>TR439</v>
      </c>
      <c r="F120" s="15" t="s">
        <v>12259</v>
      </c>
      <c r="G120" s="15">
        <v>3</v>
      </c>
      <c r="H120" s="15" t="s">
        <v>12177</v>
      </c>
      <c r="I120" s="15">
        <v>3</v>
      </c>
      <c r="J120" s="14">
        <v>45975</v>
      </c>
      <c r="K120" s="16">
        <v>26</v>
      </c>
      <c r="L120" s="16">
        <f t="shared" si="5"/>
        <v>78</v>
      </c>
      <c r="M120" s="15" t="s">
        <v>12178</v>
      </c>
      <c r="N120" s="15">
        <f>_xlfn.SINGLE(INDEX(样品编号表!AA:AA,_xlfn.SINGLE(MATCH(_xlfn.SINGLE(C:C),样品编号表!H:H,0))))</f>
        <v>12.3</v>
      </c>
      <c r="O120" s="16">
        <v>17</v>
      </c>
      <c r="P120" s="16">
        <f t="shared" si="6"/>
        <v>51</v>
      </c>
      <c r="Q120" s="15"/>
      <c r="R120" s="7" t="s">
        <v>12179</v>
      </c>
    </row>
    <row r="121" ht="18" hidden="1" customHeight="1" spans="1:18">
      <c r="A121" s="14">
        <v>45973</v>
      </c>
      <c r="B121" s="15" t="s">
        <v>12180</v>
      </c>
      <c r="C121" s="15" t="s">
        <v>492</v>
      </c>
      <c r="D121" s="15" t="str">
        <f>_xlfn.SINGLE(INDEX(样品编号表!Y:Y,_xlfn.SINGLE(MATCH(_xlfn.SINGLE(C:C),样品编号表!H:H,0))))</f>
        <v>光大纺织</v>
      </c>
      <c r="E121" s="15" t="str">
        <f>_xlfn.SINGLE(INDEX(样品编号表!Z:Z,_xlfn.SINGLE(MATCH(_xlfn.SINGLE(C:C),样品编号表!H:H,0))))</f>
        <v>TR439</v>
      </c>
      <c r="F121" s="15" t="s">
        <v>12260</v>
      </c>
      <c r="G121" s="15">
        <v>2</v>
      </c>
      <c r="H121" s="15" t="s">
        <v>12177</v>
      </c>
      <c r="I121" s="15">
        <v>2</v>
      </c>
      <c r="J121" s="14">
        <v>45975</v>
      </c>
      <c r="K121" s="16">
        <v>26</v>
      </c>
      <c r="L121" s="16">
        <f t="shared" si="5"/>
        <v>52</v>
      </c>
      <c r="M121" s="15" t="s">
        <v>12178</v>
      </c>
      <c r="N121" s="15">
        <f>_xlfn.SINGLE(INDEX(样品编号表!AA:AA,_xlfn.SINGLE(MATCH(_xlfn.SINGLE(C:C),样品编号表!H:H,0))))</f>
        <v>12.3</v>
      </c>
      <c r="O121" s="16">
        <v>17</v>
      </c>
      <c r="P121" s="16">
        <f t="shared" si="6"/>
        <v>34</v>
      </c>
      <c r="Q121" s="15"/>
      <c r="R121" s="7" t="s">
        <v>12179</v>
      </c>
    </row>
    <row r="122" ht="18" hidden="1" customHeight="1" spans="1:18">
      <c r="A122" s="14">
        <v>45973</v>
      </c>
      <c r="B122" s="15" t="s">
        <v>12180</v>
      </c>
      <c r="C122" s="15" t="s">
        <v>492</v>
      </c>
      <c r="D122" s="15" t="str">
        <f>_xlfn.SINGLE(INDEX(样品编号表!Y:Y,_xlfn.SINGLE(MATCH(_xlfn.SINGLE(C:C),样品编号表!H:H,0))))</f>
        <v>光大纺织</v>
      </c>
      <c r="E122" s="15" t="str">
        <f>_xlfn.SINGLE(INDEX(样品编号表!Z:Z,_xlfn.SINGLE(MATCH(_xlfn.SINGLE(C:C),样品编号表!H:H,0))))</f>
        <v>TR439</v>
      </c>
      <c r="F122" s="15" t="s">
        <v>12261</v>
      </c>
      <c r="G122" s="15">
        <v>1</v>
      </c>
      <c r="H122" s="15" t="s">
        <v>12177</v>
      </c>
      <c r="I122" s="15">
        <v>1</v>
      </c>
      <c r="J122" s="14">
        <v>45975</v>
      </c>
      <c r="K122" s="16">
        <v>26</v>
      </c>
      <c r="L122" s="16">
        <f t="shared" si="5"/>
        <v>26</v>
      </c>
      <c r="M122" s="15" t="s">
        <v>12178</v>
      </c>
      <c r="N122" s="15">
        <f>_xlfn.SINGLE(INDEX(样品编号表!AA:AA,_xlfn.SINGLE(MATCH(_xlfn.SINGLE(C:C),样品编号表!H:H,0))))</f>
        <v>12.3</v>
      </c>
      <c r="O122" s="16">
        <v>17</v>
      </c>
      <c r="P122" s="16">
        <f t="shared" si="6"/>
        <v>17</v>
      </c>
      <c r="Q122" s="15"/>
      <c r="R122" s="7" t="s">
        <v>12179</v>
      </c>
    </row>
    <row r="123" ht="18" hidden="1" customHeight="1" spans="1:18">
      <c r="A123" s="14">
        <v>45973</v>
      </c>
      <c r="B123" s="15" t="s">
        <v>12180</v>
      </c>
      <c r="C123" s="15" t="s">
        <v>492</v>
      </c>
      <c r="D123" s="15" t="str">
        <f>_xlfn.SINGLE(INDEX(样品编号表!Y:Y,_xlfn.SINGLE(MATCH(_xlfn.SINGLE(C:C),样品编号表!H:H,0))))</f>
        <v>光大纺织</v>
      </c>
      <c r="E123" s="15" t="str">
        <f>_xlfn.SINGLE(INDEX(样品编号表!Z:Z,_xlfn.SINGLE(MATCH(_xlfn.SINGLE(C:C),样品编号表!H:H,0))))</f>
        <v>TR439</v>
      </c>
      <c r="F123" s="15" t="s">
        <v>12262</v>
      </c>
      <c r="G123" s="15">
        <v>7</v>
      </c>
      <c r="H123" s="15" t="s">
        <v>12177</v>
      </c>
      <c r="I123" s="15">
        <v>7</v>
      </c>
      <c r="J123" s="14">
        <v>45975</v>
      </c>
      <c r="K123" s="16">
        <v>26</v>
      </c>
      <c r="L123" s="16">
        <f t="shared" si="5"/>
        <v>182</v>
      </c>
      <c r="M123" s="15" t="s">
        <v>12178</v>
      </c>
      <c r="N123" s="15">
        <f>_xlfn.SINGLE(INDEX(样品编号表!AA:AA,_xlfn.SINGLE(MATCH(_xlfn.SINGLE(C:C),样品编号表!H:H,0))))</f>
        <v>12.3</v>
      </c>
      <c r="O123" s="16">
        <v>17</v>
      </c>
      <c r="P123" s="16">
        <f t="shared" si="6"/>
        <v>119</v>
      </c>
      <c r="Q123" s="15"/>
      <c r="R123" s="7" t="s">
        <v>12179</v>
      </c>
    </row>
    <row r="124" ht="18" hidden="1" customHeight="1" spans="1:18">
      <c r="A124" s="14">
        <v>45973</v>
      </c>
      <c r="B124" s="15" t="s">
        <v>12180</v>
      </c>
      <c r="C124" s="15" t="s">
        <v>492</v>
      </c>
      <c r="D124" s="15" t="str">
        <f>_xlfn.SINGLE(INDEX(样品编号表!Y:Y,_xlfn.SINGLE(MATCH(_xlfn.SINGLE(C:C),样品编号表!H:H,0))))</f>
        <v>光大纺织</v>
      </c>
      <c r="E124" s="15" t="str">
        <f>_xlfn.SINGLE(INDEX(样品编号表!Z:Z,_xlfn.SINGLE(MATCH(_xlfn.SINGLE(C:C),样品编号表!H:H,0))))</f>
        <v>TR439</v>
      </c>
      <c r="F124" s="15" t="s">
        <v>12263</v>
      </c>
      <c r="G124" s="15">
        <v>3</v>
      </c>
      <c r="H124" s="15" t="s">
        <v>12177</v>
      </c>
      <c r="I124" s="15">
        <v>3</v>
      </c>
      <c r="J124" s="14">
        <v>45975</v>
      </c>
      <c r="K124" s="16">
        <v>26</v>
      </c>
      <c r="L124" s="16">
        <f t="shared" si="5"/>
        <v>78</v>
      </c>
      <c r="M124" s="15" t="s">
        <v>12178</v>
      </c>
      <c r="N124" s="15">
        <f>_xlfn.SINGLE(INDEX(样品编号表!AA:AA,_xlfn.SINGLE(MATCH(_xlfn.SINGLE(C:C),样品编号表!H:H,0))))</f>
        <v>12.3</v>
      </c>
      <c r="O124" s="16">
        <v>17</v>
      </c>
      <c r="P124" s="16">
        <f t="shared" si="6"/>
        <v>51</v>
      </c>
      <c r="Q124" s="15"/>
      <c r="R124" s="7" t="s">
        <v>12179</v>
      </c>
    </row>
    <row r="125" ht="18" hidden="1" customHeight="1" spans="1:18">
      <c r="A125" s="14">
        <v>45973</v>
      </c>
      <c r="B125" s="15" t="s">
        <v>12180</v>
      </c>
      <c r="C125" s="15" t="s">
        <v>2771</v>
      </c>
      <c r="D125" s="15" t="str">
        <f>_xlfn.SINGLE(INDEX(样品编号表!Y:Y,_xlfn.SINGLE(MATCH(_xlfn.SINGLE(C:C),样品编号表!H:H,0))))</f>
        <v>新合盛布业</v>
      </c>
      <c r="E125" s="15">
        <f>_xlfn.SINGLE(INDEX(样品编号表!Z:Z,_xlfn.SINGLE(MATCH(_xlfn.SINGLE(C:C),样品编号表!H:H,0))))</f>
        <v>8112</v>
      </c>
      <c r="F125" s="15" t="s">
        <v>12213</v>
      </c>
      <c r="G125" s="15">
        <v>1</v>
      </c>
      <c r="H125" s="15" t="s">
        <v>12177</v>
      </c>
      <c r="I125" s="15">
        <v>1</v>
      </c>
      <c r="J125" s="14">
        <v>45974</v>
      </c>
      <c r="K125" s="16">
        <v>17</v>
      </c>
      <c r="L125" s="16">
        <f t="shared" si="5"/>
        <v>17</v>
      </c>
      <c r="M125" s="15" t="s">
        <v>12178</v>
      </c>
      <c r="N125" s="15">
        <f>_xlfn.SINGLE(INDEX(样品编号表!AA:AA,_xlfn.SINGLE(MATCH(_xlfn.SINGLE(C:C),样品编号表!H:H,0))))</f>
        <v>9.6</v>
      </c>
      <c r="O125" s="16">
        <v>15</v>
      </c>
      <c r="P125" s="16">
        <f t="shared" si="6"/>
        <v>15</v>
      </c>
      <c r="Q125" s="15"/>
      <c r="R125" s="7" t="s">
        <v>12179</v>
      </c>
    </row>
    <row r="126" ht="18" hidden="1" customHeight="1" spans="1:18">
      <c r="A126" s="14">
        <v>45973</v>
      </c>
      <c r="B126" s="15" t="s">
        <v>12180</v>
      </c>
      <c r="C126" s="15" t="s">
        <v>2950</v>
      </c>
      <c r="D126" s="15" t="str">
        <f>_xlfn.SINGLE(INDEX(样品编号表!Y:Y,_xlfn.SINGLE(MATCH(_xlfn.SINGLE(C:C),样品编号表!H:H,0))))</f>
        <v>凯盛亨</v>
      </c>
      <c r="E126" s="15" t="str">
        <f>_xlfn.SINGLE(INDEX(样品编号表!Z:Z,_xlfn.SINGLE(MATCH(_xlfn.SINGLE(C:C),样品编号表!H:H,0))))</f>
        <v>1009#</v>
      </c>
      <c r="F126" s="15" t="s">
        <v>12213</v>
      </c>
      <c r="G126" s="15">
        <v>2</v>
      </c>
      <c r="H126" s="15" t="s">
        <v>12177</v>
      </c>
      <c r="I126" s="15">
        <v>2</v>
      </c>
      <c r="J126" s="14">
        <v>45974</v>
      </c>
      <c r="K126" s="16">
        <v>29</v>
      </c>
      <c r="L126" s="16">
        <f t="shared" si="5"/>
        <v>58</v>
      </c>
      <c r="M126" s="15" t="s">
        <v>12178</v>
      </c>
      <c r="N126" s="15">
        <f>_xlfn.SINGLE(INDEX(样品编号表!AA:AA,_xlfn.SINGLE(MATCH(_xlfn.SINGLE(C:C),样品编号表!H:H,0))))</f>
        <v>13.9</v>
      </c>
      <c r="O126" s="16">
        <v>18</v>
      </c>
      <c r="P126" s="16">
        <f t="shared" si="6"/>
        <v>36</v>
      </c>
      <c r="Q126" s="15"/>
      <c r="R126" s="7" t="s">
        <v>12179</v>
      </c>
    </row>
    <row r="127" ht="18" hidden="1" customHeight="1" spans="1:18">
      <c r="A127" s="14">
        <v>45975</v>
      </c>
      <c r="B127" s="15" t="s">
        <v>12188</v>
      </c>
      <c r="C127" s="15" t="s">
        <v>486</v>
      </c>
      <c r="D127" s="15" t="str">
        <f>_xlfn.SINGLE(INDEX(样品编号表!Y:Y,_xlfn.SINGLE(MATCH(_xlfn.SINGLE(C:C),样品编号表!H:H,0))))</f>
        <v>三好纺织</v>
      </c>
      <c r="E127" s="15" t="str">
        <f>_xlfn.SINGLE(INDEX(样品编号表!Z:Z,_xlfn.SINGLE(MATCH(_xlfn.SINGLE(C:C),样品编号表!H:H,0))))</f>
        <v>0953#</v>
      </c>
      <c r="F127" s="15" t="s">
        <v>12213</v>
      </c>
      <c r="G127" s="15">
        <v>6</v>
      </c>
      <c r="H127" s="15" t="s">
        <v>12177</v>
      </c>
      <c r="I127" s="15"/>
      <c r="J127" s="14">
        <v>45980</v>
      </c>
      <c r="K127" s="16">
        <v>25</v>
      </c>
      <c r="L127" s="16">
        <f t="shared" si="5"/>
        <v>0</v>
      </c>
      <c r="M127" s="15" t="s">
        <v>12178</v>
      </c>
      <c r="N127" s="15">
        <f>_xlfn.SINGLE(INDEX(样品编号表!AA:AA,_xlfn.SINGLE(MATCH(_xlfn.SINGLE(C:C),样品编号表!H:H,0))))</f>
        <v>11.5</v>
      </c>
      <c r="O127" s="16">
        <v>17</v>
      </c>
      <c r="P127" s="16">
        <f t="shared" si="6"/>
        <v>0</v>
      </c>
      <c r="Q127" s="15"/>
      <c r="R127" s="7" t="s">
        <v>12179</v>
      </c>
    </row>
    <row r="128" ht="18" hidden="1" customHeight="1" spans="1:18">
      <c r="A128" s="14">
        <v>45975</v>
      </c>
      <c r="B128" s="15" t="s">
        <v>12188</v>
      </c>
      <c r="C128" s="15" t="s">
        <v>4617</v>
      </c>
      <c r="D128" s="15" t="str">
        <f>_xlfn.SINGLE(INDEX(样品编号表!Y:Y,_xlfn.SINGLE(MATCH(_xlfn.SINGLE(C:C),样品编号表!H:H,0))))</f>
        <v>八方染织</v>
      </c>
      <c r="E128" s="15" t="str">
        <f>_xlfn.SINGLE(INDEX(样品编号表!Z:Z,_xlfn.SINGLE(MATCH(_xlfn.SINGLE(C:C),样品编号表!H:H,0))))</f>
        <v>A7061#  60s锦棉罗马</v>
      </c>
      <c r="F128" s="15" t="s">
        <v>12264</v>
      </c>
      <c r="G128" s="15">
        <v>1</v>
      </c>
      <c r="H128" s="15" t="s">
        <v>12177</v>
      </c>
      <c r="I128" s="15">
        <v>1</v>
      </c>
      <c r="J128" s="14">
        <v>45980</v>
      </c>
      <c r="K128" s="16">
        <v>35</v>
      </c>
      <c r="L128" s="16">
        <f t="shared" si="5"/>
        <v>35</v>
      </c>
      <c r="M128" s="15" t="s">
        <v>12178</v>
      </c>
      <c r="N128" s="15">
        <f>_xlfn.SINGLE(INDEX(样品编号表!AA:AA,_xlfn.SINGLE(MATCH(_xlfn.SINGLE(C:C),样品编号表!H:H,0))))</f>
        <v>42.3</v>
      </c>
      <c r="O128" s="16">
        <v>30</v>
      </c>
      <c r="P128" s="16">
        <f t="shared" si="6"/>
        <v>30</v>
      </c>
      <c r="Q128" s="15"/>
      <c r="R128" s="7" t="s">
        <v>12179</v>
      </c>
    </row>
    <row r="129" ht="18" hidden="1" customHeight="1" spans="1:18">
      <c r="A129" s="14">
        <v>45975</v>
      </c>
      <c r="B129" s="15" t="s">
        <v>12265</v>
      </c>
      <c r="C129" s="15" t="s">
        <v>4839</v>
      </c>
      <c r="D129" s="15" t="str">
        <f>_xlfn.SINGLE(INDEX(样品编号表!Y:Y,_xlfn.SINGLE(MATCH(_xlfn.SINGLE(C:C),样品编号表!H:H,0))))</f>
        <v>星海纺织</v>
      </c>
      <c r="E129" s="15" t="str">
        <f>_xlfn.SINGLE(INDEX(样品编号表!Z:Z,_xlfn.SINGLE(MATCH(_xlfn.SINGLE(C:C),样品编号表!H:H,0))))</f>
        <v>1L1010 酷丝绵罗纹</v>
      </c>
      <c r="F129" s="15" t="s">
        <v>2238</v>
      </c>
      <c r="G129" s="15">
        <v>2</v>
      </c>
      <c r="H129" s="15" t="s">
        <v>12177</v>
      </c>
      <c r="I129" s="15">
        <v>2</v>
      </c>
      <c r="J129" s="14">
        <v>45979</v>
      </c>
      <c r="K129" s="16">
        <v>28</v>
      </c>
      <c r="L129" s="16">
        <f t="shared" si="5"/>
        <v>56</v>
      </c>
      <c r="M129" s="15" t="s">
        <v>12178</v>
      </c>
      <c r="N129" s="15">
        <f>_xlfn.SINGLE(INDEX(样品编号表!AA:AA,_xlfn.SINGLE(MATCH(_xlfn.SINGLE(C:C),样品编号表!H:H,0))))</f>
        <v>30.5</v>
      </c>
      <c r="O129" s="16">
        <v>25</v>
      </c>
      <c r="P129" s="16">
        <f t="shared" si="6"/>
        <v>50</v>
      </c>
      <c r="Q129" s="15"/>
      <c r="R129" s="7" t="s">
        <v>12179</v>
      </c>
    </row>
    <row r="130" ht="18" hidden="1" customHeight="1" spans="1:18">
      <c r="A130" s="14">
        <v>45975</v>
      </c>
      <c r="B130" s="15" t="s">
        <v>12240</v>
      </c>
      <c r="C130" s="15" t="s">
        <v>1780</v>
      </c>
      <c r="D130" s="15" t="str">
        <f>_xlfn.SINGLE(INDEX(样品编号表!Y:Y,_xlfn.SINGLE(MATCH(_xlfn.SINGLE(C:C),样品编号表!H:H,0))))</f>
        <v>艺纺</v>
      </c>
      <c r="E130" s="15" t="str">
        <f>_xlfn.SINGLE(INDEX(样品编号表!Z:Z,_xlfn.SINGLE(MATCH(_xlfn.SINGLE(C:C),样品编号表!H:H,0))))</f>
        <v>11865-3</v>
      </c>
      <c r="F130" s="15" t="s">
        <v>12206</v>
      </c>
      <c r="G130" s="15">
        <v>2</v>
      </c>
      <c r="H130" s="15" t="s">
        <v>12177</v>
      </c>
      <c r="I130" s="15">
        <v>2</v>
      </c>
      <c r="J130" s="14">
        <v>45978</v>
      </c>
      <c r="K130" s="16">
        <v>25</v>
      </c>
      <c r="L130" s="16">
        <f t="shared" si="5"/>
        <v>50</v>
      </c>
      <c r="M130" s="15" t="s">
        <v>12178</v>
      </c>
      <c r="N130" s="15">
        <f>_xlfn.SINGLE(INDEX(样品编号表!AA:AA,_xlfn.SINGLE(MATCH(_xlfn.SINGLE(C:C),样品编号表!H:H,0))))</f>
        <v>12.8</v>
      </c>
      <c r="O130" s="16">
        <v>18</v>
      </c>
      <c r="P130" s="16">
        <f t="shared" si="6"/>
        <v>36</v>
      </c>
      <c r="Q130" s="15"/>
      <c r="R130" s="7" t="s">
        <v>12179</v>
      </c>
    </row>
    <row r="131" ht="18" hidden="1" customHeight="1" spans="1:18">
      <c r="A131" s="14">
        <v>45975</v>
      </c>
      <c r="B131" s="15" t="s">
        <v>12266</v>
      </c>
      <c r="C131" s="15" t="s">
        <v>2113</v>
      </c>
      <c r="D131" s="15" t="str">
        <f>_xlfn.SINGLE(INDEX(样品编号表!Y:Y,_xlfn.SINGLE(MATCH(_xlfn.SINGLE(C:C),样品编号表!H:H,0))))</f>
        <v>凯盛亨</v>
      </c>
      <c r="E131" s="15" t="str">
        <f>_xlfn.SINGLE(INDEX(样品编号表!Z:Z,_xlfn.SINGLE(MATCH(_xlfn.SINGLE(C:C),样品编号表!H:H,0))))</f>
        <v>839#</v>
      </c>
      <c r="F131" s="15" t="s">
        <v>12225</v>
      </c>
      <c r="G131" s="15">
        <v>5</v>
      </c>
      <c r="H131" s="15" t="s">
        <v>12177</v>
      </c>
      <c r="I131" s="15">
        <v>5</v>
      </c>
      <c r="J131" s="14">
        <v>45978</v>
      </c>
      <c r="K131" s="16">
        <v>37</v>
      </c>
      <c r="L131" s="16">
        <f t="shared" ref="L131:L171" si="7">I131*K131</f>
        <v>185</v>
      </c>
      <c r="M131" s="15" t="s">
        <v>12178</v>
      </c>
      <c r="N131" s="15">
        <f>_xlfn.SINGLE(INDEX(样品编号表!AA:AA,_xlfn.SINGLE(MATCH(_xlfn.SINGLE(C:C),样品编号表!H:H,0))))</f>
        <v>11.3</v>
      </c>
      <c r="O131" s="16">
        <v>19.9</v>
      </c>
      <c r="P131" s="16">
        <f t="shared" si="6"/>
        <v>99.5</v>
      </c>
      <c r="Q131" s="15" t="s">
        <v>12226</v>
      </c>
      <c r="R131" s="7" t="s">
        <v>12179</v>
      </c>
    </row>
    <row r="132" ht="18" hidden="1" customHeight="1" spans="1:18">
      <c r="A132" s="14">
        <v>45976</v>
      </c>
      <c r="B132" s="15" t="s">
        <v>12267</v>
      </c>
      <c r="C132" s="15" t="s">
        <v>417</v>
      </c>
      <c r="D132" s="15" t="str">
        <f>_xlfn.SINGLE(INDEX(样品编号表!Y:Y,_xlfn.SINGLE(MATCH(_xlfn.SINGLE(C:C),样品编号表!H:H,0))))</f>
        <v>新合盛布业</v>
      </c>
      <c r="E132" s="15">
        <f>_xlfn.SINGLE(INDEX(样品编号表!Z:Z,_xlfn.SINGLE(MATCH(_xlfn.SINGLE(C:C),样品编号表!H:H,0))))</f>
        <v>6002</v>
      </c>
      <c r="F132" s="15" t="s">
        <v>4489</v>
      </c>
      <c r="G132" s="15">
        <v>1</v>
      </c>
      <c r="H132" s="15" t="s">
        <v>12177</v>
      </c>
      <c r="I132" s="15">
        <v>1</v>
      </c>
      <c r="J132" s="14">
        <v>45978</v>
      </c>
      <c r="K132" s="16">
        <v>18</v>
      </c>
      <c r="L132" s="16">
        <f t="shared" si="7"/>
        <v>18</v>
      </c>
      <c r="M132" s="15" t="s">
        <v>12178</v>
      </c>
      <c r="N132" s="15">
        <f>_xlfn.SINGLE(INDEX(样品编号表!AA:AA,_xlfn.SINGLE(MATCH(_xlfn.SINGLE(C:C),样品编号表!H:H,0))))</f>
        <v>6.6</v>
      </c>
      <c r="O132" s="16">
        <v>12</v>
      </c>
      <c r="P132" s="16">
        <f t="shared" si="6"/>
        <v>12</v>
      </c>
      <c r="Q132" s="15"/>
      <c r="R132" s="7" t="s">
        <v>12179</v>
      </c>
    </row>
    <row r="133" ht="18" hidden="1" customHeight="1" spans="1:18">
      <c r="A133" s="14">
        <v>45978</v>
      </c>
      <c r="B133" s="15" t="s">
        <v>12180</v>
      </c>
      <c r="C133" s="15" t="s">
        <v>4600</v>
      </c>
      <c r="D133" s="15" t="str">
        <f>_xlfn.SINGLE(INDEX(样品编号表!Y:Y,_xlfn.SINGLE(MATCH(_xlfn.SINGLE(C:C),样品编号表!H:H,0))))</f>
        <v>佳鸿布行</v>
      </c>
      <c r="E133" s="15" t="str">
        <f>_xlfn.SINGLE(INDEX(样品编号表!Z:Z,_xlfn.SINGLE(MATCH(_xlfn.SINGLE(C:C),样品编号表!H:H,0))))</f>
        <v>密根日本棉</v>
      </c>
      <c r="F133" s="15" t="s">
        <v>12268</v>
      </c>
      <c r="G133" s="15">
        <v>1</v>
      </c>
      <c r="H133" s="15" t="s">
        <v>12177</v>
      </c>
      <c r="I133" s="15">
        <v>1</v>
      </c>
      <c r="J133" s="14">
        <v>45979</v>
      </c>
      <c r="K133" s="16">
        <v>26</v>
      </c>
      <c r="L133" s="16">
        <f t="shared" si="7"/>
        <v>26</v>
      </c>
      <c r="M133" s="15" t="s">
        <v>12178</v>
      </c>
      <c r="N133" s="15">
        <f>_xlfn.SINGLE(INDEX(样品编号表!AA:AA,_xlfn.SINGLE(MATCH(_xlfn.SINGLE(C:C),样品编号表!H:H,0))))</f>
        <v>39.5</v>
      </c>
      <c r="O133" s="16">
        <v>25</v>
      </c>
      <c r="P133" s="16">
        <f t="shared" si="6"/>
        <v>25</v>
      </c>
      <c r="Q133" s="15"/>
      <c r="R133" s="7" t="s">
        <v>12179</v>
      </c>
    </row>
    <row r="134" ht="18" hidden="1" customHeight="1" spans="1:18">
      <c r="A134" s="14">
        <v>45978</v>
      </c>
      <c r="B134" s="15" t="s">
        <v>12180</v>
      </c>
      <c r="C134" s="15" t="s">
        <v>4600</v>
      </c>
      <c r="D134" s="15" t="str">
        <f>_xlfn.SINGLE(INDEX(样品编号表!Y:Y,_xlfn.SINGLE(MATCH(_xlfn.SINGLE(C:C),样品编号表!H:H,0))))</f>
        <v>佳鸿布行</v>
      </c>
      <c r="E134" s="15" t="str">
        <f>_xlfn.SINGLE(INDEX(样品编号表!Z:Z,_xlfn.SINGLE(MATCH(_xlfn.SINGLE(C:C),样品编号表!H:H,0))))</f>
        <v>密根日本棉</v>
      </c>
      <c r="F134" s="15" t="s">
        <v>12187</v>
      </c>
      <c r="G134" s="15">
        <v>1</v>
      </c>
      <c r="H134" s="15" t="s">
        <v>12177</v>
      </c>
      <c r="I134" s="15">
        <v>1</v>
      </c>
      <c r="J134" s="14">
        <v>45979</v>
      </c>
      <c r="K134" s="16">
        <v>26</v>
      </c>
      <c r="L134" s="16">
        <f t="shared" si="7"/>
        <v>26</v>
      </c>
      <c r="M134" s="15" t="s">
        <v>12178</v>
      </c>
      <c r="N134" s="15">
        <f>_xlfn.SINGLE(INDEX(样品编号表!AA:AA,_xlfn.SINGLE(MATCH(_xlfn.SINGLE(C:C),样品编号表!H:H,0))))</f>
        <v>39.5</v>
      </c>
      <c r="O134" s="16">
        <v>25</v>
      </c>
      <c r="P134" s="16">
        <f t="shared" si="6"/>
        <v>25</v>
      </c>
      <c r="Q134" s="15"/>
      <c r="R134" s="7" t="s">
        <v>12179</v>
      </c>
    </row>
    <row r="135" ht="18" hidden="1" customHeight="1" spans="1:18">
      <c r="A135" s="14">
        <v>45979</v>
      </c>
      <c r="B135" s="15" t="s">
        <v>12269</v>
      </c>
      <c r="C135" s="15" t="s">
        <v>427</v>
      </c>
      <c r="D135" s="15" t="str">
        <f>_xlfn.SINGLE(INDEX(样品编号表!Y:Y,_xlfn.SINGLE(MATCH(_xlfn.SINGLE(C:C),样品编号表!H:H,0))))</f>
        <v>凯盛亨</v>
      </c>
      <c r="E135" s="15" t="str">
        <f>_xlfn.SINGLE(INDEX(样品编号表!Z:Z,_xlfn.SINGLE(MATCH(_xlfn.SINGLE(C:C),样品编号表!H:H,0))))</f>
        <v>262#</v>
      </c>
      <c r="F135" s="15" t="s">
        <v>12270</v>
      </c>
      <c r="G135" s="15">
        <v>2</v>
      </c>
      <c r="H135" s="15" t="s">
        <v>12177</v>
      </c>
      <c r="I135" s="15">
        <v>2</v>
      </c>
      <c r="J135" s="14">
        <v>45980</v>
      </c>
      <c r="K135" s="16">
        <v>23</v>
      </c>
      <c r="L135" s="16">
        <f t="shared" si="7"/>
        <v>46</v>
      </c>
      <c r="M135" s="15" t="s">
        <v>12178</v>
      </c>
      <c r="N135" s="15">
        <f>_xlfn.SINGLE(INDEX(样品编号表!AA:AA,_xlfn.SINGLE(MATCH(_xlfn.SINGLE(C:C),样品编号表!H:H,0))))</f>
        <v>10.5</v>
      </c>
      <c r="O135" s="16">
        <v>16</v>
      </c>
      <c r="P135" s="16">
        <f t="shared" si="6"/>
        <v>32</v>
      </c>
      <c r="Q135" s="15"/>
      <c r="R135" s="7" t="s">
        <v>12179</v>
      </c>
    </row>
    <row r="136" ht="18" hidden="1" customHeight="1" spans="1:18">
      <c r="A136" s="14">
        <v>45979</v>
      </c>
      <c r="B136" s="15" t="s">
        <v>12269</v>
      </c>
      <c r="C136" s="15" t="s">
        <v>427</v>
      </c>
      <c r="D136" s="15" t="str">
        <f>_xlfn.SINGLE(INDEX(样品编号表!Y:Y,_xlfn.SINGLE(MATCH(_xlfn.SINGLE(C:C),样品编号表!H:H,0))))</f>
        <v>凯盛亨</v>
      </c>
      <c r="E136" s="15" t="str">
        <f>_xlfn.SINGLE(INDEX(样品编号表!Z:Z,_xlfn.SINGLE(MATCH(_xlfn.SINGLE(C:C),样品编号表!H:H,0))))</f>
        <v>262#</v>
      </c>
      <c r="F136" s="15" t="s">
        <v>12271</v>
      </c>
      <c r="G136" s="15">
        <v>2</v>
      </c>
      <c r="H136" s="15" t="s">
        <v>12177</v>
      </c>
      <c r="I136" s="15">
        <v>2</v>
      </c>
      <c r="J136" s="14">
        <v>45980</v>
      </c>
      <c r="K136" s="16">
        <v>23</v>
      </c>
      <c r="L136" s="16">
        <f t="shared" si="7"/>
        <v>46</v>
      </c>
      <c r="M136" s="15" t="s">
        <v>12178</v>
      </c>
      <c r="N136" s="15">
        <f>_xlfn.SINGLE(INDEX(样品编号表!AA:AA,_xlfn.SINGLE(MATCH(_xlfn.SINGLE(C:C),样品编号表!H:H,0))))</f>
        <v>10.5</v>
      </c>
      <c r="O136" s="16">
        <v>16</v>
      </c>
      <c r="P136" s="16">
        <f t="shared" si="6"/>
        <v>32</v>
      </c>
      <c r="Q136" s="15"/>
      <c r="R136" s="7" t="s">
        <v>12179</v>
      </c>
    </row>
    <row r="137" ht="18" hidden="1" customHeight="1" spans="1:18">
      <c r="A137" s="14">
        <v>45979</v>
      </c>
      <c r="B137" s="15" t="s">
        <v>12269</v>
      </c>
      <c r="C137" s="15" t="s">
        <v>427</v>
      </c>
      <c r="D137" s="15" t="str">
        <f>_xlfn.SINGLE(INDEX(样品编号表!Y:Y,_xlfn.SINGLE(MATCH(_xlfn.SINGLE(C:C),样品编号表!H:H,0))))</f>
        <v>凯盛亨</v>
      </c>
      <c r="E137" s="15" t="str">
        <f>_xlfn.SINGLE(INDEX(样品编号表!Z:Z,_xlfn.SINGLE(MATCH(_xlfn.SINGLE(C:C),样品编号表!H:H,0))))</f>
        <v>262#</v>
      </c>
      <c r="F137" s="15" t="s">
        <v>12272</v>
      </c>
      <c r="G137" s="15">
        <v>2</v>
      </c>
      <c r="H137" s="15" t="s">
        <v>12177</v>
      </c>
      <c r="I137" s="15">
        <v>2</v>
      </c>
      <c r="J137" s="14">
        <v>45980</v>
      </c>
      <c r="K137" s="16">
        <v>23</v>
      </c>
      <c r="L137" s="16">
        <f t="shared" si="7"/>
        <v>46</v>
      </c>
      <c r="M137" s="15" t="s">
        <v>12178</v>
      </c>
      <c r="N137" s="15">
        <f>_xlfn.SINGLE(INDEX(样品编号表!AA:AA,_xlfn.SINGLE(MATCH(_xlfn.SINGLE(C:C),样品编号表!H:H,0))))</f>
        <v>10.5</v>
      </c>
      <c r="O137" s="16">
        <v>16</v>
      </c>
      <c r="P137" s="16">
        <f t="shared" si="6"/>
        <v>32</v>
      </c>
      <c r="Q137" s="15"/>
      <c r="R137" s="7" t="s">
        <v>12179</v>
      </c>
    </row>
    <row r="138" ht="18" hidden="1" customHeight="1" spans="1:18">
      <c r="A138" s="14">
        <v>45979</v>
      </c>
      <c r="B138" s="15" t="s">
        <v>12180</v>
      </c>
      <c r="C138" s="15" t="s">
        <v>4600</v>
      </c>
      <c r="D138" s="15" t="str">
        <f>_xlfn.SINGLE(INDEX(样品编号表!Y:Y,_xlfn.SINGLE(MATCH(_xlfn.SINGLE(C:C),样品编号表!H:H,0))))</f>
        <v>佳鸿布行</v>
      </c>
      <c r="E138" s="15" t="str">
        <f>_xlfn.SINGLE(INDEX(样品编号表!Z:Z,_xlfn.SINGLE(MATCH(_xlfn.SINGLE(C:C),样品编号表!H:H,0))))</f>
        <v>密根日本棉</v>
      </c>
      <c r="F138" s="15" t="s">
        <v>12268</v>
      </c>
      <c r="G138" s="15">
        <v>1</v>
      </c>
      <c r="H138" s="15" t="s">
        <v>12177</v>
      </c>
      <c r="I138" s="15">
        <v>1</v>
      </c>
      <c r="J138" s="14">
        <v>45981</v>
      </c>
      <c r="K138" s="16">
        <v>26</v>
      </c>
      <c r="L138" s="16">
        <f t="shared" si="7"/>
        <v>26</v>
      </c>
      <c r="M138" s="15" t="s">
        <v>12178</v>
      </c>
      <c r="N138" s="15">
        <f>_xlfn.SINGLE(INDEX(样品编号表!AA:AA,_xlfn.SINGLE(MATCH(_xlfn.SINGLE(C:C),样品编号表!H:H,0))))</f>
        <v>39.5</v>
      </c>
      <c r="O138" s="16">
        <v>25</v>
      </c>
      <c r="P138" s="16">
        <f t="shared" si="6"/>
        <v>25</v>
      </c>
      <c r="Q138" s="15"/>
      <c r="R138" s="7" t="s">
        <v>12179</v>
      </c>
    </row>
    <row r="139" ht="18" hidden="1" customHeight="1" spans="1:18">
      <c r="A139" s="14">
        <v>45979</v>
      </c>
      <c r="B139" s="15" t="s">
        <v>12180</v>
      </c>
      <c r="C139" s="15" t="s">
        <v>4600</v>
      </c>
      <c r="D139" s="15" t="str">
        <f>_xlfn.SINGLE(INDEX(样品编号表!Y:Y,_xlfn.SINGLE(MATCH(_xlfn.SINGLE(C:C),样品编号表!H:H,0))))</f>
        <v>佳鸿布行</v>
      </c>
      <c r="E139" s="15" t="str">
        <f>_xlfn.SINGLE(INDEX(样品编号表!Z:Z,_xlfn.SINGLE(MATCH(_xlfn.SINGLE(C:C),样品编号表!H:H,0))))</f>
        <v>密根日本棉</v>
      </c>
      <c r="F139" s="15" t="s">
        <v>12187</v>
      </c>
      <c r="G139" s="15">
        <v>1</v>
      </c>
      <c r="H139" s="15" t="s">
        <v>12177</v>
      </c>
      <c r="I139" s="15">
        <v>1</v>
      </c>
      <c r="J139" s="14">
        <v>45981</v>
      </c>
      <c r="K139" s="16">
        <v>26</v>
      </c>
      <c r="L139" s="16">
        <f t="shared" si="7"/>
        <v>26</v>
      </c>
      <c r="M139" s="15" t="s">
        <v>12178</v>
      </c>
      <c r="N139" s="15">
        <f>_xlfn.SINGLE(INDEX(样品编号表!AA:AA,_xlfn.SINGLE(MATCH(_xlfn.SINGLE(C:C),样品编号表!H:H,0))))</f>
        <v>39.5</v>
      </c>
      <c r="O139" s="16">
        <v>25</v>
      </c>
      <c r="P139" s="16">
        <f t="shared" ref="P139:P175" si="8">I139*O139</f>
        <v>25</v>
      </c>
      <c r="Q139" s="15"/>
      <c r="R139" s="7" t="s">
        <v>12179</v>
      </c>
    </row>
    <row r="140" ht="18" hidden="1" customHeight="1" spans="1:18">
      <c r="A140" s="14">
        <v>45979</v>
      </c>
      <c r="B140" s="15" t="s">
        <v>12269</v>
      </c>
      <c r="C140" s="15" t="s">
        <v>1780</v>
      </c>
      <c r="D140" s="15" t="str">
        <f>_xlfn.SINGLE(INDEX(样品编号表!Y:Y,_xlfn.SINGLE(MATCH(_xlfn.SINGLE(C:C),样品编号表!H:H,0))))</f>
        <v>艺纺</v>
      </c>
      <c r="E140" s="15" t="str">
        <f>_xlfn.SINGLE(INDEX(样品编号表!Z:Z,_xlfn.SINGLE(MATCH(_xlfn.SINGLE(C:C),样品编号表!H:H,0))))</f>
        <v>11865-3</v>
      </c>
      <c r="F140" s="15" t="s">
        <v>12273</v>
      </c>
      <c r="G140" s="15">
        <v>4</v>
      </c>
      <c r="H140" s="15" t="s">
        <v>12177</v>
      </c>
      <c r="I140" s="15">
        <v>4</v>
      </c>
      <c r="J140" s="14">
        <v>45980</v>
      </c>
      <c r="K140" s="16">
        <v>25</v>
      </c>
      <c r="L140" s="16">
        <f t="shared" si="7"/>
        <v>100</v>
      </c>
      <c r="M140" s="15" t="s">
        <v>12178</v>
      </c>
      <c r="N140" s="15">
        <f>_xlfn.SINGLE(INDEX(样品编号表!AA:AA,_xlfn.SINGLE(MATCH(_xlfn.SINGLE(C:C),样品编号表!H:H,0))))</f>
        <v>12.8</v>
      </c>
      <c r="O140" s="16">
        <v>18</v>
      </c>
      <c r="P140" s="16">
        <f t="shared" si="8"/>
        <v>72</v>
      </c>
      <c r="Q140" s="15"/>
      <c r="R140" s="7" t="s">
        <v>12179</v>
      </c>
    </row>
    <row r="141" ht="18" hidden="1" customHeight="1" spans="1:18">
      <c r="A141" s="14">
        <v>45979</v>
      </c>
      <c r="B141" s="15" t="s">
        <v>12180</v>
      </c>
      <c r="C141" s="15" t="s">
        <v>2766</v>
      </c>
      <c r="D141" s="15" t="str">
        <f>_xlfn.SINGLE(INDEX(样品编号表!Y:Y,_xlfn.SINGLE(MATCH(_xlfn.SINGLE(C:C),样品编号表!H:H,0))))</f>
        <v>新合盛布业</v>
      </c>
      <c r="E141" s="15">
        <f>_xlfn.SINGLE(INDEX(样品编号表!Z:Z,_xlfn.SINGLE(MATCH(_xlfn.SINGLE(C:C),样品编号表!H:H,0))))</f>
        <v>6002</v>
      </c>
      <c r="F141" s="15" t="s">
        <v>4489</v>
      </c>
      <c r="G141" s="15">
        <v>3</v>
      </c>
      <c r="H141" s="15" t="s">
        <v>12177</v>
      </c>
      <c r="I141" s="15">
        <v>3</v>
      </c>
      <c r="J141" s="14">
        <v>45980</v>
      </c>
      <c r="K141" s="16">
        <v>18</v>
      </c>
      <c r="L141" s="16">
        <f t="shared" si="7"/>
        <v>54</v>
      </c>
      <c r="M141" s="15" t="s">
        <v>12178</v>
      </c>
      <c r="N141" s="15">
        <f>_xlfn.SINGLE(INDEX(样品编号表!AA:AA,_xlfn.SINGLE(MATCH(_xlfn.SINGLE(C:C),样品编号表!H:H,0))))</f>
        <v>6.2</v>
      </c>
      <c r="O141" s="16">
        <v>12</v>
      </c>
      <c r="P141" s="16">
        <f t="shared" si="8"/>
        <v>36</v>
      </c>
      <c r="Q141" s="15"/>
      <c r="R141" s="7" t="s">
        <v>12179</v>
      </c>
    </row>
    <row r="142" ht="18" hidden="1" customHeight="1" spans="1:18">
      <c r="A142" s="14">
        <v>45980</v>
      </c>
      <c r="B142" s="15" t="s">
        <v>12194</v>
      </c>
      <c r="C142" s="15" t="s">
        <v>1780</v>
      </c>
      <c r="D142" s="15" t="str">
        <f>_xlfn.SINGLE(INDEX(样品编号表!Y:Y,_xlfn.SINGLE(MATCH(_xlfn.SINGLE(C:C),样品编号表!H:H,0))))</f>
        <v>艺纺</v>
      </c>
      <c r="E142" s="15" t="str">
        <f>_xlfn.SINGLE(INDEX(样品编号表!Z:Z,_xlfn.SINGLE(MATCH(_xlfn.SINGLE(C:C),样品编号表!H:H,0))))</f>
        <v>11865-3</v>
      </c>
      <c r="F142" s="15" t="s">
        <v>12213</v>
      </c>
      <c r="G142" s="15">
        <v>2</v>
      </c>
      <c r="H142" s="15" t="s">
        <v>12177</v>
      </c>
      <c r="I142" s="15">
        <v>2</v>
      </c>
      <c r="J142" s="14">
        <v>45982</v>
      </c>
      <c r="K142" s="16">
        <v>25</v>
      </c>
      <c r="L142" s="16">
        <f t="shared" si="7"/>
        <v>50</v>
      </c>
      <c r="M142" s="15" t="s">
        <v>12178</v>
      </c>
      <c r="N142" s="15">
        <f>_xlfn.SINGLE(INDEX(样品编号表!AA:AA,_xlfn.SINGLE(MATCH(_xlfn.SINGLE(C:C),样品编号表!H:H,0))))</f>
        <v>12.8</v>
      </c>
      <c r="O142" s="16">
        <v>18</v>
      </c>
      <c r="P142" s="16">
        <f t="shared" si="8"/>
        <v>36</v>
      </c>
      <c r="Q142" s="15"/>
      <c r="R142" s="7" t="s">
        <v>12179</v>
      </c>
    </row>
    <row r="143" ht="18" hidden="1" customHeight="1" spans="1:18">
      <c r="A143" s="14">
        <v>45980</v>
      </c>
      <c r="B143" s="15" t="s">
        <v>12245</v>
      </c>
      <c r="C143" s="15" t="s">
        <v>2771</v>
      </c>
      <c r="D143" s="15" t="str">
        <f>_xlfn.SINGLE(INDEX(样品编号表!Y:Y,_xlfn.SINGLE(MATCH(_xlfn.SINGLE(C:C),样品编号表!H:H,0))))</f>
        <v>新合盛布业</v>
      </c>
      <c r="E143" s="15">
        <f>_xlfn.SINGLE(INDEX(样品编号表!Z:Z,_xlfn.SINGLE(MATCH(_xlfn.SINGLE(C:C),样品编号表!H:H,0))))</f>
        <v>8112</v>
      </c>
      <c r="F143" s="15" t="s">
        <v>12213</v>
      </c>
      <c r="G143" s="15">
        <v>2</v>
      </c>
      <c r="H143" s="15" t="s">
        <v>12177</v>
      </c>
      <c r="I143" s="15">
        <v>2</v>
      </c>
      <c r="J143" s="14">
        <v>45983</v>
      </c>
      <c r="K143" s="16">
        <v>17</v>
      </c>
      <c r="L143" s="16">
        <f t="shared" si="7"/>
        <v>34</v>
      </c>
      <c r="M143" s="15" t="s">
        <v>12178</v>
      </c>
      <c r="N143" s="15">
        <f>_xlfn.SINGLE(INDEX(样品编号表!AA:AA,_xlfn.SINGLE(MATCH(_xlfn.SINGLE(C:C),样品编号表!H:H,0))))</f>
        <v>9.6</v>
      </c>
      <c r="O143" s="16">
        <v>15</v>
      </c>
      <c r="P143" s="16">
        <f t="shared" si="8"/>
        <v>30</v>
      </c>
      <c r="Q143" s="15"/>
      <c r="R143" s="7" t="s">
        <v>12179</v>
      </c>
    </row>
    <row r="144" ht="18" hidden="1" customHeight="1" spans="1:18">
      <c r="A144" s="14">
        <v>45980</v>
      </c>
      <c r="B144" s="15" t="s">
        <v>12245</v>
      </c>
      <c r="C144" s="15" t="s">
        <v>2950</v>
      </c>
      <c r="D144" s="15" t="str">
        <f>_xlfn.SINGLE(INDEX(样品编号表!Y:Y,_xlfn.SINGLE(MATCH(_xlfn.SINGLE(C:C),样品编号表!H:H,0))))</f>
        <v>凯盛亨</v>
      </c>
      <c r="E144" s="15" t="str">
        <f>_xlfn.SINGLE(INDEX(样品编号表!Z:Z,_xlfn.SINGLE(MATCH(_xlfn.SINGLE(C:C),样品编号表!H:H,0))))</f>
        <v>1009#</v>
      </c>
      <c r="F144" s="15" t="s">
        <v>12213</v>
      </c>
      <c r="G144" s="15">
        <v>2</v>
      </c>
      <c r="H144" s="15" t="s">
        <v>12177</v>
      </c>
      <c r="I144" s="15">
        <v>1</v>
      </c>
      <c r="J144" s="14">
        <v>45983</v>
      </c>
      <c r="K144" s="16">
        <v>28</v>
      </c>
      <c r="L144" s="16">
        <f t="shared" si="7"/>
        <v>28</v>
      </c>
      <c r="M144" s="15" t="s">
        <v>12178</v>
      </c>
      <c r="N144" s="15">
        <f>_xlfn.SINGLE(INDEX(样品编号表!AA:AA,_xlfn.SINGLE(MATCH(_xlfn.SINGLE(C:C),样品编号表!H:H,0))))</f>
        <v>13.9</v>
      </c>
      <c r="O144" s="16">
        <v>18</v>
      </c>
      <c r="P144" s="16">
        <f t="shared" si="8"/>
        <v>18</v>
      </c>
      <c r="Q144" s="15"/>
      <c r="R144" s="7" t="s">
        <v>12179</v>
      </c>
    </row>
    <row r="145" ht="18" hidden="1" customHeight="1" spans="1:18">
      <c r="A145" s="14">
        <v>45981</v>
      </c>
      <c r="B145" s="15" t="s">
        <v>9156</v>
      </c>
      <c r="C145" s="15" t="s">
        <v>3731</v>
      </c>
      <c r="D145" s="15" t="str">
        <f>_xlfn.SINGLE(INDEX(样品编号表!Y:Y,_xlfn.SINGLE(MATCH(_xlfn.SINGLE(C:C),样品编号表!H:H,0))))</f>
        <v>东盛恒旺布行</v>
      </c>
      <c r="E145" s="15" t="str">
        <f>_xlfn.SINGLE(INDEX(样品编号表!Z:Z,_xlfn.SINGLE(MATCH(_xlfn.SINGLE(C:C),样品编号表!H:H,0))))</f>
        <v>13210#</v>
      </c>
      <c r="F145" s="15" t="s">
        <v>12274</v>
      </c>
      <c r="G145" s="15">
        <v>5</v>
      </c>
      <c r="H145" s="15" t="s">
        <v>12177</v>
      </c>
      <c r="I145" s="15">
        <v>5</v>
      </c>
      <c r="J145" s="14">
        <v>45982</v>
      </c>
      <c r="K145" s="16">
        <v>23</v>
      </c>
      <c r="L145" s="16">
        <f t="shared" si="7"/>
        <v>115</v>
      </c>
      <c r="M145" s="15" t="s">
        <v>12178</v>
      </c>
      <c r="N145" s="15">
        <f>_xlfn.SINGLE(INDEX(样品编号表!AA:AA,_xlfn.SINGLE(MATCH(_xlfn.SINGLE(C:C),样品编号表!H:H,0))))</f>
        <v>40.5</v>
      </c>
      <c r="O145" s="31">
        <v>30</v>
      </c>
      <c r="P145" s="16">
        <f t="shared" si="8"/>
        <v>150</v>
      </c>
      <c r="Q145" s="15"/>
      <c r="R145" s="7" t="s">
        <v>12179</v>
      </c>
    </row>
    <row r="146" ht="18" hidden="1" customHeight="1" spans="1:18">
      <c r="A146" s="14">
        <v>45981</v>
      </c>
      <c r="B146" s="15" t="s">
        <v>12194</v>
      </c>
      <c r="C146" s="15" t="s">
        <v>1780</v>
      </c>
      <c r="D146" s="15" t="str">
        <f>_xlfn.SINGLE(INDEX(样品编号表!Y:Y,_xlfn.SINGLE(MATCH(_xlfn.SINGLE(C:C),样品编号表!H:H,0))))</f>
        <v>艺纺</v>
      </c>
      <c r="E146" s="15" t="str">
        <f>_xlfn.SINGLE(INDEX(样品编号表!Z:Z,_xlfn.SINGLE(MATCH(_xlfn.SINGLE(C:C),样品编号表!H:H,0))))</f>
        <v>11865-3</v>
      </c>
      <c r="F146" s="15" t="s">
        <v>12213</v>
      </c>
      <c r="G146" s="15">
        <v>1</v>
      </c>
      <c r="H146" s="15" t="s">
        <v>12177</v>
      </c>
      <c r="I146" s="15">
        <v>1</v>
      </c>
      <c r="J146" s="14">
        <v>45982</v>
      </c>
      <c r="K146" s="16">
        <v>25</v>
      </c>
      <c r="L146" s="16">
        <f t="shared" si="7"/>
        <v>25</v>
      </c>
      <c r="M146" s="15" t="s">
        <v>12178</v>
      </c>
      <c r="N146" s="15">
        <f>_xlfn.SINGLE(INDEX(样品编号表!AA:AA,_xlfn.SINGLE(MATCH(_xlfn.SINGLE(C:C),样品编号表!H:H,0))))</f>
        <v>12.8</v>
      </c>
      <c r="O146" s="16">
        <v>18</v>
      </c>
      <c r="P146" s="16">
        <f t="shared" si="8"/>
        <v>18</v>
      </c>
      <c r="Q146" s="15"/>
      <c r="R146" s="7" t="s">
        <v>12179</v>
      </c>
    </row>
    <row r="147" ht="18" hidden="1" customHeight="1" spans="1:18">
      <c r="A147" s="14">
        <v>45981</v>
      </c>
      <c r="B147" s="15" t="s">
        <v>12180</v>
      </c>
      <c r="C147" s="15" t="s">
        <v>2155</v>
      </c>
      <c r="D147" s="15" t="str">
        <f>_xlfn.SINGLE(INDEX(样品编号表!Y:Y,_xlfn.SINGLE(MATCH(_xlfn.SINGLE(C:C),样品编号表!H:H,0))))</f>
        <v>润森</v>
      </c>
      <c r="E147" s="15" t="str">
        <f>_xlfn.SINGLE(INDEX(样品编号表!Z:Z,_xlfn.SINGLE(MATCH(_xlfn.SINGLE(C:C),样品编号表!H:H,0))))</f>
        <v>华尔缎</v>
      </c>
      <c r="F147" s="15" t="s">
        <v>12215</v>
      </c>
      <c r="G147" s="15">
        <v>2</v>
      </c>
      <c r="H147" s="15" t="s">
        <v>12177</v>
      </c>
      <c r="I147" s="15">
        <v>2</v>
      </c>
      <c r="J147" s="14">
        <v>45982</v>
      </c>
      <c r="K147" s="16">
        <v>18</v>
      </c>
      <c r="L147" s="16">
        <f t="shared" si="7"/>
        <v>36</v>
      </c>
      <c r="M147" s="15" t="s">
        <v>12178</v>
      </c>
      <c r="N147" s="15">
        <f>_xlfn.SINGLE(INDEX(样品编号表!AA:AA,_xlfn.SINGLE(MATCH(_xlfn.SINGLE(C:C),样品编号表!H:H,0))))</f>
        <v>10.5</v>
      </c>
      <c r="O147" s="16">
        <v>15</v>
      </c>
      <c r="P147" s="16">
        <f t="shared" si="8"/>
        <v>30</v>
      </c>
      <c r="Q147" s="15"/>
      <c r="R147" s="7" t="s">
        <v>12179</v>
      </c>
    </row>
    <row r="148" ht="18" hidden="1" customHeight="1" spans="1:18">
      <c r="A148" s="14">
        <v>45981</v>
      </c>
      <c r="B148" s="15" t="s">
        <v>12245</v>
      </c>
      <c r="C148" s="15" t="s">
        <v>2982</v>
      </c>
      <c r="D148" s="15" t="str">
        <f>_xlfn.SINGLE(INDEX(样品编号表!Y:Y,_xlfn.SINGLE(MATCH(_xlfn.SINGLE(C:C),样品编号表!H:H,0))))</f>
        <v>泰丰</v>
      </c>
      <c r="E148" s="15" t="str">
        <f>_xlfn.SINGLE(INDEX(样品编号表!Z:Z,_xlfn.SINGLE(MATCH(_xlfn.SINGLE(C:C),样品编号表!H:H,0))))</f>
        <v>T24F77</v>
      </c>
      <c r="F148" s="15" t="s">
        <v>12275</v>
      </c>
      <c r="G148" s="15">
        <v>2</v>
      </c>
      <c r="H148" s="15" t="s">
        <v>12177</v>
      </c>
      <c r="I148" s="15">
        <v>2</v>
      </c>
      <c r="J148" s="14">
        <v>45985</v>
      </c>
      <c r="K148" s="16">
        <v>35</v>
      </c>
      <c r="L148" s="16">
        <f t="shared" si="7"/>
        <v>70</v>
      </c>
      <c r="M148" s="15" t="s">
        <v>12178</v>
      </c>
      <c r="N148" s="15">
        <f>_xlfn.SINGLE(INDEX(样品编号表!AA:AA,_xlfn.SINGLE(MATCH(_xlfn.SINGLE(C:C),样品编号表!H:H,0))))</f>
        <v>18.4</v>
      </c>
      <c r="O148" s="16">
        <v>23</v>
      </c>
      <c r="P148" s="16">
        <f t="shared" si="8"/>
        <v>46</v>
      </c>
      <c r="Q148" s="15"/>
      <c r="R148" s="7" t="s">
        <v>12179</v>
      </c>
    </row>
    <row r="149" ht="18" hidden="1" customHeight="1" spans="1:18">
      <c r="A149" s="14">
        <v>45982</v>
      </c>
      <c r="B149" s="15" t="s">
        <v>12180</v>
      </c>
      <c r="C149" s="15" t="s">
        <v>3811</v>
      </c>
      <c r="D149" s="15" t="str">
        <f>_xlfn.SINGLE(INDEX(样品编号表!Y:Y,_xlfn.SINGLE(MATCH(_xlfn.SINGLE(C:C),样品编号表!H:H,0))))</f>
        <v>槟海布业</v>
      </c>
      <c r="E149" s="15" t="str">
        <f>_xlfn.SINGLE(INDEX(样品编号表!Z:Z,_xlfn.SINGLE(MATCH(_xlfn.SINGLE(C:C),样品编号表!H:H,0))))</f>
        <v>精品牛奶丝双磨210g*172cm</v>
      </c>
      <c r="F149" s="15" t="s">
        <v>12276</v>
      </c>
      <c r="G149" s="15">
        <v>1</v>
      </c>
      <c r="H149" s="15" t="s">
        <v>12177</v>
      </c>
      <c r="I149" s="15">
        <v>1</v>
      </c>
      <c r="J149" s="14">
        <v>45985</v>
      </c>
      <c r="K149" s="16">
        <v>19</v>
      </c>
      <c r="L149" s="16">
        <f t="shared" si="7"/>
        <v>19</v>
      </c>
      <c r="M149" s="15" t="s">
        <v>12178</v>
      </c>
      <c r="N149" s="15">
        <f>_xlfn.SINGLE(INDEX(样品编号表!AA:AA,_xlfn.SINGLE(MATCH(_xlfn.SINGLE(C:C),样品编号表!H:H,0))))</f>
        <v>19.8</v>
      </c>
      <c r="O149" s="16">
        <v>20</v>
      </c>
      <c r="P149" s="16">
        <f t="shared" si="8"/>
        <v>20</v>
      </c>
      <c r="Q149" s="15"/>
      <c r="R149" s="7" t="s">
        <v>12179</v>
      </c>
    </row>
    <row r="150" ht="18" hidden="1" customHeight="1" spans="1:18">
      <c r="A150" s="14">
        <v>45982</v>
      </c>
      <c r="B150" s="15" t="s">
        <v>12240</v>
      </c>
      <c r="C150" s="15" t="s">
        <v>1780</v>
      </c>
      <c r="D150" s="15" t="str">
        <f>_xlfn.SINGLE(INDEX(样品编号表!Y:Y,_xlfn.SINGLE(MATCH(_xlfn.SINGLE(C:C),样品编号表!H:H,0))))</f>
        <v>艺纺</v>
      </c>
      <c r="E150" s="15" t="str">
        <f>_xlfn.SINGLE(INDEX(样品编号表!Z:Z,_xlfn.SINGLE(MATCH(_xlfn.SINGLE(C:C),样品编号表!H:H,0))))</f>
        <v>11865-3</v>
      </c>
      <c r="F150" s="15" t="s">
        <v>12206</v>
      </c>
      <c r="G150" s="15">
        <v>2</v>
      </c>
      <c r="H150" s="15" t="s">
        <v>12177</v>
      </c>
      <c r="I150" s="15">
        <v>2</v>
      </c>
      <c r="J150" s="14">
        <v>45985</v>
      </c>
      <c r="K150" s="16">
        <v>25</v>
      </c>
      <c r="L150" s="16">
        <f t="shared" si="7"/>
        <v>50</v>
      </c>
      <c r="M150" s="15" t="s">
        <v>12178</v>
      </c>
      <c r="N150" s="15">
        <f>_xlfn.SINGLE(INDEX(样品编号表!AA:AA,_xlfn.SINGLE(MATCH(_xlfn.SINGLE(C:C),样品编号表!H:H,0))))</f>
        <v>12.8</v>
      </c>
      <c r="O150" s="16">
        <v>18</v>
      </c>
      <c r="P150" s="16">
        <f t="shared" si="8"/>
        <v>36</v>
      </c>
      <c r="Q150" s="15"/>
      <c r="R150" s="7" t="s">
        <v>12179</v>
      </c>
    </row>
    <row r="151" ht="18" hidden="1" customHeight="1" spans="1:18">
      <c r="A151" s="14">
        <v>45982</v>
      </c>
      <c r="B151" s="15" t="s">
        <v>12240</v>
      </c>
      <c r="C151" s="15" t="s">
        <v>1780</v>
      </c>
      <c r="D151" s="15" t="str">
        <f>_xlfn.SINGLE(INDEX(样品编号表!Y:Y,_xlfn.SINGLE(MATCH(_xlfn.SINGLE(C:C),样品编号表!H:H,0))))</f>
        <v>艺纺</v>
      </c>
      <c r="E151" s="15" t="str">
        <f>_xlfn.SINGLE(INDEX(样品编号表!Z:Z,_xlfn.SINGLE(MATCH(_xlfn.SINGLE(C:C),样品编号表!H:H,0))))</f>
        <v>11865-3</v>
      </c>
      <c r="F151" s="15" t="s">
        <v>12247</v>
      </c>
      <c r="G151" s="15">
        <v>2</v>
      </c>
      <c r="H151" s="15" t="s">
        <v>12177</v>
      </c>
      <c r="I151" s="15">
        <v>2</v>
      </c>
      <c r="J151" s="14">
        <v>45985</v>
      </c>
      <c r="K151" s="16">
        <v>25</v>
      </c>
      <c r="L151" s="16">
        <f t="shared" si="7"/>
        <v>50</v>
      </c>
      <c r="M151" s="15" t="s">
        <v>12178</v>
      </c>
      <c r="N151" s="15">
        <f>_xlfn.SINGLE(INDEX(样品编号表!AA:AA,_xlfn.SINGLE(MATCH(_xlfn.SINGLE(C:C),样品编号表!H:H,0))))</f>
        <v>12.8</v>
      </c>
      <c r="O151" s="16">
        <v>18</v>
      </c>
      <c r="P151" s="16">
        <f t="shared" si="8"/>
        <v>36</v>
      </c>
      <c r="Q151" s="15"/>
      <c r="R151" s="7" t="s">
        <v>12179</v>
      </c>
    </row>
    <row r="152" ht="18" hidden="1" customHeight="1" spans="1:18">
      <c r="A152" s="14">
        <v>45982</v>
      </c>
      <c r="B152" s="15" t="s">
        <v>12180</v>
      </c>
      <c r="C152" s="15" t="s">
        <v>2155</v>
      </c>
      <c r="D152" s="15" t="str">
        <f>_xlfn.SINGLE(INDEX(样品编号表!Y:Y,_xlfn.SINGLE(MATCH(_xlfn.SINGLE(C:C),样品编号表!H:H,0))))</f>
        <v>润森</v>
      </c>
      <c r="E152" s="15" t="str">
        <f>_xlfn.SINGLE(INDEX(样品编号表!Z:Z,_xlfn.SINGLE(MATCH(_xlfn.SINGLE(C:C),样品编号表!H:H,0))))</f>
        <v>华尔缎</v>
      </c>
      <c r="F152" s="15" t="s">
        <v>12215</v>
      </c>
      <c r="G152" s="15">
        <v>1</v>
      </c>
      <c r="H152" s="15" t="s">
        <v>12177</v>
      </c>
      <c r="I152" s="15">
        <v>1</v>
      </c>
      <c r="J152" s="14">
        <v>45982</v>
      </c>
      <c r="K152" s="16">
        <v>18</v>
      </c>
      <c r="L152" s="16">
        <f t="shared" si="7"/>
        <v>18</v>
      </c>
      <c r="M152" s="15" t="s">
        <v>12178</v>
      </c>
      <c r="N152" s="15">
        <f>_xlfn.SINGLE(INDEX(样品编号表!AA:AA,_xlfn.SINGLE(MATCH(_xlfn.SINGLE(C:C),样品编号表!H:H,0))))</f>
        <v>10.5</v>
      </c>
      <c r="O152" s="16">
        <v>15</v>
      </c>
      <c r="P152" s="16">
        <f t="shared" si="8"/>
        <v>15</v>
      </c>
      <c r="Q152" s="15"/>
      <c r="R152" s="7" t="s">
        <v>12179</v>
      </c>
    </row>
    <row r="153" ht="18" hidden="1" customHeight="1" spans="1:18">
      <c r="A153" s="14">
        <v>45982</v>
      </c>
      <c r="B153" s="15" t="s">
        <v>12180</v>
      </c>
      <c r="C153" s="15" t="s">
        <v>2779</v>
      </c>
      <c r="D153" s="15" t="str">
        <f>_xlfn.SINGLE(INDEX(样品编号表!Y:Y,_xlfn.SINGLE(MATCH(_xlfn.SINGLE(C:C),样品编号表!H:H,0))))</f>
        <v>逢发纺织</v>
      </c>
      <c r="E153" s="15">
        <f>_xlfn.SINGLE(INDEX(样品编号表!Z:Z,_xlfn.SINGLE(MATCH(_xlfn.SINGLE(C:C),样品编号表!H:H,0))))</f>
        <v>161</v>
      </c>
      <c r="F153" s="15" t="s">
        <v>6590</v>
      </c>
      <c r="G153" s="15">
        <v>4</v>
      </c>
      <c r="H153" s="15" t="s">
        <v>12177</v>
      </c>
      <c r="I153" s="15">
        <v>4</v>
      </c>
      <c r="J153" s="14">
        <v>45986</v>
      </c>
      <c r="K153" s="16">
        <v>32</v>
      </c>
      <c r="L153" s="16">
        <f t="shared" si="7"/>
        <v>128</v>
      </c>
      <c r="M153" s="15" t="s">
        <v>12178</v>
      </c>
      <c r="N153" s="15">
        <f>_xlfn.SINGLE(INDEX(样品编号表!AA:AA,_xlfn.SINGLE(MATCH(_xlfn.SINGLE(C:C),样品编号表!H:H,0))))</f>
        <v>5.2</v>
      </c>
      <c r="O153" s="16">
        <v>19</v>
      </c>
      <c r="P153" s="16">
        <f t="shared" si="8"/>
        <v>76</v>
      </c>
      <c r="Q153" s="15"/>
      <c r="R153" s="7" t="s">
        <v>12179</v>
      </c>
    </row>
    <row r="154" ht="18" hidden="1" customHeight="1" spans="1:18">
      <c r="A154" s="14">
        <v>45984</v>
      </c>
      <c r="B154" s="15" t="s">
        <v>12269</v>
      </c>
      <c r="C154" s="15" t="s">
        <v>558</v>
      </c>
      <c r="D154" s="15" t="str">
        <f>_xlfn.SINGLE(INDEX(样品编号表!Y:Y,_xlfn.SINGLE(MATCH(_xlfn.SINGLE(C:C),样品编号表!H:H,0))))</f>
        <v>联众</v>
      </c>
      <c r="E154" s="15" t="str">
        <f>_xlfn.SINGLE(INDEX(样品编号表!Z:Z,_xlfn.SINGLE(MATCH(_xlfn.SINGLE(C:C),样品编号表!H:H,0))))</f>
        <v>A8207</v>
      </c>
      <c r="F154" s="15" t="s">
        <v>12213</v>
      </c>
      <c r="G154" s="15">
        <v>3</v>
      </c>
      <c r="H154" s="15" t="s">
        <v>12177</v>
      </c>
      <c r="I154" s="15">
        <v>3</v>
      </c>
      <c r="J154" s="14">
        <v>45985</v>
      </c>
      <c r="K154" s="16">
        <v>32</v>
      </c>
      <c r="L154" s="16">
        <f t="shared" si="7"/>
        <v>96</v>
      </c>
      <c r="M154" s="15" t="s">
        <v>12178</v>
      </c>
      <c r="N154" s="15">
        <f>_xlfn.SINGLE(INDEX(样品编号表!AA:AA,_xlfn.SINGLE(MATCH(_xlfn.SINGLE(C:C),样品编号表!H:H,0))))</f>
        <v>48</v>
      </c>
      <c r="O154" s="16">
        <v>25</v>
      </c>
      <c r="P154" s="16">
        <f t="shared" si="8"/>
        <v>75</v>
      </c>
      <c r="Q154" s="15"/>
      <c r="R154" s="7" t="s">
        <v>12179</v>
      </c>
    </row>
    <row r="155" ht="18" hidden="1" customHeight="1" spans="1:18">
      <c r="A155" s="14">
        <v>45984</v>
      </c>
      <c r="B155" s="15" t="s">
        <v>12269</v>
      </c>
      <c r="C155" s="15" t="s">
        <v>2633</v>
      </c>
      <c r="D155" s="15" t="str">
        <f>_xlfn.SINGLE(INDEX(样品编号表!Y:Y,_xlfn.SINGLE(MATCH(_xlfn.SINGLE(C:C),样品编号表!H:H,0))))</f>
        <v>新嘉彩</v>
      </c>
      <c r="E155" s="15">
        <f>_xlfn.SINGLE(INDEX(样品编号表!Z:Z,_xlfn.SINGLE(MATCH(_xlfn.SINGLE(C:C),样品编号表!H:H,0))))</f>
        <v>931</v>
      </c>
      <c r="F155" s="15" t="s">
        <v>12213</v>
      </c>
      <c r="G155" s="15">
        <v>5</v>
      </c>
      <c r="H155" s="15" t="s">
        <v>12177</v>
      </c>
      <c r="I155" s="15">
        <v>5</v>
      </c>
      <c r="J155" s="14">
        <v>45985</v>
      </c>
      <c r="K155" s="16">
        <v>20</v>
      </c>
      <c r="L155" s="16">
        <f t="shared" si="7"/>
        <v>100</v>
      </c>
      <c r="M155" s="15" t="s">
        <v>12178</v>
      </c>
      <c r="N155" s="15">
        <f>_xlfn.SINGLE(INDEX(样品编号表!AA:AA,_xlfn.SINGLE(MATCH(_xlfn.SINGLE(C:C),样品编号表!H:H,0))))</f>
        <v>8</v>
      </c>
      <c r="O155" s="16">
        <v>15</v>
      </c>
      <c r="P155" s="16">
        <f t="shared" si="8"/>
        <v>75</v>
      </c>
      <c r="Q155" s="15"/>
      <c r="R155" s="7" t="s">
        <v>12179</v>
      </c>
    </row>
    <row r="156" ht="18" hidden="1" customHeight="1" spans="1:18">
      <c r="A156" s="14">
        <v>45984</v>
      </c>
      <c r="B156" s="15" t="s">
        <v>12269</v>
      </c>
      <c r="C156" s="15" t="s">
        <v>2633</v>
      </c>
      <c r="D156" s="15" t="str">
        <f>_xlfn.SINGLE(INDEX(样品编号表!Y:Y,_xlfn.SINGLE(MATCH(_xlfn.SINGLE(C:C),样品编号表!H:H,0))))</f>
        <v>新嘉彩</v>
      </c>
      <c r="E156" s="15">
        <f>_xlfn.SINGLE(INDEX(样品编号表!Z:Z,_xlfn.SINGLE(MATCH(_xlfn.SINGLE(C:C),样品编号表!H:H,0))))</f>
        <v>931</v>
      </c>
      <c r="F156" s="15" t="s">
        <v>12277</v>
      </c>
      <c r="G156" s="15">
        <v>3</v>
      </c>
      <c r="H156" s="15" t="s">
        <v>12177</v>
      </c>
      <c r="I156" s="15">
        <v>3</v>
      </c>
      <c r="J156" s="14">
        <v>45985</v>
      </c>
      <c r="K156" s="16">
        <v>20</v>
      </c>
      <c r="L156" s="16">
        <f t="shared" si="7"/>
        <v>60</v>
      </c>
      <c r="M156" s="15" t="s">
        <v>12178</v>
      </c>
      <c r="N156" s="15">
        <f>_xlfn.SINGLE(INDEX(样品编号表!AA:AA,_xlfn.SINGLE(MATCH(_xlfn.SINGLE(C:C),样品编号表!H:H,0))))</f>
        <v>8</v>
      </c>
      <c r="O156" s="16">
        <v>15</v>
      </c>
      <c r="P156" s="16">
        <f t="shared" si="8"/>
        <v>45</v>
      </c>
      <c r="Q156" s="15"/>
      <c r="R156" s="7" t="s">
        <v>12179</v>
      </c>
    </row>
    <row r="157" ht="18" hidden="1" customHeight="1" spans="1:18">
      <c r="A157" s="14">
        <v>45984</v>
      </c>
      <c r="B157" s="15" t="s">
        <v>12269</v>
      </c>
      <c r="C157" s="15" t="s">
        <v>2633</v>
      </c>
      <c r="D157" s="15" t="str">
        <f>_xlfn.SINGLE(INDEX(样品编号表!Y:Y,_xlfn.SINGLE(MATCH(_xlfn.SINGLE(C:C),样品编号表!H:H,0))))</f>
        <v>新嘉彩</v>
      </c>
      <c r="E157" s="15">
        <f>_xlfn.SINGLE(INDEX(样品编号表!Z:Z,_xlfn.SINGLE(MATCH(_xlfn.SINGLE(C:C),样品编号表!H:H,0))))</f>
        <v>931</v>
      </c>
      <c r="F157" s="15" t="s">
        <v>12278</v>
      </c>
      <c r="G157" s="15">
        <v>1</v>
      </c>
      <c r="H157" s="15" t="s">
        <v>12177</v>
      </c>
      <c r="I157" s="15">
        <v>1</v>
      </c>
      <c r="J157" s="14">
        <v>45985</v>
      </c>
      <c r="K157" s="16">
        <v>20</v>
      </c>
      <c r="L157" s="16">
        <f t="shared" si="7"/>
        <v>20</v>
      </c>
      <c r="M157" s="15" t="s">
        <v>12178</v>
      </c>
      <c r="N157" s="15">
        <f>_xlfn.SINGLE(INDEX(样品编号表!AA:AA,_xlfn.SINGLE(MATCH(_xlfn.SINGLE(C:C),样品编号表!H:H,0))))</f>
        <v>8</v>
      </c>
      <c r="O157" s="16">
        <v>15</v>
      </c>
      <c r="P157" s="16">
        <f t="shared" si="8"/>
        <v>15</v>
      </c>
      <c r="Q157" s="15"/>
      <c r="R157" s="7" t="s">
        <v>12179</v>
      </c>
    </row>
    <row r="158" ht="18" hidden="1" customHeight="1" spans="1:18">
      <c r="A158" s="14">
        <v>45984</v>
      </c>
      <c r="B158" s="15" t="s">
        <v>12269</v>
      </c>
      <c r="C158" s="15" t="s">
        <v>2771</v>
      </c>
      <c r="D158" s="15" t="str">
        <f>_xlfn.SINGLE(INDEX(样品编号表!Y:Y,_xlfn.SINGLE(MATCH(_xlfn.SINGLE(C:C),样品编号表!H:H,0))))</f>
        <v>新合盛布业</v>
      </c>
      <c r="E158" s="15">
        <f>_xlfn.SINGLE(INDEX(样品编号表!Z:Z,_xlfn.SINGLE(MATCH(_xlfn.SINGLE(C:C),样品编号表!H:H,0))))</f>
        <v>8112</v>
      </c>
      <c r="F158" s="15" t="s">
        <v>12185</v>
      </c>
      <c r="G158" s="15">
        <v>2</v>
      </c>
      <c r="H158" s="15" t="s">
        <v>12177</v>
      </c>
      <c r="I158" s="15">
        <v>2</v>
      </c>
      <c r="J158" s="14">
        <v>45985</v>
      </c>
      <c r="K158" s="16">
        <v>17</v>
      </c>
      <c r="L158" s="16">
        <f t="shared" si="7"/>
        <v>34</v>
      </c>
      <c r="M158" s="15" t="s">
        <v>12178</v>
      </c>
      <c r="N158" s="15">
        <f>_xlfn.SINGLE(INDEX(样品编号表!AA:AA,_xlfn.SINGLE(MATCH(_xlfn.SINGLE(C:C),样品编号表!H:H,0))))</f>
        <v>9.6</v>
      </c>
      <c r="O158" s="16">
        <v>15</v>
      </c>
      <c r="P158" s="16">
        <f t="shared" si="8"/>
        <v>30</v>
      </c>
      <c r="Q158" s="15"/>
      <c r="R158" s="7" t="s">
        <v>12179</v>
      </c>
    </row>
    <row r="159" ht="18" hidden="1" customHeight="1" spans="1:18">
      <c r="A159" s="14">
        <v>45984</v>
      </c>
      <c r="B159" s="15" t="s">
        <v>12269</v>
      </c>
      <c r="C159" s="15" t="s">
        <v>2948</v>
      </c>
      <c r="D159" s="15" t="str">
        <f>_xlfn.SINGLE(INDEX(样品编号表!Y:Y,_xlfn.SINGLE(MATCH(_xlfn.SINGLE(C:C),样品编号表!H:H,0))))</f>
        <v>凯盛亨</v>
      </c>
      <c r="E159" s="15" t="str">
        <f>_xlfn.SINGLE(INDEX(样品编号表!Z:Z,_xlfn.SINGLE(MATCH(_xlfn.SINGLE(C:C),样品编号表!H:H,0))))</f>
        <v>018A#</v>
      </c>
      <c r="F159" s="15" t="s">
        <v>12185</v>
      </c>
      <c r="G159" s="15">
        <v>2</v>
      </c>
      <c r="H159" s="15" t="s">
        <v>12177</v>
      </c>
      <c r="I159" s="15">
        <v>2</v>
      </c>
      <c r="J159" s="14">
        <v>45985</v>
      </c>
      <c r="K159" s="16">
        <v>23</v>
      </c>
      <c r="L159" s="16">
        <f t="shared" si="7"/>
        <v>46</v>
      </c>
      <c r="M159" s="15" t="s">
        <v>12178</v>
      </c>
      <c r="N159" s="15">
        <f>_xlfn.SINGLE(INDEX(样品编号表!AA:AA,_xlfn.SINGLE(MATCH(_xlfn.SINGLE(C:C),样品编号表!H:H,0))))</f>
        <v>9.5</v>
      </c>
      <c r="O159" s="16">
        <v>15</v>
      </c>
      <c r="P159" s="16">
        <f t="shared" si="8"/>
        <v>30</v>
      </c>
      <c r="Q159" s="15"/>
      <c r="R159" s="7" t="s">
        <v>12179</v>
      </c>
    </row>
    <row r="160" ht="18" hidden="1" customHeight="1" spans="1:18">
      <c r="A160" s="14">
        <v>45985</v>
      </c>
      <c r="B160" s="15" t="s">
        <v>12180</v>
      </c>
      <c r="C160" s="15" t="s">
        <v>2766</v>
      </c>
      <c r="D160" s="15" t="str">
        <f>_xlfn.SINGLE(INDEX(样品编号表!Y:Y,_xlfn.SINGLE(MATCH(_xlfn.SINGLE(C:C),样品编号表!H:H,0))))</f>
        <v>新合盛布业</v>
      </c>
      <c r="E160" s="15">
        <f>_xlfn.SINGLE(INDEX(样品编号表!Z:Z,_xlfn.SINGLE(MATCH(_xlfn.SINGLE(C:C),样品编号表!H:H,0))))</f>
        <v>6002</v>
      </c>
      <c r="F160" s="15" t="s">
        <v>12213</v>
      </c>
      <c r="G160" s="15">
        <v>5</v>
      </c>
      <c r="H160" s="15" t="s">
        <v>12177</v>
      </c>
      <c r="I160" s="15">
        <v>5</v>
      </c>
      <c r="J160" s="14">
        <v>45986</v>
      </c>
      <c r="K160" s="16">
        <v>18</v>
      </c>
      <c r="L160" s="16">
        <f t="shared" si="7"/>
        <v>90</v>
      </c>
      <c r="M160" s="15" t="s">
        <v>12178</v>
      </c>
      <c r="N160" s="15">
        <f>_xlfn.SINGLE(INDEX(样品编号表!AA:AA,_xlfn.SINGLE(MATCH(_xlfn.SINGLE(C:C),样品编号表!H:H,0))))</f>
        <v>6.2</v>
      </c>
      <c r="O160" s="16">
        <v>12</v>
      </c>
      <c r="P160" s="16">
        <f t="shared" si="8"/>
        <v>60</v>
      </c>
      <c r="Q160" s="15"/>
      <c r="R160" s="7" t="s">
        <v>12179</v>
      </c>
    </row>
    <row r="161" ht="18" hidden="1" customHeight="1" spans="1:18">
      <c r="A161" s="14">
        <v>45986</v>
      </c>
      <c r="B161" s="15" t="s">
        <v>12180</v>
      </c>
      <c r="C161" s="15" t="s">
        <v>1593</v>
      </c>
      <c r="D161" s="15" t="str">
        <f>_xlfn.SINGLE(INDEX(样品编号表!Y:Y,_xlfn.SINGLE(MATCH(_xlfn.SINGLE(C:C),样品编号表!H:H,0))))</f>
        <v>宝隆纺织</v>
      </c>
      <c r="E161" s="15">
        <f>_xlfn.SINGLE(INDEX(样品编号表!Z:Z,_xlfn.SINGLE(MATCH(_xlfn.SINGLE(C:C),样品编号表!H:H,0))))</f>
        <v>1562</v>
      </c>
      <c r="F161" s="15" t="s">
        <v>12279</v>
      </c>
      <c r="G161" s="15">
        <v>2</v>
      </c>
      <c r="H161" s="15" t="s">
        <v>12177</v>
      </c>
      <c r="I161" s="15">
        <v>2</v>
      </c>
      <c r="J161" s="14">
        <v>45987</v>
      </c>
      <c r="K161" s="16">
        <v>21</v>
      </c>
      <c r="L161" s="16">
        <f t="shared" si="7"/>
        <v>42</v>
      </c>
      <c r="M161" s="15" t="s">
        <v>12178</v>
      </c>
      <c r="N161" s="15">
        <f>_xlfn.SINGLE(INDEX(样品编号表!AA:AA,_xlfn.SINGLE(MATCH(_xlfn.SINGLE(C:C),样品编号表!H:H,0))))</f>
        <v>6.8</v>
      </c>
      <c r="O161" s="16">
        <v>12</v>
      </c>
      <c r="P161" s="16">
        <f t="shared" si="8"/>
        <v>24</v>
      </c>
      <c r="Q161" s="15"/>
      <c r="R161" s="7" t="s">
        <v>12179</v>
      </c>
    </row>
    <row r="162" ht="18" hidden="1" customHeight="1" spans="1:18">
      <c r="A162" s="14">
        <v>45986</v>
      </c>
      <c r="B162" s="15" t="s">
        <v>12180</v>
      </c>
      <c r="C162" s="15" t="s">
        <v>1593</v>
      </c>
      <c r="D162" s="15" t="str">
        <f>_xlfn.SINGLE(INDEX(样品编号表!Y:Y,_xlfn.SINGLE(MATCH(_xlfn.SINGLE(C:C),样品编号表!H:H,0))))</f>
        <v>宝隆纺织</v>
      </c>
      <c r="E162" s="15">
        <f>_xlfn.SINGLE(INDEX(样品编号表!Z:Z,_xlfn.SINGLE(MATCH(_xlfn.SINGLE(C:C),样品编号表!H:H,0))))</f>
        <v>1562</v>
      </c>
      <c r="F162" s="15" t="s">
        <v>12201</v>
      </c>
      <c r="G162" s="15">
        <v>3</v>
      </c>
      <c r="H162" s="15" t="s">
        <v>12177</v>
      </c>
      <c r="I162" s="15">
        <v>3</v>
      </c>
      <c r="J162" s="14">
        <v>45987</v>
      </c>
      <c r="K162" s="16">
        <v>21</v>
      </c>
      <c r="L162" s="16">
        <f t="shared" si="7"/>
        <v>63</v>
      </c>
      <c r="M162" s="15" t="s">
        <v>12178</v>
      </c>
      <c r="N162" s="15">
        <f>_xlfn.SINGLE(INDEX(样品编号表!AA:AA,_xlfn.SINGLE(MATCH(_xlfn.SINGLE(C:C),样品编号表!H:H,0))))</f>
        <v>6.8</v>
      </c>
      <c r="O162" s="16">
        <v>12</v>
      </c>
      <c r="P162" s="16">
        <f t="shared" si="8"/>
        <v>36</v>
      </c>
      <c r="Q162" s="15"/>
      <c r="R162" s="7" t="s">
        <v>12179</v>
      </c>
    </row>
    <row r="163" ht="18" hidden="1" customHeight="1" spans="1:18">
      <c r="A163" s="14">
        <v>45986</v>
      </c>
      <c r="B163" s="15" t="s">
        <v>12269</v>
      </c>
      <c r="C163" s="15" t="s">
        <v>2607</v>
      </c>
      <c r="D163" s="15" t="str">
        <f>_xlfn.SINGLE(INDEX(样品编号表!Y:Y,_xlfn.SINGLE(MATCH(_xlfn.SINGLE(C:C),样品编号表!H:H,0))))</f>
        <v>锦地印染</v>
      </c>
      <c r="E163" s="15">
        <f>_xlfn.SINGLE(INDEX(样品编号表!Z:Z,_xlfn.SINGLE(MATCH(_xlfn.SINGLE(C:C),样品编号表!H:H,0))))</f>
        <v>10993</v>
      </c>
      <c r="F163" s="15" t="s">
        <v>12214</v>
      </c>
      <c r="G163" s="15">
        <v>2</v>
      </c>
      <c r="H163" s="15" t="s">
        <v>12177</v>
      </c>
      <c r="I163" s="15">
        <v>2</v>
      </c>
      <c r="J163" s="14">
        <v>45987</v>
      </c>
      <c r="K163" s="16">
        <v>20</v>
      </c>
      <c r="L163" s="16">
        <f t="shared" si="7"/>
        <v>40</v>
      </c>
      <c r="M163" s="15" t="s">
        <v>12178</v>
      </c>
      <c r="N163" s="15">
        <f>_xlfn.SINGLE(INDEX(样品编号表!AA:AA,_xlfn.SINGLE(MATCH(_xlfn.SINGLE(C:C),样品编号表!H:H,0))))</f>
        <v>8.2</v>
      </c>
      <c r="O163" s="16">
        <v>15</v>
      </c>
      <c r="P163" s="16">
        <f t="shared" si="8"/>
        <v>30</v>
      </c>
      <c r="Q163" s="15"/>
      <c r="R163" s="7" t="s">
        <v>12179</v>
      </c>
    </row>
    <row r="164" ht="18" hidden="1" customHeight="1" spans="1:18">
      <c r="A164" s="14">
        <v>45987</v>
      </c>
      <c r="B164" s="15" t="s">
        <v>12180</v>
      </c>
      <c r="C164" s="15" t="s">
        <v>492</v>
      </c>
      <c r="D164" s="15" t="str">
        <f>_xlfn.SINGLE(INDEX(样品编号表!Y:Y,_xlfn.SINGLE(MATCH(_xlfn.SINGLE(C:C),样品编号表!H:H,0))))</f>
        <v>光大纺织</v>
      </c>
      <c r="E164" s="15" t="str">
        <f>_xlfn.SINGLE(INDEX(样品编号表!Z:Z,_xlfn.SINGLE(MATCH(_xlfn.SINGLE(C:C),样品编号表!H:H,0))))</f>
        <v>TR439</v>
      </c>
      <c r="F164" s="15" t="s">
        <v>12259</v>
      </c>
      <c r="G164" s="15">
        <v>3</v>
      </c>
      <c r="H164" s="15" t="s">
        <v>12177</v>
      </c>
      <c r="I164" s="15">
        <v>3</v>
      </c>
      <c r="J164" s="14">
        <v>45989</v>
      </c>
      <c r="K164" s="16">
        <v>26</v>
      </c>
      <c r="L164" s="16">
        <f t="shared" si="7"/>
        <v>78</v>
      </c>
      <c r="M164" s="15" t="s">
        <v>12178</v>
      </c>
      <c r="N164" s="15">
        <f>_xlfn.SINGLE(INDEX(样品编号表!AA:AA,_xlfn.SINGLE(MATCH(_xlfn.SINGLE(C:C),样品编号表!H:H,0))))</f>
        <v>12.3</v>
      </c>
      <c r="O164" s="16">
        <v>17</v>
      </c>
      <c r="P164" s="16">
        <f t="shared" si="8"/>
        <v>51</v>
      </c>
      <c r="Q164" s="15"/>
      <c r="R164" s="7" t="s">
        <v>12179</v>
      </c>
    </row>
    <row r="165" ht="18" hidden="1" customHeight="1" spans="1:18">
      <c r="A165" s="14">
        <v>45987</v>
      </c>
      <c r="B165" s="15" t="s">
        <v>9156</v>
      </c>
      <c r="C165" s="15" t="s">
        <v>495</v>
      </c>
      <c r="D165" s="15" t="str">
        <f>_xlfn.SINGLE(INDEX(样品编号表!Y:Y,_xlfn.SINGLE(MATCH(_xlfn.SINGLE(C:C),样品编号表!H:H,0))))</f>
        <v>马利布行</v>
      </c>
      <c r="E165" s="15" t="str">
        <f>_xlfn.SINGLE(INDEX(样品编号表!Z:Z,_xlfn.SINGLE(MATCH(_xlfn.SINGLE(C:C),样品编号表!H:H,0))))</f>
        <v>10172#</v>
      </c>
      <c r="F165" s="15" t="s">
        <v>12217</v>
      </c>
      <c r="G165" s="15">
        <v>8</v>
      </c>
      <c r="H165" s="15" t="s">
        <v>12177</v>
      </c>
      <c r="I165" s="15">
        <v>8</v>
      </c>
      <c r="J165" s="14">
        <v>45989</v>
      </c>
      <c r="K165" s="16">
        <v>25.7</v>
      </c>
      <c r="L165" s="16">
        <f t="shared" si="7"/>
        <v>205.6</v>
      </c>
      <c r="M165" s="15" t="s">
        <v>12178</v>
      </c>
      <c r="N165" s="15">
        <f>_xlfn.SINGLE(INDEX(样品编号表!AA:AA,_xlfn.SINGLE(MATCH(_xlfn.SINGLE(C:C),样品编号表!H:H,0))))</f>
        <v>12.2</v>
      </c>
      <c r="O165" s="16">
        <v>17</v>
      </c>
      <c r="P165" s="16">
        <f t="shared" si="8"/>
        <v>136</v>
      </c>
      <c r="Q165" s="15"/>
      <c r="R165" s="7" t="s">
        <v>12179</v>
      </c>
    </row>
    <row r="166" ht="18" hidden="1" customHeight="1" spans="1:18">
      <c r="A166" s="14">
        <v>45987</v>
      </c>
      <c r="B166" s="15" t="s">
        <v>9156</v>
      </c>
      <c r="C166" s="15" t="s">
        <v>3834</v>
      </c>
      <c r="D166" s="15" t="str">
        <f>_xlfn.SINGLE(INDEX(样品编号表!Y:Y,_xlfn.SINGLE(MATCH(_xlfn.SINGLE(C:C),样品编号表!H:H,0))))</f>
        <v>沣泰布业</v>
      </c>
      <c r="E166" s="15" t="str">
        <f>_xlfn.SINGLE(INDEX(样品编号表!Z:Z,_xlfn.SINGLE(MATCH(_xlfn.SINGLE(C:C),样品编号表!H:H,0))))</f>
        <v>1018#21S精棉平纹</v>
      </c>
      <c r="F166" s="15" t="s">
        <v>12214</v>
      </c>
      <c r="G166" s="15">
        <v>3</v>
      </c>
      <c r="H166" s="15" t="s">
        <v>12177</v>
      </c>
      <c r="I166" s="15">
        <v>3</v>
      </c>
      <c r="J166" s="14">
        <v>45989</v>
      </c>
      <c r="K166" s="16">
        <v>25</v>
      </c>
      <c r="L166" s="16">
        <f t="shared" si="7"/>
        <v>75</v>
      </c>
      <c r="M166" s="15" t="s">
        <v>12178</v>
      </c>
      <c r="N166" s="15">
        <f>_xlfn.SINGLE(INDEX(样品编号表!AA:AA,_xlfn.SINGLE(MATCH(_xlfn.SINGLE(C:C),样品编号表!H:H,0))))</f>
        <v>39.6</v>
      </c>
      <c r="O166" s="16">
        <v>15</v>
      </c>
      <c r="P166" s="16">
        <f t="shared" si="8"/>
        <v>45</v>
      </c>
      <c r="Q166" s="15"/>
      <c r="R166" s="7" t="s">
        <v>12179</v>
      </c>
    </row>
    <row r="167" ht="18" hidden="1" customHeight="1" spans="1:18">
      <c r="A167" s="14">
        <v>45988</v>
      </c>
      <c r="B167" s="15" t="s">
        <v>12180</v>
      </c>
      <c r="C167" s="15" t="s">
        <v>2155</v>
      </c>
      <c r="D167" s="15" t="str">
        <f>_xlfn.SINGLE(INDEX(样品编号表!Y:Y,_xlfn.SINGLE(MATCH(_xlfn.SINGLE(C:C),样品编号表!H:H,0))))</f>
        <v>润森</v>
      </c>
      <c r="E167" s="15" t="str">
        <f>_xlfn.SINGLE(INDEX(样品编号表!Z:Z,_xlfn.SINGLE(MATCH(_xlfn.SINGLE(C:C),样品编号表!H:H,0))))</f>
        <v>华尔缎</v>
      </c>
      <c r="F167" s="15" t="s">
        <v>12280</v>
      </c>
      <c r="G167" s="15">
        <v>3</v>
      </c>
      <c r="H167" s="15" t="s">
        <v>12177</v>
      </c>
      <c r="I167" s="15">
        <v>3</v>
      </c>
      <c r="J167" s="14">
        <v>45988</v>
      </c>
      <c r="K167" s="16">
        <v>18</v>
      </c>
      <c r="L167" s="16">
        <f t="shared" si="7"/>
        <v>54</v>
      </c>
      <c r="M167" s="15" t="s">
        <v>12178</v>
      </c>
      <c r="N167" s="15">
        <f>_xlfn.SINGLE(INDEX(样品编号表!AA:AA,_xlfn.SINGLE(MATCH(_xlfn.SINGLE(C:C),样品编号表!H:H,0))))</f>
        <v>10.5</v>
      </c>
      <c r="O167" s="16">
        <v>15</v>
      </c>
      <c r="P167" s="16">
        <f t="shared" si="8"/>
        <v>45</v>
      </c>
      <c r="Q167" s="15"/>
      <c r="R167" s="7" t="s">
        <v>12179</v>
      </c>
    </row>
    <row r="168" ht="18" hidden="1" customHeight="1" spans="1:18">
      <c r="A168" s="14">
        <v>45988</v>
      </c>
      <c r="B168" s="15" t="s">
        <v>12180</v>
      </c>
      <c r="C168" s="15" t="s">
        <v>2155</v>
      </c>
      <c r="D168" s="15" t="str">
        <f>_xlfn.SINGLE(INDEX(样品编号表!Y:Y,_xlfn.SINGLE(MATCH(_xlfn.SINGLE(C:C),样品编号表!H:H,0))))</f>
        <v>润森</v>
      </c>
      <c r="E168" s="15" t="str">
        <f>_xlfn.SINGLE(INDEX(样品编号表!Z:Z,_xlfn.SINGLE(MATCH(_xlfn.SINGLE(C:C),样品编号表!H:H,0))))</f>
        <v>华尔缎</v>
      </c>
      <c r="F168" s="15" t="s">
        <v>12281</v>
      </c>
      <c r="G168" s="15">
        <v>2</v>
      </c>
      <c r="H168" s="15" t="s">
        <v>12177</v>
      </c>
      <c r="I168" s="15">
        <v>2</v>
      </c>
      <c r="J168" s="14">
        <v>45988</v>
      </c>
      <c r="K168" s="16">
        <v>18</v>
      </c>
      <c r="L168" s="16">
        <f t="shared" si="7"/>
        <v>36</v>
      </c>
      <c r="M168" s="15" t="s">
        <v>12178</v>
      </c>
      <c r="N168" s="15">
        <f>_xlfn.SINGLE(INDEX(样品编号表!AA:AA,_xlfn.SINGLE(MATCH(_xlfn.SINGLE(C:C),样品编号表!H:H,0))))</f>
        <v>10.5</v>
      </c>
      <c r="O168" s="16">
        <v>15</v>
      </c>
      <c r="P168" s="16">
        <f t="shared" si="8"/>
        <v>30</v>
      </c>
      <c r="Q168" s="15"/>
      <c r="R168" s="7" t="s">
        <v>12179</v>
      </c>
    </row>
    <row r="169" ht="18" hidden="1" customHeight="1" spans="1:18">
      <c r="A169" s="14">
        <v>45989</v>
      </c>
      <c r="B169" s="15" t="s">
        <v>12180</v>
      </c>
      <c r="C169" s="15" t="s">
        <v>2766</v>
      </c>
      <c r="D169" s="15" t="str">
        <f>_xlfn.SINGLE(INDEX(样品编号表!Y:Y,_xlfn.SINGLE(MATCH(_xlfn.SINGLE(C:C),样品编号表!H:H,0))))</f>
        <v>新合盛布业</v>
      </c>
      <c r="E169" s="15">
        <f>_xlfn.SINGLE(INDEX(样品编号表!Z:Z,_xlfn.SINGLE(MATCH(_xlfn.SINGLE(C:C),样品编号表!H:H,0))))</f>
        <v>6002</v>
      </c>
      <c r="F169" s="15" t="s">
        <v>12282</v>
      </c>
      <c r="G169" s="15">
        <v>7</v>
      </c>
      <c r="H169" s="15" t="s">
        <v>12177</v>
      </c>
      <c r="I169" s="15">
        <v>7</v>
      </c>
      <c r="J169" s="14">
        <v>45990</v>
      </c>
      <c r="K169" s="16">
        <v>18</v>
      </c>
      <c r="L169" s="16">
        <f t="shared" si="7"/>
        <v>126</v>
      </c>
      <c r="M169" s="15" t="s">
        <v>12178</v>
      </c>
      <c r="N169" s="15">
        <f>_xlfn.SINGLE(INDEX(样品编号表!AA:AA,_xlfn.SINGLE(MATCH(_xlfn.SINGLE(C:C),样品编号表!H:H,0))))</f>
        <v>6.2</v>
      </c>
      <c r="O169" s="16">
        <v>12</v>
      </c>
      <c r="P169" s="16">
        <f t="shared" si="8"/>
        <v>84</v>
      </c>
      <c r="Q169" s="15"/>
      <c r="R169" s="7" t="s">
        <v>12179</v>
      </c>
    </row>
    <row r="170" ht="18" hidden="1" customHeight="1" spans="1:18">
      <c r="A170" s="14">
        <v>45989</v>
      </c>
      <c r="B170" s="15" t="s">
        <v>9156</v>
      </c>
      <c r="C170" s="15" t="s">
        <v>7681</v>
      </c>
      <c r="D170" s="15" t="str">
        <f>_xlfn.SINGLE(INDEX(样品编号表!Y:Y,_xlfn.SINGLE(MATCH(_xlfn.SINGLE(C:C),样品编号表!H:H,0))))</f>
        <v>广州旺佳纺织</v>
      </c>
      <c r="E170" s="15" t="str">
        <f>_xlfn.SINGLE(INDEX(样品编号表!Z:Z,_xlfn.SINGLE(MATCH(_xlfn.SINGLE(C:C),样品编号表!H:H,0))))</f>
        <v>美人条</v>
      </c>
      <c r="F170" s="15" t="s">
        <v>12283</v>
      </c>
      <c r="G170" s="15">
        <v>4</v>
      </c>
      <c r="H170" s="15" t="s">
        <v>12177</v>
      </c>
      <c r="I170" s="15">
        <v>4</v>
      </c>
      <c r="J170" s="14">
        <v>45992</v>
      </c>
      <c r="K170" s="16">
        <v>23</v>
      </c>
      <c r="L170" s="16">
        <f t="shared" si="7"/>
        <v>92</v>
      </c>
      <c r="M170" s="15" t="s">
        <v>12178</v>
      </c>
      <c r="N170" s="15">
        <f>_xlfn.SINGLE(INDEX(样品编号表!AA:AA,_xlfn.SINGLE(MATCH(_xlfn.SINGLE(C:C),样品编号表!H:H,0))))</f>
        <v>24.5</v>
      </c>
      <c r="O170" s="16">
        <v>20</v>
      </c>
      <c r="P170" s="16">
        <f t="shared" si="8"/>
        <v>80</v>
      </c>
      <c r="Q170" s="15"/>
      <c r="R170" s="7" t="s">
        <v>12179</v>
      </c>
    </row>
    <row r="171" ht="18" hidden="1" customHeight="1" spans="1:18">
      <c r="A171" s="14">
        <v>45989</v>
      </c>
      <c r="B171" s="15" t="s">
        <v>9156</v>
      </c>
      <c r="C171" s="15" t="s">
        <v>1593</v>
      </c>
      <c r="D171" s="15" t="str">
        <f>_xlfn.SINGLE(INDEX(样品编号表!Y:Y,_xlfn.SINGLE(MATCH(_xlfn.SINGLE(C:C),样品编号表!H:H,0))))</f>
        <v>宝隆纺织</v>
      </c>
      <c r="E171" s="15">
        <f>_xlfn.SINGLE(INDEX(样品编号表!Z:Z,_xlfn.SINGLE(MATCH(_xlfn.SINGLE(C:C),样品编号表!H:H,0))))</f>
        <v>1562</v>
      </c>
      <c r="F171" s="15" t="s">
        <v>12214</v>
      </c>
      <c r="G171" s="15">
        <v>5</v>
      </c>
      <c r="H171" s="15" t="s">
        <v>12177</v>
      </c>
      <c r="I171" s="15">
        <v>5</v>
      </c>
      <c r="J171" s="14">
        <v>45992</v>
      </c>
      <c r="K171" s="16">
        <v>21</v>
      </c>
      <c r="L171" s="16">
        <f t="shared" si="7"/>
        <v>105</v>
      </c>
      <c r="M171" s="15" t="s">
        <v>12178</v>
      </c>
      <c r="N171" s="15">
        <f>_xlfn.SINGLE(INDEX(样品编号表!AA:AA,_xlfn.SINGLE(MATCH(_xlfn.SINGLE(C:C),样品编号表!H:H,0))))</f>
        <v>6.8</v>
      </c>
      <c r="O171" s="16">
        <v>12</v>
      </c>
      <c r="P171" s="16">
        <f t="shared" si="8"/>
        <v>60</v>
      </c>
      <c r="Q171" s="15"/>
      <c r="R171" s="7" t="s">
        <v>12179</v>
      </c>
    </row>
    <row r="172" ht="18" hidden="1" customHeight="1" spans="1:18">
      <c r="A172" s="14">
        <v>45990</v>
      </c>
      <c r="B172" s="15" t="s">
        <v>12240</v>
      </c>
      <c r="C172" s="15" t="s">
        <v>4681</v>
      </c>
      <c r="D172" s="15" t="str">
        <f>_xlfn.SINGLE(INDEX(样品编号表!Y:Y,_xlfn.SINGLE(MATCH(_xlfn.SINGLE(C:C),样品编号表!H:H,0))))</f>
        <v>联兴纺织</v>
      </c>
      <c r="E172" s="15" t="str">
        <f>_xlfn.SINGLE(INDEX(样品编号表!Z:Z,_xlfn.SINGLE(MATCH(_xlfn.SINGLE(C:C),样品编号表!H:H,0))))</f>
        <v>K5175-42</v>
      </c>
      <c r="F172" s="15" t="s">
        <v>12246</v>
      </c>
      <c r="G172" s="15">
        <v>3</v>
      </c>
      <c r="H172" s="15" t="s">
        <v>12177</v>
      </c>
      <c r="I172" s="15">
        <f t="shared" ref="I172:I181" si="9">G172</f>
        <v>3</v>
      </c>
      <c r="J172" s="14">
        <v>45992</v>
      </c>
      <c r="K172" s="16">
        <v>40</v>
      </c>
      <c r="L172" s="16">
        <f t="shared" ref="L172:L181" si="10">I172*K172</f>
        <v>120</v>
      </c>
      <c r="M172" s="15" t="s">
        <v>12178</v>
      </c>
      <c r="N172" s="15">
        <f>_xlfn.SINGLE(INDEX(样品编号表!AA:AA,_xlfn.SINGLE(MATCH(_xlfn.SINGLE(C:C),样品编号表!H:H,0))))</f>
        <v>21.4</v>
      </c>
      <c r="O172" s="16">
        <v>26</v>
      </c>
      <c r="P172" s="16">
        <f t="shared" si="8"/>
        <v>78</v>
      </c>
      <c r="Q172" s="15" t="s">
        <v>12284</v>
      </c>
      <c r="R172" s="7" t="s">
        <v>12179</v>
      </c>
    </row>
    <row r="173" ht="18" hidden="1" customHeight="1" spans="1:18">
      <c r="A173" s="14">
        <v>45991</v>
      </c>
      <c r="B173" s="15" t="s">
        <v>12269</v>
      </c>
      <c r="C173" s="15" t="s">
        <v>1780</v>
      </c>
      <c r="D173" s="15" t="str">
        <f>_xlfn.SINGLE(INDEX(样品编号表!Y:Y,_xlfn.SINGLE(MATCH(_xlfn.SINGLE(C:C),样品编号表!H:H,0))))</f>
        <v>艺纺</v>
      </c>
      <c r="E173" s="15" t="str">
        <f>_xlfn.SINGLE(INDEX(样品编号表!Z:Z,_xlfn.SINGLE(MATCH(_xlfn.SINGLE(C:C),样品编号表!H:H,0))))</f>
        <v>11865-3</v>
      </c>
      <c r="F173" s="15" t="s">
        <v>12213</v>
      </c>
      <c r="G173" s="15">
        <v>2</v>
      </c>
      <c r="H173" s="15" t="s">
        <v>12177</v>
      </c>
      <c r="I173" s="15">
        <f t="shared" si="9"/>
        <v>2</v>
      </c>
      <c r="J173" s="14">
        <v>45994</v>
      </c>
      <c r="K173" s="16">
        <v>25</v>
      </c>
      <c r="L173" s="16">
        <f t="shared" si="10"/>
        <v>50</v>
      </c>
      <c r="M173" s="15" t="s">
        <v>12178</v>
      </c>
      <c r="N173" s="15">
        <f>_xlfn.SINGLE(INDEX(样品编号表!AA:AA,_xlfn.SINGLE(MATCH(_xlfn.SINGLE(C:C),样品编号表!H:H,0))))</f>
        <v>12.8</v>
      </c>
      <c r="O173" s="16">
        <v>18</v>
      </c>
      <c r="P173" s="16">
        <f t="shared" si="8"/>
        <v>36</v>
      </c>
      <c r="Q173" s="15"/>
    </row>
    <row r="174" ht="18" hidden="1" customHeight="1" spans="1:18">
      <c r="A174" s="14">
        <v>45991</v>
      </c>
      <c r="B174" s="15" t="s">
        <v>12269</v>
      </c>
      <c r="C174" s="15" t="s">
        <v>6536</v>
      </c>
      <c r="D174" s="15" t="str">
        <f>_xlfn.SINGLE(INDEX(样品编号表!Y:Y,_xlfn.SINGLE(MATCH(_xlfn.SINGLE(C:C),样品编号表!H:H,0))))</f>
        <v>盛益达纺织</v>
      </c>
      <c r="E174" s="15" t="str">
        <f>_xlfn.SINGLE(INDEX(样品编号表!Z:Z,_xlfn.SINGLE(MATCH(_xlfn.SINGLE(C:C),样品编号表!H:H,0))))</f>
        <v>A8941</v>
      </c>
      <c r="F174" s="15" t="s">
        <v>12285</v>
      </c>
      <c r="G174" s="15">
        <v>2</v>
      </c>
      <c r="H174" s="15" t="s">
        <v>12177</v>
      </c>
      <c r="I174" s="15">
        <f t="shared" si="9"/>
        <v>2</v>
      </c>
      <c r="J174" s="14">
        <v>45994</v>
      </c>
      <c r="K174" s="16">
        <v>21</v>
      </c>
      <c r="L174" s="16">
        <f t="shared" si="10"/>
        <v>42</v>
      </c>
      <c r="M174" s="15" t="s">
        <v>12178</v>
      </c>
      <c r="N174" s="15">
        <f>_xlfn.SINGLE(INDEX(样品编号表!AA:AA,_xlfn.SINGLE(MATCH(_xlfn.SINGLE(C:C),样品编号表!H:H,0))))</f>
        <v>8.6</v>
      </c>
      <c r="O174" s="16"/>
      <c r="P174" s="16">
        <f t="shared" si="8"/>
        <v>0</v>
      </c>
      <c r="Q174" s="15"/>
    </row>
    <row r="175" ht="18" hidden="1" customHeight="1" spans="1:18">
      <c r="A175" s="14">
        <v>45993</v>
      </c>
      <c r="B175" s="15" t="s">
        <v>12188</v>
      </c>
      <c r="C175" s="15" t="s">
        <v>2625</v>
      </c>
      <c r="D175" s="15" t="str">
        <f>_xlfn.SINGLE(INDEX(样品编号表!Y:Y,_xlfn.SINGLE(MATCH(_xlfn.SINGLE(C:C),样品编号表!H:H,0))))</f>
        <v>锦地印染</v>
      </c>
      <c r="E175" s="15" t="str">
        <f>_xlfn.SINGLE(INDEX(样品编号表!Z:Z,_xlfn.SINGLE(MATCH(_xlfn.SINGLE(C:C),样品编号表!H:H,0))))</f>
        <v>醋酸金銮缎</v>
      </c>
      <c r="F175" s="15" t="s">
        <v>12286</v>
      </c>
      <c r="G175" s="15">
        <v>5</v>
      </c>
      <c r="H175" s="15" t="s">
        <v>12177</v>
      </c>
      <c r="I175" s="15">
        <f t="shared" si="9"/>
        <v>5</v>
      </c>
      <c r="J175" s="14">
        <v>45994</v>
      </c>
      <c r="K175" s="16">
        <v>22</v>
      </c>
      <c r="L175" s="16">
        <f t="shared" si="10"/>
        <v>110</v>
      </c>
      <c r="M175" s="15" t="s">
        <v>12178</v>
      </c>
      <c r="N175" s="15">
        <f>_xlfn.SINGLE(INDEX(样品编号表!AA:AA,_xlfn.SINGLE(MATCH(_xlfn.SINGLE(C:C),样品编号表!H:H,0))))</f>
        <v>9</v>
      </c>
      <c r="O175" s="16">
        <v>15</v>
      </c>
      <c r="P175" s="16">
        <f t="shared" si="8"/>
        <v>75</v>
      </c>
      <c r="Q175" s="15"/>
    </row>
    <row r="176" ht="18" hidden="1" customHeight="1" spans="1:18">
      <c r="A176" s="14">
        <v>45993</v>
      </c>
      <c r="B176" s="15" t="s">
        <v>12180</v>
      </c>
      <c r="C176" s="15" t="s">
        <v>492</v>
      </c>
      <c r="D176" s="15" t="str">
        <f>_xlfn.SINGLE(INDEX(样品编号表!Y:Y,_xlfn.SINGLE(MATCH(_xlfn.SINGLE(C:C),样品编号表!H:H,0))))</f>
        <v>光大纺织</v>
      </c>
      <c r="E176" s="15" t="str">
        <f>_xlfn.SINGLE(INDEX(样品编号表!Z:Z,_xlfn.SINGLE(MATCH(_xlfn.SINGLE(C:C),样品编号表!H:H,0))))</f>
        <v>TR439</v>
      </c>
      <c r="F176" s="15" t="s">
        <v>12260</v>
      </c>
      <c r="G176" s="15">
        <v>2</v>
      </c>
      <c r="H176" s="15" t="s">
        <v>12177</v>
      </c>
      <c r="I176" s="15">
        <f t="shared" si="9"/>
        <v>2</v>
      </c>
      <c r="J176" s="14">
        <v>45994</v>
      </c>
      <c r="K176" s="16">
        <v>26</v>
      </c>
      <c r="L176" s="16">
        <f t="shared" si="10"/>
        <v>52</v>
      </c>
      <c r="M176" s="15" t="s">
        <v>12178</v>
      </c>
      <c r="N176" s="15">
        <f>_xlfn.SINGLE(INDEX(样品编号表!AA:AA,_xlfn.SINGLE(MATCH(_xlfn.SINGLE(C:C),样品编号表!H:H,0))))</f>
        <v>12.3</v>
      </c>
      <c r="O176" s="16">
        <v>17</v>
      </c>
      <c r="P176" s="16">
        <f t="shared" ref="P176:P207" si="11">I176*O176</f>
        <v>34</v>
      </c>
      <c r="Q176" s="15"/>
    </row>
    <row r="177" ht="18" hidden="1" customHeight="1" spans="1:17">
      <c r="A177" s="14">
        <v>45994</v>
      </c>
      <c r="B177" s="15" t="s">
        <v>12180</v>
      </c>
      <c r="C177" s="15" t="s">
        <v>417</v>
      </c>
      <c r="D177" s="15" t="str">
        <f>_xlfn.SINGLE(INDEX(样品编号表!Y:Y,_xlfn.SINGLE(MATCH(_xlfn.SINGLE(C:C),样品编号表!H:H,0))))</f>
        <v>新合盛布业</v>
      </c>
      <c r="E177" s="15">
        <f>_xlfn.SINGLE(INDEX(样品编号表!Z:Z,_xlfn.SINGLE(MATCH(_xlfn.SINGLE(C:C),样品编号表!H:H,0))))</f>
        <v>6002</v>
      </c>
      <c r="F177" s="15" t="s">
        <v>12287</v>
      </c>
      <c r="G177" s="15">
        <v>2</v>
      </c>
      <c r="H177" s="15" t="s">
        <v>12177</v>
      </c>
      <c r="I177" s="15">
        <f t="shared" si="9"/>
        <v>2</v>
      </c>
      <c r="J177" s="14">
        <v>46002</v>
      </c>
      <c r="K177" s="16">
        <v>24</v>
      </c>
      <c r="L177" s="16">
        <f t="shared" si="10"/>
        <v>48</v>
      </c>
      <c r="M177" s="15" t="s">
        <v>12178</v>
      </c>
      <c r="N177" s="15">
        <f>_xlfn.SINGLE(INDEX(样品编号表!AA:AA,_xlfn.SINGLE(MATCH(_xlfn.SINGLE(C:C),样品编号表!H:H,0))))</f>
        <v>6.6</v>
      </c>
      <c r="O177" s="16">
        <v>18</v>
      </c>
      <c r="P177" s="16">
        <f t="shared" si="11"/>
        <v>36</v>
      </c>
      <c r="Q177" s="15" t="s">
        <v>9565</v>
      </c>
    </row>
    <row r="178" customFormat="1" ht="18" hidden="1" customHeight="1" spans="1:17">
      <c r="A178" s="14">
        <v>45994</v>
      </c>
      <c r="B178" s="15" t="s">
        <v>12240</v>
      </c>
      <c r="C178" s="15" t="s">
        <v>1780</v>
      </c>
      <c r="D178" s="15" t="str">
        <f>_xlfn.SINGLE(INDEX(样品编号表!Y:Y,_xlfn.SINGLE(MATCH(_xlfn.SINGLE(C:C),样品编号表!H:H,0))))</f>
        <v>艺纺</v>
      </c>
      <c r="E178" s="15" t="str">
        <f>_xlfn.SINGLE(INDEX(样品编号表!Z:Z,_xlfn.SINGLE(MATCH(_xlfn.SINGLE(C:C),样品编号表!H:H,0))))</f>
        <v>11865-3</v>
      </c>
      <c r="F178" s="15" t="s">
        <v>12247</v>
      </c>
      <c r="G178" s="15">
        <v>3</v>
      </c>
      <c r="H178" s="15" t="s">
        <v>12177</v>
      </c>
      <c r="I178" s="15">
        <f t="shared" si="9"/>
        <v>3</v>
      </c>
      <c r="J178" s="14">
        <v>45996</v>
      </c>
      <c r="K178" s="16">
        <v>25</v>
      </c>
      <c r="L178" s="16">
        <f t="shared" si="10"/>
        <v>75</v>
      </c>
      <c r="M178" s="15" t="s">
        <v>12178</v>
      </c>
      <c r="N178" s="15">
        <f>_xlfn.SINGLE(INDEX(样品编号表!AA:AA,_xlfn.SINGLE(MATCH(_xlfn.SINGLE(C:C),样品编号表!H:H,0))))</f>
        <v>12.8</v>
      </c>
      <c r="O178" s="16">
        <v>18</v>
      </c>
      <c r="P178" s="16">
        <f t="shared" si="11"/>
        <v>54</v>
      </c>
      <c r="Q178" s="15"/>
    </row>
    <row r="179" customFormat="1" ht="18" hidden="1" customHeight="1" spans="1:17">
      <c r="A179" s="14">
        <v>45995</v>
      </c>
      <c r="B179" s="15" t="s">
        <v>12240</v>
      </c>
      <c r="C179" s="15" t="s">
        <v>7848</v>
      </c>
      <c r="D179" s="15" t="str">
        <f>_xlfn.SINGLE(INDEX(样品编号表!Y:Y,_xlfn.SINGLE(MATCH(_xlfn.SINGLE(C:C),样品编号表!H:H,0))))</f>
        <v>华越纺织</v>
      </c>
      <c r="E179" s="15" t="str">
        <f>_xlfn.SINGLE(INDEX(样品编号表!Z:Z,_xlfn.SINGLE(MATCH(_xlfn.SINGLE(C:C),样品编号表!H:H,0))))</f>
        <v>乐丽丝双层</v>
      </c>
      <c r="F179" s="15" t="s">
        <v>12288</v>
      </c>
      <c r="G179" s="15">
        <v>3</v>
      </c>
      <c r="H179" s="15" t="s">
        <v>12177</v>
      </c>
      <c r="I179" s="15">
        <f t="shared" si="9"/>
        <v>3</v>
      </c>
      <c r="J179" s="14">
        <v>45997</v>
      </c>
      <c r="K179" s="16">
        <v>27</v>
      </c>
      <c r="L179" s="16">
        <f t="shared" si="10"/>
        <v>81</v>
      </c>
      <c r="M179" s="15" t="s">
        <v>12178</v>
      </c>
      <c r="N179" s="15">
        <f>_xlfn.SINGLE(INDEX(样品编号表!AA:AA,_xlfn.SINGLE(MATCH(_xlfn.SINGLE(C:C),样品编号表!H:H,0))))</f>
        <v>12.6</v>
      </c>
      <c r="O179" s="16"/>
      <c r="P179" s="16">
        <f t="shared" si="11"/>
        <v>0</v>
      </c>
      <c r="Q179" s="15"/>
    </row>
    <row r="180" ht="18" hidden="1" customHeight="1" spans="1:17">
      <c r="A180" s="14">
        <v>45995</v>
      </c>
      <c r="B180" s="15" t="s">
        <v>9156</v>
      </c>
      <c r="C180" s="15" t="s">
        <v>2771</v>
      </c>
      <c r="D180" s="15" t="str">
        <f>_xlfn.SINGLE(INDEX(样品编号表!Y:Y,_xlfn.SINGLE(MATCH(_xlfn.SINGLE(C:C),样品编号表!H:H,0))))</f>
        <v>新合盛布业</v>
      </c>
      <c r="E180" s="15">
        <f>_xlfn.SINGLE(INDEX(样品编号表!Z:Z,_xlfn.SINGLE(MATCH(_xlfn.SINGLE(C:C),样品编号表!H:H,0))))</f>
        <v>8112</v>
      </c>
      <c r="F180" s="15" t="s">
        <v>12214</v>
      </c>
      <c r="G180" s="15">
        <v>2</v>
      </c>
      <c r="H180" s="15" t="s">
        <v>12177</v>
      </c>
      <c r="I180" s="15">
        <f t="shared" si="9"/>
        <v>2</v>
      </c>
      <c r="J180" s="14">
        <v>45996</v>
      </c>
      <c r="K180" s="16">
        <v>17</v>
      </c>
      <c r="L180" s="16">
        <f t="shared" si="10"/>
        <v>34</v>
      </c>
      <c r="M180" s="15" t="s">
        <v>12178</v>
      </c>
      <c r="N180" s="15">
        <f>_xlfn.SINGLE(INDEX(样品编号表!AA:AA,_xlfn.SINGLE(MATCH(_xlfn.SINGLE(C:C),样品编号表!H:H,0))))</f>
        <v>9.6</v>
      </c>
      <c r="O180" s="16">
        <v>15</v>
      </c>
      <c r="P180" s="16">
        <f t="shared" si="11"/>
        <v>30</v>
      </c>
      <c r="Q180" s="15"/>
    </row>
    <row r="181" ht="18" hidden="1" customHeight="1" spans="1:17">
      <c r="A181" s="14">
        <v>45995</v>
      </c>
      <c r="B181" s="15" t="s">
        <v>9156</v>
      </c>
      <c r="C181" s="15" t="s">
        <v>2113</v>
      </c>
      <c r="D181" s="15" t="str">
        <f>_xlfn.SINGLE(INDEX(样品编号表!Y:Y,_xlfn.SINGLE(MATCH(_xlfn.SINGLE(C:C),样品编号表!H:H,0))))</f>
        <v>凯盛亨</v>
      </c>
      <c r="E181" s="15" t="str">
        <f>_xlfn.SINGLE(INDEX(样品编号表!Z:Z,_xlfn.SINGLE(MATCH(_xlfn.SINGLE(C:C),样品编号表!H:H,0))))</f>
        <v>839#</v>
      </c>
      <c r="F181" s="15" t="s">
        <v>12213</v>
      </c>
      <c r="G181" s="15">
        <v>16</v>
      </c>
      <c r="H181" s="15" t="s">
        <v>12177</v>
      </c>
      <c r="I181" s="15">
        <f t="shared" si="9"/>
        <v>16</v>
      </c>
      <c r="J181" s="14">
        <v>45996</v>
      </c>
      <c r="K181" s="16">
        <v>20</v>
      </c>
      <c r="L181" s="16">
        <f t="shared" si="10"/>
        <v>320</v>
      </c>
      <c r="M181" s="15" t="s">
        <v>12178</v>
      </c>
      <c r="N181" s="15">
        <f>_xlfn.SINGLE(INDEX(样品编号表!AA:AA,_xlfn.SINGLE(MATCH(_xlfn.SINGLE(C:C),样品编号表!H:H,0))))</f>
        <v>11.3</v>
      </c>
      <c r="O181" s="16">
        <v>16</v>
      </c>
      <c r="P181" s="16">
        <f t="shared" si="11"/>
        <v>256</v>
      </c>
      <c r="Q181" s="15"/>
    </row>
    <row r="182" ht="18" hidden="1" customHeight="1" spans="1:17">
      <c r="A182" s="14">
        <v>46001</v>
      </c>
      <c r="B182" s="15" t="s">
        <v>12188</v>
      </c>
      <c r="C182" s="15" t="s">
        <v>3359</v>
      </c>
      <c r="D182" s="15" t="str">
        <f>_xlfn.SINGLE(INDEX(样品编号表!Y:Y,_xlfn.SINGLE(MATCH(_xlfn.SINGLE(C:C),样品编号表!H:H,0))))</f>
        <v>健润纺织</v>
      </c>
      <c r="E182" s="15" t="str">
        <f>_xlfn.SINGLE(INDEX(样品编号表!Z:Z,_xlfn.SINGLE(MATCH(_xlfn.SINGLE(C:C),样品编号表!H:H,0))))</f>
        <v>逸柔3*2罗纹-RS</v>
      </c>
      <c r="F182" s="15" t="s">
        <v>12289</v>
      </c>
      <c r="G182" s="15">
        <v>1</v>
      </c>
      <c r="H182" s="15" t="s">
        <v>12177</v>
      </c>
      <c r="I182" s="15">
        <v>1</v>
      </c>
      <c r="J182" s="14">
        <v>46003</v>
      </c>
      <c r="K182" s="16">
        <v>37</v>
      </c>
      <c r="L182" s="16">
        <f t="shared" ref="L182:L213" si="12">I182*K182</f>
        <v>37</v>
      </c>
      <c r="M182" s="15" t="s">
        <v>12178</v>
      </c>
      <c r="N182" s="15">
        <f>_xlfn.SINGLE(INDEX(样品编号表!AA:AA,_xlfn.SINGLE(MATCH(_xlfn.SINGLE(C:C),样品编号表!H:H,0))))</f>
        <v>42</v>
      </c>
      <c r="O182" s="16">
        <v>30</v>
      </c>
      <c r="P182" s="16">
        <f t="shared" si="11"/>
        <v>30</v>
      </c>
      <c r="Q182" s="15"/>
    </row>
    <row r="183" ht="18" hidden="1" customHeight="1" spans="1:17">
      <c r="A183" s="14">
        <v>46003</v>
      </c>
      <c r="B183" s="15" t="s">
        <v>12265</v>
      </c>
      <c r="C183" s="15" t="s">
        <v>7617</v>
      </c>
      <c r="D183" s="15" t="str">
        <f>_xlfn.SINGLE(INDEX(样品编号表!Y:Y,_xlfn.SINGLE(MATCH(_xlfn.SINGLE(C:C),样品编号表!H:H,0))))</f>
        <v>本来</v>
      </c>
      <c r="E183" s="15" t="str">
        <f>_xlfn.SINGLE(INDEX(样品编号表!Z:Z,_xlfn.SINGLE(MATCH(_xlfn.SINGLE(C:C),样品编号表!H:H,0))))</f>
        <v>B08272</v>
      </c>
      <c r="F183" s="15" t="s">
        <v>12213</v>
      </c>
      <c r="G183" s="15">
        <v>2</v>
      </c>
      <c r="H183" s="15" t="s">
        <v>12177</v>
      </c>
      <c r="I183" s="15">
        <v>2</v>
      </c>
      <c r="J183" s="14">
        <v>46006</v>
      </c>
      <c r="K183" s="16">
        <v>72</v>
      </c>
      <c r="L183" s="16">
        <f t="shared" si="12"/>
        <v>144</v>
      </c>
      <c r="M183" s="15" t="s">
        <v>12178</v>
      </c>
      <c r="N183" s="15">
        <f>_xlfn.SINGLE(INDEX(样品编号表!AA:AA,_xlfn.SINGLE(MATCH(_xlfn.SINGLE(C:C),样品编号表!H:H,0))))</f>
        <v>130</v>
      </c>
      <c r="O183" s="16">
        <v>65</v>
      </c>
      <c r="P183" s="16">
        <f t="shared" si="11"/>
        <v>130</v>
      </c>
      <c r="Q183" s="15"/>
    </row>
    <row r="184" ht="18" hidden="1" customHeight="1" spans="1:17">
      <c r="A184" s="14">
        <v>46003</v>
      </c>
      <c r="B184" s="15" t="s">
        <v>12180</v>
      </c>
      <c r="C184" s="15" t="s">
        <v>417</v>
      </c>
      <c r="D184" s="15" t="str">
        <f>_xlfn.SINGLE(INDEX(样品编号表!Y:Y,_xlfn.SINGLE(MATCH(_xlfn.SINGLE(C:C),样品编号表!H:H,0))))</f>
        <v>新合盛布业</v>
      </c>
      <c r="E184" s="15">
        <f>_xlfn.SINGLE(INDEX(样品编号表!Z:Z,_xlfn.SINGLE(MATCH(_xlfn.SINGLE(C:C),样品编号表!H:H,0))))</f>
        <v>6002</v>
      </c>
      <c r="F184" s="15" t="s">
        <v>12228</v>
      </c>
      <c r="G184" s="15">
        <v>7</v>
      </c>
      <c r="H184" s="15" t="s">
        <v>12177</v>
      </c>
      <c r="I184" s="15">
        <v>7</v>
      </c>
      <c r="J184" s="14">
        <v>46006</v>
      </c>
      <c r="K184" s="16">
        <v>24</v>
      </c>
      <c r="L184" s="16">
        <f t="shared" si="12"/>
        <v>168</v>
      </c>
      <c r="M184" s="15" t="s">
        <v>12178</v>
      </c>
      <c r="N184" s="15">
        <f>_xlfn.SINGLE(INDEX(样品编号表!AA:AA,_xlfn.SINGLE(MATCH(_xlfn.SINGLE(C:C),样品编号表!H:H,0))))</f>
        <v>6.6</v>
      </c>
      <c r="O184" s="16">
        <v>18</v>
      </c>
      <c r="P184" s="16">
        <f t="shared" si="11"/>
        <v>126</v>
      </c>
      <c r="Q184" s="15" t="s">
        <v>9565</v>
      </c>
    </row>
    <row r="185" ht="18" hidden="1" customHeight="1" spans="1:17">
      <c r="A185" s="14">
        <v>46003</v>
      </c>
      <c r="B185" s="15" t="s">
        <v>12180</v>
      </c>
      <c r="C185" s="15" t="s">
        <v>486</v>
      </c>
      <c r="D185" s="15" t="str">
        <f>_xlfn.SINGLE(INDEX(样品编号表!Y:Y,_xlfn.SINGLE(MATCH(_xlfn.SINGLE(C:C),样品编号表!H:H,0))))</f>
        <v>三好纺织</v>
      </c>
      <c r="E185" s="15" t="str">
        <f>_xlfn.SINGLE(INDEX(样品编号表!Z:Z,_xlfn.SINGLE(MATCH(_xlfn.SINGLE(C:C),样品编号表!H:H,0))))</f>
        <v>0953#</v>
      </c>
      <c r="F185" s="15" t="s">
        <v>12238</v>
      </c>
      <c r="G185" s="15">
        <v>2</v>
      </c>
      <c r="H185" s="15" t="s">
        <v>12177</v>
      </c>
      <c r="I185" s="15">
        <v>2</v>
      </c>
      <c r="J185" s="14">
        <v>46004</v>
      </c>
      <c r="K185" s="16">
        <v>25</v>
      </c>
      <c r="L185" s="16">
        <f t="shared" si="12"/>
        <v>50</v>
      </c>
      <c r="M185" s="15" t="s">
        <v>12178</v>
      </c>
      <c r="N185" s="15">
        <f>_xlfn.SINGLE(INDEX(样品编号表!AA:AA,_xlfn.SINGLE(MATCH(_xlfn.SINGLE(C:C),样品编号表!H:H,0))))</f>
        <v>11.5</v>
      </c>
      <c r="O185" s="16"/>
      <c r="P185" s="16">
        <f t="shared" si="11"/>
        <v>0</v>
      </c>
      <c r="Q185" s="15"/>
    </row>
    <row r="186" ht="18" hidden="1" customHeight="1" spans="1:17">
      <c r="A186" s="14">
        <v>46005</v>
      </c>
      <c r="B186" s="15" t="s">
        <v>12180</v>
      </c>
      <c r="C186" s="15" t="s">
        <v>2607</v>
      </c>
      <c r="D186" s="15" t="str">
        <f>_xlfn.SINGLE(INDEX(样品编号表!Y:Y,_xlfn.SINGLE(MATCH(_xlfn.SINGLE(C:C),样品编号表!H:H,0))))</f>
        <v>锦地印染</v>
      </c>
      <c r="E186" s="15">
        <f>_xlfn.SINGLE(INDEX(样品编号表!Z:Z,_xlfn.SINGLE(MATCH(_xlfn.SINGLE(C:C),样品编号表!H:H,0))))</f>
        <v>10993</v>
      </c>
      <c r="F186" s="15" t="s">
        <v>12214</v>
      </c>
      <c r="G186" s="15">
        <v>2</v>
      </c>
      <c r="H186" s="15" t="s">
        <v>12177</v>
      </c>
      <c r="I186" s="15">
        <v>2</v>
      </c>
      <c r="J186" s="14">
        <v>46006</v>
      </c>
      <c r="K186" s="16"/>
      <c r="L186" s="16">
        <f t="shared" si="12"/>
        <v>0</v>
      </c>
      <c r="M186" s="15" t="s">
        <v>12178</v>
      </c>
      <c r="N186" s="15">
        <f>_xlfn.SINGLE(INDEX(样品编号表!AA:AA,_xlfn.SINGLE(MATCH(_xlfn.SINGLE(C:C),样品编号表!H:H,0))))</f>
        <v>8.2</v>
      </c>
      <c r="O186" s="16"/>
      <c r="P186" s="16">
        <f t="shared" si="11"/>
        <v>0</v>
      </c>
      <c r="Q186" s="15"/>
    </row>
    <row r="187" ht="18" hidden="1" customHeight="1" spans="1:17">
      <c r="A187" s="14">
        <v>46005</v>
      </c>
      <c r="B187" s="15" t="s">
        <v>12194</v>
      </c>
      <c r="C187" s="15" t="s">
        <v>7848</v>
      </c>
      <c r="D187" s="15" t="str">
        <f>_xlfn.SINGLE(INDEX(样品编号表!Y:Y,_xlfn.SINGLE(MATCH(_xlfn.SINGLE(C:C),样品编号表!H:H,0))))</f>
        <v>华越纺织</v>
      </c>
      <c r="E187" s="15" t="str">
        <f>_xlfn.SINGLE(INDEX(样品编号表!Z:Z,_xlfn.SINGLE(MATCH(_xlfn.SINGLE(C:C),样品编号表!H:H,0))))</f>
        <v>乐丽丝双层</v>
      </c>
      <c r="F187" s="15" t="s">
        <v>12290</v>
      </c>
      <c r="G187" s="15">
        <v>2</v>
      </c>
      <c r="H187" s="15" t="s">
        <v>12177</v>
      </c>
      <c r="I187" s="15">
        <v>2</v>
      </c>
      <c r="J187" s="14">
        <v>46008</v>
      </c>
      <c r="K187" s="16">
        <v>27</v>
      </c>
      <c r="L187" s="16">
        <f t="shared" si="12"/>
        <v>54</v>
      </c>
      <c r="M187" s="15" t="s">
        <v>12178</v>
      </c>
      <c r="N187" s="15">
        <f>_xlfn.SINGLE(INDEX(样品编号表!AA:AA,_xlfn.SINGLE(MATCH(_xlfn.SINGLE(C:C),样品编号表!H:H,0))))</f>
        <v>12.6</v>
      </c>
      <c r="O187" s="16"/>
      <c r="P187" s="16">
        <f t="shared" si="11"/>
        <v>0</v>
      </c>
      <c r="Q187" s="15"/>
    </row>
    <row r="188" ht="18" customHeight="1" spans="1:17">
      <c r="A188" s="14">
        <v>46007</v>
      </c>
      <c r="B188" s="15" t="s">
        <v>9156</v>
      </c>
      <c r="C188" s="15" t="s">
        <v>3618</v>
      </c>
      <c r="D188" s="15" t="str">
        <f>_xlfn.SINGLE(INDEX(样品编号表!Y:Y,_xlfn.SINGLE(MATCH(_xlfn.SINGLE(C:C),样品编号表!H:H,0))))</f>
        <v>万顺纺织</v>
      </c>
      <c r="E188" s="15" t="str">
        <f>_xlfn.SINGLE(INDEX(样品编号表!Z:Z,_xlfn.SINGLE(MATCH(_xlfn.SINGLE(C:C),样品编号表!H:H,0))))</f>
        <v>A8784</v>
      </c>
      <c r="F188" s="15" t="s">
        <v>12291</v>
      </c>
      <c r="G188" s="15">
        <v>15</v>
      </c>
      <c r="H188" s="15" t="s">
        <v>12177</v>
      </c>
      <c r="I188" s="15">
        <v>15</v>
      </c>
      <c r="J188" s="14">
        <v>46009</v>
      </c>
      <c r="K188" s="16"/>
      <c r="L188" s="16">
        <f t="shared" si="12"/>
        <v>0</v>
      </c>
      <c r="M188" s="15" t="s">
        <v>12178</v>
      </c>
      <c r="N188" s="15">
        <f>_xlfn.SINGLE(INDEX(样品编号表!AA:AA,_xlfn.SINGLE(MATCH(_xlfn.SINGLE(C:C),样品编号表!H:H,0))))</f>
        <v>8.8</v>
      </c>
      <c r="O188" s="16"/>
      <c r="P188" s="16">
        <f t="shared" si="11"/>
        <v>0</v>
      </c>
      <c r="Q188" s="15"/>
    </row>
    <row r="189" ht="18" customHeight="1" spans="1:17">
      <c r="A189" s="14">
        <v>46007</v>
      </c>
      <c r="B189" s="15" t="s">
        <v>9156</v>
      </c>
      <c r="C189" s="15" t="s">
        <v>3618</v>
      </c>
      <c r="D189" s="15" t="str">
        <f>_xlfn.SINGLE(INDEX(样品编号表!Y:Y,_xlfn.SINGLE(MATCH(_xlfn.SINGLE(C:C),样品编号表!H:H,0))))</f>
        <v>万顺纺织</v>
      </c>
      <c r="E189" s="15" t="str">
        <f>_xlfn.SINGLE(INDEX(样品编号表!Z:Z,_xlfn.SINGLE(MATCH(_xlfn.SINGLE(C:C),样品编号表!H:H,0))))</f>
        <v>A8784</v>
      </c>
      <c r="F189" s="15" t="s">
        <v>12292</v>
      </c>
      <c r="G189" s="15">
        <v>29</v>
      </c>
      <c r="H189" s="15" t="s">
        <v>12177</v>
      </c>
      <c r="I189" s="15">
        <v>29</v>
      </c>
      <c r="J189" s="14">
        <v>46009</v>
      </c>
      <c r="K189" s="16"/>
      <c r="L189" s="16">
        <f t="shared" si="12"/>
        <v>0</v>
      </c>
      <c r="M189" s="15" t="s">
        <v>12178</v>
      </c>
      <c r="N189" s="15">
        <f>_xlfn.SINGLE(INDEX(样品编号表!AA:AA,_xlfn.SINGLE(MATCH(_xlfn.SINGLE(C:C),样品编号表!H:H,0))))</f>
        <v>8.8</v>
      </c>
      <c r="O189" s="16"/>
      <c r="P189" s="16">
        <f t="shared" si="11"/>
        <v>0</v>
      </c>
      <c r="Q189" s="15"/>
    </row>
    <row r="190" ht="18" customHeight="1" spans="1:17">
      <c r="A190" s="14">
        <v>46007</v>
      </c>
      <c r="B190" s="15" t="s">
        <v>9156</v>
      </c>
      <c r="C190" s="15" t="s">
        <v>3618</v>
      </c>
      <c r="D190" s="15" t="str">
        <f>_xlfn.SINGLE(INDEX(样品编号表!Y:Y,_xlfn.SINGLE(MATCH(_xlfn.SINGLE(C:C),样品编号表!H:H,0))))</f>
        <v>万顺纺织</v>
      </c>
      <c r="E190" s="15" t="str">
        <f>_xlfn.SINGLE(INDEX(样品编号表!Z:Z,_xlfn.SINGLE(MATCH(_xlfn.SINGLE(C:C),样品编号表!H:H,0))))</f>
        <v>A8784</v>
      </c>
      <c r="F190" s="15" t="s">
        <v>12293</v>
      </c>
      <c r="G190" s="15">
        <v>7</v>
      </c>
      <c r="H190" s="15" t="s">
        <v>12177</v>
      </c>
      <c r="I190" s="15">
        <v>7</v>
      </c>
      <c r="J190" s="14">
        <v>46009</v>
      </c>
      <c r="K190" s="16"/>
      <c r="L190" s="16">
        <f t="shared" si="12"/>
        <v>0</v>
      </c>
      <c r="M190" s="15" t="s">
        <v>12178</v>
      </c>
      <c r="N190" s="15">
        <f>_xlfn.SINGLE(INDEX(样品编号表!AA:AA,_xlfn.SINGLE(MATCH(_xlfn.SINGLE(C:C),样品编号表!H:H,0))))</f>
        <v>8.8</v>
      </c>
      <c r="O190" s="16"/>
      <c r="P190" s="16">
        <f t="shared" si="11"/>
        <v>0</v>
      </c>
      <c r="Q190" s="15"/>
    </row>
    <row r="191" ht="18" hidden="1" customHeight="1" spans="1:17">
      <c r="A191" s="14">
        <v>46007</v>
      </c>
      <c r="B191" s="15" t="s">
        <v>12265</v>
      </c>
      <c r="C191" s="15" t="s">
        <v>4839</v>
      </c>
      <c r="D191" s="15" t="str">
        <f>_xlfn.SINGLE(INDEX(样品编号表!Y:Y,_xlfn.SINGLE(MATCH(_xlfn.SINGLE(C:C),样品编号表!H:H,0))))</f>
        <v>星海纺织</v>
      </c>
      <c r="E191" s="15" t="str">
        <f>_xlfn.SINGLE(INDEX(样品编号表!Z:Z,_xlfn.SINGLE(MATCH(_xlfn.SINGLE(C:C),样品编号表!H:H,0))))</f>
        <v>1L1010 酷丝绵罗纹</v>
      </c>
      <c r="F191" s="15" t="s">
        <v>12277</v>
      </c>
      <c r="G191" s="15">
        <v>2</v>
      </c>
      <c r="H191" s="15" t="s">
        <v>12177</v>
      </c>
      <c r="I191" s="15">
        <v>2</v>
      </c>
      <c r="J191" s="14">
        <v>46010</v>
      </c>
      <c r="K191" s="16"/>
      <c r="L191" s="16">
        <f t="shared" si="12"/>
        <v>0</v>
      </c>
      <c r="M191" s="15" t="s">
        <v>12178</v>
      </c>
      <c r="N191" s="15">
        <f>_xlfn.SINGLE(INDEX(样品编号表!AA:AA,_xlfn.SINGLE(MATCH(_xlfn.SINGLE(C:C),样品编号表!H:H,0))))</f>
        <v>30.5</v>
      </c>
      <c r="O191" s="16"/>
      <c r="P191" s="16">
        <f t="shared" si="11"/>
        <v>0</v>
      </c>
      <c r="Q191" s="15"/>
    </row>
    <row r="192" ht="18" hidden="1" customHeight="1" spans="1:17">
      <c r="A192" s="14">
        <v>46008</v>
      </c>
      <c r="B192" s="15" t="s">
        <v>12194</v>
      </c>
      <c r="C192" s="15" t="s">
        <v>4665</v>
      </c>
      <c r="D192" s="15" t="str">
        <f>_xlfn.SINGLE(INDEX(样品编号表!Y:Y,_xlfn.SINGLE(MATCH(_xlfn.SINGLE(C:C),样品编号表!H:H,0))))</f>
        <v>衣雅</v>
      </c>
      <c r="E192" s="15" t="str">
        <f>_xlfn.SINGLE(INDEX(样品编号表!Z:Z,_xlfn.SINGLE(MATCH(_xlfn.SINGLE(C:C),样品编号表!H:H,0))))</f>
        <v>潮牌双纱YY915</v>
      </c>
      <c r="F192" s="15" t="s">
        <v>12294</v>
      </c>
      <c r="G192" s="15">
        <v>1</v>
      </c>
      <c r="H192" s="15" t="s">
        <v>12177</v>
      </c>
      <c r="I192" s="15">
        <v>1</v>
      </c>
      <c r="J192" s="14">
        <v>46011</v>
      </c>
      <c r="K192" s="16"/>
      <c r="L192" s="16">
        <f t="shared" si="12"/>
        <v>0</v>
      </c>
      <c r="M192" s="15" t="s">
        <v>12178</v>
      </c>
      <c r="N192" s="15">
        <f>_xlfn.SINGLE(INDEX(样品编号表!AA:AA,_xlfn.SINGLE(MATCH(_xlfn.SINGLE(C:C),样品编号表!H:H,0))))</f>
        <v>43.2</v>
      </c>
      <c r="O192" s="16"/>
      <c r="P192" s="16">
        <f t="shared" si="11"/>
        <v>0</v>
      </c>
      <c r="Q192" s="15" t="s">
        <v>9776</v>
      </c>
    </row>
    <row r="193" ht="18" hidden="1" customHeight="1" spans="1:17">
      <c r="A193" s="14">
        <v>46008</v>
      </c>
      <c r="B193" s="15" t="s">
        <v>12194</v>
      </c>
      <c r="C193" s="15" t="s">
        <v>4665</v>
      </c>
      <c r="D193" s="15" t="str">
        <f>_xlfn.SINGLE(INDEX(样品编号表!Y:Y,_xlfn.SINGLE(MATCH(_xlfn.SINGLE(C:C),样品编号表!H:H,0))))</f>
        <v>衣雅</v>
      </c>
      <c r="E193" s="15" t="str">
        <f>_xlfn.SINGLE(INDEX(样品编号表!Z:Z,_xlfn.SINGLE(MATCH(_xlfn.SINGLE(C:C),样品编号表!H:H,0))))</f>
        <v>潮牌双纱YY915</v>
      </c>
      <c r="F193" s="15" t="s">
        <v>12295</v>
      </c>
      <c r="G193" s="15">
        <v>1</v>
      </c>
      <c r="H193" s="15" t="s">
        <v>12177</v>
      </c>
      <c r="I193" s="15">
        <v>1</v>
      </c>
      <c r="J193" s="14">
        <v>46011</v>
      </c>
      <c r="K193" s="16"/>
      <c r="L193" s="16">
        <f t="shared" si="12"/>
        <v>0</v>
      </c>
      <c r="M193" s="15" t="s">
        <v>12178</v>
      </c>
      <c r="N193" s="15">
        <f>_xlfn.SINGLE(INDEX(样品编号表!AA:AA,_xlfn.SINGLE(MATCH(_xlfn.SINGLE(C:C),样品编号表!H:H,0))))</f>
        <v>43.2</v>
      </c>
      <c r="O193" s="16"/>
      <c r="P193" s="16">
        <f t="shared" si="11"/>
        <v>0</v>
      </c>
      <c r="Q193" s="15" t="s">
        <v>9776</v>
      </c>
    </row>
    <row r="194" ht="18" hidden="1" customHeight="1" spans="1:17">
      <c r="A194" s="14">
        <v>46009</v>
      </c>
      <c r="B194" s="15" t="s">
        <v>12194</v>
      </c>
      <c r="C194" s="15" t="s">
        <v>4729</v>
      </c>
      <c r="D194" s="15" t="str">
        <f>_xlfn.SINGLE(INDEX(样品编号表!Y:Y,_xlfn.SINGLE(MATCH(_xlfn.SINGLE(C:C),样品编号表!H:H,0))))</f>
        <v>荣玺</v>
      </c>
      <c r="E194" s="15" t="str">
        <f>_xlfn.SINGLE(INDEX(样品编号表!Z:Z,_xlfn.SINGLE(MATCH(_xlfn.SINGLE(C:C),样品编号表!H:H,0))))</f>
        <v>弹力格</v>
      </c>
      <c r="F194" s="15" t="s">
        <v>12296</v>
      </c>
      <c r="G194" s="15">
        <v>7</v>
      </c>
      <c r="H194" s="15" t="s">
        <v>12177</v>
      </c>
      <c r="I194" s="15">
        <v>7</v>
      </c>
      <c r="J194" s="14">
        <v>46011</v>
      </c>
      <c r="K194" s="16"/>
      <c r="L194" s="16">
        <f t="shared" si="12"/>
        <v>0</v>
      </c>
      <c r="M194" s="15" t="s">
        <v>12178</v>
      </c>
      <c r="N194" s="15">
        <f>_xlfn.SINGLE(INDEX(样品编号表!AA:AA,_xlfn.SINGLE(MATCH(_xlfn.SINGLE(C:C),样品编号表!H:H,0))))</f>
        <v>15.8</v>
      </c>
      <c r="O194" s="16"/>
      <c r="P194" s="16">
        <f t="shared" si="11"/>
        <v>0</v>
      </c>
      <c r="Q194" s="15"/>
    </row>
    <row r="195" ht="18" hidden="1" customHeight="1" spans="1:17">
      <c r="A195" s="14">
        <v>46008</v>
      </c>
      <c r="B195" s="15" t="s">
        <v>12297</v>
      </c>
      <c r="C195" s="15" t="s">
        <v>2638</v>
      </c>
      <c r="D195" s="15" t="str">
        <f>_xlfn.SINGLE(INDEX(样品编号表!Y:Y,_xlfn.SINGLE(MATCH(_xlfn.SINGLE(C:C),样品编号表!H:H,0))))</f>
        <v>新嘉彩</v>
      </c>
      <c r="E195" s="15">
        <f>_xlfn.SINGLE(INDEX(样品编号表!Z:Z,_xlfn.SINGLE(MATCH(_xlfn.SINGLE(C:C),样品编号表!H:H,0))))</f>
        <v>938</v>
      </c>
      <c r="F195" s="15" t="s">
        <v>12298</v>
      </c>
      <c r="G195" s="15">
        <v>2</v>
      </c>
      <c r="H195" s="15" t="s">
        <v>12177</v>
      </c>
      <c r="I195" s="15">
        <v>2</v>
      </c>
      <c r="J195" s="14">
        <v>46011</v>
      </c>
      <c r="K195" s="16"/>
      <c r="L195" s="16">
        <f t="shared" si="12"/>
        <v>0</v>
      </c>
      <c r="M195" s="15" t="s">
        <v>12178</v>
      </c>
      <c r="N195" s="15">
        <f>_xlfn.SINGLE(INDEX(样品编号表!AA:AA,_xlfn.SINGLE(MATCH(_xlfn.SINGLE(C:C),样品编号表!H:H,0))))</f>
        <v>8.8</v>
      </c>
      <c r="O195" s="16"/>
      <c r="P195" s="16">
        <f t="shared" si="11"/>
        <v>0</v>
      </c>
      <c r="Q195" s="15"/>
    </row>
    <row r="196" ht="18" hidden="1" customHeight="1" spans="1:17">
      <c r="A196" s="14">
        <v>46009</v>
      </c>
      <c r="B196" s="15" t="s">
        <v>12180</v>
      </c>
      <c r="C196" s="15" t="s">
        <v>2607</v>
      </c>
      <c r="D196" s="15" t="str">
        <f>_xlfn.SINGLE(INDEX(样品编号表!Y:Y,_xlfn.SINGLE(MATCH(_xlfn.SINGLE(C:C),样品编号表!H:H,0))))</f>
        <v>锦地印染</v>
      </c>
      <c r="E196" s="15">
        <f>_xlfn.SINGLE(INDEX(样品编号表!Z:Z,_xlfn.SINGLE(MATCH(_xlfn.SINGLE(C:C),样品编号表!H:H,0))))</f>
        <v>10993</v>
      </c>
      <c r="F196" s="15" t="s">
        <v>12214</v>
      </c>
      <c r="G196" s="15">
        <v>3</v>
      </c>
      <c r="H196" s="15" t="s">
        <v>12177</v>
      </c>
      <c r="I196" s="15">
        <v>3</v>
      </c>
      <c r="J196" s="14">
        <v>46010</v>
      </c>
      <c r="K196" s="16"/>
      <c r="L196" s="16">
        <f t="shared" si="12"/>
        <v>0</v>
      </c>
      <c r="M196" s="15" t="s">
        <v>12178</v>
      </c>
      <c r="N196" s="15">
        <f>_xlfn.SINGLE(INDEX(样品编号表!AA:AA,_xlfn.SINGLE(MATCH(_xlfn.SINGLE(C:C),样品编号表!H:H,0))))</f>
        <v>8.2</v>
      </c>
      <c r="O196" s="16"/>
      <c r="P196" s="16">
        <f t="shared" si="11"/>
        <v>0</v>
      </c>
      <c r="Q196" s="15"/>
    </row>
    <row r="197" ht="18" hidden="1" customHeight="1" spans="1:17">
      <c r="A197" s="14">
        <v>46009</v>
      </c>
      <c r="B197" s="15" t="s">
        <v>12297</v>
      </c>
      <c r="C197" s="15" t="s">
        <v>427</v>
      </c>
      <c r="D197" s="15" t="str">
        <f>_xlfn.SINGLE(INDEX(样品编号表!Y:Y,_xlfn.SINGLE(MATCH(_xlfn.SINGLE(C:C),样品编号表!H:H,0))))</f>
        <v>凯盛亨</v>
      </c>
      <c r="E197" s="15" t="str">
        <f>_xlfn.SINGLE(INDEX(样品编号表!Z:Z,_xlfn.SINGLE(MATCH(_xlfn.SINGLE(C:C),样品编号表!H:H,0))))</f>
        <v>262#</v>
      </c>
      <c r="F197" s="15" t="s">
        <v>12299</v>
      </c>
      <c r="G197" s="15">
        <v>2</v>
      </c>
      <c r="H197" s="15" t="s">
        <v>12177</v>
      </c>
      <c r="I197" s="15">
        <v>2</v>
      </c>
      <c r="J197" s="14">
        <v>46011</v>
      </c>
      <c r="K197" s="16">
        <v>23</v>
      </c>
      <c r="L197" s="16">
        <f t="shared" si="12"/>
        <v>46</v>
      </c>
      <c r="M197" s="15" t="s">
        <v>12178</v>
      </c>
      <c r="N197" s="15">
        <f>_xlfn.SINGLE(INDEX(样品编号表!AA:AA,_xlfn.SINGLE(MATCH(_xlfn.SINGLE(C:C),样品编号表!H:H,0))))</f>
        <v>10.5</v>
      </c>
      <c r="O197" s="16">
        <v>16</v>
      </c>
      <c r="P197" s="16">
        <f t="shared" si="11"/>
        <v>32</v>
      </c>
      <c r="Q197" s="15"/>
    </row>
    <row r="198" ht="18" hidden="1" customHeight="1" spans="1:17">
      <c r="A198" s="14">
        <v>46010</v>
      </c>
      <c r="B198" s="15" t="s">
        <v>12297</v>
      </c>
      <c r="C198" s="15" t="s">
        <v>2988</v>
      </c>
      <c r="D198" s="15" t="str">
        <f>_xlfn.SINGLE(INDEX(样品编号表!Y:Y,_xlfn.SINGLE(MATCH(_xlfn.SINGLE(C:C),样品编号表!H:H,0))))</f>
        <v>隆发</v>
      </c>
      <c r="E198" s="15" t="str">
        <f>_xlfn.SINGLE(INDEX(样品编号表!Z:Z,_xlfn.SINGLE(MATCH(_xlfn.SINGLE(C:C),样品编号表!H:H,0))))</f>
        <v>M022#</v>
      </c>
      <c r="F198" s="15" t="s">
        <v>12300</v>
      </c>
      <c r="G198" s="15">
        <v>2</v>
      </c>
      <c r="H198" s="15" t="s">
        <v>12177</v>
      </c>
      <c r="I198" s="15">
        <v>2</v>
      </c>
      <c r="J198" s="14">
        <v>46015</v>
      </c>
      <c r="K198" s="16"/>
      <c r="L198" s="16">
        <f t="shared" si="12"/>
        <v>0</v>
      </c>
      <c r="M198" s="15" t="s">
        <v>12178</v>
      </c>
      <c r="N198" s="15">
        <f>_xlfn.SINGLE(INDEX(样品编号表!AA:AA,_xlfn.SINGLE(MATCH(_xlfn.SINGLE(C:C),样品编号表!H:H,0))))</f>
        <v>15.2</v>
      </c>
      <c r="O198" s="16"/>
      <c r="P198" s="16">
        <f t="shared" si="11"/>
        <v>0</v>
      </c>
      <c r="Q198" s="15"/>
    </row>
    <row r="199" ht="18" hidden="1" customHeight="1" spans="1:17">
      <c r="A199" s="14">
        <v>46010</v>
      </c>
      <c r="B199" s="15" t="s">
        <v>12245</v>
      </c>
      <c r="C199" s="15" t="s">
        <v>2950</v>
      </c>
      <c r="D199" s="15" t="str">
        <f>_xlfn.SINGLE(INDEX(样品编号表!Y:Y,_xlfn.SINGLE(MATCH(_xlfn.SINGLE(C:C),样品编号表!H:H,0))))</f>
        <v>凯盛亨</v>
      </c>
      <c r="E199" s="15" t="str">
        <f>_xlfn.SINGLE(INDEX(样品编号表!Z:Z,_xlfn.SINGLE(MATCH(_xlfn.SINGLE(C:C),样品编号表!H:H,0))))</f>
        <v>1009#</v>
      </c>
      <c r="F199" s="15" t="s">
        <v>12213</v>
      </c>
      <c r="G199" s="15">
        <v>2</v>
      </c>
      <c r="H199" s="15" t="s">
        <v>12177</v>
      </c>
      <c r="I199" s="15">
        <v>2</v>
      </c>
      <c r="J199" s="14">
        <v>46014</v>
      </c>
      <c r="K199" s="16"/>
      <c r="L199" s="16">
        <f t="shared" si="12"/>
        <v>0</v>
      </c>
      <c r="M199" s="15" t="s">
        <v>12178</v>
      </c>
      <c r="N199" s="15">
        <f>_xlfn.SINGLE(INDEX(样品编号表!AA:AA,_xlfn.SINGLE(MATCH(_xlfn.SINGLE(C:C),样品编号表!H:H,0))))</f>
        <v>13.9</v>
      </c>
      <c r="O199" s="16"/>
      <c r="P199" s="16">
        <f t="shared" si="11"/>
        <v>0</v>
      </c>
      <c r="Q199" s="15"/>
    </row>
    <row r="200" ht="18" hidden="1" customHeight="1" spans="1:17">
      <c r="A200" s="14">
        <v>46010</v>
      </c>
      <c r="B200" s="15" t="s">
        <v>12245</v>
      </c>
      <c r="C200" s="15" t="s">
        <v>6559</v>
      </c>
      <c r="D200" s="15" t="str">
        <f>_xlfn.SINGLE(INDEX(样品编号表!Y:Y,_xlfn.SINGLE(MATCH(_xlfn.SINGLE(C:C),样品编号表!H:H,0))))</f>
        <v>达昇</v>
      </c>
      <c r="E200" s="15" t="str">
        <f>_xlfn.SINGLE(INDEX(样品编号表!Z:Z,_xlfn.SINGLE(MATCH(_xlfn.SINGLE(C:C),样品编号表!H:H,0))))</f>
        <v>N00549#</v>
      </c>
      <c r="F200" s="15" t="s">
        <v>12213</v>
      </c>
      <c r="G200" s="15">
        <v>3</v>
      </c>
      <c r="H200" s="15" t="s">
        <v>12177</v>
      </c>
      <c r="I200" s="15">
        <v>3</v>
      </c>
      <c r="J200" s="14">
        <v>46013</v>
      </c>
      <c r="K200" s="16"/>
      <c r="L200" s="16">
        <f t="shared" si="12"/>
        <v>0</v>
      </c>
      <c r="M200" s="15" t="s">
        <v>12178</v>
      </c>
      <c r="N200" s="15">
        <f>_xlfn.SINGLE(INDEX(样品编号表!AA:AA,_xlfn.SINGLE(MATCH(_xlfn.SINGLE(C:C),样品编号表!H:H,0))))</f>
        <v>22.6</v>
      </c>
      <c r="O200" s="16"/>
      <c r="P200" s="16">
        <f t="shared" si="11"/>
        <v>0</v>
      </c>
      <c r="Q200" s="15"/>
    </row>
    <row r="201" ht="18" hidden="1" customHeight="1" spans="1:17">
      <c r="A201" s="14">
        <v>46010</v>
      </c>
      <c r="B201" s="15" t="s">
        <v>12245</v>
      </c>
      <c r="C201" s="15" t="s">
        <v>6559</v>
      </c>
      <c r="D201" s="15" t="str">
        <f>_xlfn.SINGLE(INDEX(样品编号表!Y:Y,_xlfn.SINGLE(MATCH(_xlfn.SINGLE(C:C),样品编号表!H:H,0))))</f>
        <v>达昇</v>
      </c>
      <c r="E201" s="15" t="str">
        <f>_xlfn.SINGLE(INDEX(样品编号表!Z:Z,_xlfn.SINGLE(MATCH(_xlfn.SINGLE(C:C),样品编号表!H:H,0))))</f>
        <v>N00549#</v>
      </c>
      <c r="F201" s="15" t="s">
        <v>12301</v>
      </c>
      <c r="G201" s="15">
        <v>3</v>
      </c>
      <c r="H201" s="15" t="s">
        <v>12177</v>
      </c>
      <c r="I201" s="15">
        <v>3</v>
      </c>
      <c r="J201" s="14">
        <v>46013</v>
      </c>
      <c r="K201" s="16"/>
      <c r="L201" s="16">
        <f t="shared" si="12"/>
        <v>0</v>
      </c>
      <c r="M201" s="15" t="s">
        <v>12178</v>
      </c>
      <c r="N201" s="15">
        <f>_xlfn.SINGLE(INDEX(样品编号表!AA:AA,_xlfn.SINGLE(MATCH(_xlfn.SINGLE(C:C),样品编号表!H:H,0))))</f>
        <v>22.6</v>
      </c>
      <c r="O201" s="16"/>
      <c r="P201" s="16">
        <f t="shared" si="11"/>
        <v>0</v>
      </c>
      <c r="Q201" s="15"/>
    </row>
    <row r="202" ht="18" hidden="1" customHeight="1" spans="1:17">
      <c r="A202" s="14">
        <v>46010</v>
      </c>
      <c r="B202" s="15" t="s">
        <v>12180</v>
      </c>
      <c r="C202" s="15" t="s">
        <v>2155</v>
      </c>
      <c r="D202" s="15" t="str">
        <f>_xlfn.SINGLE(INDEX(样品编号表!Y:Y,_xlfn.SINGLE(MATCH(_xlfn.SINGLE(C:C),样品编号表!H:H,0))))</f>
        <v>润森</v>
      </c>
      <c r="E202" s="15" t="str">
        <f>_xlfn.SINGLE(INDEX(样品编号表!Z:Z,_xlfn.SINGLE(MATCH(_xlfn.SINGLE(C:C),样品编号表!H:H,0))))</f>
        <v>华尔缎</v>
      </c>
      <c r="F202" s="15" t="s">
        <v>12249</v>
      </c>
      <c r="G202" s="15">
        <v>2</v>
      </c>
      <c r="H202" s="15" t="s">
        <v>12177</v>
      </c>
      <c r="I202" s="15">
        <v>2</v>
      </c>
      <c r="J202" s="14">
        <v>46013</v>
      </c>
      <c r="K202" s="16">
        <v>18</v>
      </c>
      <c r="L202" s="16">
        <f t="shared" si="12"/>
        <v>36</v>
      </c>
      <c r="M202" s="15" t="s">
        <v>12178</v>
      </c>
      <c r="N202" s="15">
        <f>_xlfn.SINGLE(INDEX(样品编号表!AA:AA,_xlfn.SINGLE(MATCH(_xlfn.SINGLE(C:C),样品编号表!H:H,0))))</f>
        <v>10.5</v>
      </c>
      <c r="O202" s="16">
        <v>15</v>
      </c>
      <c r="P202" s="16">
        <f t="shared" si="11"/>
        <v>30</v>
      </c>
      <c r="Q202" s="15"/>
    </row>
    <row r="203" ht="18" hidden="1" customHeight="1" spans="1:17">
      <c r="A203" s="14">
        <v>46010</v>
      </c>
      <c r="B203" s="15" t="s">
        <v>12180</v>
      </c>
      <c r="C203" s="15" t="s">
        <v>1780</v>
      </c>
      <c r="D203" s="15" t="str">
        <f>_xlfn.SINGLE(INDEX(样品编号表!Y:Y,_xlfn.SINGLE(MATCH(_xlfn.SINGLE(C:C),样品编号表!H:H,0))))</f>
        <v>艺纺</v>
      </c>
      <c r="E203" s="15" t="str">
        <f>_xlfn.SINGLE(INDEX(样品编号表!Z:Z,_xlfn.SINGLE(MATCH(_xlfn.SINGLE(C:C),样品编号表!H:H,0))))</f>
        <v>11865-3</v>
      </c>
      <c r="F203" s="15" t="s">
        <v>12302</v>
      </c>
      <c r="G203" s="15">
        <v>2</v>
      </c>
      <c r="H203" s="15" t="s">
        <v>12177</v>
      </c>
      <c r="I203" s="15">
        <v>2</v>
      </c>
      <c r="J203" s="14">
        <v>46013</v>
      </c>
      <c r="K203" s="16"/>
      <c r="L203" s="16">
        <f t="shared" si="12"/>
        <v>0</v>
      </c>
      <c r="M203" s="15" t="s">
        <v>12178</v>
      </c>
      <c r="N203" s="15">
        <f>_xlfn.SINGLE(INDEX(样品编号表!AA:AA,_xlfn.SINGLE(MATCH(_xlfn.SINGLE(C:C),样品编号表!H:H,0))))</f>
        <v>12.8</v>
      </c>
      <c r="O203" s="16"/>
      <c r="P203" s="16">
        <f t="shared" si="11"/>
        <v>0</v>
      </c>
      <c r="Q203" s="15"/>
    </row>
    <row r="204" ht="18" hidden="1" customHeight="1" spans="1:17">
      <c r="A204" s="14">
        <v>46010</v>
      </c>
      <c r="B204" s="15" t="s">
        <v>12180</v>
      </c>
      <c r="C204" s="15" t="s">
        <v>492</v>
      </c>
      <c r="D204" s="15" t="str">
        <f>_xlfn.SINGLE(INDEX(样品编号表!Y:Y,_xlfn.SINGLE(MATCH(_xlfn.SINGLE(C:C),样品编号表!H:H,0))))</f>
        <v>光大纺织</v>
      </c>
      <c r="E204" s="15" t="str">
        <f>_xlfn.SINGLE(INDEX(样品编号表!Z:Z,_xlfn.SINGLE(MATCH(_xlfn.SINGLE(C:C),样品编号表!H:H,0))))</f>
        <v>TR439</v>
      </c>
      <c r="F204" s="15" t="s">
        <v>12261</v>
      </c>
      <c r="G204" s="15">
        <v>1</v>
      </c>
      <c r="H204" s="15" t="s">
        <v>12177</v>
      </c>
      <c r="I204" s="15">
        <v>1</v>
      </c>
      <c r="J204" s="14">
        <v>46013</v>
      </c>
      <c r="K204" s="16">
        <v>26</v>
      </c>
      <c r="L204" s="16">
        <f t="shared" si="12"/>
        <v>26</v>
      </c>
      <c r="M204" s="15" t="s">
        <v>12178</v>
      </c>
      <c r="N204" s="15">
        <f>_xlfn.SINGLE(INDEX(样品编号表!AA:AA,_xlfn.SINGLE(MATCH(_xlfn.SINGLE(C:C),样品编号表!H:H,0))))</f>
        <v>12.3</v>
      </c>
      <c r="O204" s="16">
        <v>17</v>
      </c>
      <c r="P204" s="16">
        <f t="shared" si="11"/>
        <v>17</v>
      </c>
      <c r="Q204" s="15"/>
    </row>
    <row r="205" ht="18" hidden="1" customHeight="1" spans="1:17">
      <c r="A205" s="14">
        <v>46013</v>
      </c>
      <c r="B205" s="15" t="s">
        <v>9156</v>
      </c>
      <c r="C205" s="15" t="s">
        <v>2113</v>
      </c>
      <c r="D205" s="15" t="str">
        <f>_xlfn.SINGLE(INDEX(样品编号表!Y:Y,_xlfn.SINGLE(MATCH(_xlfn.SINGLE(C:C),样品编号表!H:H,0))))</f>
        <v>凯盛亨</v>
      </c>
      <c r="E205" s="15" t="str">
        <f>_xlfn.SINGLE(INDEX(样品编号表!Z:Z,_xlfn.SINGLE(MATCH(_xlfn.SINGLE(C:C),样品编号表!H:H,0))))</f>
        <v>839#</v>
      </c>
      <c r="F205" s="15" t="s">
        <v>12213</v>
      </c>
      <c r="G205" s="15">
        <v>6</v>
      </c>
      <c r="H205" s="15" t="s">
        <v>12177</v>
      </c>
      <c r="I205" s="15">
        <v>6</v>
      </c>
      <c r="J205" s="14">
        <v>46014</v>
      </c>
      <c r="K205" s="16">
        <v>20</v>
      </c>
      <c r="L205" s="16">
        <f t="shared" si="12"/>
        <v>120</v>
      </c>
      <c r="M205" s="15" t="s">
        <v>12178</v>
      </c>
      <c r="N205" s="15">
        <f>_xlfn.SINGLE(INDEX(样品编号表!AA:AA,_xlfn.SINGLE(MATCH(_xlfn.SINGLE(C:C),样品编号表!H:H,0))))</f>
        <v>11.3</v>
      </c>
      <c r="O205" s="16">
        <v>16</v>
      </c>
      <c r="P205" s="16">
        <f t="shared" si="11"/>
        <v>96</v>
      </c>
      <c r="Q205" s="15"/>
    </row>
    <row r="206" ht="18" hidden="1" customHeight="1" spans="1:17">
      <c r="A206" s="14">
        <v>46013</v>
      </c>
      <c r="B206" s="15" t="s">
        <v>9156</v>
      </c>
      <c r="C206" s="15" t="s">
        <v>2771</v>
      </c>
      <c r="D206" s="15" t="str">
        <f>_xlfn.SINGLE(INDEX(样品编号表!Y:Y,_xlfn.SINGLE(MATCH(_xlfn.SINGLE(C:C),样品编号表!H:H,0))))</f>
        <v>新合盛布业</v>
      </c>
      <c r="E206" s="15">
        <f>_xlfn.SINGLE(INDEX(样品编号表!Z:Z,_xlfn.SINGLE(MATCH(_xlfn.SINGLE(C:C),样品编号表!H:H,0))))</f>
        <v>8112</v>
      </c>
      <c r="F206" s="15" t="s">
        <v>12214</v>
      </c>
      <c r="G206" s="15">
        <v>11</v>
      </c>
      <c r="H206" s="15" t="s">
        <v>12177</v>
      </c>
      <c r="I206" s="15">
        <v>11</v>
      </c>
      <c r="J206" s="14">
        <v>46014</v>
      </c>
      <c r="K206" s="16">
        <v>17</v>
      </c>
      <c r="L206" s="16">
        <f t="shared" si="12"/>
        <v>187</v>
      </c>
      <c r="M206" s="15" t="s">
        <v>12178</v>
      </c>
      <c r="N206" s="15">
        <f>_xlfn.SINGLE(INDEX(样品编号表!AA:AA,_xlfn.SINGLE(MATCH(_xlfn.SINGLE(C:C),样品编号表!H:H,0))))</f>
        <v>9.6</v>
      </c>
      <c r="O206" s="16">
        <v>15</v>
      </c>
      <c r="P206" s="16">
        <f t="shared" si="11"/>
        <v>165</v>
      </c>
      <c r="Q206" s="15"/>
    </row>
    <row r="207" ht="18" hidden="1" customHeight="1" spans="1:17">
      <c r="A207" s="14">
        <v>46013</v>
      </c>
      <c r="B207" s="15" t="s">
        <v>9156</v>
      </c>
      <c r="C207" s="15" t="s">
        <v>2638</v>
      </c>
      <c r="D207" s="15" t="str">
        <f>_xlfn.SINGLE(INDEX(样品编号表!Y:Y,_xlfn.SINGLE(MATCH(_xlfn.SINGLE(C:C),样品编号表!H:H,0))))</f>
        <v>新嘉彩</v>
      </c>
      <c r="E207" s="15">
        <f>_xlfn.SINGLE(INDEX(样品编号表!Z:Z,_xlfn.SINGLE(MATCH(_xlfn.SINGLE(C:C),样品编号表!H:H,0))))</f>
        <v>938</v>
      </c>
      <c r="F207" s="15" t="s">
        <v>12214</v>
      </c>
      <c r="G207" s="15">
        <v>3</v>
      </c>
      <c r="H207" s="15" t="s">
        <v>12177</v>
      </c>
      <c r="I207" s="15">
        <v>3</v>
      </c>
      <c r="J207" s="14">
        <v>46014</v>
      </c>
      <c r="K207" s="16"/>
      <c r="L207" s="16">
        <f t="shared" si="12"/>
        <v>0</v>
      </c>
      <c r="M207" s="15" t="s">
        <v>12178</v>
      </c>
      <c r="N207" s="15">
        <f>_xlfn.SINGLE(INDEX(样品编号表!AA:AA,_xlfn.SINGLE(MATCH(_xlfn.SINGLE(C:C),样品编号表!H:H,0))))</f>
        <v>8.8</v>
      </c>
      <c r="O207" s="16"/>
      <c r="P207" s="16">
        <f t="shared" si="11"/>
        <v>0</v>
      </c>
      <c r="Q207" s="15"/>
    </row>
    <row r="208" ht="18" hidden="1" customHeight="1" spans="1:17">
      <c r="A208" s="14">
        <v>46013</v>
      </c>
      <c r="B208" s="15" t="s">
        <v>9156</v>
      </c>
      <c r="C208" s="15" t="s">
        <v>1593</v>
      </c>
      <c r="D208" s="15" t="str">
        <f>_xlfn.SINGLE(INDEX(样品编号表!Y:Y,_xlfn.SINGLE(MATCH(_xlfn.SINGLE(C:C),样品编号表!H:H,0))))</f>
        <v>宝隆纺织</v>
      </c>
      <c r="E208" s="15">
        <f>_xlfn.SINGLE(INDEX(样品编号表!Z:Z,_xlfn.SINGLE(MATCH(_xlfn.SINGLE(C:C),样品编号表!H:H,0))))</f>
        <v>1562</v>
      </c>
      <c r="F208" s="15" t="s">
        <v>12239</v>
      </c>
      <c r="G208" s="15">
        <v>7</v>
      </c>
      <c r="H208" s="15" t="s">
        <v>12177</v>
      </c>
      <c r="I208" s="15">
        <v>7</v>
      </c>
      <c r="J208" s="14">
        <v>46014</v>
      </c>
      <c r="K208" s="16"/>
      <c r="L208" s="16">
        <f t="shared" si="12"/>
        <v>0</v>
      </c>
      <c r="M208" s="15" t="s">
        <v>12178</v>
      </c>
      <c r="N208" s="15">
        <f>_xlfn.SINGLE(INDEX(样品编号表!AA:AA,_xlfn.SINGLE(MATCH(_xlfn.SINGLE(C:C),样品编号表!H:H,0))))</f>
        <v>6.8</v>
      </c>
      <c r="O208" s="16"/>
      <c r="P208" s="16">
        <f t="shared" ref="P208:P242" si="13">I208*O208</f>
        <v>0</v>
      </c>
      <c r="Q208" s="15"/>
    </row>
    <row r="209" ht="18" hidden="1" customHeight="1" spans="1:17">
      <c r="A209" s="14">
        <v>46013</v>
      </c>
      <c r="B209" s="15" t="s">
        <v>9156</v>
      </c>
      <c r="C209" s="15" t="s">
        <v>5290</v>
      </c>
      <c r="D209" s="15" t="str">
        <f>_xlfn.SINGLE(INDEX(样品编号表!Y:Y,_xlfn.SINGLE(MATCH(_xlfn.SINGLE(C:C),样品编号表!H:H,0))))</f>
        <v>千姿纺织</v>
      </c>
      <c r="E209" s="15">
        <f>_xlfn.SINGLE(INDEX(样品编号表!Z:Z,_xlfn.SINGLE(MATCH(_xlfn.SINGLE(C:C),样品编号表!H:H,0))))</f>
        <v>2042</v>
      </c>
      <c r="F209" s="15" t="s">
        <v>12206</v>
      </c>
      <c r="G209" s="15">
        <v>4</v>
      </c>
      <c r="H209" s="15" t="s">
        <v>12177</v>
      </c>
      <c r="I209" s="15">
        <v>4</v>
      </c>
      <c r="J209" s="14">
        <v>46014</v>
      </c>
      <c r="K209" s="16">
        <v>23</v>
      </c>
      <c r="L209" s="16">
        <f t="shared" si="12"/>
        <v>92</v>
      </c>
      <c r="M209" s="15" t="s">
        <v>12178</v>
      </c>
      <c r="N209" s="15">
        <f>_xlfn.SINGLE(INDEX(样品编号表!AA:AA,_xlfn.SINGLE(MATCH(_xlfn.SINGLE(C:C),样品编号表!H:H,0))))</f>
        <v>8.3</v>
      </c>
      <c r="O209" s="16"/>
      <c r="P209" s="16">
        <f t="shared" si="13"/>
        <v>0</v>
      </c>
      <c r="Q209" s="15"/>
    </row>
    <row r="210" ht="18" hidden="1" customHeight="1" spans="1:17">
      <c r="A210" s="14">
        <v>46013</v>
      </c>
      <c r="B210" s="15" t="s">
        <v>9156</v>
      </c>
      <c r="C210" s="15" t="s">
        <v>5290</v>
      </c>
      <c r="D210" s="15" t="str">
        <f>_xlfn.SINGLE(INDEX(样品编号表!Y:Y,_xlfn.SINGLE(MATCH(_xlfn.SINGLE(C:C),样品编号表!H:H,0))))</f>
        <v>千姿纺织</v>
      </c>
      <c r="E210" s="15">
        <f>_xlfn.SINGLE(INDEX(样品编号表!Z:Z,_xlfn.SINGLE(MATCH(_xlfn.SINGLE(C:C),样品编号表!H:H,0))))</f>
        <v>2042</v>
      </c>
      <c r="F210" s="15" t="s">
        <v>12213</v>
      </c>
      <c r="G210" s="15">
        <v>5</v>
      </c>
      <c r="H210" s="15" t="s">
        <v>12177</v>
      </c>
      <c r="I210" s="15">
        <v>5</v>
      </c>
      <c r="J210" s="14">
        <v>46014</v>
      </c>
      <c r="K210" s="16">
        <v>23</v>
      </c>
      <c r="L210" s="16">
        <f t="shared" si="12"/>
        <v>115</v>
      </c>
      <c r="M210" s="15" t="s">
        <v>12178</v>
      </c>
      <c r="N210" s="15">
        <f>_xlfn.SINGLE(INDEX(样品编号表!AA:AA,_xlfn.SINGLE(MATCH(_xlfn.SINGLE(C:C),样品编号表!H:H,0))))</f>
        <v>8.3</v>
      </c>
      <c r="O210" s="16"/>
      <c r="P210" s="16">
        <f t="shared" si="13"/>
        <v>0</v>
      </c>
      <c r="Q210" s="15"/>
    </row>
    <row r="211" ht="18" hidden="1" customHeight="1" spans="1:17">
      <c r="A211" s="14">
        <v>46013</v>
      </c>
      <c r="B211" s="15" t="s">
        <v>9156</v>
      </c>
      <c r="C211" s="15" t="s">
        <v>5290</v>
      </c>
      <c r="D211" s="15" t="str">
        <f>_xlfn.SINGLE(INDEX(样品编号表!Y:Y,_xlfn.SINGLE(MATCH(_xlfn.SINGLE(C:C),样品编号表!H:H,0))))</f>
        <v>千姿纺织</v>
      </c>
      <c r="E211" s="15">
        <f>_xlfn.SINGLE(INDEX(样品编号表!Z:Z,_xlfn.SINGLE(MATCH(_xlfn.SINGLE(C:C),样品编号表!H:H,0))))</f>
        <v>2042</v>
      </c>
      <c r="F211" s="15" t="s">
        <v>12213</v>
      </c>
      <c r="G211" s="15">
        <v>7</v>
      </c>
      <c r="H211" s="15" t="s">
        <v>12177</v>
      </c>
      <c r="I211" s="15">
        <v>7</v>
      </c>
      <c r="J211" s="14">
        <v>46014</v>
      </c>
      <c r="K211" s="16">
        <v>23</v>
      </c>
      <c r="L211" s="16">
        <f t="shared" si="12"/>
        <v>161</v>
      </c>
      <c r="M211" s="15" t="s">
        <v>12178</v>
      </c>
      <c r="N211" s="15">
        <f>_xlfn.SINGLE(INDEX(样品编号表!AA:AA,_xlfn.SINGLE(MATCH(_xlfn.SINGLE(C:C),样品编号表!H:H,0))))</f>
        <v>8.3</v>
      </c>
      <c r="O211" s="16"/>
      <c r="P211" s="16">
        <f t="shared" si="13"/>
        <v>0</v>
      </c>
      <c r="Q211" s="15"/>
    </row>
    <row r="212" ht="18" hidden="1" customHeight="1" spans="1:17">
      <c r="A212" s="14">
        <v>46011</v>
      </c>
      <c r="B212" s="15" t="s">
        <v>12245</v>
      </c>
      <c r="C212" s="15" t="s">
        <v>2771</v>
      </c>
      <c r="D212" s="15" t="str">
        <f>_xlfn.SINGLE(INDEX(样品编号表!Y:Y,_xlfn.SINGLE(MATCH(_xlfn.SINGLE(C:C),样品编号表!H:H,0))))</f>
        <v>新合盛布业</v>
      </c>
      <c r="E212" s="15">
        <f>_xlfn.SINGLE(INDEX(样品编号表!Z:Z,_xlfn.SINGLE(MATCH(_xlfn.SINGLE(C:C),样品编号表!H:H,0))))</f>
        <v>8112</v>
      </c>
      <c r="F212" s="15" t="s">
        <v>12213</v>
      </c>
      <c r="G212" s="15">
        <v>2</v>
      </c>
      <c r="H212" s="15" t="s">
        <v>12177</v>
      </c>
      <c r="I212" s="15">
        <v>2</v>
      </c>
      <c r="J212" s="14">
        <v>46014</v>
      </c>
      <c r="K212" s="16">
        <v>17</v>
      </c>
      <c r="L212" s="16">
        <f t="shared" si="12"/>
        <v>34</v>
      </c>
      <c r="M212" s="15" t="s">
        <v>12178</v>
      </c>
      <c r="N212" s="15">
        <f>_xlfn.SINGLE(INDEX(样品编号表!AA:AA,_xlfn.SINGLE(MATCH(_xlfn.SINGLE(C:C),样品编号表!H:H,0))))</f>
        <v>9.6</v>
      </c>
      <c r="O212" s="16">
        <v>15</v>
      </c>
      <c r="P212" s="16">
        <f t="shared" si="13"/>
        <v>30</v>
      </c>
      <c r="Q212" s="15"/>
    </row>
    <row r="213" ht="18" hidden="1" customHeight="1" spans="1:17">
      <c r="A213" s="14">
        <v>46011</v>
      </c>
      <c r="B213" s="15" t="s">
        <v>12303</v>
      </c>
      <c r="C213" s="15" t="s">
        <v>7848</v>
      </c>
      <c r="D213" s="15" t="str">
        <f>_xlfn.SINGLE(INDEX(样品编号表!Y:Y,_xlfn.SINGLE(MATCH(_xlfn.SINGLE(C:C),样品编号表!H:H,0))))</f>
        <v>华越纺织</v>
      </c>
      <c r="E213" s="15" t="str">
        <f>_xlfn.SINGLE(INDEX(样品编号表!Z:Z,_xlfn.SINGLE(MATCH(_xlfn.SINGLE(C:C),样品编号表!H:H,0))))</f>
        <v>乐丽丝双层</v>
      </c>
      <c r="F213" s="15" t="s">
        <v>12205</v>
      </c>
      <c r="G213" s="15">
        <v>3</v>
      </c>
      <c r="H213" s="15" t="s">
        <v>12177</v>
      </c>
      <c r="I213" s="15">
        <v>3</v>
      </c>
      <c r="J213" s="14">
        <v>46013</v>
      </c>
      <c r="K213" s="16">
        <v>27</v>
      </c>
      <c r="L213" s="16">
        <f t="shared" si="12"/>
        <v>81</v>
      </c>
      <c r="M213" s="15" t="s">
        <v>12178</v>
      </c>
      <c r="N213" s="15">
        <f>_xlfn.SINGLE(INDEX(样品编号表!AA:AA,_xlfn.SINGLE(MATCH(_xlfn.SINGLE(C:C),样品编号表!H:H,0))))</f>
        <v>12.6</v>
      </c>
      <c r="O213" s="16"/>
      <c r="P213" s="16">
        <f t="shared" si="13"/>
        <v>0</v>
      </c>
      <c r="Q213" s="15"/>
    </row>
    <row r="214" ht="18" hidden="1" customHeight="1" spans="1:17">
      <c r="A214" s="14">
        <v>46011</v>
      </c>
      <c r="B214" s="15" t="s">
        <v>12194</v>
      </c>
      <c r="C214" s="15" t="s">
        <v>2638</v>
      </c>
      <c r="D214" s="15" t="str">
        <f>_xlfn.SINGLE(INDEX(样品编号表!Y:Y,_xlfn.SINGLE(MATCH(_xlfn.SINGLE(C:C),样品编号表!H:H,0))))</f>
        <v>新嘉彩</v>
      </c>
      <c r="E214" s="15">
        <f>_xlfn.SINGLE(INDEX(样品编号表!Z:Z,_xlfn.SINGLE(MATCH(_xlfn.SINGLE(C:C),样品编号表!H:H,0))))</f>
        <v>938</v>
      </c>
      <c r="F214" s="15" t="s">
        <v>12214</v>
      </c>
      <c r="G214" s="15">
        <v>3</v>
      </c>
      <c r="H214" s="15" t="s">
        <v>12177</v>
      </c>
      <c r="I214" s="15">
        <v>3</v>
      </c>
      <c r="J214" s="14">
        <v>46013</v>
      </c>
      <c r="K214" s="16"/>
      <c r="L214" s="16">
        <f t="shared" ref="L214:L242" si="14">I214*K214</f>
        <v>0</v>
      </c>
      <c r="M214" s="15" t="s">
        <v>12178</v>
      </c>
      <c r="N214" s="15">
        <f>_xlfn.SINGLE(INDEX(样品编号表!AA:AA,_xlfn.SINGLE(MATCH(_xlfn.SINGLE(C:C),样品编号表!H:H,0))))</f>
        <v>8.8</v>
      </c>
      <c r="O214" s="16"/>
      <c r="P214" s="16">
        <f t="shared" si="13"/>
        <v>0</v>
      </c>
      <c r="Q214" s="15"/>
    </row>
    <row r="215" ht="18" hidden="1" customHeight="1" spans="1:17">
      <c r="A215" s="14">
        <v>46013</v>
      </c>
      <c r="B215" s="15" t="s">
        <v>12304</v>
      </c>
      <c r="C215" s="15" t="s">
        <v>486</v>
      </c>
      <c r="D215" s="15" t="str">
        <f>_xlfn.SINGLE(INDEX(样品编号表!Y:Y,_xlfn.SINGLE(MATCH(_xlfn.SINGLE(C:C),样品编号表!H:H,0))))</f>
        <v>三好纺织</v>
      </c>
      <c r="E215" s="15" t="str">
        <f>_xlfn.SINGLE(INDEX(样品编号表!Z:Z,_xlfn.SINGLE(MATCH(_xlfn.SINGLE(C:C),样品编号表!H:H,0))))</f>
        <v>0953#</v>
      </c>
      <c r="F215" s="15" t="s">
        <v>12305</v>
      </c>
      <c r="G215" s="15">
        <v>2</v>
      </c>
      <c r="H215" s="15" t="s">
        <v>12177</v>
      </c>
      <c r="I215" s="15">
        <v>2</v>
      </c>
      <c r="J215" s="14">
        <v>46015</v>
      </c>
      <c r="K215" s="16">
        <v>25</v>
      </c>
      <c r="L215" s="16">
        <f t="shared" si="14"/>
        <v>50</v>
      </c>
      <c r="M215" s="15" t="s">
        <v>12178</v>
      </c>
      <c r="N215" s="15">
        <f>_xlfn.SINGLE(INDEX(样品编号表!AA:AA,_xlfn.SINGLE(MATCH(_xlfn.SINGLE(C:C),样品编号表!H:H,0))))</f>
        <v>11.5</v>
      </c>
      <c r="O215" s="16"/>
      <c r="P215" s="16">
        <f t="shared" si="13"/>
        <v>0</v>
      </c>
      <c r="Q215" s="15" t="s">
        <v>9776</v>
      </c>
    </row>
    <row r="216" ht="18" hidden="1" customHeight="1" spans="1:17">
      <c r="A216" s="14">
        <v>46013</v>
      </c>
      <c r="B216" s="15" t="s">
        <v>12304</v>
      </c>
      <c r="C216" s="15" t="s">
        <v>2113</v>
      </c>
      <c r="D216" s="15" t="str">
        <f>_xlfn.SINGLE(INDEX(样品编号表!Y:Y,_xlfn.SINGLE(MATCH(_xlfn.SINGLE(C:C),样品编号表!H:H,0))))</f>
        <v>凯盛亨</v>
      </c>
      <c r="E216" s="15" t="str">
        <f>_xlfn.SINGLE(INDEX(样品编号表!Z:Z,_xlfn.SINGLE(MATCH(_xlfn.SINGLE(C:C),样品编号表!H:H,0))))</f>
        <v>839#</v>
      </c>
      <c r="F216" s="15" t="s">
        <v>12185</v>
      </c>
      <c r="G216" s="15">
        <v>3</v>
      </c>
      <c r="H216" s="15" t="s">
        <v>12177</v>
      </c>
      <c r="I216" s="15">
        <v>3</v>
      </c>
      <c r="J216" s="14">
        <v>46015</v>
      </c>
      <c r="K216" s="16">
        <v>20</v>
      </c>
      <c r="L216" s="16">
        <f t="shared" si="14"/>
        <v>60</v>
      </c>
      <c r="M216" s="15" t="s">
        <v>12178</v>
      </c>
      <c r="N216" s="15">
        <f>_xlfn.SINGLE(INDEX(样品编号表!AA:AA,_xlfn.SINGLE(MATCH(_xlfn.SINGLE(C:C),样品编号表!H:H,0))))</f>
        <v>11.3</v>
      </c>
      <c r="O216" s="16">
        <v>16</v>
      </c>
      <c r="P216" s="16">
        <f t="shared" si="13"/>
        <v>48</v>
      </c>
      <c r="Q216" s="15" t="s">
        <v>9776</v>
      </c>
    </row>
    <row r="217" ht="18" hidden="1" customHeight="1" spans="1:17">
      <c r="A217" s="14">
        <v>46014</v>
      </c>
      <c r="B217" s="15" t="s">
        <v>12304</v>
      </c>
      <c r="C217" s="15" t="s">
        <v>723</v>
      </c>
      <c r="D217" s="15" t="str">
        <f>_xlfn.SINGLE(INDEX(样品编号表!Y:Y,_xlfn.SINGLE(MATCH(_xlfn.SINGLE(C:C),样品编号表!H:H,0))))</f>
        <v>光大纺织</v>
      </c>
      <c r="E217" s="15" t="str">
        <f>_xlfn.SINGLE(INDEX(样品编号表!Z:Z,_xlfn.SINGLE(MATCH(_xlfn.SINGLE(C:C),样品编号表!H:H,0))))</f>
        <v>C580</v>
      </c>
      <c r="F217" s="15" t="s">
        <v>12260</v>
      </c>
      <c r="G217" s="15">
        <v>8</v>
      </c>
      <c r="H217" s="15" t="s">
        <v>12177</v>
      </c>
      <c r="I217" s="15">
        <v>8</v>
      </c>
      <c r="J217" s="14">
        <v>46015</v>
      </c>
      <c r="K217" s="16"/>
      <c r="L217" s="16">
        <f t="shared" si="14"/>
        <v>0</v>
      </c>
      <c r="M217" s="15" t="s">
        <v>12178</v>
      </c>
      <c r="N217" s="15">
        <f>_xlfn.SINGLE(INDEX(样品编号表!AA:AA,_xlfn.SINGLE(MATCH(_xlfn.SINGLE(C:C),样品编号表!H:H,0))))</f>
        <v>9.8</v>
      </c>
      <c r="O217" s="16"/>
      <c r="P217" s="16">
        <f t="shared" si="13"/>
        <v>0</v>
      </c>
      <c r="Q217" s="15" t="s">
        <v>9776</v>
      </c>
    </row>
    <row r="218" ht="18" hidden="1" customHeight="1" spans="1:17">
      <c r="A218" s="14">
        <v>46014</v>
      </c>
      <c r="B218" s="15" t="s">
        <v>9156</v>
      </c>
      <c r="C218" s="15" t="s">
        <v>2771</v>
      </c>
      <c r="D218" s="15" t="str">
        <f>_xlfn.SINGLE(INDEX(样品编号表!Y:Y,_xlfn.SINGLE(MATCH(_xlfn.SINGLE(C:C),样品编号表!H:H,0))))</f>
        <v>新合盛布业</v>
      </c>
      <c r="E218" s="15">
        <f>_xlfn.SINGLE(INDEX(样品编号表!Z:Z,_xlfn.SINGLE(MATCH(_xlfn.SINGLE(C:C),样品编号表!H:H,0))))</f>
        <v>8112</v>
      </c>
      <c r="F218" s="15" t="s">
        <v>12214</v>
      </c>
      <c r="G218" s="15">
        <v>12</v>
      </c>
      <c r="H218" s="15" t="s">
        <v>12177</v>
      </c>
      <c r="I218" s="15">
        <v>12</v>
      </c>
      <c r="J218" s="14">
        <v>46015</v>
      </c>
      <c r="K218" s="16">
        <v>17</v>
      </c>
      <c r="L218" s="16">
        <f t="shared" si="14"/>
        <v>204</v>
      </c>
      <c r="M218" s="15" t="s">
        <v>12178</v>
      </c>
      <c r="N218" s="15">
        <f>_xlfn.SINGLE(INDEX(样品编号表!AA:AA,_xlfn.SINGLE(MATCH(_xlfn.SINGLE(C:C),样品编号表!H:H,0))))</f>
        <v>9.6</v>
      </c>
      <c r="O218" s="16">
        <v>15</v>
      </c>
      <c r="P218" s="16">
        <f t="shared" si="13"/>
        <v>180</v>
      </c>
      <c r="Q218" s="15"/>
    </row>
    <row r="219" ht="18" hidden="1" customHeight="1" spans="1:17">
      <c r="A219" s="14">
        <v>46014</v>
      </c>
      <c r="B219" s="15" t="s">
        <v>12240</v>
      </c>
      <c r="C219" s="15" t="s">
        <v>7848</v>
      </c>
      <c r="D219" s="15" t="str">
        <f>_xlfn.SINGLE(INDEX(样品编号表!Y:Y,_xlfn.SINGLE(MATCH(_xlfn.SINGLE(C:C),样品编号表!H:H,0))))</f>
        <v>华越纺织</v>
      </c>
      <c r="E219" s="15" t="str">
        <f>_xlfn.SINGLE(INDEX(样品编号表!Z:Z,_xlfn.SINGLE(MATCH(_xlfn.SINGLE(C:C),样品编号表!H:H,0))))</f>
        <v>乐丽丝双层</v>
      </c>
      <c r="F219" s="15" t="s">
        <v>12213</v>
      </c>
      <c r="G219" s="15">
        <v>2</v>
      </c>
      <c r="H219" s="15" t="s">
        <v>12177</v>
      </c>
      <c r="I219" s="15">
        <v>2</v>
      </c>
      <c r="J219" s="14">
        <v>46015</v>
      </c>
      <c r="K219" s="16">
        <v>27</v>
      </c>
      <c r="L219" s="16">
        <f t="shared" si="14"/>
        <v>54</v>
      </c>
      <c r="M219" s="15" t="s">
        <v>12178</v>
      </c>
      <c r="N219" s="15">
        <f>_xlfn.SINGLE(INDEX(样品编号表!AA:AA,_xlfn.SINGLE(MATCH(_xlfn.SINGLE(C:C),样品编号表!H:H,0))))</f>
        <v>12.6</v>
      </c>
      <c r="O219" s="16"/>
      <c r="P219" s="16">
        <f t="shared" si="13"/>
        <v>0</v>
      </c>
      <c r="Q219" s="15"/>
    </row>
    <row r="220" ht="18" hidden="1" customHeight="1" spans="1:17">
      <c r="A220" s="14">
        <v>46014</v>
      </c>
      <c r="B220" s="15" t="s">
        <v>12240</v>
      </c>
      <c r="C220" s="15" t="s">
        <v>7848</v>
      </c>
      <c r="D220" s="15" t="str">
        <f>_xlfn.SINGLE(INDEX(样品编号表!Y:Y,_xlfn.SINGLE(MATCH(_xlfn.SINGLE(C:C),样品编号表!H:H,0))))</f>
        <v>华越纺织</v>
      </c>
      <c r="E220" s="15" t="str">
        <f>_xlfn.SINGLE(INDEX(样品编号表!Z:Z,_xlfn.SINGLE(MATCH(_xlfn.SINGLE(C:C),样品编号表!H:H,0))))</f>
        <v>乐丽丝双层</v>
      </c>
      <c r="F220" s="15" t="s">
        <v>12206</v>
      </c>
      <c r="G220" s="15">
        <v>3</v>
      </c>
      <c r="H220" s="15" t="s">
        <v>12177</v>
      </c>
      <c r="I220" s="15">
        <v>3</v>
      </c>
      <c r="J220" s="14">
        <v>46015</v>
      </c>
      <c r="K220" s="16">
        <v>27</v>
      </c>
      <c r="L220" s="16">
        <f t="shared" si="14"/>
        <v>81</v>
      </c>
      <c r="M220" s="15" t="s">
        <v>12178</v>
      </c>
      <c r="N220" s="15">
        <f>_xlfn.SINGLE(INDEX(样品编号表!AA:AA,_xlfn.SINGLE(MATCH(_xlfn.SINGLE(C:C),样品编号表!H:H,0))))</f>
        <v>12.6</v>
      </c>
      <c r="O220" s="16"/>
      <c r="P220" s="16">
        <f t="shared" si="13"/>
        <v>0</v>
      </c>
      <c r="Q220" s="15"/>
    </row>
    <row r="221" ht="18" hidden="1" customHeight="1" spans="1:17">
      <c r="A221" s="14">
        <v>46015</v>
      </c>
      <c r="B221" s="15" t="s">
        <v>9156</v>
      </c>
      <c r="C221" s="15" t="s">
        <v>8170</v>
      </c>
      <c r="D221" s="15" t="str">
        <f>_xlfn.SINGLE(INDEX(样品编号表!Y:Y,_xlfn.SINGLE(MATCH(_xlfn.SINGLE(C:C),样品编号表!H:H,0))))</f>
        <v>汇恩布行</v>
      </c>
      <c r="E221" s="15" t="str">
        <f>_xlfn.SINGLE(INDEX(样品编号表!Z:Z,_xlfn.SINGLE(MATCH(_xlfn.SINGLE(C:C),样品编号表!H:H,0))))</f>
        <v>E1816  双面乱麻</v>
      </c>
      <c r="F221" s="15" t="s">
        <v>12214</v>
      </c>
      <c r="G221" s="15">
        <v>13</v>
      </c>
      <c r="H221" s="15" t="s">
        <v>12177</v>
      </c>
      <c r="I221" s="15">
        <v>13</v>
      </c>
      <c r="J221" s="14">
        <v>46016</v>
      </c>
      <c r="K221" s="16">
        <v>32</v>
      </c>
      <c r="L221" s="16">
        <f t="shared" si="14"/>
        <v>416</v>
      </c>
      <c r="M221" s="15" t="s">
        <v>12178</v>
      </c>
      <c r="N221" s="15">
        <f>_xlfn.SINGLE(INDEX(样品编号表!AA:AA,_xlfn.SINGLE(MATCH(_xlfn.SINGLE(C:C),样品编号表!H:H,0))))</f>
        <v>11.5</v>
      </c>
      <c r="O221" s="16">
        <v>25</v>
      </c>
      <c r="P221" s="16">
        <f t="shared" si="13"/>
        <v>325</v>
      </c>
      <c r="Q221" s="15" t="s">
        <v>9776</v>
      </c>
    </row>
    <row r="222" ht="18" hidden="1" customHeight="1" spans="1:17">
      <c r="A222" s="14">
        <v>46015</v>
      </c>
      <c r="B222" s="15" t="s">
        <v>12180</v>
      </c>
      <c r="C222" s="15" t="s">
        <v>417</v>
      </c>
      <c r="D222" s="15" t="str">
        <f>_xlfn.SINGLE(INDEX(样品编号表!Y:Y,_xlfn.SINGLE(MATCH(_xlfn.SINGLE(C:C),样品编号表!H:H,0))))</f>
        <v>新合盛布业</v>
      </c>
      <c r="E222" s="15">
        <f>_xlfn.SINGLE(INDEX(样品编号表!Z:Z,_xlfn.SINGLE(MATCH(_xlfn.SINGLE(C:C),样品编号表!H:H,0))))</f>
        <v>6002</v>
      </c>
      <c r="F222" s="15" t="s">
        <v>12306</v>
      </c>
      <c r="G222" s="15">
        <v>2</v>
      </c>
      <c r="H222" s="15" t="s">
        <v>12177</v>
      </c>
      <c r="I222" s="15">
        <v>2</v>
      </c>
      <c r="J222" s="14">
        <v>46017</v>
      </c>
      <c r="K222" s="16">
        <v>24</v>
      </c>
      <c r="L222" s="16">
        <f t="shared" si="14"/>
        <v>48</v>
      </c>
      <c r="M222" s="15" t="s">
        <v>12178</v>
      </c>
      <c r="N222" s="15">
        <f>_xlfn.SINGLE(INDEX(样品编号表!AA:AA,_xlfn.SINGLE(MATCH(_xlfn.SINGLE(C:C),样品编号表!H:H,0))))</f>
        <v>6.6</v>
      </c>
      <c r="O222" s="16"/>
      <c r="P222" s="16">
        <f t="shared" si="13"/>
        <v>0</v>
      </c>
      <c r="Q222" s="15"/>
    </row>
    <row r="223" ht="18" hidden="1" customHeight="1" spans="1:17">
      <c r="A223" s="14">
        <v>46015</v>
      </c>
      <c r="B223" s="15" t="s">
        <v>12265</v>
      </c>
      <c r="C223" s="15" t="s">
        <v>8874</v>
      </c>
      <c r="D223" s="15" t="str">
        <f>_xlfn.SINGLE(INDEX(样品编号表!Y:Y,_xlfn.SINGLE(MATCH(_xlfn.SINGLE(C:C),样品编号表!H:H,0))))</f>
        <v>汇恩布行</v>
      </c>
      <c r="E223" s="15" t="str">
        <f>_xlfn.SINGLE(INDEX(样品编号表!Z:Z,_xlfn.SINGLE(MATCH(_xlfn.SINGLE(C:C),样品编号表!H:H,0))))</f>
        <v>E3909 全棉自动间平纹</v>
      </c>
      <c r="F223" s="15" t="s">
        <v>6792</v>
      </c>
      <c r="G223" s="15">
        <v>2</v>
      </c>
      <c r="H223" s="15" t="s">
        <v>12177</v>
      </c>
      <c r="I223" s="15">
        <v>2</v>
      </c>
      <c r="J223" s="14">
        <v>46016</v>
      </c>
      <c r="K223" s="16">
        <v>57</v>
      </c>
      <c r="L223" s="16">
        <f t="shared" si="14"/>
        <v>114</v>
      </c>
      <c r="M223" s="15" t="s">
        <v>12178</v>
      </c>
      <c r="N223" s="15">
        <f>_xlfn.SINGLE(INDEX(样品编号表!AA:AA,_xlfn.SINGLE(MATCH(_xlfn.SINGLE(C:C),样品编号表!H:H,0))))</f>
        <v>30</v>
      </c>
      <c r="O223" s="16">
        <v>50</v>
      </c>
      <c r="P223" s="16">
        <f t="shared" si="13"/>
        <v>100</v>
      </c>
      <c r="Q223" s="15" t="s">
        <v>9776</v>
      </c>
    </row>
    <row r="224" ht="18" hidden="1" customHeight="1" spans="1:17">
      <c r="A224" s="14">
        <v>46016</v>
      </c>
      <c r="B224" s="15" t="s">
        <v>12303</v>
      </c>
      <c r="C224" s="15" t="s">
        <v>1780</v>
      </c>
      <c r="D224" s="15" t="str">
        <f>_xlfn.SINGLE(INDEX(样品编号表!Y:Y,_xlfn.SINGLE(MATCH(_xlfn.SINGLE(C:C),样品编号表!H:H,0))))</f>
        <v>艺纺</v>
      </c>
      <c r="E224" s="15" t="str">
        <f>_xlfn.SINGLE(INDEX(样品编号表!Z:Z,_xlfn.SINGLE(MATCH(_xlfn.SINGLE(C:C),样品编号表!H:H,0))))</f>
        <v>11865-3</v>
      </c>
      <c r="F224" s="15" t="s">
        <v>12213</v>
      </c>
      <c r="G224" s="15">
        <v>2</v>
      </c>
      <c r="H224" s="15" t="s">
        <v>12177</v>
      </c>
      <c r="I224" s="15">
        <v>2</v>
      </c>
      <c r="J224" s="14">
        <v>46382</v>
      </c>
      <c r="K224" s="16"/>
      <c r="L224" s="16">
        <f t="shared" si="14"/>
        <v>0</v>
      </c>
      <c r="M224" s="15" t="s">
        <v>12178</v>
      </c>
      <c r="N224" s="15">
        <f>_xlfn.SINGLE(INDEX(样品编号表!AA:AA,_xlfn.SINGLE(MATCH(_xlfn.SINGLE(C:C),样品编号表!H:H,0))))</f>
        <v>12.8</v>
      </c>
      <c r="O224" s="16"/>
      <c r="P224" s="16">
        <f t="shared" si="13"/>
        <v>0</v>
      </c>
      <c r="Q224" s="15"/>
    </row>
    <row r="225" ht="18" hidden="1" customHeight="1" spans="1:17">
      <c r="A225" s="14">
        <v>46017</v>
      </c>
      <c r="B225" s="15" t="s">
        <v>12245</v>
      </c>
      <c r="C225" s="15" t="s">
        <v>2982</v>
      </c>
      <c r="D225" s="15" t="str">
        <f>_xlfn.SINGLE(INDEX(样品编号表!Y:Y,_xlfn.SINGLE(MATCH(_xlfn.SINGLE(C:C),样品编号表!H:H,0))))</f>
        <v>泰丰</v>
      </c>
      <c r="E225" s="15" t="str">
        <f>_xlfn.SINGLE(INDEX(样品编号表!Z:Z,_xlfn.SINGLE(MATCH(_xlfn.SINGLE(C:C),样品编号表!H:H,0))))</f>
        <v>T24F77</v>
      </c>
      <c r="F225" s="15" t="s">
        <v>12275</v>
      </c>
      <c r="G225" s="15">
        <v>5</v>
      </c>
      <c r="H225" s="15" t="s">
        <v>12177</v>
      </c>
      <c r="I225" s="15">
        <v>5</v>
      </c>
      <c r="J225" s="14">
        <v>46020</v>
      </c>
      <c r="K225" s="16">
        <v>35</v>
      </c>
      <c r="L225" s="16">
        <f t="shared" si="14"/>
        <v>175</v>
      </c>
      <c r="M225" s="15" t="s">
        <v>12178</v>
      </c>
      <c r="N225" s="15">
        <f>_xlfn.SINGLE(INDEX(样品编号表!AA:AA,_xlfn.SINGLE(MATCH(_xlfn.SINGLE(C:C),样品编号表!H:H,0))))</f>
        <v>18.4</v>
      </c>
      <c r="O225" s="16"/>
      <c r="P225" s="16">
        <f t="shared" si="13"/>
        <v>0</v>
      </c>
      <c r="Q225" s="15"/>
    </row>
    <row r="226" ht="18" hidden="1" customHeight="1" spans="1:17">
      <c r="A226" s="14">
        <v>46018</v>
      </c>
      <c r="B226" s="15" t="s">
        <v>9156</v>
      </c>
      <c r="C226" s="15" t="s">
        <v>1593</v>
      </c>
      <c r="D226" s="15" t="str">
        <f>_xlfn.SINGLE(INDEX(样品编号表!Y:Y,_xlfn.SINGLE(MATCH(_xlfn.SINGLE(C:C),样品编号表!H:H,0))))</f>
        <v>宝隆纺织</v>
      </c>
      <c r="E226" s="15">
        <f>_xlfn.SINGLE(INDEX(样品编号表!Z:Z,_xlfn.SINGLE(MATCH(_xlfn.SINGLE(C:C),样品编号表!H:H,0))))</f>
        <v>1562</v>
      </c>
      <c r="F226" s="15" t="s">
        <v>12214</v>
      </c>
      <c r="G226" s="15">
        <v>7</v>
      </c>
      <c r="H226" s="15" t="s">
        <v>12177</v>
      </c>
      <c r="I226" s="15">
        <v>7</v>
      </c>
      <c r="J226" s="14">
        <v>46020</v>
      </c>
      <c r="K226" s="16"/>
      <c r="L226" s="16">
        <f t="shared" si="14"/>
        <v>0</v>
      </c>
      <c r="M226" s="15" t="s">
        <v>12178</v>
      </c>
      <c r="N226" s="15">
        <f>_xlfn.SINGLE(INDEX(样品编号表!AA:AA,_xlfn.SINGLE(MATCH(_xlfn.SINGLE(C:C),样品编号表!H:H,0))))</f>
        <v>6.8</v>
      </c>
      <c r="O226" s="16"/>
      <c r="P226" s="16">
        <f t="shared" si="13"/>
        <v>0</v>
      </c>
      <c r="Q226" s="15"/>
    </row>
    <row r="227" ht="18" hidden="1" customHeight="1" spans="1:17">
      <c r="A227" s="14">
        <v>46018</v>
      </c>
      <c r="B227" s="15" t="s">
        <v>9156</v>
      </c>
      <c r="C227" s="15" t="s">
        <v>2638</v>
      </c>
      <c r="D227" s="15" t="str">
        <f>_xlfn.SINGLE(INDEX(样品编号表!Y:Y,_xlfn.SINGLE(MATCH(_xlfn.SINGLE(C:C),样品编号表!H:H,0))))</f>
        <v>新嘉彩</v>
      </c>
      <c r="E227" s="15">
        <f>_xlfn.SINGLE(INDEX(样品编号表!Z:Z,_xlfn.SINGLE(MATCH(_xlfn.SINGLE(C:C),样品编号表!H:H,0))))</f>
        <v>938</v>
      </c>
      <c r="F227" s="15" t="s">
        <v>12213</v>
      </c>
      <c r="G227" s="15">
        <v>6</v>
      </c>
      <c r="H227" s="15" t="s">
        <v>12177</v>
      </c>
      <c r="I227" s="15">
        <v>6</v>
      </c>
      <c r="J227" s="14">
        <v>46020</v>
      </c>
      <c r="K227" s="16">
        <v>20</v>
      </c>
      <c r="L227" s="16">
        <f t="shared" si="14"/>
        <v>120</v>
      </c>
      <c r="M227" s="15" t="s">
        <v>12178</v>
      </c>
      <c r="N227" s="15">
        <f>_xlfn.SINGLE(INDEX(样品编号表!AA:AA,_xlfn.SINGLE(MATCH(_xlfn.SINGLE(C:C),样品编号表!H:H,0))))</f>
        <v>8.8</v>
      </c>
      <c r="O227" s="16"/>
      <c r="P227" s="16">
        <f t="shared" si="13"/>
        <v>0</v>
      </c>
      <c r="Q227" s="15"/>
    </row>
    <row r="228" ht="18" hidden="1" customHeight="1" spans="1:17">
      <c r="A228" s="14">
        <v>46020</v>
      </c>
      <c r="B228" s="15" t="s">
        <v>12180</v>
      </c>
      <c r="C228" s="15" t="s">
        <v>2155</v>
      </c>
      <c r="D228" s="15" t="str">
        <f>_xlfn.SINGLE(INDEX(样品编号表!Y:Y,_xlfn.SINGLE(MATCH(_xlfn.SINGLE(C:C),样品编号表!H:H,0))))</f>
        <v>润森</v>
      </c>
      <c r="E228" s="15" t="str">
        <f>_xlfn.SINGLE(INDEX(样品编号表!Z:Z,_xlfn.SINGLE(MATCH(_xlfn.SINGLE(C:C),样品编号表!H:H,0))))</f>
        <v>华尔缎</v>
      </c>
      <c r="F228" s="15" t="s">
        <v>12215</v>
      </c>
      <c r="G228" s="15">
        <v>3</v>
      </c>
      <c r="H228" s="15" t="s">
        <v>12177</v>
      </c>
      <c r="I228" s="15">
        <v>3</v>
      </c>
      <c r="J228" s="14">
        <v>46021</v>
      </c>
      <c r="K228" s="16">
        <v>18</v>
      </c>
      <c r="L228" s="16">
        <f t="shared" si="14"/>
        <v>54</v>
      </c>
      <c r="M228" s="15" t="s">
        <v>12178</v>
      </c>
      <c r="N228" s="15">
        <f>_xlfn.SINGLE(INDEX(样品编号表!AA:AA,_xlfn.SINGLE(MATCH(_xlfn.SINGLE(C:C),样品编号表!H:H,0))))</f>
        <v>10.5</v>
      </c>
      <c r="O228" s="16">
        <v>15</v>
      </c>
      <c r="P228" s="16">
        <f t="shared" si="13"/>
        <v>45</v>
      </c>
      <c r="Q228" s="15"/>
    </row>
    <row r="229" ht="18" hidden="1" customHeight="1" spans="1:17">
      <c r="A229" s="14">
        <v>46021</v>
      </c>
      <c r="B229" s="15" t="s">
        <v>12297</v>
      </c>
      <c r="C229" s="15" t="s">
        <v>1780</v>
      </c>
      <c r="D229" s="15" t="str">
        <f>_xlfn.SINGLE(INDEX(样品编号表!Y:Y,_xlfn.SINGLE(MATCH(_xlfn.SINGLE(C:C),样品编号表!H:H,0))))</f>
        <v>艺纺</v>
      </c>
      <c r="E229" s="15" t="str">
        <f>_xlfn.SINGLE(INDEX(样品编号表!Z:Z,_xlfn.SINGLE(MATCH(_xlfn.SINGLE(C:C),样品编号表!H:H,0))))</f>
        <v>11865-3</v>
      </c>
      <c r="F229" s="15" t="s">
        <v>12307</v>
      </c>
      <c r="G229" s="15">
        <v>2</v>
      </c>
      <c r="H229" s="15" t="s">
        <v>12177</v>
      </c>
      <c r="I229" s="15">
        <v>2</v>
      </c>
      <c r="J229" s="14">
        <v>46022</v>
      </c>
      <c r="K229" s="16">
        <v>25</v>
      </c>
      <c r="L229" s="16">
        <f t="shared" si="14"/>
        <v>50</v>
      </c>
      <c r="M229" s="15" t="s">
        <v>12178</v>
      </c>
      <c r="N229" s="15">
        <f>_xlfn.SINGLE(INDEX(样品编号表!AA:AA,_xlfn.SINGLE(MATCH(_xlfn.SINGLE(C:C),样品编号表!H:H,0))))</f>
        <v>12.8</v>
      </c>
      <c r="O229" s="16"/>
      <c r="P229" s="16">
        <f t="shared" si="13"/>
        <v>0</v>
      </c>
      <c r="Q229" s="15"/>
    </row>
    <row r="230" ht="18" hidden="1" customHeight="1" spans="1:17">
      <c r="A230" s="14">
        <v>46021</v>
      </c>
      <c r="B230" s="15" t="s">
        <v>12308</v>
      </c>
      <c r="C230" s="15" t="s">
        <v>2155</v>
      </c>
      <c r="D230" s="15" t="str">
        <f>_xlfn.SINGLE(INDEX(样品编号表!Y:Y,_xlfn.SINGLE(MATCH(_xlfn.SINGLE(C:C),样品编号表!H:H,0))))</f>
        <v>润森</v>
      </c>
      <c r="E230" s="15" t="str">
        <f>_xlfn.SINGLE(INDEX(样品编号表!Z:Z,_xlfn.SINGLE(MATCH(_xlfn.SINGLE(C:C),样品编号表!H:H,0))))</f>
        <v>华尔缎</v>
      </c>
      <c r="F230" s="15" t="s">
        <v>12309</v>
      </c>
      <c r="G230" s="15">
        <v>3</v>
      </c>
      <c r="H230" s="15" t="s">
        <v>12177</v>
      </c>
      <c r="I230" s="15">
        <v>3</v>
      </c>
      <c r="J230" s="14">
        <v>46022</v>
      </c>
      <c r="K230" s="16">
        <v>18</v>
      </c>
      <c r="L230" s="16">
        <f t="shared" si="14"/>
        <v>54</v>
      </c>
      <c r="M230" s="15" t="s">
        <v>12178</v>
      </c>
      <c r="N230" s="15">
        <f>_xlfn.SINGLE(INDEX(样品编号表!AA:AA,_xlfn.SINGLE(MATCH(_xlfn.SINGLE(C:C),样品编号表!H:H,0))))</f>
        <v>10.5</v>
      </c>
      <c r="O230" s="16">
        <v>15</v>
      </c>
      <c r="P230" s="16">
        <f t="shared" si="13"/>
        <v>45</v>
      </c>
      <c r="Q230" s="15"/>
    </row>
    <row r="231" ht="18" hidden="1" customHeight="1" spans="1:17">
      <c r="A231" s="14">
        <v>46387</v>
      </c>
      <c r="B231" s="15" t="s">
        <v>12310</v>
      </c>
      <c r="C231" s="15" t="s">
        <v>5669</v>
      </c>
      <c r="D231" s="15" t="str">
        <f>_xlfn.SINGLE(INDEX(样品编号表!Y:Y,_xlfn.SINGLE(MATCH(_xlfn.SINGLE(C:C),样品编号表!H:H,0))))</f>
        <v>明轩泰纺织</v>
      </c>
      <c r="E231" s="15" t="str">
        <f>_xlfn.SINGLE(INDEX(样品编号表!Z:Z,_xlfn.SINGLE(MATCH(_xlfn.SINGLE(C:C),样品编号表!H:H,0))))</f>
        <v>H8121</v>
      </c>
      <c r="F231" s="15" t="s">
        <v>12278</v>
      </c>
      <c r="G231" s="15">
        <v>4</v>
      </c>
      <c r="H231" s="15" t="s">
        <v>12177</v>
      </c>
      <c r="I231" s="15">
        <v>4</v>
      </c>
      <c r="J231" s="14">
        <v>46025</v>
      </c>
      <c r="K231" s="16"/>
      <c r="L231" s="16">
        <f t="shared" si="14"/>
        <v>0</v>
      </c>
      <c r="M231" s="15" t="s">
        <v>12178</v>
      </c>
      <c r="N231" s="15">
        <f>_xlfn.SINGLE(INDEX(样品编号表!AA:AA,_xlfn.SINGLE(MATCH(_xlfn.SINGLE(C:C),样品编号表!H:H,0))))</f>
        <v>25.2</v>
      </c>
      <c r="O231" s="16"/>
      <c r="P231" s="16">
        <f t="shared" si="13"/>
        <v>0</v>
      </c>
      <c r="Q231" s="15"/>
    </row>
    <row r="232" ht="18" hidden="1" customHeight="1" spans="1:17">
      <c r="A232" s="14">
        <v>46387</v>
      </c>
      <c r="B232" s="15" t="s">
        <v>12310</v>
      </c>
      <c r="C232" s="15" t="s">
        <v>5669</v>
      </c>
      <c r="D232" s="15" t="str">
        <f>_xlfn.SINGLE(INDEX(样品编号表!Y:Y,_xlfn.SINGLE(MATCH(_xlfn.SINGLE(C:C),样品编号表!H:H,0))))</f>
        <v>明轩泰纺织</v>
      </c>
      <c r="E232" s="15" t="str">
        <f>_xlfn.SINGLE(INDEX(样品编号表!Z:Z,_xlfn.SINGLE(MATCH(_xlfn.SINGLE(C:C),样品编号表!H:H,0))))</f>
        <v>H8121</v>
      </c>
      <c r="F232" s="15" t="s">
        <v>12311</v>
      </c>
      <c r="G232" s="15">
        <v>4</v>
      </c>
      <c r="H232" s="15" t="s">
        <v>12177</v>
      </c>
      <c r="I232" s="15">
        <v>4</v>
      </c>
      <c r="J232" s="14">
        <v>46025</v>
      </c>
      <c r="K232" s="16"/>
      <c r="L232" s="16">
        <f t="shared" si="14"/>
        <v>0</v>
      </c>
      <c r="M232" s="15" t="s">
        <v>12178</v>
      </c>
      <c r="N232" s="15">
        <f>_xlfn.SINGLE(INDEX(样品编号表!AA:AA,_xlfn.SINGLE(MATCH(_xlfn.SINGLE(C:C),样品编号表!H:H,0))))</f>
        <v>25.2</v>
      </c>
      <c r="O232" s="16"/>
      <c r="P232" s="16">
        <f t="shared" si="13"/>
        <v>0</v>
      </c>
      <c r="Q232" s="15"/>
    </row>
    <row r="233" ht="18" hidden="1" customHeight="1" spans="1:17">
      <c r="A233" s="14">
        <v>46024</v>
      </c>
      <c r="B233" s="15" t="s">
        <v>12312</v>
      </c>
      <c r="C233" s="15" t="s">
        <v>2155</v>
      </c>
      <c r="D233" s="15" t="str">
        <f>_xlfn.SINGLE(INDEX(样品编号表!Y:Y,_xlfn.SINGLE(MATCH(_xlfn.SINGLE(C:C),样品编号表!H:H,0))))</f>
        <v>润森</v>
      </c>
      <c r="E233" s="15" t="str">
        <f>_xlfn.SINGLE(INDEX(样品编号表!Z:Z,_xlfn.SINGLE(MATCH(_xlfn.SINGLE(C:C),样品编号表!H:H,0))))</f>
        <v>华尔缎</v>
      </c>
      <c r="F233" s="15">
        <v>115</v>
      </c>
      <c r="G233" s="15">
        <v>3</v>
      </c>
      <c r="H233" s="15" t="s">
        <v>12177</v>
      </c>
      <c r="I233" s="15">
        <v>3</v>
      </c>
      <c r="J233" s="14">
        <v>46025</v>
      </c>
      <c r="K233" s="16"/>
      <c r="L233" s="16">
        <f t="shared" si="14"/>
        <v>0</v>
      </c>
      <c r="M233" s="15" t="s">
        <v>12178</v>
      </c>
      <c r="N233" s="15">
        <f>_xlfn.SINGLE(INDEX(样品编号表!AA:AA,_xlfn.SINGLE(MATCH(_xlfn.SINGLE(C:C),样品编号表!H:H,0))))</f>
        <v>10.5</v>
      </c>
      <c r="O233" s="16"/>
      <c r="P233" s="16">
        <f t="shared" si="13"/>
        <v>0</v>
      </c>
      <c r="Q233" s="15"/>
    </row>
    <row r="234" ht="18" hidden="1" customHeight="1" spans="1:17">
      <c r="A234" s="14">
        <v>46024</v>
      </c>
      <c r="B234" s="15" t="s">
        <v>12312</v>
      </c>
      <c r="C234" s="15" t="s">
        <v>2766</v>
      </c>
      <c r="D234" s="15" t="str">
        <f>_xlfn.SINGLE(INDEX(样品编号表!Y:Y,_xlfn.SINGLE(MATCH(_xlfn.SINGLE(C:C),样品编号表!H:H,0))))</f>
        <v>新合盛布业</v>
      </c>
      <c r="E234" s="15">
        <f>_xlfn.SINGLE(INDEX(样品编号表!Z:Z,_xlfn.SINGLE(MATCH(_xlfn.SINGLE(C:C),样品编号表!H:H,0))))</f>
        <v>6002</v>
      </c>
      <c r="F234" s="15" t="s">
        <v>12214</v>
      </c>
      <c r="G234" s="15">
        <v>2</v>
      </c>
      <c r="H234" s="15" t="s">
        <v>12177</v>
      </c>
      <c r="I234" s="15">
        <v>2</v>
      </c>
      <c r="J234" s="14">
        <v>46025</v>
      </c>
      <c r="K234" s="16"/>
      <c r="L234" s="16">
        <f t="shared" si="14"/>
        <v>0</v>
      </c>
      <c r="M234" s="15" t="s">
        <v>12178</v>
      </c>
      <c r="N234" s="15">
        <f>_xlfn.SINGLE(INDEX(样品编号表!AA:AA,_xlfn.SINGLE(MATCH(_xlfn.SINGLE(C:C),样品编号表!H:H,0))))</f>
        <v>6.2</v>
      </c>
      <c r="O234" s="16"/>
      <c r="P234" s="16">
        <f t="shared" si="13"/>
        <v>0</v>
      </c>
      <c r="Q234" s="15"/>
    </row>
    <row r="235" ht="18" hidden="1" customHeight="1" spans="1:17">
      <c r="A235" s="14">
        <v>46025</v>
      </c>
      <c r="B235" s="15" t="s">
        <v>12313</v>
      </c>
      <c r="C235" s="15" t="s">
        <v>6085</v>
      </c>
      <c r="D235" s="15" t="str">
        <f>_xlfn.SINGLE(INDEX(样品编号表!Y:Y,_xlfn.SINGLE(MATCH(_xlfn.SINGLE(C:C),样品编号表!H:H,0))))</f>
        <v>新发布行</v>
      </c>
      <c r="E235" s="15" t="str">
        <f>_xlfn.SINGLE(INDEX(样品编号表!Z:Z,_xlfn.SINGLE(MATCH(_xlfn.SINGLE(C:C),样品编号表!H:H,0))))</f>
        <v>561A</v>
      </c>
      <c r="F235" s="15" t="s">
        <v>12185</v>
      </c>
      <c r="G235" s="15">
        <v>7</v>
      </c>
      <c r="H235" s="15" t="s">
        <v>12177</v>
      </c>
      <c r="I235" s="15">
        <v>7</v>
      </c>
      <c r="J235" s="14">
        <v>46029</v>
      </c>
      <c r="K235" s="16"/>
      <c r="L235" s="16">
        <f t="shared" si="14"/>
        <v>0</v>
      </c>
      <c r="M235" s="15" t="s">
        <v>12178</v>
      </c>
      <c r="N235" s="15">
        <f>_xlfn.SINGLE(INDEX(样品编号表!AA:AA,_xlfn.SINGLE(MATCH(_xlfn.SINGLE(C:C),样品编号表!H:H,0))))</f>
        <v>12.5</v>
      </c>
      <c r="O235" s="16"/>
      <c r="P235" s="16">
        <f t="shared" si="13"/>
        <v>0</v>
      </c>
      <c r="Q235" s="15"/>
    </row>
    <row r="236" ht="18" hidden="1" customHeight="1" spans="1:17">
      <c r="A236" s="14">
        <v>46025</v>
      </c>
      <c r="B236" s="15" t="s">
        <v>12313</v>
      </c>
      <c r="C236" s="15" t="s">
        <v>723</v>
      </c>
      <c r="D236" s="15" t="str">
        <f>_xlfn.SINGLE(INDEX(样品编号表!Y:Y,_xlfn.SINGLE(MATCH(_xlfn.SINGLE(C:C),样品编号表!H:H,0))))</f>
        <v>光大纺织</v>
      </c>
      <c r="E236" s="15" t="str">
        <f>_xlfn.SINGLE(INDEX(样品编号表!Z:Z,_xlfn.SINGLE(MATCH(_xlfn.SINGLE(C:C),样品编号表!H:H,0))))</f>
        <v>C580</v>
      </c>
      <c r="F236" s="15" t="s">
        <v>12243</v>
      </c>
      <c r="G236" s="15">
        <v>25</v>
      </c>
      <c r="H236" s="15" t="s">
        <v>12177</v>
      </c>
      <c r="I236" s="15">
        <v>25</v>
      </c>
      <c r="J236" s="14">
        <v>46027</v>
      </c>
      <c r="K236" s="16"/>
      <c r="L236" s="16">
        <f t="shared" si="14"/>
        <v>0</v>
      </c>
      <c r="M236" s="15" t="s">
        <v>12178</v>
      </c>
      <c r="N236" s="15">
        <f>_xlfn.SINGLE(INDEX(样品编号表!AA:AA,_xlfn.SINGLE(MATCH(_xlfn.SINGLE(C:C),样品编号表!H:H,0))))</f>
        <v>9.8</v>
      </c>
      <c r="O236" s="16"/>
      <c r="P236" s="16">
        <f t="shared" si="13"/>
        <v>0</v>
      </c>
      <c r="Q236" s="15"/>
    </row>
    <row r="237" ht="18" hidden="1" customHeight="1" spans="1:17">
      <c r="A237" s="14">
        <v>46025</v>
      </c>
      <c r="B237" s="15" t="s">
        <v>12313</v>
      </c>
      <c r="C237" s="15" t="s">
        <v>723</v>
      </c>
      <c r="D237" s="15" t="str">
        <f>_xlfn.SINGLE(INDEX(样品编号表!Y:Y,_xlfn.SINGLE(MATCH(_xlfn.SINGLE(C:C),样品编号表!H:H,0))))</f>
        <v>光大纺织</v>
      </c>
      <c r="E237" s="15" t="str">
        <f>_xlfn.SINGLE(INDEX(样品编号表!Z:Z,_xlfn.SINGLE(MATCH(_xlfn.SINGLE(C:C),样品编号表!H:H,0))))</f>
        <v>C580</v>
      </c>
      <c r="F237" s="15" t="s">
        <v>12314</v>
      </c>
      <c r="G237" s="15">
        <v>2</v>
      </c>
      <c r="H237" s="15" t="s">
        <v>12177</v>
      </c>
      <c r="I237" s="15">
        <v>2</v>
      </c>
      <c r="J237" s="14">
        <v>46027</v>
      </c>
      <c r="K237" s="16"/>
      <c r="L237" s="16">
        <f t="shared" si="14"/>
        <v>0</v>
      </c>
      <c r="M237" s="15" t="s">
        <v>12178</v>
      </c>
      <c r="N237" s="15">
        <f>_xlfn.SINGLE(INDEX(样品编号表!AA:AA,_xlfn.SINGLE(MATCH(_xlfn.SINGLE(C:C),样品编号表!H:H,0))))</f>
        <v>9.8</v>
      </c>
      <c r="O237" s="16"/>
      <c r="P237" s="16">
        <f t="shared" si="13"/>
        <v>0</v>
      </c>
      <c r="Q237" s="15"/>
    </row>
    <row r="238" ht="18" hidden="1" customHeight="1" spans="1:17">
      <c r="A238" s="14">
        <v>46025</v>
      </c>
      <c r="B238" s="15" t="s">
        <v>12313</v>
      </c>
      <c r="C238" s="15" t="s">
        <v>723</v>
      </c>
      <c r="D238" s="15" t="str">
        <f>_xlfn.SINGLE(INDEX(样品编号表!Y:Y,_xlfn.SINGLE(MATCH(_xlfn.SINGLE(C:C),样品编号表!H:H,0))))</f>
        <v>光大纺织</v>
      </c>
      <c r="E238" s="15" t="str">
        <f>_xlfn.SINGLE(INDEX(样品编号表!Z:Z,_xlfn.SINGLE(MATCH(_xlfn.SINGLE(C:C),样品编号表!H:H,0))))</f>
        <v>C580</v>
      </c>
      <c r="F238" s="15" t="s">
        <v>12315</v>
      </c>
      <c r="G238" s="15">
        <v>3</v>
      </c>
      <c r="H238" s="15" t="s">
        <v>12177</v>
      </c>
      <c r="I238" s="15">
        <v>3</v>
      </c>
      <c r="J238" s="14">
        <v>46027</v>
      </c>
      <c r="K238" s="16"/>
      <c r="L238" s="16">
        <f t="shared" si="14"/>
        <v>0</v>
      </c>
      <c r="M238" s="15" t="s">
        <v>12178</v>
      </c>
      <c r="N238" s="15">
        <f>_xlfn.SINGLE(INDEX(样品编号表!AA:AA,_xlfn.SINGLE(MATCH(_xlfn.SINGLE(C:C),样品编号表!H:H,0))))</f>
        <v>9.8</v>
      </c>
      <c r="O238" s="16"/>
      <c r="P238" s="16">
        <f t="shared" si="13"/>
        <v>0</v>
      </c>
      <c r="Q238" s="15"/>
    </row>
    <row r="239" ht="18" hidden="1" customHeight="1" spans="1:17">
      <c r="A239" s="14">
        <v>46025</v>
      </c>
      <c r="B239" s="15" t="s">
        <v>12313</v>
      </c>
      <c r="C239" s="15" t="s">
        <v>723</v>
      </c>
      <c r="D239" s="15" t="str">
        <f>_xlfn.SINGLE(INDEX(样品编号表!Y:Y,_xlfn.SINGLE(MATCH(_xlfn.SINGLE(C:C),样品编号表!H:H,0))))</f>
        <v>光大纺织</v>
      </c>
      <c r="E239" s="15" t="str">
        <f>_xlfn.SINGLE(INDEX(样品编号表!Z:Z,_xlfn.SINGLE(MATCH(_xlfn.SINGLE(C:C),样品编号表!H:H,0))))</f>
        <v>C580</v>
      </c>
      <c r="F239" s="15" t="s">
        <v>12316</v>
      </c>
      <c r="G239" s="15">
        <v>5</v>
      </c>
      <c r="H239" s="15" t="s">
        <v>12177</v>
      </c>
      <c r="I239" s="15">
        <v>5</v>
      </c>
      <c r="J239" s="14">
        <v>46027</v>
      </c>
      <c r="K239" s="16"/>
      <c r="L239" s="16">
        <f t="shared" si="14"/>
        <v>0</v>
      </c>
      <c r="M239" s="15" t="s">
        <v>12178</v>
      </c>
      <c r="N239" s="15">
        <f>_xlfn.SINGLE(INDEX(样品编号表!AA:AA,_xlfn.SINGLE(MATCH(_xlfn.SINGLE(C:C),样品编号表!H:H,0))))</f>
        <v>9.8</v>
      </c>
      <c r="O239" s="16"/>
      <c r="P239" s="16">
        <f t="shared" si="13"/>
        <v>0</v>
      </c>
      <c r="Q239" s="15"/>
    </row>
    <row r="240" ht="18" hidden="1" customHeight="1" spans="1:17">
      <c r="A240" s="14">
        <v>46027</v>
      </c>
      <c r="B240" s="15" t="s">
        <v>9156</v>
      </c>
      <c r="C240" s="15" t="s">
        <v>2638</v>
      </c>
      <c r="D240" s="15" t="str">
        <f>_xlfn.SINGLE(INDEX(样品编号表!Y:Y,_xlfn.SINGLE(MATCH(_xlfn.SINGLE(C:C),样品编号表!H:H,0))))</f>
        <v>新嘉彩</v>
      </c>
      <c r="E240" s="15">
        <f>_xlfn.SINGLE(INDEX(样品编号表!Z:Z,_xlfn.SINGLE(MATCH(_xlfn.SINGLE(C:C),样品编号表!H:H,0))))</f>
        <v>938</v>
      </c>
      <c r="F240" s="15" t="s">
        <v>12317</v>
      </c>
      <c r="G240" s="15">
        <v>7</v>
      </c>
      <c r="H240" s="15" t="s">
        <v>12177</v>
      </c>
      <c r="I240" s="15">
        <v>7</v>
      </c>
      <c r="J240" s="14">
        <v>46029</v>
      </c>
      <c r="K240" s="16">
        <v>20</v>
      </c>
      <c r="L240" s="16">
        <f t="shared" si="14"/>
        <v>140</v>
      </c>
      <c r="M240" s="15" t="s">
        <v>12178</v>
      </c>
      <c r="N240" s="15">
        <f>_xlfn.SINGLE(INDEX(样品编号表!AA:AA,_xlfn.SINGLE(MATCH(_xlfn.SINGLE(C:C),样品编号表!H:H,0))))</f>
        <v>8.8</v>
      </c>
      <c r="O240" s="16"/>
      <c r="P240" s="16">
        <f t="shared" si="13"/>
        <v>0</v>
      </c>
      <c r="Q240" s="15"/>
    </row>
    <row r="241" ht="18" hidden="1" customHeight="1" spans="1:17">
      <c r="A241" s="14">
        <v>46027</v>
      </c>
      <c r="B241" s="15" t="s">
        <v>9156</v>
      </c>
      <c r="C241" s="15" t="s">
        <v>7681</v>
      </c>
      <c r="D241" s="15" t="str">
        <f>_xlfn.SINGLE(INDEX(样品编号表!Y:Y,_xlfn.SINGLE(MATCH(_xlfn.SINGLE(C:C),样品编号表!H:H,0))))</f>
        <v>广州旺佳纺织</v>
      </c>
      <c r="E241" s="15" t="str">
        <f>_xlfn.SINGLE(INDEX(样品编号表!Z:Z,_xlfn.SINGLE(MATCH(_xlfn.SINGLE(C:C),样品编号表!H:H,0))))</f>
        <v>美人条</v>
      </c>
      <c r="F241" s="15" t="s">
        <v>12213</v>
      </c>
      <c r="G241" s="15">
        <v>7</v>
      </c>
      <c r="H241" s="15" t="s">
        <v>12177</v>
      </c>
      <c r="I241" s="15">
        <v>7</v>
      </c>
      <c r="J241" s="14">
        <v>46029</v>
      </c>
      <c r="K241" s="16">
        <v>23</v>
      </c>
      <c r="L241" s="16">
        <f t="shared" si="14"/>
        <v>161</v>
      </c>
      <c r="M241" s="15" t="s">
        <v>12178</v>
      </c>
      <c r="N241" s="15">
        <f>_xlfn.SINGLE(INDEX(样品编号表!AA:AA,_xlfn.SINGLE(MATCH(_xlfn.SINGLE(C:C),样品编号表!H:H,0))))</f>
        <v>24.5</v>
      </c>
      <c r="O241" s="16"/>
      <c r="P241" s="16">
        <f t="shared" si="13"/>
        <v>0</v>
      </c>
      <c r="Q241" s="15"/>
    </row>
    <row r="242" ht="18" hidden="1" customHeight="1" spans="1:17">
      <c r="A242" s="14">
        <v>46027</v>
      </c>
      <c r="B242" s="15" t="s">
        <v>9156</v>
      </c>
      <c r="C242" s="15" t="s">
        <v>2771</v>
      </c>
      <c r="D242" s="15" t="str">
        <f>_xlfn.SINGLE(INDEX(样品编号表!Y:Y,_xlfn.SINGLE(MATCH(_xlfn.SINGLE(C:C),样品编号表!H:H,0))))</f>
        <v>新合盛布业</v>
      </c>
      <c r="E242" s="15">
        <f>_xlfn.SINGLE(INDEX(样品编号表!Z:Z,_xlfn.SINGLE(MATCH(_xlfn.SINGLE(C:C),样品编号表!H:H,0))))</f>
        <v>8112</v>
      </c>
      <c r="F242" s="15" t="s">
        <v>12214</v>
      </c>
      <c r="G242" s="15">
        <v>15</v>
      </c>
      <c r="H242" s="15" t="s">
        <v>12177</v>
      </c>
      <c r="I242" s="15">
        <v>15</v>
      </c>
      <c r="J242" s="14">
        <v>46029</v>
      </c>
      <c r="K242" s="16"/>
      <c r="L242" s="16">
        <f t="shared" si="14"/>
        <v>0</v>
      </c>
      <c r="M242" s="15" t="s">
        <v>12178</v>
      </c>
      <c r="N242" s="15">
        <f>_xlfn.SINGLE(INDEX(样品编号表!AA:AA,_xlfn.SINGLE(MATCH(_xlfn.SINGLE(C:C),样品编号表!H:H,0))))</f>
        <v>9.6</v>
      </c>
      <c r="O242" s="16"/>
      <c r="P242" s="16">
        <f t="shared" si="13"/>
        <v>0</v>
      </c>
      <c r="Q242" s="15"/>
    </row>
    <row r="243" ht="18" hidden="1" customHeight="1" spans="1:17">
      <c r="A243" s="14">
        <v>46027</v>
      </c>
      <c r="B243" s="15" t="s">
        <v>12188</v>
      </c>
      <c r="C243" s="15" t="s">
        <v>4632</v>
      </c>
      <c r="D243" s="15" t="str">
        <f>_xlfn.SINGLE(INDEX(样品编号表!Y:Y,_xlfn.SINGLE(MATCH(_xlfn.SINGLE(C:C),样品编号表!H:H,0))))</f>
        <v>莱米</v>
      </c>
      <c r="E243" s="15" t="str">
        <f>_xlfn.SINGLE(INDEX(样品编号表!Z:Z,_xlfn.SINGLE(MATCH(_xlfn.SINGLE(C:C),样品编号表!H:H,0))))</f>
        <v>仿醋酸双面缎</v>
      </c>
      <c r="F243" s="15" t="s">
        <v>12213</v>
      </c>
      <c r="G243" s="15">
        <v>5</v>
      </c>
      <c r="H243" s="15" t="s">
        <v>12177</v>
      </c>
      <c r="I243" s="15">
        <v>5</v>
      </c>
      <c r="J243" s="14">
        <v>46028</v>
      </c>
      <c r="K243" s="16"/>
      <c r="L243" s="16"/>
      <c r="M243" s="15"/>
      <c r="N243" s="15"/>
      <c r="O243" s="16"/>
      <c r="P243" s="16"/>
      <c r="Q243" s="15"/>
    </row>
    <row r="244" ht="18" hidden="1" customHeight="1" spans="1:17">
      <c r="A244" s="14">
        <v>46027</v>
      </c>
      <c r="B244" s="15" t="s">
        <v>12188</v>
      </c>
      <c r="C244" s="15" t="s">
        <v>486</v>
      </c>
      <c r="D244" s="15" t="str">
        <f>_xlfn.SINGLE(INDEX(样品编号表!Y:Y,_xlfn.SINGLE(MATCH(_xlfn.SINGLE(C:C),样品编号表!H:H,0))))</f>
        <v>三好纺织</v>
      </c>
      <c r="E244" s="15" t="str">
        <f>_xlfn.SINGLE(INDEX(样品编号表!Z:Z,_xlfn.SINGLE(MATCH(_xlfn.SINGLE(C:C),样品编号表!H:H,0))))</f>
        <v>0953#</v>
      </c>
      <c r="F244" s="15" t="s">
        <v>12213</v>
      </c>
      <c r="G244" s="15">
        <v>5</v>
      </c>
      <c r="H244" s="15" t="s">
        <v>12177</v>
      </c>
      <c r="I244" s="15">
        <v>5</v>
      </c>
      <c r="J244" s="14">
        <v>46028</v>
      </c>
      <c r="K244" s="16"/>
      <c r="L244" s="16"/>
      <c r="M244" s="15"/>
      <c r="N244" s="15"/>
      <c r="O244" s="16"/>
      <c r="P244" s="16"/>
      <c r="Q244" s="15"/>
    </row>
    <row r="245" ht="18" hidden="1" customHeight="1" spans="1:17">
      <c r="A245" s="14">
        <v>46027</v>
      </c>
      <c r="B245" s="15" t="s">
        <v>12240</v>
      </c>
      <c r="C245" s="15" t="s">
        <v>7848</v>
      </c>
      <c r="D245" s="15" t="str">
        <f>_xlfn.SINGLE(INDEX(样品编号表!Y:Y,_xlfn.SINGLE(MATCH(_xlfn.SINGLE(C:C),样品编号表!H:H,0))))</f>
        <v>华越纺织</v>
      </c>
      <c r="E245" s="15" t="str">
        <f>_xlfn.SINGLE(INDEX(样品编号表!Z:Z,_xlfn.SINGLE(MATCH(_xlfn.SINGLE(C:C),样品编号表!H:H,0))))</f>
        <v>乐丽丝双层</v>
      </c>
      <c r="F245" s="15" t="s">
        <v>12213</v>
      </c>
      <c r="G245" s="15">
        <v>10</v>
      </c>
      <c r="H245" s="15" t="s">
        <v>12177</v>
      </c>
      <c r="I245" s="15">
        <v>10</v>
      </c>
      <c r="J245" s="14">
        <v>46029</v>
      </c>
      <c r="K245" s="16"/>
      <c r="L245" s="16"/>
      <c r="M245" s="15"/>
      <c r="N245" s="15"/>
      <c r="O245" s="16"/>
      <c r="P245" s="16"/>
      <c r="Q245" s="15"/>
    </row>
    <row r="246" ht="18" hidden="1" customHeight="1" spans="1:17">
      <c r="A246" s="14">
        <v>46028</v>
      </c>
      <c r="B246" s="15" t="s">
        <v>12240</v>
      </c>
      <c r="C246" s="15" t="s">
        <v>7848</v>
      </c>
      <c r="D246" s="15" t="str">
        <f>_xlfn.SINGLE(INDEX(样品编号表!Y:Y,_xlfn.SINGLE(MATCH(_xlfn.SINGLE(C:C),样品编号表!H:H,0))))</f>
        <v>华越纺织</v>
      </c>
      <c r="E246" s="15" t="str">
        <f>_xlfn.SINGLE(INDEX(样品编号表!Z:Z,_xlfn.SINGLE(MATCH(_xlfn.SINGLE(C:C),样品编号表!H:H,0))))</f>
        <v>乐丽丝双层</v>
      </c>
      <c r="F246" s="15" t="s">
        <v>12213</v>
      </c>
      <c r="G246" s="15">
        <v>8</v>
      </c>
      <c r="H246" s="15" t="s">
        <v>12177</v>
      </c>
      <c r="I246" s="15">
        <v>8</v>
      </c>
      <c r="J246" s="14">
        <v>46029</v>
      </c>
      <c r="K246" s="16"/>
      <c r="L246" s="16"/>
      <c r="M246" s="15"/>
      <c r="N246" s="15"/>
      <c r="O246" s="16"/>
      <c r="P246" s="16"/>
      <c r="Q246" s="15"/>
    </row>
    <row r="247" ht="18" hidden="1" customHeight="1" spans="1:17">
      <c r="A247" s="14">
        <v>46028</v>
      </c>
      <c r="B247" s="15" t="s">
        <v>12312</v>
      </c>
      <c r="C247" s="15" t="s">
        <v>2614</v>
      </c>
      <c r="D247" s="15" t="str">
        <f>_xlfn.SINGLE(INDEX(样品编号表!Y:Y,_xlfn.SINGLE(MATCH(_xlfn.SINGLE(C:C),样品编号表!H:H,0))))</f>
        <v>锦地印染</v>
      </c>
      <c r="E247" s="15">
        <f>_xlfn.SINGLE(INDEX(样品编号表!Z:Z,_xlfn.SINGLE(MATCH(_xlfn.SINGLE(C:C),样品编号表!H:H,0))))</f>
        <v>11042</v>
      </c>
      <c r="F247" s="15" t="s">
        <v>12213</v>
      </c>
      <c r="G247" s="15">
        <v>8</v>
      </c>
      <c r="H247" s="15" t="s">
        <v>12177</v>
      </c>
      <c r="I247" s="15">
        <v>8</v>
      </c>
      <c r="J247" s="14">
        <v>46029</v>
      </c>
      <c r="K247" s="16"/>
      <c r="L247" s="16"/>
      <c r="M247" s="15"/>
      <c r="N247" s="15"/>
      <c r="O247" s="16"/>
      <c r="P247" s="16"/>
      <c r="Q247" s="15"/>
    </row>
    <row r="248" ht="18" hidden="1" customHeight="1" spans="1:17">
      <c r="A248" s="14">
        <v>46028</v>
      </c>
      <c r="B248" s="15" t="s">
        <v>12312</v>
      </c>
      <c r="C248" s="15" t="s">
        <v>492</v>
      </c>
      <c r="D248" s="15" t="str">
        <f>_xlfn.SINGLE(INDEX(样品编号表!Y:Y,_xlfn.SINGLE(MATCH(_xlfn.SINGLE(C:C),样品编号表!H:H,0))))</f>
        <v>光大纺织</v>
      </c>
      <c r="E248" s="15" t="str">
        <f>_xlfn.SINGLE(INDEX(样品编号表!Z:Z,_xlfn.SINGLE(MATCH(_xlfn.SINGLE(C:C),样品编号表!H:H,0))))</f>
        <v>TR439</v>
      </c>
      <c r="F248" s="15" t="s">
        <v>12260</v>
      </c>
      <c r="G248" s="15">
        <v>4</v>
      </c>
      <c r="H248" s="15" t="s">
        <v>12177</v>
      </c>
      <c r="I248" s="15">
        <v>4</v>
      </c>
      <c r="J248" s="14">
        <v>46029</v>
      </c>
      <c r="K248" s="16"/>
      <c r="L248" s="16"/>
      <c r="M248" s="15"/>
      <c r="N248" s="15"/>
      <c r="O248" s="16"/>
      <c r="P248" s="16"/>
      <c r="Q248" s="15"/>
    </row>
    <row r="249" ht="18" hidden="1" customHeight="1" spans="1:17">
      <c r="A249" s="14">
        <v>46028</v>
      </c>
      <c r="B249" s="15" t="s">
        <v>12312</v>
      </c>
      <c r="C249" s="15" t="s">
        <v>723</v>
      </c>
      <c r="D249" s="15" t="str">
        <f>_xlfn.SINGLE(INDEX(样品编号表!Y:Y,_xlfn.SINGLE(MATCH(_xlfn.SINGLE(C:C),样品编号表!H:H,0))))</f>
        <v>光大纺织</v>
      </c>
      <c r="E249" s="15" t="str">
        <f>_xlfn.SINGLE(INDEX(样品编号表!Z:Z,_xlfn.SINGLE(MATCH(_xlfn.SINGLE(C:C),样品编号表!H:H,0))))</f>
        <v>C580</v>
      </c>
      <c r="F249" s="15" t="s">
        <v>12276</v>
      </c>
      <c r="G249" s="15">
        <v>4</v>
      </c>
      <c r="H249" s="15" t="s">
        <v>12177</v>
      </c>
      <c r="I249" s="15">
        <v>4</v>
      </c>
      <c r="J249" s="14">
        <v>46029</v>
      </c>
      <c r="K249" s="16"/>
      <c r="L249" s="16"/>
      <c r="M249" s="15"/>
      <c r="N249" s="15"/>
      <c r="O249" s="16"/>
      <c r="P249" s="16"/>
      <c r="Q249" s="15"/>
    </row>
    <row r="250" ht="18" hidden="1" customHeight="1" spans="1:17">
      <c r="A250" s="14">
        <v>46028</v>
      </c>
      <c r="B250" s="15" t="s">
        <v>12318</v>
      </c>
      <c r="C250" s="15" t="s">
        <v>2771</v>
      </c>
      <c r="D250" s="15" t="str">
        <f>_xlfn.SINGLE(INDEX(样品编号表!Y:Y,_xlfn.SINGLE(MATCH(_xlfn.SINGLE(C:C),样品编号表!H:H,0))))</f>
        <v>新合盛布业</v>
      </c>
      <c r="E250" s="15">
        <f>_xlfn.SINGLE(INDEX(样品编号表!Z:Z,_xlfn.SINGLE(MATCH(_xlfn.SINGLE(C:C),样品编号表!H:H,0))))</f>
        <v>8112</v>
      </c>
      <c r="F250" s="15" t="s">
        <v>12213</v>
      </c>
      <c r="G250" s="15">
        <v>2</v>
      </c>
      <c r="H250" s="15" t="s">
        <v>12177</v>
      </c>
      <c r="I250" s="15">
        <v>2</v>
      </c>
      <c r="J250" s="14"/>
      <c r="K250" s="16"/>
      <c r="L250" s="16"/>
      <c r="M250" s="15"/>
      <c r="N250" s="15"/>
      <c r="O250" s="16"/>
      <c r="P250" s="16"/>
      <c r="Q250" s="15"/>
    </row>
    <row r="251" ht="18" hidden="1" customHeight="1" spans="1:17">
      <c r="A251" s="14">
        <v>46028</v>
      </c>
      <c r="B251" s="15" t="s">
        <v>12194</v>
      </c>
      <c r="C251" s="15" t="s">
        <v>427</v>
      </c>
      <c r="D251" s="15" t="str">
        <f>_xlfn.SINGLE(INDEX(样品编号表!Y:Y,_xlfn.SINGLE(MATCH(_xlfn.SINGLE(C:C),样品编号表!H:H,0))))</f>
        <v>凯盛亨</v>
      </c>
      <c r="E251" s="15" t="str">
        <f>_xlfn.SINGLE(INDEX(样品编号表!Z:Z,_xlfn.SINGLE(MATCH(_xlfn.SINGLE(C:C),样品编号表!H:H,0))))</f>
        <v>262#</v>
      </c>
      <c r="F251" s="15" t="s">
        <v>12319</v>
      </c>
      <c r="G251" s="15">
        <v>4</v>
      </c>
      <c r="H251" s="15" t="s">
        <v>12177</v>
      </c>
      <c r="I251" s="15">
        <v>4</v>
      </c>
      <c r="J251" s="14"/>
      <c r="K251" s="16"/>
      <c r="L251" s="16"/>
      <c r="M251" s="15"/>
      <c r="N251" s="15"/>
      <c r="O251" s="16"/>
      <c r="P251" s="16"/>
      <c r="Q251" s="15"/>
    </row>
    <row r="252" ht="18" hidden="1" customHeight="1" spans="1:17">
      <c r="A252" s="14">
        <v>46028</v>
      </c>
      <c r="B252" s="15" t="s">
        <v>12194</v>
      </c>
      <c r="C252" s="15" t="s">
        <v>427</v>
      </c>
      <c r="D252" s="15" t="str">
        <f>_xlfn.SINGLE(INDEX(样品编号表!Y:Y,_xlfn.SINGLE(MATCH(_xlfn.SINGLE(C:C),样品编号表!H:H,0))))</f>
        <v>凯盛亨</v>
      </c>
      <c r="E252" s="15" t="str">
        <f>_xlfn.SINGLE(INDEX(样品编号表!Z:Z,_xlfn.SINGLE(MATCH(_xlfn.SINGLE(C:C),样品编号表!H:H,0))))</f>
        <v>262#</v>
      </c>
      <c r="F252" s="15" t="s">
        <v>12320</v>
      </c>
      <c r="G252" s="15">
        <v>4</v>
      </c>
      <c r="H252" s="15" t="s">
        <v>12177</v>
      </c>
      <c r="I252" s="15">
        <v>4</v>
      </c>
      <c r="J252" s="14"/>
      <c r="K252" s="16"/>
      <c r="L252" s="16"/>
      <c r="M252" s="15"/>
      <c r="N252" s="15"/>
      <c r="O252" s="16"/>
      <c r="P252" s="16"/>
      <c r="Q252" s="15"/>
    </row>
    <row r="253" ht="18" hidden="1" customHeight="1" spans="1:17">
      <c r="A253" s="14">
        <v>46028</v>
      </c>
      <c r="B253" s="15" t="s">
        <v>12194</v>
      </c>
      <c r="C253" s="15" t="s">
        <v>427</v>
      </c>
      <c r="D253" s="15" t="str">
        <f>_xlfn.SINGLE(INDEX(样品编号表!Y:Y,_xlfn.SINGLE(MATCH(_xlfn.SINGLE(C:C),样品编号表!H:H,0))))</f>
        <v>凯盛亨</v>
      </c>
      <c r="E253" s="15" t="str">
        <f>_xlfn.SINGLE(INDEX(样品编号表!Z:Z,_xlfn.SINGLE(MATCH(_xlfn.SINGLE(C:C),样品编号表!H:H,0))))</f>
        <v>262#</v>
      </c>
      <c r="F253" s="15" t="s">
        <v>12321</v>
      </c>
      <c r="G253" s="15">
        <v>3</v>
      </c>
      <c r="H253" s="15" t="s">
        <v>12177</v>
      </c>
      <c r="I253" s="15">
        <v>3</v>
      </c>
      <c r="J253" s="14"/>
      <c r="K253" s="16"/>
      <c r="L253" s="16"/>
      <c r="M253" s="15"/>
      <c r="N253" s="15"/>
      <c r="O253" s="16"/>
      <c r="P253" s="16"/>
      <c r="Q253" s="15"/>
    </row>
    <row r="254" ht="18" hidden="1" customHeight="1" spans="1:17">
      <c r="A254" s="14">
        <v>46028</v>
      </c>
      <c r="B254" s="15" t="s">
        <v>12194</v>
      </c>
      <c r="C254" s="15" t="s">
        <v>427</v>
      </c>
      <c r="D254" s="15" t="str">
        <f>_xlfn.SINGLE(INDEX(样品编号表!Y:Y,_xlfn.SINGLE(MATCH(_xlfn.SINGLE(C:C),样品编号表!H:H,0))))</f>
        <v>凯盛亨</v>
      </c>
      <c r="E254" s="15" t="str">
        <f>_xlfn.SINGLE(INDEX(样品编号表!Z:Z,_xlfn.SINGLE(MATCH(_xlfn.SINGLE(C:C),样品编号表!H:H,0))))</f>
        <v>262#</v>
      </c>
      <c r="F254" s="15" t="s">
        <v>12322</v>
      </c>
      <c r="G254" s="15">
        <v>2</v>
      </c>
      <c r="H254" s="15" t="s">
        <v>12177</v>
      </c>
      <c r="I254" s="15">
        <v>2</v>
      </c>
      <c r="J254" s="14"/>
      <c r="K254" s="16"/>
      <c r="L254" s="16"/>
      <c r="M254" s="15"/>
      <c r="N254" s="15"/>
      <c r="O254" s="16"/>
      <c r="P254" s="16"/>
      <c r="Q254" s="15"/>
    </row>
    <row r="255" ht="18" hidden="1" customHeight="1" spans="1:17">
      <c r="A255" s="14">
        <v>46029</v>
      </c>
      <c r="B255" s="15" t="s">
        <v>9156</v>
      </c>
      <c r="C255" s="15" t="s">
        <v>3725</v>
      </c>
      <c r="D255" s="15" t="str">
        <f>_xlfn.SINGLE(INDEX(样品编号表!Y:Y,_xlfn.SINGLE(MATCH(_xlfn.SINGLE(C:C),样品编号表!H:H,0))))</f>
        <v>三好</v>
      </c>
      <c r="E255" s="15" t="str">
        <f>_xlfn.SINGLE(INDEX(样品编号表!Z:Z,_xlfn.SINGLE(MATCH(_xlfn.SINGLE(C:C),样品编号表!H:H,0))))</f>
        <v>1348#</v>
      </c>
      <c r="F255" s="15" t="s">
        <v>12214</v>
      </c>
      <c r="G255" s="15">
        <v>3</v>
      </c>
      <c r="H255" s="15" t="s">
        <v>12177</v>
      </c>
      <c r="I255" s="15">
        <v>3</v>
      </c>
      <c r="J255" s="14"/>
      <c r="K255" s="16"/>
      <c r="L255" s="16"/>
      <c r="M255" s="15"/>
      <c r="N255" s="15"/>
      <c r="O255" s="16"/>
      <c r="P255" s="16"/>
      <c r="Q255" s="15"/>
    </row>
    <row r="256" ht="18" hidden="1" customHeight="1" spans="1:17">
      <c r="A256" s="14">
        <v>46029</v>
      </c>
      <c r="B256" s="15" t="s">
        <v>9156</v>
      </c>
      <c r="C256" s="15" t="s">
        <v>1593</v>
      </c>
      <c r="D256" s="15" t="str">
        <f>_xlfn.SINGLE(INDEX(样品编号表!Y:Y,_xlfn.SINGLE(MATCH(_xlfn.SINGLE(C:C),样品编号表!H:H,0))))</f>
        <v>宝隆纺织</v>
      </c>
      <c r="E256" s="15">
        <f>_xlfn.SINGLE(INDEX(样品编号表!Z:Z,_xlfn.SINGLE(MATCH(_xlfn.SINGLE(C:C),样品编号表!H:H,0))))</f>
        <v>1562</v>
      </c>
      <c r="F256" s="15" t="s">
        <v>12323</v>
      </c>
      <c r="G256" s="15">
        <v>7</v>
      </c>
      <c r="H256" s="15" t="s">
        <v>12177</v>
      </c>
      <c r="I256" s="15">
        <v>7</v>
      </c>
      <c r="J256" s="14"/>
      <c r="K256" s="16"/>
      <c r="L256" s="16"/>
      <c r="M256" s="15"/>
      <c r="N256" s="15"/>
      <c r="O256" s="16"/>
      <c r="P256" s="16"/>
      <c r="Q256" s="15"/>
    </row>
    <row r="257" ht="18" hidden="1" customHeight="1" spans="1:17">
      <c r="A257" s="14">
        <v>46029</v>
      </c>
      <c r="B257" s="15" t="s">
        <v>12194</v>
      </c>
      <c r="C257" s="15" t="s">
        <v>2386</v>
      </c>
      <c r="D257" s="15" t="str">
        <f>_xlfn.SINGLE(INDEX(样品编号表!Y:Y,_xlfn.SINGLE(MATCH(_xlfn.SINGLE(C:C),样品编号表!H:H,0))))</f>
        <v>穗纺行</v>
      </c>
      <c r="E257" s="15" t="str">
        <f>_xlfn.SINGLE(INDEX(样品编号表!Z:Z,_xlfn.SINGLE(MATCH(_xlfn.SINGLE(C:C),样品编号表!H:H,0))))</f>
        <v>1601M</v>
      </c>
      <c r="F257" s="15" t="s">
        <v>12324</v>
      </c>
      <c r="G257" s="15">
        <v>3</v>
      </c>
      <c r="H257" s="15" t="s">
        <v>12177</v>
      </c>
      <c r="I257" s="15">
        <v>3</v>
      </c>
      <c r="J257" s="14"/>
      <c r="K257" s="16"/>
      <c r="L257" s="16"/>
      <c r="M257" s="15"/>
      <c r="N257" s="15"/>
      <c r="O257" s="16"/>
      <c r="P257" s="16"/>
      <c r="Q257" s="15"/>
    </row>
    <row r="258" ht="18" hidden="1" customHeight="1" spans="1:17">
      <c r="A258" s="14">
        <v>46029</v>
      </c>
      <c r="B258" s="15" t="s">
        <v>12318</v>
      </c>
      <c r="C258" s="15" t="s">
        <v>7848</v>
      </c>
      <c r="D258" s="15" t="str">
        <f>_xlfn.SINGLE(INDEX(样品编号表!Y:Y,_xlfn.SINGLE(MATCH(_xlfn.SINGLE(C:C),样品编号表!H:H,0))))</f>
        <v>华越纺织</v>
      </c>
      <c r="E258" s="15" t="str">
        <f>_xlfn.SINGLE(INDEX(样品编号表!Z:Z,_xlfn.SINGLE(MATCH(_xlfn.SINGLE(C:C),样品编号表!H:H,0))))</f>
        <v>乐丽丝双层</v>
      </c>
      <c r="F258" s="15" t="s">
        <v>12325</v>
      </c>
      <c r="G258" s="15">
        <v>2</v>
      </c>
      <c r="H258" s="15" t="s">
        <v>12177</v>
      </c>
      <c r="I258" s="15">
        <v>2</v>
      </c>
      <c r="J258" s="14"/>
      <c r="K258" s="16"/>
      <c r="L258" s="16"/>
      <c r="M258" s="15"/>
      <c r="N258" s="15"/>
      <c r="O258" s="16"/>
      <c r="P258" s="16"/>
      <c r="Q258" s="15"/>
    </row>
    <row r="259" ht="18" hidden="1" customHeight="1" spans="1:17">
      <c r="A259" s="14">
        <v>46029</v>
      </c>
      <c r="B259" s="15" t="s">
        <v>12312</v>
      </c>
      <c r="C259" s="15" t="s">
        <v>1593</v>
      </c>
      <c r="D259" s="15" t="str">
        <f>_xlfn.SINGLE(INDEX(样品编号表!Y:Y,_xlfn.SINGLE(MATCH(_xlfn.SINGLE(C:C),样品编号表!H:H,0))))</f>
        <v>宝隆纺织</v>
      </c>
      <c r="E259" s="15">
        <f>_xlfn.SINGLE(INDEX(样品编号表!Z:Z,_xlfn.SINGLE(MATCH(_xlfn.SINGLE(C:C),样品编号表!H:H,0))))</f>
        <v>1562</v>
      </c>
      <c r="F259" s="15" t="s">
        <v>12239</v>
      </c>
      <c r="G259" s="15">
        <v>4</v>
      </c>
      <c r="H259" s="15" t="s">
        <v>12177</v>
      </c>
      <c r="I259" s="15">
        <v>4</v>
      </c>
      <c r="J259" s="14"/>
      <c r="K259" s="16"/>
      <c r="L259" s="16"/>
      <c r="M259" s="15"/>
      <c r="N259" s="15"/>
      <c r="O259" s="16"/>
      <c r="P259" s="16"/>
      <c r="Q259" s="15"/>
    </row>
    <row r="260" ht="18" hidden="1" customHeight="1" spans="1:17">
      <c r="A260" s="14">
        <v>46029</v>
      </c>
      <c r="B260" s="15" t="s">
        <v>12312</v>
      </c>
      <c r="C260" s="15" t="s">
        <v>492</v>
      </c>
      <c r="D260" s="15" t="str">
        <f>_xlfn.SINGLE(INDEX(样品编号表!Y:Y,_xlfn.SINGLE(MATCH(_xlfn.SINGLE(C:C),样品编号表!H:H,0))))</f>
        <v>光大纺织</v>
      </c>
      <c r="E260" s="15" t="str">
        <f>_xlfn.SINGLE(INDEX(样品编号表!Z:Z,_xlfn.SINGLE(MATCH(_xlfn.SINGLE(C:C),样品编号表!H:H,0))))</f>
        <v>TR439</v>
      </c>
      <c r="F260" s="15" t="s">
        <v>12261</v>
      </c>
      <c r="G260" s="15">
        <v>2</v>
      </c>
      <c r="H260" s="15" t="s">
        <v>12177</v>
      </c>
      <c r="I260" s="15">
        <v>2</v>
      </c>
      <c r="J260" s="14"/>
      <c r="K260" s="16"/>
      <c r="L260" s="16"/>
      <c r="M260" s="15"/>
      <c r="N260" s="15"/>
      <c r="O260" s="16"/>
      <c r="P260" s="16"/>
      <c r="Q260" s="15"/>
    </row>
    <row r="261" ht="18" hidden="1" customHeight="1" spans="1:17">
      <c r="A261" s="14">
        <v>46029</v>
      </c>
      <c r="B261" s="15" t="s">
        <v>12312</v>
      </c>
      <c r="C261" s="15" t="s">
        <v>492</v>
      </c>
      <c r="D261" s="15" t="str">
        <f>_xlfn.SINGLE(INDEX(样品编号表!Y:Y,_xlfn.SINGLE(MATCH(_xlfn.SINGLE(C:C),样品编号表!H:H,0))))</f>
        <v>光大纺织</v>
      </c>
      <c r="E261" s="15" t="str">
        <f>_xlfn.SINGLE(INDEX(样品编号表!Z:Z,_xlfn.SINGLE(MATCH(_xlfn.SINGLE(C:C),样品编号表!H:H,0))))</f>
        <v>TR439</v>
      </c>
      <c r="F261" s="15" t="s">
        <v>12326</v>
      </c>
      <c r="G261" s="15">
        <v>9</v>
      </c>
      <c r="H261" s="15" t="s">
        <v>12177</v>
      </c>
      <c r="I261" s="15">
        <v>9</v>
      </c>
      <c r="J261" s="14"/>
      <c r="K261" s="16"/>
      <c r="L261" s="16"/>
      <c r="M261" s="15"/>
      <c r="N261" s="15"/>
      <c r="O261" s="16"/>
      <c r="P261" s="16"/>
      <c r="Q261" s="15"/>
    </row>
    <row r="262" ht="18" hidden="1" customHeight="1" spans="1:17">
      <c r="A262" s="14">
        <v>46029</v>
      </c>
      <c r="B262" s="15" t="s">
        <v>12312</v>
      </c>
      <c r="C262" s="15" t="s">
        <v>492</v>
      </c>
      <c r="D262" s="15" t="str">
        <f>_xlfn.SINGLE(INDEX(样品编号表!Y:Y,_xlfn.SINGLE(MATCH(_xlfn.SINGLE(C:C),样品编号表!H:H,0))))</f>
        <v>光大纺织</v>
      </c>
      <c r="E262" s="15" t="str">
        <f>_xlfn.SINGLE(INDEX(样品编号表!Z:Z,_xlfn.SINGLE(MATCH(_xlfn.SINGLE(C:C),样品编号表!H:H,0))))</f>
        <v>TR439</v>
      </c>
      <c r="F262" s="15" t="s">
        <v>12260</v>
      </c>
      <c r="G262" s="15">
        <v>13</v>
      </c>
      <c r="H262" s="15" t="s">
        <v>12177</v>
      </c>
      <c r="I262" s="15">
        <v>13</v>
      </c>
      <c r="J262" s="14"/>
      <c r="K262" s="16"/>
      <c r="L262" s="16"/>
      <c r="M262" s="15"/>
      <c r="N262" s="15"/>
      <c r="O262" s="16"/>
      <c r="P262" s="16"/>
      <c r="Q262" s="15"/>
    </row>
    <row r="263" ht="18" hidden="1" customHeight="1" spans="1:17">
      <c r="A263" s="14">
        <v>46029</v>
      </c>
      <c r="B263" s="15" t="s">
        <v>9156</v>
      </c>
      <c r="C263" s="15" t="s">
        <v>3834</v>
      </c>
      <c r="D263" s="15" t="str">
        <f>_xlfn.SINGLE(INDEX(样品编号表!Y:Y,_xlfn.SINGLE(MATCH(_xlfn.SINGLE(C:C),样品编号表!H:H,0))))</f>
        <v>沣泰布业</v>
      </c>
      <c r="E263" s="15" t="str">
        <f>_xlfn.SINGLE(INDEX(样品编号表!Z:Z,_xlfn.SINGLE(MATCH(_xlfn.SINGLE(C:C),样品编号表!H:H,0))))</f>
        <v>1018#21S精棉平纹</v>
      </c>
      <c r="F263" s="15" t="s">
        <v>12214</v>
      </c>
      <c r="G263" s="15">
        <v>3</v>
      </c>
      <c r="H263" s="15" t="s">
        <v>12177</v>
      </c>
      <c r="I263" s="15">
        <v>3</v>
      </c>
      <c r="J263" s="14"/>
      <c r="K263" s="16"/>
      <c r="L263" s="16"/>
      <c r="M263" s="15"/>
      <c r="N263" s="15"/>
      <c r="O263" s="16"/>
      <c r="P263" s="16"/>
      <c r="Q263" s="15" t="s">
        <v>9776</v>
      </c>
    </row>
    <row r="264" ht="18" hidden="1" customHeight="1" spans="1:17">
      <c r="A264" s="14">
        <v>46030</v>
      </c>
      <c r="B264" s="15" t="s">
        <v>9156</v>
      </c>
      <c r="C264" s="15" t="s">
        <v>1780</v>
      </c>
      <c r="D264" s="15" t="str">
        <f>_xlfn.SINGLE(INDEX(样品编号表!Y:Y,_xlfn.SINGLE(MATCH(_xlfn.SINGLE(C:C),样品编号表!H:H,0))))</f>
        <v>艺纺</v>
      </c>
      <c r="E264" s="15" t="str">
        <f>_xlfn.SINGLE(INDEX(样品编号表!Z:Z,_xlfn.SINGLE(MATCH(_xlfn.SINGLE(C:C),样品编号表!H:H,0))))</f>
        <v>11865-3</v>
      </c>
      <c r="F264" s="15" t="s">
        <v>12277</v>
      </c>
      <c r="G264" s="15">
        <v>2</v>
      </c>
      <c r="H264" s="15" t="s">
        <v>12177</v>
      </c>
      <c r="I264" s="15"/>
      <c r="J264" s="14"/>
      <c r="K264" s="16"/>
      <c r="L264" s="16"/>
      <c r="M264" s="15"/>
      <c r="N264" s="15"/>
      <c r="O264" s="16"/>
      <c r="P264" s="16"/>
      <c r="Q264" s="15"/>
    </row>
    <row r="265" ht="18" customHeight="1" spans="1:17">
      <c r="A265" s="14"/>
      <c r="B265" s="15"/>
      <c r="C265" s="15"/>
      <c r="D265" s="15"/>
      <c r="E265" s="15"/>
      <c r="F265" s="15"/>
      <c r="G265" s="15"/>
      <c r="H265" s="15"/>
      <c r="I265" s="15"/>
      <c r="J265" s="14"/>
      <c r="K265" s="16"/>
      <c r="L265" s="16"/>
      <c r="M265" s="15"/>
      <c r="N265" s="15"/>
      <c r="O265" s="16"/>
      <c r="P265" s="16"/>
      <c r="Q265" s="15"/>
    </row>
    <row r="266" ht="18" customHeight="1" spans="1:17">
      <c r="A266" s="14"/>
      <c r="B266" s="15"/>
      <c r="C266" s="15"/>
      <c r="D266" s="15"/>
      <c r="E266" s="15"/>
      <c r="F266" s="15"/>
      <c r="G266" s="15"/>
      <c r="H266" s="15"/>
      <c r="I266" s="15"/>
      <c r="J266" s="14"/>
      <c r="K266" s="16"/>
      <c r="L266" s="16"/>
      <c r="M266" s="15"/>
      <c r="N266" s="15"/>
      <c r="O266" s="16"/>
      <c r="P266" s="16"/>
      <c r="Q266" s="15"/>
    </row>
    <row r="267" ht="18" customHeight="1" spans="1:17">
      <c r="A267" s="14"/>
      <c r="B267" s="15"/>
      <c r="C267" s="15"/>
      <c r="D267" s="15"/>
      <c r="E267" s="15"/>
      <c r="F267" s="15"/>
      <c r="G267" s="15"/>
      <c r="H267" s="15"/>
      <c r="I267" s="15"/>
      <c r="J267" s="14"/>
      <c r="K267" s="16"/>
      <c r="L267" s="16"/>
      <c r="M267" s="15"/>
      <c r="N267" s="15"/>
      <c r="O267" s="16"/>
      <c r="P267" s="16"/>
      <c r="Q267" s="15"/>
    </row>
    <row r="268" ht="18" customHeight="1" spans="1:17">
      <c r="A268" s="14"/>
      <c r="B268" s="15"/>
      <c r="C268" s="15"/>
      <c r="D268" s="15"/>
      <c r="E268" s="15"/>
      <c r="F268" s="15"/>
      <c r="G268" s="15"/>
      <c r="H268" s="15"/>
      <c r="I268" s="15"/>
      <c r="J268" s="14"/>
      <c r="K268" s="16"/>
      <c r="L268" s="16"/>
      <c r="M268" s="15"/>
      <c r="N268" s="15"/>
      <c r="O268" s="16"/>
      <c r="P268" s="16"/>
      <c r="Q268" s="15"/>
    </row>
    <row r="269" ht="18" customHeight="1" spans="1:17">
      <c r="A269" s="14"/>
      <c r="B269" s="15"/>
      <c r="C269" s="15"/>
      <c r="D269" s="15"/>
      <c r="E269" s="15"/>
      <c r="F269" s="15"/>
      <c r="G269" s="15"/>
      <c r="H269" s="15"/>
      <c r="I269" s="15"/>
      <c r="J269" s="14"/>
      <c r="K269" s="16"/>
      <c r="L269" s="16"/>
      <c r="M269" s="15"/>
      <c r="N269" s="15"/>
      <c r="O269" s="16"/>
      <c r="P269" s="16"/>
      <c r="Q269" s="15"/>
    </row>
    <row r="270" ht="18" customHeight="1" spans="1:17">
      <c r="A270" s="14"/>
      <c r="B270" s="15"/>
      <c r="C270" s="15"/>
      <c r="D270" s="15"/>
      <c r="E270" s="15"/>
      <c r="F270" s="15"/>
      <c r="G270" s="15"/>
      <c r="H270" s="15"/>
      <c r="I270" s="15"/>
      <c r="J270" s="14"/>
      <c r="K270" s="16"/>
      <c r="L270" s="16"/>
      <c r="M270" s="15"/>
      <c r="N270" s="15"/>
      <c r="O270" s="16"/>
      <c r="P270" s="16"/>
      <c r="Q270" s="15"/>
    </row>
    <row r="271" ht="18" customHeight="1" spans="1:17">
      <c r="A271" s="14"/>
      <c r="B271" s="15"/>
      <c r="C271" s="15"/>
      <c r="D271" s="15"/>
      <c r="E271" s="15"/>
      <c r="F271" s="15"/>
      <c r="G271" s="15"/>
      <c r="H271" s="15"/>
      <c r="I271" s="15"/>
      <c r="J271" s="14"/>
      <c r="K271" s="16"/>
      <c r="L271" s="16"/>
      <c r="M271" s="15"/>
      <c r="N271" s="15"/>
      <c r="O271" s="16"/>
      <c r="P271" s="16"/>
      <c r="Q271" s="15"/>
    </row>
    <row r="272" ht="18" customHeight="1" spans="1:17">
      <c r="A272" s="14"/>
      <c r="B272" s="15"/>
      <c r="C272" s="15"/>
      <c r="D272" s="15"/>
      <c r="E272" s="15"/>
      <c r="F272" s="15"/>
      <c r="G272" s="15"/>
      <c r="H272" s="15"/>
      <c r="I272" s="15"/>
      <c r="J272" s="14"/>
      <c r="K272" s="16"/>
      <c r="L272" s="16"/>
      <c r="M272" s="15"/>
      <c r="N272" s="15"/>
      <c r="O272" s="16"/>
      <c r="P272" s="16"/>
      <c r="Q272" s="15"/>
    </row>
    <row r="273" ht="18" customHeight="1" spans="1:17">
      <c r="A273" s="14"/>
      <c r="B273" s="15"/>
      <c r="C273" s="15"/>
      <c r="D273" s="15"/>
      <c r="E273" s="15"/>
      <c r="F273" s="15"/>
      <c r="G273" s="15"/>
      <c r="H273" s="15"/>
      <c r="I273" s="15"/>
      <c r="J273" s="14"/>
      <c r="K273" s="16"/>
      <c r="L273" s="16"/>
      <c r="M273" s="15"/>
      <c r="N273" s="15"/>
      <c r="O273" s="16"/>
      <c r="P273" s="16"/>
      <c r="Q273" s="15"/>
    </row>
    <row r="274" ht="18" customHeight="1" spans="1:17">
      <c r="A274" s="14"/>
      <c r="B274" s="15"/>
      <c r="C274" s="15"/>
      <c r="D274" s="15"/>
      <c r="E274" s="15"/>
      <c r="F274" s="15"/>
      <c r="G274" s="15"/>
      <c r="H274" s="15"/>
      <c r="I274" s="15"/>
      <c r="J274" s="14"/>
      <c r="K274" s="16"/>
      <c r="L274" s="16"/>
      <c r="M274" s="15"/>
      <c r="N274" s="15"/>
      <c r="O274" s="16"/>
      <c r="P274" s="16"/>
      <c r="Q274" s="15"/>
    </row>
    <row r="275" ht="18" customHeight="1" spans="1:17">
      <c r="A275" s="14"/>
      <c r="B275" s="15"/>
      <c r="C275" s="15"/>
      <c r="D275" s="15"/>
      <c r="E275" s="15"/>
      <c r="F275" s="15"/>
      <c r="G275" s="15"/>
      <c r="H275" s="15"/>
      <c r="I275" s="15"/>
      <c r="J275" s="14"/>
      <c r="K275" s="16"/>
      <c r="L275" s="16"/>
      <c r="M275" s="15"/>
      <c r="N275" s="15"/>
      <c r="O275" s="16"/>
      <c r="P275" s="16"/>
      <c r="Q275" s="15"/>
    </row>
    <row r="276" ht="18" customHeight="1" spans="1:17">
      <c r="A276" s="14"/>
      <c r="B276" s="15"/>
      <c r="C276" s="15"/>
      <c r="D276" s="15"/>
      <c r="E276" s="15"/>
      <c r="F276" s="15"/>
      <c r="G276" s="15"/>
      <c r="H276" s="15"/>
      <c r="I276" s="15"/>
      <c r="J276" s="14"/>
      <c r="K276" s="16"/>
      <c r="L276" s="16"/>
      <c r="M276" s="15"/>
      <c r="N276" s="15"/>
      <c r="O276" s="16"/>
      <c r="P276" s="16"/>
      <c r="Q276" s="15"/>
    </row>
    <row r="277" ht="18" customHeight="1" spans="1:17">
      <c r="A277" s="14"/>
      <c r="B277" s="15"/>
      <c r="C277" s="15"/>
      <c r="D277" s="15"/>
      <c r="E277" s="15"/>
      <c r="F277" s="15"/>
      <c r="G277" s="15"/>
      <c r="H277" s="15"/>
      <c r="I277" s="15"/>
      <c r="J277" s="14"/>
      <c r="K277" s="16"/>
      <c r="L277" s="16"/>
      <c r="M277" s="15"/>
      <c r="N277" s="15"/>
      <c r="O277" s="16"/>
      <c r="P277" s="16"/>
      <c r="Q277" s="15"/>
    </row>
    <row r="278" ht="18" customHeight="1" spans="1:17">
      <c r="A278" s="14"/>
      <c r="B278" s="15"/>
      <c r="C278" s="15"/>
      <c r="D278" s="15"/>
      <c r="E278" s="15"/>
      <c r="F278" s="15"/>
      <c r="G278" s="15"/>
      <c r="H278" s="15"/>
      <c r="I278" s="15"/>
      <c r="J278" s="14"/>
      <c r="K278" s="16"/>
      <c r="L278" s="16"/>
      <c r="M278" s="15"/>
      <c r="N278" s="15"/>
      <c r="O278" s="16"/>
      <c r="P278" s="16"/>
      <c r="Q278" s="15"/>
    </row>
    <row r="279" ht="18" customHeight="1" spans="1:17">
      <c r="A279" s="14"/>
      <c r="B279" s="15"/>
      <c r="C279" s="15"/>
      <c r="D279" s="15"/>
      <c r="E279" s="15"/>
      <c r="F279" s="15"/>
      <c r="G279" s="15"/>
      <c r="H279" s="15"/>
      <c r="I279" s="15"/>
      <c r="J279" s="14"/>
      <c r="K279" s="16"/>
      <c r="L279" s="16"/>
      <c r="M279" s="15"/>
      <c r="N279" s="15"/>
      <c r="O279" s="16"/>
      <c r="P279" s="16"/>
      <c r="Q279" s="15"/>
    </row>
    <row r="280" ht="18" customHeight="1" spans="1:17">
      <c r="A280" s="14"/>
      <c r="B280" s="15"/>
      <c r="C280" s="15"/>
      <c r="D280" s="15"/>
      <c r="E280" s="15"/>
      <c r="F280" s="15"/>
      <c r="G280" s="15"/>
      <c r="H280" s="15"/>
      <c r="I280" s="15"/>
      <c r="J280" s="14"/>
      <c r="K280" s="16"/>
      <c r="L280" s="16"/>
      <c r="M280" s="15"/>
      <c r="N280" s="15"/>
      <c r="O280" s="16"/>
      <c r="P280" s="16"/>
      <c r="Q280" s="15"/>
    </row>
    <row r="281" ht="18" customHeight="1" spans="1:17">
      <c r="A281" s="14"/>
      <c r="B281" s="15"/>
      <c r="C281" s="15"/>
      <c r="D281" s="15"/>
      <c r="E281" s="15"/>
      <c r="F281" s="15"/>
      <c r="G281" s="15"/>
      <c r="H281" s="15"/>
      <c r="I281" s="15"/>
      <c r="J281" s="14"/>
      <c r="K281" s="16"/>
      <c r="L281" s="16"/>
      <c r="M281" s="15"/>
      <c r="N281" s="15"/>
      <c r="O281" s="16"/>
      <c r="P281" s="16"/>
      <c r="Q281" s="15"/>
    </row>
    <row r="282" ht="18" customHeight="1" spans="1:17">
      <c r="A282" s="14"/>
      <c r="B282" s="15"/>
      <c r="C282" s="15"/>
      <c r="D282" s="15"/>
      <c r="E282" s="15"/>
      <c r="F282" s="15"/>
      <c r="G282" s="15"/>
      <c r="H282" s="15"/>
      <c r="I282" s="15"/>
      <c r="J282" s="14"/>
      <c r="K282" s="16"/>
      <c r="L282" s="16"/>
      <c r="M282" s="15"/>
      <c r="N282" s="15"/>
      <c r="O282" s="16"/>
      <c r="P282" s="16"/>
      <c r="Q282" s="15"/>
    </row>
    <row r="283" ht="18" customHeight="1" spans="1:17">
      <c r="A283" s="14"/>
      <c r="B283" s="15"/>
      <c r="C283" s="15"/>
      <c r="D283" s="15"/>
      <c r="E283" s="15"/>
      <c r="F283" s="15"/>
      <c r="G283" s="15"/>
      <c r="H283" s="15"/>
      <c r="I283" s="15"/>
      <c r="J283" s="14"/>
      <c r="K283" s="16"/>
      <c r="L283" s="16"/>
      <c r="M283" s="15"/>
      <c r="N283" s="15"/>
      <c r="O283" s="16"/>
      <c r="P283" s="16"/>
      <c r="Q283" s="15"/>
    </row>
    <row r="284" ht="18" customHeight="1" spans="1:17">
      <c r="A284" s="14"/>
      <c r="B284" s="15"/>
      <c r="C284" s="15"/>
      <c r="D284" s="15"/>
      <c r="E284" s="15"/>
      <c r="F284" s="15"/>
      <c r="G284" s="15"/>
      <c r="H284" s="15"/>
      <c r="I284" s="15"/>
      <c r="J284" s="14"/>
      <c r="K284" s="16"/>
      <c r="L284" s="16"/>
      <c r="M284" s="15"/>
      <c r="N284" s="15"/>
      <c r="O284" s="16"/>
      <c r="P284" s="16"/>
      <c r="Q284" s="15"/>
    </row>
    <row r="285" ht="18" customHeight="1" spans="1:17">
      <c r="A285" s="14"/>
      <c r="B285" s="15"/>
      <c r="C285" s="15"/>
      <c r="D285" s="15"/>
      <c r="E285" s="15"/>
      <c r="F285" s="15"/>
      <c r="G285" s="15"/>
      <c r="H285" s="15"/>
      <c r="I285" s="15"/>
      <c r="J285" s="14"/>
      <c r="K285" s="16"/>
      <c r="L285" s="16"/>
      <c r="M285" s="15"/>
      <c r="N285" s="15"/>
      <c r="O285" s="16"/>
      <c r="P285" s="16"/>
      <c r="Q285" s="15"/>
    </row>
  </sheetData>
  <autoFilter xmlns:etc="http://www.wps.cn/officeDocument/2017/etCustomData" ref="A1:Q264" etc:filterBottomFollowUsedRange="0">
    <filterColumn colId="2">
      <customFilters>
        <customFilter operator="equal" val="SY251062"/>
      </customFilters>
    </filterColumn>
    <extLst/>
  </autoFilter>
  <conditionalFormatting sqref="C1">
    <cfRule type="duplicateValues" dxfId="0" priority="3"/>
  </conditionalFormatting>
  <pageMargins left="0.75" right="0.75" top="1" bottom="1" header="0.5" footer="0.5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W18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1.5" style="6"/>
    <col min="2" max="2" width="11.2" style="7" customWidth="1"/>
    <col min="3" max="3" width="14.6" style="7" hidden="1" customWidth="1"/>
    <col min="4" max="4" width="12.5" style="7" hidden="1" customWidth="1"/>
    <col min="5" max="5" width="11.1" style="7" customWidth="1"/>
    <col min="6" max="6" width="12.9" style="7" customWidth="1"/>
    <col min="7" max="7" width="17.7" style="7" customWidth="1"/>
    <col min="8" max="8" width="13.9" style="7" customWidth="1"/>
    <col min="9" max="9" width="7" style="7" customWidth="1"/>
    <col min="10" max="10" width="6.6" style="7" customWidth="1"/>
    <col min="11" max="11" width="7.7" style="7" customWidth="1"/>
    <col min="12" max="12" width="11.2" style="6" customWidth="1"/>
    <col min="13" max="13" width="9.2" style="8" customWidth="1"/>
    <col min="14" max="14" width="13.2" style="8" customWidth="1"/>
    <col min="15" max="15" width="10" style="7" customWidth="1"/>
    <col min="16" max="19" width="14.6" style="7" customWidth="1"/>
    <col min="20" max="20" width="10" style="8" customWidth="1"/>
    <col min="21" max="21" width="14.9" style="8" customWidth="1"/>
    <col min="22" max="22" width="28.5" style="7" customWidth="1"/>
    <col min="23" max="16384" width="9" style="7"/>
  </cols>
  <sheetData>
    <row r="1" ht="34.05" customHeight="1" spans="1:23">
      <c r="A1" s="9" t="s">
        <v>12157</v>
      </c>
      <c r="B1" s="10" t="s">
        <v>12158</v>
      </c>
      <c r="C1" s="11" t="s">
        <v>12327</v>
      </c>
      <c r="D1" s="11" t="s">
        <v>12328</v>
      </c>
      <c r="E1" s="20" t="s">
        <v>12159</v>
      </c>
      <c r="F1" s="20" t="s">
        <v>12160</v>
      </c>
      <c r="G1" s="20" t="s">
        <v>12161</v>
      </c>
      <c r="H1" s="11" t="s">
        <v>12162</v>
      </c>
      <c r="I1" s="11" t="s">
        <v>12163</v>
      </c>
      <c r="J1" s="11" t="s">
        <v>12164</v>
      </c>
      <c r="K1" s="21" t="s">
        <v>12165</v>
      </c>
      <c r="L1" s="22" t="s">
        <v>12166</v>
      </c>
      <c r="M1" s="13" t="s">
        <v>12167</v>
      </c>
      <c r="N1" s="13" t="s">
        <v>12168</v>
      </c>
      <c r="O1" s="11" t="s">
        <v>12169</v>
      </c>
      <c r="P1" s="11" t="s">
        <v>12329</v>
      </c>
      <c r="Q1" s="11" t="s">
        <v>12330</v>
      </c>
      <c r="R1" s="11" t="s">
        <v>12331</v>
      </c>
      <c r="S1" s="11" t="s">
        <v>12332</v>
      </c>
      <c r="T1" s="13" t="s">
        <v>12171</v>
      </c>
      <c r="U1" s="13" t="s">
        <v>12172</v>
      </c>
      <c r="V1" s="11" t="s">
        <v>12173</v>
      </c>
    </row>
    <row r="2" ht="18" hidden="1" customHeight="1" spans="1:23">
      <c r="A2" s="14">
        <v>45863</v>
      </c>
      <c r="B2" s="15" t="s">
        <v>12182</v>
      </c>
      <c r="C2" s="15" t="s">
        <v>12333</v>
      </c>
      <c r="D2" s="15"/>
      <c r="E2" s="15" t="s">
        <v>12183</v>
      </c>
      <c r="F2" s="15" t="s">
        <v>3147</v>
      </c>
      <c r="G2" s="15" t="s">
        <v>12184</v>
      </c>
      <c r="H2" s="15" t="s">
        <v>12185</v>
      </c>
      <c r="I2" s="15">
        <v>1700</v>
      </c>
      <c r="J2" s="15" t="s">
        <v>12177</v>
      </c>
      <c r="K2" s="15">
        <v>1635</v>
      </c>
      <c r="L2" s="14">
        <v>45882</v>
      </c>
      <c r="M2" s="16">
        <v>15.6</v>
      </c>
      <c r="N2" s="16">
        <f t="shared" ref="N2:N65" si="0">K2*M2</f>
        <v>25506</v>
      </c>
      <c r="O2" s="15" t="s">
        <v>12334</v>
      </c>
      <c r="P2" s="15"/>
      <c r="Q2" s="15"/>
      <c r="R2" s="15"/>
      <c r="S2" s="15"/>
      <c r="T2" s="16">
        <v>8.1</v>
      </c>
      <c r="U2" s="16">
        <f t="shared" ref="U2:U21" si="1">K2*T2</f>
        <v>13243.5</v>
      </c>
      <c r="V2" s="15" t="s">
        <v>12335</v>
      </c>
    </row>
    <row r="3" ht="18" hidden="1" customHeight="1" spans="1:23">
      <c r="A3" s="14">
        <v>45869</v>
      </c>
      <c r="B3" s="15" t="s">
        <v>12189</v>
      </c>
      <c r="C3" s="15" t="s">
        <v>12336</v>
      </c>
      <c r="D3" s="15"/>
      <c r="E3" s="15" t="s">
        <v>910</v>
      </c>
      <c r="F3" s="15" t="str">
        <f>_xlfn.SINGLE(INDEX(样品编号表!Y:Y,_xlfn.SINGLE(MATCH(_xlfn.SINGLE(E:E),样品编号表!H:H,0))))</f>
        <v>年年发纺织</v>
      </c>
      <c r="G3" s="15" t="str">
        <f>_xlfn.SINGLE(INDEX(样品编号表!Z:Z,_xlfn.SINGLE(MATCH(_xlfn.SINGLE(E:E),样品编号表!H:H,0))))</f>
        <v>303#</v>
      </c>
      <c r="H3" s="15" t="s">
        <v>12337</v>
      </c>
      <c r="I3" s="15">
        <v>270</v>
      </c>
      <c r="J3" s="15" t="s">
        <v>12177</v>
      </c>
      <c r="K3" s="15">
        <v>287</v>
      </c>
      <c r="L3" s="14">
        <v>45874</v>
      </c>
      <c r="M3" s="16">
        <v>15.3</v>
      </c>
      <c r="N3" s="16">
        <f t="shared" si="0"/>
        <v>4391.1</v>
      </c>
      <c r="O3" s="15" t="s">
        <v>12338</v>
      </c>
      <c r="P3" s="15"/>
      <c r="Q3" s="15"/>
      <c r="R3" s="15"/>
      <c r="S3" s="15"/>
      <c r="T3" s="16">
        <v>11.3</v>
      </c>
      <c r="U3" s="16">
        <f t="shared" si="1"/>
        <v>3243.1</v>
      </c>
      <c r="V3" s="15"/>
    </row>
    <row r="4" ht="18" hidden="1" customHeight="1" spans="1:23">
      <c r="A4" s="14">
        <v>45887</v>
      </c>
      <c r="B4" s="15" t="s">
        <v>12182</v>
      </c>
      <c r="C4" s="15" t="s">
        <v>12333</v>
      </c>
      <c r="D4" s="15"/>
      <c r="E4" s="15" t="s">
        <v>12183</v>
      </c>
      <c r="F4" s="15" t="s">
        <v>3147</v>
      </c>
      <c r="G4" s="15" t="s">
        <v>12184</v>
      </c>
      <c r="H4" s="15" t="s">
        <v>12185</v>
      </c>
      <c r="I4" s="15">
        <v>310</v>
      </c>
      <c r="J4" s="15" t="s">
        <v>12177</v>
      </c>
      <c r="K4" s="15">
        <v>351</v>
      </c>
      <c r="L4" s="14">
        <v>45889</v>
      </c>
      <c r="M4" s="16">
        <v>15.6</v>
      </c>
      <c r="N4" s="16">
        <f t="shared" si="0"/>
        <v>5475.6</v>
      </c>
      <c r="O4" s="15" t="s">
        <v>12334</v>
      </c>
      <c r="P4" s="15"/>
      <c r="Q4" s="15"/>
      <c r="R4" s="15"/>
      <c r="S4" s="15"/>
      <c r="T4" s="16">
        <v>8.1</v>
      </c>
      <c r="U4" s="16">
        <f t="shared" si="1"/>
        <v>2843.1</v>
      </c>
      <c r="V4" s="15" t="s">
        <v>12335</v>
      </c>
    </row>
    <row r="5" ht="18" hidden="1" customHeight="1" spans="1:23">
      <c r="A5" s="14">
        <v>45892</v>
      </c>
      <c r="B5" s="15" t="s">
        <v>12175</v>
      </c>
      <c r="C5" s="15" t="s">
        <v>12339</v>
      </c>
      <c r="D5" s="15"/>
      <c r="E5" s="15" t="s">
        <v>2113</v>
      </c>
      <c r="F5" s="15" t="str">
        <f>_xlfn.SINGLE(INDEX(样品编号表!Y:Y,_xlfn.SINGLE(MATCH(_xlfn.SINGLE(E:E),样品编号表!H:H,0))))</f>
        <v>凯盛亨</v>
      </c>
      <c r="G5" s="15" t="str">
        <f>_xlfn.SINGLE(INDEX(样品编号表!Z:Z,_xlfn.SINGLE(MATCH(_xlfn.SINGLE(E:E),样品编号表!H:H,0))))</f>
        <v>839#</v>
      </c>
      <c r="H5" s="15" t="s">
        <v>12203</v>
      </c>
      <c r="I5" s="15">
        <v>544</v>
      </c>
      <c r="J5" s="15" t="s">
        <v>12177</v>
      </c>
      <c r="K5" s="15">
        <v>589</v>
      </c>
      <c r="L5" s="14">
        <v>45892</v>
      </c>
      <c r="M5" s="16">
        <v>14.7</v>
      </c>
      <c r="N5" s="16">
        <f t="shared" si="0"/>
        <v>8658.3</v>
      </c>
      <c r="O5" s="15" t="s">
        <v>12338</v>
      </c>
      <c r="P5" s="15"/>
      <c r="Q5" s="15"/>
      <c r="R5" s="15"/>
      <c r="S5" s="15"/>
      <c r="T5" s="16">
        <v>11.3</v>
      </c>
      <c r="U5" s="16">
        <f t="shared" si="1"/>
        <v>6655.7</v>
      </c>
      <c r="V5" s="15"/>
    </row>
    <row r="6" ht="18" hidden="1" customHeight="1" spans="1:23">
      <c r="A6" s="14">
        <v>45898</v>
      </c>
      <c r="B6" s="15" t="s">
        <v>12175</v>
      </c>
      <c r="C6" s="15"/>
      <c r="D6" s="15"/>
      <c r="E6" s="15" t="s">
        <v>2113</v>
      </c>
      <c r="F6" s="15" t="str">
        <f>_xlfn.SINGLE(INDEX(样品编号表!Y:Y,_xlfn.SINGLE(MATCH(_xlfn.SINGLE(E:E),样品编号表!H:H,0))))</f>
        <v>凯盛亨</v>
      </c>
      <c r="G6" s="15" t="str">
        <f>_xlfn.SINGLE(INDEX(样品编号表!Z:Z,_xlfn.SINGLE(MATCH(_xlfn.SINGLE(E:E),样品编号表!H:H,0))))</f>
        <v>839#</v>
      </c>
      <c r="H6" s="15" t="s">
        <v>12203</v>
      </c>
      <c r="I6" s="15">
        <v>205</v>
      </c>
      <c r="J6" s="15" t="s">
        <v>12177</v>
      </c>
      <c r="K6" s="15">
        <v>227</v>
      </c>
      <c r="L6" s="14">
        <v>45912</v>
      </c>
      <c r="M6" s="16">
        <v>14.7</v>
      </c>
      <c r="N6" s="16">
        <f t="shared" si="0"/>
        <v>3336.9</v>
      </c>
      <c r="O6" s="15" t="s">
        <v>12338</v>
      </c>
      <c r="P6" s="15"/>
      <c r="Q6" s="15"/>
      <c r="R6" s="15"/>
      <c r="S6" s="15"/>
      <c r="T6" s="16">
        <v>11.3</v>
      </c>
      <c r="U6" s="16">
        <f t="shared" si="1"/>
        <v>2565.1</v>
      </c>
      <c r="V6" s="15"/>
    </row>
    <row r="7" ht="18" hidden="1" customHeight="1" spans="1:23">
      <c r="A7" s="14">
        <v>45898</v>
      </c>
      <c r="B7" s="15" t="s">
        <v>12340</v>
      </c>
      <c r="C7" s="15"/>
      <c r="D7" s="15"/>
      <c r="E7" s="15" t="s">
        <v>723</v>
      </c>
      <c r="F7" s="15" t="str">
        <f>_xlfn.SINGLE(INDEX(样品编号表!Y:Y,_xlfn.SINGLE(MATCH(_xlfn.SINGLE(E:E),样品编号表!H:H,0))))</f>
        <v>光大纺织</v>
      </c>
      <c r="G7" s="15" t="str">
        <f>_xlfn.SINGLE(INDEX(样品编号表!Z:Z,_xlfn.SINGLE(MATCH(_xlfn.SINGLE(E:E),样品编号表!H:H,0))))</f>
        <v>C580</v>
      </c>
      <c r="H7" s="15" t="s">
        <v>12210</v>
      </c>
      <c r="I7" s="15">
        <v>190</v>
      </c>
      <c r="J7" s="15" t="s">
        <v>12177</v>
      </c>
      <c r="K7" s="15">
        <v>217</v>
      </c>
      <c r="L7" s="14">
        <v>45912</v>
      </c>
      <c r="M7" s="16">
        <v>14.4</v>
      </c>
      <c r="N7" s="16">
        <f t="shared" si="0"/>
        <v>3124.8</v>
      </c>
      <c r="O7" s="15" t="s">
        <v>12341</v>
      </c>
      <c r="P7" s="15"/>
      <c r="Q7" s="15"/>
      <c r="R7" s="15"/>
      <c r="S7" s="15"/>
      <c r="T7" s="16">
        <v>9.8</v>
      </c>
      <c r="U7" s="16">
        <f t="shared" si="1"/>
        <v>2126.6</v>
      </c>
      <c r="V7" s="15" t="s">
        <v>12342</v>
      </c>
    </row>
    <row r="8" ht="18" hidden="1" customHeight="1" spans="1:23">
      <c r="A8" s="14">
        <v>45898</v>
      </c>
      <c r="B8" s="15" t="s">
        <v>12340</v>
      </c>
      <c r="C8" s="15"/>
      <c r="D8" s="15"/>
      <c r="E8" s="15" t="s">
        <v>723</v>
      </c>
      <c r="F8" s="15" t="str">
        <f>_xlfn.SINGLE(INDEX(样品编号表!Y:Y,_xlfn.SINGLE(MATCH(_xlfn.SINGLE(E:E),样品编号表!H:H,0))))</f>
        <v>光大纺织</v>
      </c>
      <c r="G8" s="15" t="str">
        <f>_xlfn.SINGLE(INDEX(样品编号表!Z:Z,_xlfn.SINGLE(MATCH(_xlfn.SINGLE(E:E),样品编号表!H:H,0))))</f>
        <v>C580</v>
      </c>
      <c r="H8" s="15" t="s">
        <v>12315</v>
      </c>
      <c r="I8" s="15">
        <v>190</v>
      </c>
      <c r="J8" s="15" t="s">
        <v>12177</v>
      </c>
      <c r="K8" s="15">
        <v>215</v>
      </c>
      <c r="L8" s="14">
        <v>45912</v>
      </c>
      <c r="M8" s="16">
        <v>14.4</v>
      </c>
      <c r="N8" s="16">
        <f t="shared" si="0"/>
        <v>3096</v>
      </c>
      <c r="O8" s="15" t="s">
        <v>12341</v>
      </c>
      <c r="P8" s="15"/>
      <c r="Q8" s="15"/>
      <c r="R8" s="15"/>
      <c r="S8" s="15"/>
      <c r="T8" s="16">
        <v>9.8</v>
      </c>
      <c r="U8" s="16">
        <f t="shared" si="1"/>
        <v>2107</v>
      </c>
      <c r="V8" s="15" t="s">
        <v>12342</v>
      </c>
    </row>
    <row r="9" ht="18" hidden="1" customHeight="1" spans="1:23">
      <c r="A9" s="14">
        <v>45918</v>
      </c>
      <c r="B9" s="15" t="s">
        <v>12175</v>
      </c>
      <c r="C9" s="15"/>
      <c r="D9" s="15"/>
      <c r="E9" s="15" t="s">
        <v>2113</v>
      </c>
      <c r="F9" s="15" t="str">
        <f>_xlfn.SINGLE(INDEX(样品编号表!Y:Y,_xlfn.SINGLE(MATCH(_xlfn.SINGLE(E:E),样品编号表!H:H,0))))</f>
        <v>凯盛亨</v>
      </c>
      <c r="G9" s="15" t="str">
        <f>_xlfn.SINGLE(INDEX(样品编号表!Z:Z,_xlfn.SINGLE(MATCH(_xlfn.SINGLE(E:E),样品编号表!H:H,0))))</f>
        <v>839#</v>
      </c>
      <c r="H9" s="15" t="s">
        <v>12343</v>
      </c>
      <c r="I9" s="15">
        <v>122</v>
      </c>
      <c r="J9" s="15" t="s">
        <v>12177</v>
      </c>
      <c r="K9" s="15">
        <v>118</v>
      </c>
      <c r="L9" s="14">
        <v>45945</v>
      </c>
      <c r="M9" s="16">
        <v>27.1</v>
      </c>
      <c r="N9" s="16">
        <f t="shared" si="0"/>
        <v>3197.8</v>
      </c>
      <c r="O9" s="15" t="s">
        <v>12344</v>
      </c>
      <c r="P9" s="15"/>
      <c r="Q9" s="15"/>
      <c r="R9" s="15"/>
      <c r="S9" s="15"/>
      <c r="T9" s="16">
        <f t="shared" ref="T9:T12" si="2">9+10.9</f>
        <v>19.9</v>
      </c>
      <c r="U9" s="16">
        <f t="shared" si="1"/>
        <v>2348.2</v>
      </c>
      <c r="V9" s="15"/>
    </row>
    <row r="10" ht="18" hidden="1" customHeight="1" spans="1:23">
      <c r="A10" s="14">
        <v>45919</v>
      </c>
      <c r="B10" s="15" t="s">
        <v>12345</v>
      </c>
      <c r="C10" s="15"/>
      <c r="D10" s="15"/>
      <c r="E10" s="15" t="s">
        <v>723</v>
      </c>
      <c r="F10" s="15" t="str">
        <f>_xlfn.SINGLE(INDEX(样品编号表!Y:Y,_xlfn.SINGLE(MATCH(_xlfn.SINGLE(E:E),样品编号表!H:H,0))))</f>
        <v>光大纺织</v>
      </c>
      <c r="G10" s="15" t="str">
        <f>_xlfn.SINGLE(INDEX(样品编号表!Z:Z,_xlfn.SINGLE(MATCH(_xlfn.SINGLE(E:E),样品编号表!H:H,0))))</f>
        <v>C580</v>
      </c>
      <c r="H10" s="15" t="s">
        <v>12211</v>
      </c>
      <c r="I10" s="15">
        <v>300</v>
      </c>
      <c r="J10" s="15" t="s">
        <v>12177</v>
      </c>
      <c r="K10" s="15">
        <v>306</v>
      </c>
      <c r="L10" s="14">
        <v>45922</v>
      </c>
      <c r="M10" s="16">
        <v>14.4</v>
      </c>
      <c r="N10" s="16">
        <f t="shared" si="0"/>
        <v>4406.4</v>
      </c>
      <c r="O10" s="15" t="s">
        <v>12341</v>
      </c>
      <c r="P10" s="15"/>
      <c r="Q10" s="15"/>
      <c r="R10" s="15"/>
      <c r="S10" s="15"/>
      <c r="T10" s="16">
        <v>9.8</v>
      </c>
      <c r="U10" s="16">
        <f t="shared" si="1"/>
        <v>2998.8</v>
      </c>
      <c r="V10" s="15" t="s">
        <v>12346</v>
      </c>
      <c r="W10" s="23"/>
    </row>
    <row r="11" ht="18" hidden="1" customHeight="1" spans="1:23">
      <c r="A11" s="14">
        <v>45919</v>
      </c>
      <c r="B11" s="15" t="s">
        <v>12199</v>
      </c>
      <c r="C11" s="15"/>
      <c r="D11" s="15"/>
      <c r="E11" s="15" t="s">
        <v>2113</v>
      </c>
      <c r="F11" s="15" t="str">
        <f>_xlfn.SINGLE(INDEX(样品编号表!Y:Y,_xlfn.SINGLE(MATCH(_xlfn.SINGLE(E:E),样品编号表!H:H,0))))</f>
        <v>凯盛亨</v>
      </c>
      <c r="G11" s="15" t="str">
        <f>_xlfn.SINGLE(INDEX(样品编号表!Z:Z,_xlfn.SINGLE(MATCH(_xlfn.SINGLE(E:E),样品编号表!H:H,0))))</f>
        <v>839#</v>
      </c>
      <c r="H11" s="15" t="s">
        <v>12343</v>
      </c>
      <c r="I11" s="15">
        <v>290</v>
      </c>
      <c r="J11" s="15" t="s">
        <v>12177</v>
      </c>
      <c r="K11" s="15">
        <v>288</v>
      </c>
      <c r="L11" s="14">
        <v>45945</v>
      </c>
      <c r="M11" s="16">
        <v>27.1</v>
      </c>
      <c r="N11" s="16">
        <f t="shared" si="0"/>
        <v>7804.8</v>
      </c>
      <c r="O11" s="15" t="s">
        <v>12344</v>
      </c>
      <c r="P11" s="15"/>
      <c r="Q11" s="15"/>
      <c r="R11" s="15"/>
      <c r="S11" s="15"/>
      <c r="T11" s="16">
        <f t="shared" si="2"/>
        <v>19.9</v>
      </c>
      <c r="U11" s="16">
        <f t="shared" si="1"/>
        <v>5731.2</v>
      </c>
      <c r="V11" s="15"/>
    </row>
    <row r="12" ht="18" hidden="1" customHeight="1" spans="1:23">
      <c r="A12" s="14">
        <v>45919</v>
      </c>
      <c r="B12" s="15" t="s">
        <v>12199</v>
      </c>
      <c r="C12" s="15"/>
      <c r="D12" s="15"/>
      <c r="E12" s="15" t="s">
        <v>2113</v>
      </c>
      <c r="F12" s="15" t="str">
        <f>_xlfn.SINGLE(INDEX(样品编号表!Y:Y,_xlfn.SINGLE(MATCH(_xlfn.SINGLE(E:E),样品编号表!H:H,0))))</f>
        <v>凯盛亨</v>
      </c>
      <c r="G12" s="15" t="str">
        <f>_xlfn.SINGLE(INDEX(样品编号表!Z:Z,_xlfn.SINGLE(MATCH(_xlfn.SINGLE(E:E),样品编号表!H:H,0))))</f>
        <v>839#</v>
      </c>
      <c r="H12" s="15" t="s">
        <v>12343</v>
      </c>
      <c r="I12" s="15">
        <v>260</v>
      </c>
      <c r="J12" s="15" t="s">
        <v>12177</v>
      </c>
      <c r="K12" s="15">
        <v>260</v>
      </c>
      <c r="L12" s="14">
        <v>45945</v>
      </c>
      <c r="M12" s="16">
        <v>27.1</v>
      </c>
      <c r="N12" s="16">
        <f t="shared" si="0"/>
        <v>7046</v>
      </c>
      <c r="O12" s="15" t="s">
        <v>12344</v>
      </c>
      <c r="P12" s="15"/>
      <c r="Q12" s="15"/>
      <c r="R12" s="15"/>
      <c r="S12" s="15"/>
      <c r="T12" s="16">
        <f t="shared" si="2"/>
        <v>19.9</v>
      </c>
      <c r="U12" s="16">
        <f t="shared" si="1"/>
        <v>5174</v>
      </c>
      <c r="V12" s="15"/>
    </row>
    <row r="13" ht="18" hidden="1" customHeight="1" spans="1:23">
      <c r="A13" s="14">
        <v>45919</v>
      </c>
      <c r="B13" s="15" t="s">
        <v>12199</v>
      </c>
      <c r="C13" s="15"/>
      <c r="D13" s="15"/>
      <c r="E13" s="15" t="s">
        <v>2113</v>
      </c>
      <c r="F13" s="15" t="str">
        <f>_xlfn.SINGLE(INDEX(样品编号表!Y:Y,_xlfn.SINGLE(MATCH(_xlfn.SINGLE(E:E),样品编号表!H:H,0))))</f>
        <v>凯盛亨</v>
      </c>
      <c r="G13" s="15" t="str">
        <f>_xlfn.SINGLE(INDEX(样品编号表!Z:Z,_xlfn.SINGLE(MATCH(_xlfn.SINGLE(E:E),样品编号表!H:H,0))))</f>
        <v>839#</v>
      </c>
      <c r="H13" s="15" t="s">
        <v>12213</v>
      </c>
      <c r="I13" s="15">
        <v>260</v>
      </c>
      <c r="J13" s="15" t="s">
        <v>12177</v>
      </c>
      <c r="K13" s="15">
        <v>265</v>
      </c>
      <c r="L13" s="14">
        <v>45947</v>
      </c>
      <c r="M13" s="16">
        <v>14.7</v>
      </c>
      <c r="N13" s="16">
        <f t="shared" si="0"/>
        <v>3895.5</v>
      </c>
      <c r="O13" s="15" t="s">
        <v>12344</v>
      </c>
      <c r="P13" s="15"/>
      <c r="Q13" s="15"/>
      <c r="R13" s="15"/>
      <c r="S13" s="15"/>
      <c r="T13" s="16">
        <v>11.3</v>
      </c>
      <c r="U13" s="16">
        <f t="shared" si="1"/>
        <v>2994.5</v>
      </c>
      <c r="V13" s="15"/>
    </row>
    <row r="14" ht="18" hidden="1" customHeight="1" spans="1:23">
      <c r="A14" s="14">
        <v>45947</v>
      </c>
      <c r="B14" s="15" t="s">
        <v>12199</v>
      </c>
      <c r="C14" s="15"/>
      <c r="D14" s="15"/>
      <c r="E14" s="15" t="s">
        <v>2113</v>
      </c>
      <c r="F14" s="15" t="str">
        <f>_xlfn.SINGLE(INDEX(样品编号表!Y:Y,_xlfn.SINGLE(MATCH(_xlfn.SINGLE(E:E),样品编号表!H:H,0))))</f>
        <v>凯盛亨</v>
      </c>
      <c r="G14" s="15" t="str">
        <f>_xlfn.SINGLE(INDEX(样品编号表!Z:Z,_xlfn.SINGLE(MATCH(_xlfn.SINGLE(E:E),样品编号表!H:H,0))))</f>
        <v>839#</v>
      </c>
      <c r="H14" s="15" t="s">
        <v>12343</v>
      </c>
      <c r="I14" s="15">
        <v>65</v>
      </c>
      <c r="J14" s="15" t="s">
        <v>12177</v>
      </c>
      <c r="K14" s="15">
        <v>65</v>
      </c>
      <c r="L14" s="14">
        <v>45951</v>
      </c>
      <c r="M14" s="16">
        <v>27.1</v>
      </c>
      <c r="N14" s="16">
        <f t="shared" si="0"/>
        <v>1761.5</v>
      </c>
      <c r="O14" s="15" t="s">
        <v>12344</v>
      </c>
      <c r="P14" s="15"/>
      <c r="Q14" s="15"/>
      <c r="R14" s="15"/>
      <c r="S14" s="15"/>
      <c r="T14" s="16">
        <f>9+10.9</f>
        <v>19.9</v>
      </c>
      <c r="U14" s="16">
        <f t="shared" si="1"/>
        <v>1293.5</v>
      </c>
      <c r="V14" s="15"/>
    </row>
    <row r="15" ht="18" hidden="1" customHeight="1" spans="1:23">
      <c r="A15" s="14">
        <v>45947</v>
      </c>
      <c r="B15" s="15" t="s">
        <v>12188</v>
      </c>
      <c r="C15" s="15"/>
      <c r="D15" s="15"/>
      <c r="E15" s="15" t="s">
        <v>2905</v>
      </c>
      <c r="F15" s="15" t="str">
        <f>_xlfn.SINGLE(INDEX(样品编号表!Y:Y,_xlfn.SINGLE(MATCH(_xlfn.SINGLE(E:E),样品编号表!H:H,0))))</f>
        <v>合泰隆纺织</v>
      </c>
      <c r="G15" s="15" t="str">
        <f>_xlfn.SINGLE(INDEX(样品编号表!Z:Z,_xlfn.SINGLE(MATCH(_xlfn.SINGLE(E:E),样品编号表!H:H,0))))</f>
        <v>T985</v>
      </c>
      <c r="H15" s="15" t="s">
        <v>12347</v>
      </c>
      <c r="I15" s="15">
        <v>210</v>
      </c>
      <c r="J15" s="15" t="s">
        <v>12177</v>
      </c>
      <c r="K15" s="15">
        <v>218.5</v>
      </c>
      <c r="L15" s="14">
        <v>45947</v>
      </c>
      <c r="M15" s="16">
        <v>15.1</v>
      </c>
      <c r="N15" s="16">
        <f t="shared" si="0"/>
        <v>3299.35</v>
      </c>
      <c r="O15" s="15" t="s">
        <v>12348</v>
      </c>
      <c r="P15" s="15"/>
      <c r="Q15" s="15"/>
      <c r="R15" s="15"/>
      <c r="S15" s="15"/>
      <c r="T15" s="16">
        <v>10.8</v>
      </c>
      <c r="U15" s="16">
        <f t="shared" si="1"/>
        <v>2359.8</v>
      </c>
      <c r="V15" s="15" t="s">
        <v>12349</v>
      </c>
    </row>
    <row r="16" ht="18" hidden="1" customHeight="1" spans="1:23">
      <c r="A16" s="14">
        <v>45948</v>
      </c>
      <c r="B16" s="15" t="s">
        <v>12188</v>
      </c>
      <c r="C16" s="15"/>
      <c r="D16" s="15"/>
      <c r="E16" s="15" t="s">
        <v>2905</v>
      </c>
      <c r="F16" s="15" t="str">
        <f>_xlfn.SINGLE(INDEX(样品编号表!Y:Y,_xlfn.SINGLE(MATCH(_xlfn.SINGLE(E:E),样品编号表!H:H,0))))</f>
        <v>合泰隆纺织</v>
      </c>
      <c r="G16" s="15" t="str">
        <f>_xlfn.SINGLE(INDEX(样品编号表!Z:Z,_xlfn.SINGLE(MATCH(_xlfn.SINGLE(E:E),样品编号表!H:H,0))))</f>
        <v>T985</v>
      </c>
      <c r="H16" s="15" t="s">
        <v>12350</v>
      </c>
      <c r="I16" s="15">
        <v>305</v>
      </c>
      <c r="J16" s="15" t="s">
        <v>12177</v>
      </c>
      <c r="K16" s="15">
        <v>319</v>
      </c>
      <c r="L16" s="14">
        <v>45950</v>
      </c>
      <c r="M16" s="16">
        <v>15.1</v>
      </c>
      <c r="N16" s="16">
        <f t="shared" si="0"/>
        <v>4816.9</v>
      </c>
      <c r="O16" s="15" t="s">
        <v>12348</v>
      </c>
      <c r="P16" s="15"/>
      <c r="Q16" s="15"/>
      <c r="R16" s="15"/>
      <c r="S16" s="15"/>
      <c r="T16" s="16">
        <v>10.8</v>
      </c>
      <c r="U16" s="16">
        <f t="shared" si="1"/>
        <v>3445.2</v>
      </c>
      <c r="V16" s="15" t="s">
        <v>12349</v>
      </c>
    </row>
    <row r="17" ht="18" hidden="1" customHeight="1" spans="1:22">
      <c r="A17" s="14">
        <v>45950</v>
      </c>
      <c r="B17" s="15" t="s">
        <v>9156</v>
      </c>
      <c r="C17" s="15"/>
      <c r="D17" s="15"/>
      <c r="E17" s="15" t="s">
        <v>2638</v>
      </c>
      <c r="F17" s="15" t="str">
        <f>_xlfn.SINGLE(INDEX(样品编号表!Y:Y,_xlfn.SINGLE(MATCH(_xlfn.SINGLE(E:E),样品编号表!H:H,0))))</f>
        <v>新嘉彩</v>
      </c>
      <c r="G17" s="15">
        <f>_xlfn.SINGLE(INDEX(样品编号表!Z:Z,_xlfn.SINGLE(MATCH(_xlfn.SINGLE(E:E),样品编号表!H:H,0))))</f>
        <v>938</v>
      </c>
      <c r="H17" s="15" t="s">
        <v>12208</v>
      </c>
      <c r="I17" s="15">
        <v>690</v>
      </c>
      <c r="J17" s="15" t="s">
        <v>12177</v>
      </c>
      <c r="K17" s="15">
        <v>691</v>
      </c>
      <c r="L17" s="14">
        <v>45952</v>
      </c>
      <c r="M17" s="16">
        <v>14.4</v>
      </c>
      <c r="N17" s="16">
        <f t="shared" si="0"/>
        <v>9950.4</v>
      </c>
      <c r="O17" s="15" t="s">
        <v>12351</v>
      </c>
      <c r="P17" s="15"/>
      <c r="Q17" s="15"/>
      <c r="R17" s="15"/>
      <c r="S17" s="15"/>
      <c r="T17" s="16">
        <v>10.3</v>
      </c>
      <c r="U17" s="16">
        <f t="shared" si="1"/>
        <v>7117.3</v>
      </c>
      <c r="V17" s="15"/>
    </row>
    <row r="18" ht="18" hidden="1" customHeight="1" spans="1:22">
      <c r="A18" s="14">
        <v>45950</v>
      </c>
      <c r="B18" s="15" t="s">
        <v>9156</v>
      </c>
      <c r="C18" s="15"/>
      <c r="D18" s="15"/>
      <c r="E18" s="15" t="s">
        <v>2638</v>
      </c>
      <c r="F18" s="15" t="str">
        <f>_xlfn.SINGLE(INDEX(样品编号表!Y:Y,_xlfn.SINGLE(MATCH(_xlfn.SINGLE(E:E),样品编号表!H:H,0))))</f>
        <v>新嘉彩</v>
      </c>
      <c r="G18" s="15">
        <f>_xlfn.SINGLE(INDEX(样品编号表!Z:Z,_xlfn.SINGLE(MATCH(_xlfn.SINGLE(E:E),样品编号表!H:H,0))))</f>
        <v>938</v>
      </c>
      <c r="H18" s="15" t="s">
        <v>12352</v>
      </c>
      <c r="I18" s="15">
        <v>90</v>
      </c>
      <c r="J18" s="15" t="s">
        <v>12177</v>
      </c>
      <c r="K18" s="15">
        <v>112</v>
      </c>
      <c r="L18" s="14">
        <v>45952</v>
      </c>
      <c r="M18" s="16">
        <v>14.4</v>
      </c>
      <c r="N18" s="16">
        <f t="shared" si="0"/>
        <v>1612.8</v>
      </c>
      <c r="O18" s="15" t="s">
        <v>12351</v>
      </c>
      <c r="P18" s="15"/>
      <c r="Q18" s="15"/>
      <c r="R18" s="15"/>
      <c r="S18" s="15"/>
      <c r="T18" s="16">
        <v>10.3</v>
      </c>
      <c r="U18" s="16">
        <f t="shared" si="1"/>
        <v>1153.6</v>
      </c>
      <c r="V18" s="15"/>
    </row>
    <row r="19" ht="18" hidden="1" customHeight="1" spans="1:22">
      <c r="A19" s="14">
        <v>45950</v>
      </c>
      <c r="B19" s="15" t="s">
        <v>9156</v>
      </c>
      <c r="C19" s="15"/>
      <c r="D19" s="15"/>
      <c r="E19" s="15" t="s">
        <v>2638</v>
      </c>
      <c r="F19" s="15" t="str">
        <f>_xlfn.SINGLE(INDEX(样品编号表!Y:Y,_xlfn.SINGLE(MATCH(_xlfn.SINGLE(E:E),样品编号表!H:H,0))))</f>
        <v>新嘉彩</v>
      </c>
      <c r="G19" s="15">
        <f>_xlfn.SINGLE(INDEX(样品编号表!Z:Z,_xlfn.SINGLE(MATCH(_xlfn.SINGLE(E:E),样品编号表!H:H,0))))</f>
        <v>938</v>
      </c>
      <c r="H19" s="15" t="s">
        <v>12353</v>
      </c>
      <c r="I19" s="15">
        <v>90</v>
      </c>
      <c r="J19" s="15" t="s">
        <v>12177</v>
      </c>
      <c r="K19" s="15">
        <v>108</v>
      </c>
      <c r="L19" s="14">
        <v>45952</v>
      </c>
      <c r="M19" s="16">
        <v>14.4</v>
      </c>
      <c r="N19" s="16">
        <f t="shared" si="0"/>
        <v>1555.2</v>
      </c>
      <c r="O19" s="15" t="s">
        <v>12351</v>
      </c>
      <c r="P19" s="15"/>
      <c r="Q19" s="15"/>
      <c r="R19" s="15"/>
      <c r="S19" s="15"/>
      <c r="T19" s="16">
        <v>10.3</v>
      </c>
      <c r="U19" s="16">
        <f t="shared" si="1"/>
        <v>1112.4</v>
      </c>
      <c r="V19" s="15"/>
    </row>
    <row r="20" ht="18" hidden="1" customHeight="1" spans="1:22">
      <c r="A20" s="14">
        <v>45950</v>
      </c>
      <c r="B20" s="15" t="s">
        <v>9156</v>
      </c>
      <c r="C20" s="15"/>
      <c r="D20" s="15"/>
      <c r="E20" s="15" t="s">
        <v>495</v>
      </c>
      <c r="F20" s="15" t="str">
        <f>_xlfn.SINGLE(INDEX(样品编号表!Y:Y,_xlfn.SINGLE(MATCH(_xlfn.SINGLE(E:E),样品编号表!H:H,0))))</f>
        <v>马利布行</v>
      </c>
      <c r="G20" s="15" t="str">
        <f>_xlfn.SINGLE(INDEX(样品编号表!Z:Z,_xlfn.SINGLE(MATCH(_xlfn.SINGLE(E:E),样品编号表!H:H,0))))</f>
        <v>10172#</v>
      </c>
      <c r="H20" s="15" t="s">
        <v>12213</v>
      </c>
      <c r="I20" s="15">
        <v>60</v>
      </c>
      <c r="J20" s="15" t="s">
        <v>12177</v>
      </c>
      <c r="K20" s="15">
        <v>67</v>
      </c>
      <c r="L20" s="14">
        <v>45958</v>
      </c>
      <c r="M20" s="16">
        <v>18.7</v>
      </c>
      <c r="N20" s="16">
        <f t="shared" si="0"/>
        <v>1252.9</v>
      </c>
      <c r="O20" s="15" t="s">
        <v>12351</v>
      </c>
      <c r="P20" s="15"/>
      <c r="Q20" s="15"/>
      <c r="R20" s="15"/>
      <c r="S20" s="15"/>
      <c r="T20" s="16">
        <v>12.2</v>
      </c>
      <c r="U20" s="16">
        <f t="shared" si="1"/>
        <v>817.4</v>
      </c>
      <c r="V20" s="15" t="s">
        <v>12354</v>
      </c>
    </row>
    <row r="21" ht="18" hidden="1" customHeight="1" spans="1:22">
      <c r="A21" s="14">
        <v>45952</v>
      </c>
      <c r="B21" s="15" t="s">
        <v>12175</v>
      </c>
      <c r="C21" s="15"/>
      <c r="D21" s="15"/>
      <c r="E21" s="15" t="s">
        <v>2113</v>
      </c>
      <c r="F21" s="15" t="str">
        <f>_xlfn.SINGLE(INDEX(样品编号表!Y:Y,_xlfn.SINGLE(MATCH(_xlfn.SINGLE(E:E),样品编号表!H:H,0))))</f>
        <v>凯盛亨</v>
      </c>
      <c r="G21" s="15" t="str">
        <f>_xlfn.SINGLE(INDEX(样品编号表!Z:Z,_xlfn.SINGLE(MATCH(_xlfn.SINGLE(E:E),样品编号表!H:H,0))))</f>
        <v>839#</v>
      </c>
      <c r="H21" s="15" t="s">
        <v>12355</v>
      </c>
      <c r="I21" s="15">
        <v>382</v>
      </c>
      <c r="J21" s="15" t="s">
        <v>12177</v>
      </c>
      <c r="K21" s="15">
        <v>378</v>
      </c>
      <c r="L21" s="14">
        <v>45966</v>
      </c>
      <c r="M21" s="16">
        <v>14.7</v>
      </c>
      <c r="N21" s="16">
        <f t="shared" si="0"/>
        <v>5556.6</v>
      </c>
      <c r="O21" s="15" t="s">
        <v>12344</v>
      </c>
      <c r="P21" s="15"/>
      <c r="Q21" s="15"/>
      <c r="R21" s="15"/>
      <c r="S21" s="15"/>
      <c r="T21" s="16"/>
      <c r="U21" s="16">
        <f t="shared" si="1"/>
        <v>0</v>
      </c>
      <c r="V21" s="15" t="s">
        <v>12356</v>
      </c>
    </row>
    <row r="22" ht="18" hidden="1" customHeight="1" spans="1:22">
      <c r="A22" s="14">
        <v>45955</v>
      </c>
      <c r="B22" s="15" t="s">
        <v>12199</v>
      </c>
      <c r="C22" s="15"/>
      <c r="D22" s="15" t="s">
        <v>12357</v>
      </c>
      <c r="E22" s="15" t="s">
        <v>2155</v>
      </c>
      <c r="F22" s="15" t="str">
        <f>_xlfn.SINGLE(INDEX(样品编号表!Y:Y,_xlfn.SINGLE(MATCH(_xlfn.SINGLE(E:E),样品编号表!H:H,0))))</f>
        <v>润森</v>
      </c>
      <c r="G22" s="15" t="str">
        <f>_xlfn.SINGLE(INDEX(样品编号表!Z:Z,_xlfn.SINGLE(MATCH(_xlfn.SINGLE(E:E),样品编号表!H:H,0))))</f>
        <v>华尔缎</v>
      </c>
      <c r="H22" s="15" t="s">
        <v>12236</v>
      </c>
      <c r="I22" s="15">
        <v>265</v>
      </c>
      <c r="J22" s="15" t="s">
        <v>12177</v>
      </c>
      <c r="K22" s="15">
        <v>265</v>
      </c>
      <c r="L22" s="14">
        <v>45963</v>
      </c>
      <c r="M22" s="16">
        <v>16.1</v>
      </c>
      <c r="N22" s="16">
        <f t="shared" si="0"/>
        <v>4266.5</v>
      </c>
      <c r="O22" s="15" t="s">
        <v>12358</v>
      </c>
      <c r="P22" s="15"/>
      <c r="Q22" s="15"/>
      <c r="R22" s="15"/>
      <c r="S22" s="15"/>
      <c r="T22" s="16"/>
      <c r="U22" s="16"/>
      <c r="V22" s="15"/>
    </row>
    <row r="23" ht="18" hidden="1" customHeight="1" spans="1:22">
      <c r="A23" s="14">
        <v>45955</v>
      </c>
      <c r="B23" s="15" t="s">
        <v>12199</v>
      </c>
      <c r="C23" s="15"/>
      <c r="D23" s="15" t="s">
        <v>12359</v>
      </c>
      <c r="E23" s="15" t="s">
        <v>2155</v>
      </c>
      <c r="F23" s="15" t="str">
        <f>_xlfn.SINGLE(INDEX(样品编号表!Y:Y,_xlfn.SINGLE(MATCH(_xlfn.SINGLE(E:E),样品编号表!H:H,0))))</f>
        <v>润森</v>
      </c>
      <c r="G23" s="15" t="str">
        <f>_xlfn.SINGLE(INDEX(样品编号表!Z:Z,_xlfn.SINGLE(MATCH(_xlfn.SINGLE(E:E),样品编号表!H:H,0))))</f>
        <v>华尔缎</v>
      </c>
      <c r="H23" s="15" t="s">
        <v>12236</v>
      </c>
      <c r="I23" s="15">
        <v>200</v>
      </c>
      <c r="J23" s="15" t="s">
        <v>12177</v>
      </c>
      <c r="K23" s="15">
        <v>200</v>
      </c>
      <c r="L23" s="14">
        <v>45963</v>
      </c>
      <c r="M23" s="16">
        <v>16.1</v>
      </c>
      <c r="N23" s="16">
        <f t="shared" si="0"/>
        <v>3220</v>
      </c>
      <c r="O23" s="15" t="s">
        <v>12358</v>
      </c>
      <c r="P23" s="15"/>
      <c r="Q23" s="15"/>
      <c r="R23" s="15"/>
      <c r="S23" s="15"/>
      <c r="T23" s="16"/>
      <c r="U23" s="16"/>
      <c r="V23" s="15"/>
    </row>
    <row r="24" ht="18" hidden="1" customHeight="1" spans="1:22">
      <c r="A24" s="14">
        <v>45958</v>
      </c>
      <c r="B24" s="15" t="s">
        <v>12199</v>
      </c>
      <c r="C24" s="15"/>
      <c r="D24" s="15" t="s">
        <v>12360</v>
      </c>
      <c r="E24" s="15" t="s">
        <v>2155</v>
      </c>
      <c r="F24" s="15" t="str">
        <f>_xlfn.SINGLE(INDEX(样品编号表!Y:Y,_xlfn.SINGLE(MATCH(_xlfn.SINGLE(E:E),样品编号表!H:H,0))))</f>
        <v>润森</v>
      </c>
      <c r="G24" s="15" t="str">
        <f>_xlfn.SINGLE(INDEX(样品编号表!Z:Z,_xlfn.SINGLE(MATCH(_xlfn.SINGLE(E:E),样品编号表!H:H,0))))</f>
        <v>华尔缎</v>
      </c>
      <c r="H24" s="15" t="s">
        <v>12236</v>
      </c>
      <c r="I24" s="15">
        <v>185</v>
      </c>
      <c r="J24" s="15" t="s">
        <v>12177</v>
      </c>
      <c r="K24" s="15">
        <v>185</v>
      </c>
      <c r="L24" s="14">
        <v>45963</v>
      </c>
      <c r="M24" s="16">
        <v>16.1</v>
      </c>
      <c r="N24" s="16">
        <f t="shared" si="0"/>
        <v>2978.5</v>
      </c>
      <c r="O24" s="15" t="s">
        <v>12358</v>
      </c>
      <c r="P24" s="15"/>
      <c r="Q24" s="15"/>
      <c r="R24" s="15"/>
      <c r="S24" s="15"/>
      <c r="T24" s="16"/>
      <c r="U24" s="16"/>
      <c r="V24" s="15"/>
    </row>
    <row r="25" ht="18" hidden="1" customHeight="1" spans="1:22">
      <c r="A25" s="14">
        <v>45958</v>
      </c>
      <c r="B25" s="15" t="s">
        <v>12199</v>
      </c>
      <c r="C25" s="15"/>
      <c r="D25" s="15" t="s">
        <v>12361</v>
      </c>
      <c r="E25" s="15" t="s">
        <v>2155</v>
      </c>
      <c r="F25" s="15" t="str">
        <f>_xlfn.SINGLE(INDEX(样品编号表!Y:Y,_xlfn.SINGLE(MATCH(_xlfn.SINGLE(E:E),样品编号表!H:H,0))))</f>
        <v>润森</v>
      </c>
      <c r="G25" s="15" t="str">
        <f>_xlfn.SINGLE(INDEX(样品编号表!Z:Z,_xlfn.SINGLE(MATCH(_xlfn.SINGLE(E:E),样品编号表!H:H,0))))</f>
        <v>华尔缎</v>
      </c>
      <c r="H25" s="15" t="s">
        <v>12236</v>
      </c>
      <c r="I25" s="15">
        <v>305</v>
      </c>
      <c r="J25" s="15" t="s">
        <v>12177</v>
      </c>
      <c r="K25" s="15">
        <v>328</v>
      </c>
      <c r="L25" s="14">
        <v>45963</v>
      </c>
      <c r="M25" s="16">
        <v>16.1</v>
      </c>
      <c r="N25" s="16">
        <f t="shared" si="0"/>
        <v>5280.8</v>
      </c>
      <c r="O25" s="15" t="s">
        <v>12358</v>
      </c>
      <c r="P25" s="15"/>
      <c r="Q25" s="15"/>
      <c r="R25" s="15"/>
      <c r="S25" s="15"/>
      <c r="T25" s="16"/>
      <c r="U25" s="16"/>
      <c r="V25" s="15"/>
    </row>
    <row r="26" ht="18" hidden="1" customHeight="1" spans="1:22">
      <c r="A26" s="14">
        <v>45955</v>
      </c>
      <c r="B26" s="15" t="s">
        <v>12199</v>
      </c>
      <c r="C26" s="15"/>
      <c r="D26" s="15" t="s">
        <v>12362</v>
      </c>
      <c r="E26" s="15" t="s">
        <v>2155</v>
      </c>
      <c r="F26" s="15" t="str">
        <f>_xlfn.SINGLE(INDEX(样品编号表!Y:Y,_xlfn.SINGLE(MATCH(_xlfn.SINGLE(E:E),样品编号表!H:H,0))))</f>
        <v>润森</v>
      </c>
      <c r="G26" s="15" t="str">
        <f>_xlfn.SINGLE(INDEX(样品编号表!Z:Z,_xlfn.SINGLE(MATCH(_xlfn.SINGLE(E:E),样品编号表!H:H,0))))</f>
        <v>华尔缎</v>
      </c>
      <c r="H26" s="15" t="s">
        <v>12363</v>
      </c>
      <c r="I26" s="15">
        <v>265</v>
      </c>
      <c r="J26" s="15" t="s">
        <v>12177</v>
      </c>
      <c r="K26" s="15">
        <v>273</v>
      </c>
      <c r="L26" s="14">
        <v>45963</v>
      </c>
      <c r="M26" s="16">
        <v>16.1</v>
      </c>
      <c r="N26" s="16">
        <f t="shared" si="0"/>
        <v>4395.3</v>
      </c>
      <c r="O26" s="15" t="s">
        <v>12358</v>
      </c>
      <c r="P26" s="15"/>
      <c r="Q26" s="15"/>
      <c r="R26" s="15"/>
      <c r="S26" s="15"/>
      <c r="T26" s="16"/>
      <c r="U26" s="16"/>
      <c r="V26" s="15"/>
    </row>
    <row r="27" ht="18" hidden="1" customHeight="1" spans="1:22">
      <c r="A27" s="14">
        <v>45958</v>
      </c>
      <c r="B27" s="15" t="s">
        <v>12199</v>
      </c>
      <c r="C27" s="15"/>
      <c r="D27" s="15" t="s">
        <v>12364</v>
      </c>
      <c r="E27" s="15" t="s">
        <v>2155</v>
      </c>
      <c r="F27" s="15" t="str">
        <f>_xlfn.SINGLE(INDEX(样品编号表!Y:Y,_xlfn.SINGLE(MATCH(_xlfn.SINGLE(E:E),样品编号表!H:H,0))))</f>
        <v>润森</v>
      </c>
      <c r="G27" s="15" t="str">
        <f>_xlfn.SINGLE(INDEX(样品编号表!Z:Z,_xlfn.SINGLE(MATCH(_xlfn.SINGLE(E:E),样品编号表!H:H,0))))</f>
        <v>华尔缎</v>
      </c>
      <c r="H27" s="15" t="s">
        <v>12363</v>
      </c>
      <c r="I27" s="15">
        <v>90</v>
      </c>
      <c r="J27" s="15" t="s">
        <v>12177</v>
      </c>
      <c r="K27" s="15">
        <v>90</v>
      </c>
      <c r="L27" s="14">
        <v>45963</v>
      </c>
      <c r="M27" s="16">
        <v>16.1</v>
      </c>
      <c r="N27" s="16">
        <f t="shared" si="0"/>
        <v>1449</v>
      </c>
      <c r="O27" s="15" t="s">
        <v>12358</v>
      </c>
      <c r="P27" s="15"/>
      <c r="Q27" s="15"/>
      <c r="R27" s="15"/>
      <c r="S27" s="15"/>
      <c r="T27" s="16"/>
      <c r="U27" s="16"/>
      <c r="V27" s="15"/>
    </row>
    <row r="28" ht="18" hidden="1" customHeight="1" spans="1:22">
      <c r="A28" s="14">
        <v>45955</v>
      </c>
      <c r="B28" s="15" t="s">
        <v>12199</v>
      </c>
      <c r="C28" s="15"/>
      <c r="D28" s="15" t="s">
        <v>12365</v>
      </c>
      <c r="E28" s="15" t="s">
        <v>2155</v>
      </c>
      <c r="F28" s="15" t="str">
        <f>_xlfn.SINGLE(INDEX(样品编号表!Y:Y,_xlfn.SINGLE(MATCH(_xlfn.SINGLE(E:E),样品编号表!H:H,0))))</f>
        <v>润森</v>
      </c>
      <c r="G28" s="15" t="str">
        <f>_xlfn.SINGLE(INDEX(样品编号表!Z:Z,_xlfn.SINGLE(MATCH(_xlfn.SINGLE(E:E),样品编号表!H:H,0))))</f>
        <v>华尔缎</v>
      </c>
      <c r="H28" s="15" t="s">
        <v>12191</v>
      </c>
      <c r="I28" s="15">
        <v>200</v>
      </c>
      <c r="J28" s="15" t="s">
        <v>12177</v>
      </c>
      <c r="K28" s="15">
        <v>221</v>
      </c>
      <c r="L28" s="14">
        <v>45963</v>
      </c>
      <c r="M28" s="16">
        <v>16.1</v>
      </c>
      <c r="N28" s="16">
        <f t="shared" si="0"/>
        <v>3558.1</v>
      </c>
      <c r="O28" s="15" t="s">
        <v>12358</v>
      </c>
      <c r="P28" s="15"/>
      <c r="Q28" s="15"/>
      <c r="R28" s="15"/>
      <c r="S28" s="15"/>
      <c r="T28" s="16"/>
      <c r="U28" s="16"/>
      <c r="V28" s="15"/>
    </row>
    <row r="29" ht="18" hidden="1" customHeight="1" spans="1:22">
      <c r="A29" s="14">
        <v>45958</v>
      </c>
      <c r="B29" s="15" t="s">
        <v>12199</v>
      </c>
      <c r="C29" s="15"/>
      <c r="D29" s="15" t="s">
        <v>12366</v>
      </c>
      <c r="E29" s="15" t="s">
        <v>2155</v>
      </c>
      <c r="F29" s="15" t="str">
        <f>_xlfn.SINGLE(INDEX(样品编号表!Y:Y,_xlfn.SINGLE(MATCH(_xlfn.SINGLE(E:E),样品编号表!H:H,0))))</f>
        <v>润森</v>
      </c>
      <c r="G29" s="15" t="str">
        <f>_xlfn.SINGLE(INDEX(样品编号表!Z:Z,_xlfn.SINGLE(MATCH(_xlfn.SINGLE(E:E),样品编号表!H:H,0))))</f>
        <v>华尔缎</v>
      </c>
      <c r="H29" s="15" t="s">
        <v>12367</v>
      </c>
      <c r="I29" s="15">
        <v>200</v>
      </c>
      <c r="J29" s="15" t="s">
        <v>12177</v>
      </c>
      <c r="K29" s="15">
        <v>236</v>
      </c>
      <c r="L29" s="14">
        <v>45963</v>
      </c>
      <c r="M29" s="16">
        <v>16.1</v>
      </c>
      <c r="N29" s="16">
        <f t="shared" si="0"/>
        <v>3799.6</v>
      </c>
      <c r="O29" s="15" t="s">
        <v>12358</v>
      </c>
      <c r="P29" s="15"/>
      <c r="Q29" s="15"/>
      <c r="R29" s="15"/>
      <c r="S29" s="15"/>
      <c r="T29" s="16"/>
      <c r="U29" s="16"/>
      <c r="V29" s="15"/>
    </row>
    <row r="30" ht="18" hidden="1" customHeight="1" spans="1:22">
      <c r="A30" s="14">
        <v>45958</v>
      </c>
      <c r="B30" s="15" t="s">
        <v>12199</v>
      </c>
      <c r="C30" s="15"/>
      <c r="D30" s="15" t="s">
        <v>12368</v>
      </c>
      <c r="E30" s="15" t="s">
        <v>2155</v>
      </c>
      <c r="F30" s="15" t="str">
        <f>_xlfn.SINGLE(INDEX(样品编号表!Y:Y,_xlfn.SINGLE(MATCH(_xlfn.SINGLE(E:E),样品编号表!H:H,0))))</f>
        <v>润森</v>
      </c>
      <c r="G30" s="15" t="str">
        <f>_xlfn.SINGLE(INDEX(样品编号表!Z:Z,_xlfn.SINGLE(MATCH(_xlfn.SINGLE(E:E),样品编号表!H:H,0))))</f>
        <v>华尔缎</v>
      </c>
      <c r="H30" s="15" t="s">
        <v>12369</v>
      </c>
      <c r="I30" s="15">
        <v>255</v>
      </c>
      <c r="J30" s="15" t="s">
        <v>12177</v>
      </c>
      <c r="K30" s="15">
        <v>267</v>
      </c>
      <c r="L30" s="14">
        <v>45965</v>
      </c>
      <c r="M30" s="16">
        <v>16.1</v>
      </c>
      <c r="N30" s="16">
        <f t="shared" si="0"/>
        <v>4298.7</v>
      </c>
      <c r="O30" s="15" t="s">
        <v>12358</v>
      </c>
      <c r="P30" s="15"/>
      <c r="Q30" s="15"/>
      <c r="R30" s="15"/>
      <c r="S30" s="15"/>
      <c r="T30" s="16"/>
      <c r="U30" s="16"/>
      <c r="V30" s="15"/>
    </row>
    <row r="31" ht="18" hidden="1" customHeight="1" spans="1:22">
      <c r="A31" s="14">
        <v>45958</v>
      </c>
      <c r="B31" s="15" t="s">
        <v>12199</v>
      </c>
      <c r="C31" s="15"/>
      <c r="D31" s="15" t="s">
        <v>12370</v>
      </c>
      <c r="E31" s="15" t="s">
        <v>2155</v>
      </c>
      <c r="F31" s="15" t="str">
        <f>_xlfn.SINGLE(INDEX(样品编号表!Y:Y,_xlfn.SINGLE(MATCH(_xlfn.SINGLE(E:E),样品编号表!H:H,0))))</f>
        <v>润森</v>
      </c>
      <c r="G31" s="15" t="str">
        <f>_xlfn.SINGLE(INDEX(样品编号表!Z:Z,_xlfn.SINGLE(MATCH(_xlfn.SINGLE(E:E),样品编号表!H:H,0))))</f>
        <v>华尔缎</v>
      </c>
      <c r="H31" s="15" t="s">
        <v>12369</v>
      </c>
      <c r="I31" s="15">
        <v>90</v>
      </c>
      <c r="J31" s="15" t="s">
        <v>12177</v>
      </c>
      <c r="K31" s="15">
        <v>90</v>
      </c>
      <c r="L31" s="14">
        <v>45965</v>
      </c>
      <c r="M31" s="16">
        <v>16.1</v>
      </c>
      <c r="N31" s="16">
        <f t="shared" si="0"/>
        <v>1449</v>
      </c>
      <c r="O31" s="15" t="s">
        <v>12358</v>
      </c>
      <c r="P31" s="15"/>
      <c r="Q31" s="15"/>
      <c r="R31" s="15"/>
      <c r="S31" s="15"/>
      <c r="T31" s="16"/>
      <c r="U31" s="16"/>
      <c r="V31" s="15"/>
    </row>
    <row r="32" ht="18" hidden="1" customHeight="1" spans="1:22">
      <c r="A32" s="14">
        <v>45966</v>
      </c>
      <c r="B32" s="15" t="s">
        <v>12199</v>
      </c>
      <c r="C32" s="15"/>
      <c r="D32" s="15"/>
      <c r="E32" s="15" t="s">
        <v>2155</v>
      </c>
      <c r="F32" s="15" t="str">
        <f>_xlfn.SINGLE(INDEX(样品编号表!Y:Y,_xlfn.SINGLE(MATCH(_xlfn.SINGLE(E:E),样品编号表!H:H,0))))</f>
        <v>润森</v>
      </c>
      <c r="G32" s="15" t="str">
        <f>_xlfn.SINGLE(INDEX(样品编号表!Z:Z,_xlfn.SINGLE(MATCH(_xlfn.SINGLE(E:E),样品编号表!H:H,0))))</f>
        <v>华尔缎</v>
      </c>
      <c r="H32" s="15" t="s">
        <v>12363</v>
      </c>
      <c r="I32" s="15">
        <v>40</v>
      </c>
      <c r="J32" s="15" t="s">
        <v>12177</v>
      </c>
      <c r="K32" s="15">
        <v>40</v>
      </c>
      <c r="L32" s="14">
        <v>45968</v>
      </c>
      <c r="M32" s="16">
        <v>16.1</v>
      </c>
      <c r="N32" s="16">
        <f t="shared" si="0"/>
        <v>644</v>
      </c>
      <c r="O32" s="15" t="s">
        <v>12358</v>
      </c>
      <c r="P32" s="15"/>
      <c r="Q32" s="15"/>
      <c r="R32" s="15"/>
      <c r="S32" s="15"/>
      <c r="T32" s="16"/>
      <c r="U32" s="16"/>
      <c r="V32" s="15"/>
    </row>
    <row r="33" ht="18" hidden="1" customHeight="1" spans="1:22">
      <c r="A33" s="14">
        <v>45969</v>
      </c>
      <c r="B33" s="15" t="s">
        <v>12199</v>
      </c>
      <c r="C33" s="15"/>
      <c r="D33" s="15" t="s">
        <v>12371</v>
      </c>
      <c r="E33" s="15" t="s">
        <v>2155</v>
      </c>
      <c r="F33" s="15" t="str">
        <f>_xlfn.SINGLE(INDEX(样品编号表!Y:Y,_xlfn.SINGLE(MATCH(_xlfn.SINGLE(E:E),样品编号表!H:H,0))))</f>
        <v>润森</v>
      </c>
      <c r="G33" s="15" t="str">
        <f>_xlfn.SINGLE(INDEX(样品编号表!Z:Z,_xlfn.SINGLE(MATCH(_xlfn.SINGLE(E:E),样品编号表!H:H,0))))</f>
        <v>华尔缎</v>
      </c>
      <c r="H33" s="15" t="s">
        <v>12236</v>
      </c>
      <c r="I33" s="15">
        <v>235</v>
      </c>
      <c r="J33" s="15" t="s">
        <v>12177</v>
      </c>
      <c r="K33" s="15">
        <v>253</v>
      </c>
      <c r="L33" s="14">
        <v>45979</v>
      </c>
      <c r="M33" s="16">
        <v>16.1</v>
      </c>
      <c r="N33" s="16">
        <f t="shared" si="0"/>
        <v>4073.3</v>
      </c>
      <c r="O33" s="15" t="s">
        <v>12358</v>
      </c>
      <c r="P33" s="15"/>
      <c r="Q33" s="15"/>
      <c r="R33" s="15"/>
      <c r="S33" s="15"/>
      <c r="T33" s="16">
        <v>10.3</v>
      </c>
      <c r="U33" s="16">
        <f t="shared" ref="U33:U37" si="3">K33*T33</f>
        <v>2605.9</v>
      </c>
      <c r="V33" s="15"/>
    </row>
    <row r="34" ht="18" hidden="1" customHeight="1" spans="1:22">
      <c r="A34" s="14">
        <v>45971</v>
      </c>
      <c r="B34" s="15" t="s">
        <v>12175</v>
      </c>
      <c r="C34" s="15" t="s">
        <v>12372</v>
      </c>
      <c r="D34" s="15" t="s">
        <v>12373</v>
      </c>
      <c r="E34" s="15" t="s">
        <v>417</v>
      </c>
      <c r="F34" s="15" t="str">
        <f>_xlfn.SINGLE(INDEX(样品编号表!Y:Y,_xlfn.SINGLE(MATCH(_xlfn.SINGLE(E:E),样品编号表!H:H,0))))</f>
        <v>新合盛布业</v>
      </c>
      <c r="G34" s="15">
        <f>_xlfn.SINGLE(INDEX(样品编号表!Z:Z,_xlfn.SINGLE(MATCH(_xlfn.SINGLE(E:E),样品编号表!H:H,0))))</f>
        <v>6002</v>
      </c>
      <c r="H34" s="15" t="s">
        <v>12213</v>
      </c>
      <c r="I34" s="15">
        <v>331</v>
      </c>
      <c r="J34" s="15" t="s">
        <v>12177</v>
      </c>
      <c r="K34" s="15">
        <v>339</v>
      </c>
      <c r="L34" s="14">
        <v>45978</v>
      </c>
      <c r="M34" s="16">
        <v>10.3</v>
      </c>
      <c r="N34" s="16">
        <f t="shared" si="0"/>
        <v>3491.7</v>
      </c>
      <c r="O34" s="15" t="s">
        <v>12358</v>
      </c>
      <c r="P34" s="15"/>
      <c r="Q34" s="15"/>
      <c r="R34" s="15"/>
      <c r="S34" s="15"/>
      <c r="T34" s="16">
        <v>6.6</v>
      </c>
      <c r="U34" s="16">
        <f t="shared" si="3"/>
        <v>2237.4</v>
      </c>
      <c r="V34" s="15"/>
    </row>
    <row r="35" ht="18" hidden="1" customHeight="1" spans="1:22">
      <c r="A35" s="14">
        <v>45971</v>
      </c>
      <c r="B35" s="15" t="s">
        <v>9156</v>
      </c>
      <c r="C35" s="15"/>
      <c r="D35" s="15"/>
      <c r="E35" s="15" t="s">
        <v>495</v>
      </c>
      <c r="F35" s="15" t="str">
        <f>_xlfn.SINGLE(INDEX(样品编号表!Y:Y,_xlfn.SINGLE(MATCH(_xlfn.SINGLE(E:E),样品编号表!H:H,0))))</f>
        <v>马利布行</v>
      </c>
      <c r="G35" s="15" t="str">
        <f>_xlfn.SINGLE(INDEX(样品编号表!Z:Z,_xlfn.SINGLE(MATCH(_xlfn.SINGLE(E:E),样品编号表!H:H,0))))</f>
        <v>10172#</v>
      </c>
      <c r="H35" s="15" t="s">
        <v>12217</v>
      </c>
      <c r="I35" s="15">
        <v>38</v>
      </c>
      <c r="J35" s="15" t="s">
        <v>12177</v>
      </c>
      <c r="K35" s="15">
        <v>38</v>
      </c>
      <c r="L35" s="14">
        <v>45985</v>
      </c>
      <c r="M35" s="16">
        <v>18.7</v>
      </c>
      <c r="N35" s="16">
        <f t="shared" si="0"/>
        <v>710.6</v>
      </c>
      <c r="O35" s="15" t="s">
        <v>12351</v>
      </c>
      <c r="P35" s="15"/>
      <c r="Q35" s="15"/>
      <c r="R35" s="15"/>
      <c r="S35" s="15"/>
      <c r="T35" s="16"/>
      <c r="U35" s="16"/>
      <c r="V35" s="15" t="s">
        <v>12354</v>
      </c>
    </row>
    <row r="36" ht="18" hidden="1" customHeight="1" spans="1:22">
      <c r="A36" s="14">
        <v>45971</v>
      </c>
      <c r="B36" s="15" t="s">
        <v>9156</v>
      </c>
      <c r="C36" s="15"/>
      <c r="D36" s="15"/>
      <c r="E36" s="15" t="s">
        <v>2638</v>
      </c>
      <c r="F36" s="15" t="str">
        <f>_xlfn.SINGLE(INDEX(样品编号表!Y:Y,_xlfn.SINGLE(MATCH(_xlfn.SINGLE(E:E),样品编号表!H:H,0))))</f>
        <v>新嘉彩</v>
      </c>
      <c r="G36" s="15">
        <f>_xlfn.SINGLE(INDEX(样品编号表!Z:Z,_xlfn.SINGLE(MATCH(_xlfn.SINGLE(E:E),样品编号表!H:H,0))))</f>
        <v>938</v>
      </c>
      <c r="H36" s="15" t="s">
        <v>12374</v>
      </c>
      <c r="I36" s="15">
        <v>106</v>
      </c>
      <c r="J36" s="15" t="s">
        <v>12177</v>
      </c>
      <c r="K36" s="15">
        <v>106</v>
      </c>
      <c r="L36" s="14">
        <v>45985</v>
      </c>
      <c r="M36" s="16">
        <v>14.5</v>
      </c>
      <c r="N36" s="16">
        <f t="shared" si="0"/>
        <v>1537</v>
      </c>
      <c r="O36" s="15" t="s">
        <v>12351</v>
      </c>
      <c r="P36" s="15"/>
      <c r="Q36" s="15"/>
      <c r="R36" s="15"/>
      <c r="S36" s="15"/>
      <c r="T36" s="16">
        <v>10.3</v>
      </c>
      <c r="U36" s="16">
        <f t="shared" si="3"/>
        <v>1091.8</v>
      </c>
      <c r="V36" s="15" t="s">
        <v>12354</v>
      </c>
    </row>
    <row r="37" ht="18" hidden="1" customHeight="1" spans="1:22">
      <c r="A37" s="14">
        <v>45971</v>
      </c>
      <c r="B37" s="15" t="s">
        <v>9156</v>
      </c>
      <c r="C37" s="15"/>
      <c r="D37" s="15"/>
      <c r="E37" s="15" t="s">
        <v>2638</v>
      </c>
      <c r="F37" s="15" t="str">
        <f>_xlfn.SINGLE(INDEX(样品编号表!Y:Y,_xlfn.SINGLE(MATCH(_xlfn.SINGLE(E:E),样品编号表!H:H,0))))</f>
        <v>新嘉彩</v>
      </c>
      <c r="G37" s="15">
        <f>_xlfn.SINGLE(INDEX(样品编号表!Z:Z,_xlfn.SINGLE(MATCH(_xlfn.SINGLE(E:E),样品编号表!H:H,0))))</f>
        <v>938</v>
      </c>
      <c r="H37" s="15" t="s">
        <v>12374</v>
      </c>
      <c r="I37" s="15">
        <v>341</v>
      </c>
      <c r="J37" s="15" t="s">
        <v>12177</v>
      </c>
      <c r="K37" s="15">
        <v>366</v>
      </c>
      <c r="L37" s="14">
        <v>45985</v>
      </c>
      <c r="M37" s="16">
        <v>14.5</v>
      </c>
      <c r="N37" s="16">
        <f t="shared" si="0"/>
        <v>5307</v>
      </c>
      <c r="O37" s="15" t="s">
        <v>12351</v>
      </c>
      <c r="P37" s="15"/>
      <c r="Q37" s="15"/>
      <c r="R37" s="15"/>
      <c r="S37" s="15"/>
      <c r="T37" s="16">
        <v>10.3</v>
      </c>
      <c r="U37" s="16">
        <f t="shared" si="3"/>
        <v>3769.8</v>
      </c>
      <c r="V37" s="15" t="s">
        <v>12354</v>
      </c>
    </row>
    <row r="38" ht="18" hidden="1" customHeight="1" spans="1:22">
      <c r="A38" s="14">
        <v>45974</v>
      </c>
      <c r="B38" s="15" t="s">
        <v>9156</v>
      </c>
      <c r="C38" s="15"/>
      <c r="D38" s="15"/>
      <c r="E38" s="15" t="s">
        <v>3618</v>
      </c>
      <c r="F38" s="15" t="str">
        <f>_xlfn.SINGLE(INDEX(样品编号表!Y:Y,_xlfn.SINGLE(MATCH(_xlfn.SINGLE(E:E),样品编号表!H:H,0))))</f>
        <v>万顺纺织</v>
      </c>
      <c r="G38" s="15" t="str">
        <f>_xlfn.SINGLE(INDEX(样品编号表!Z:Z,_xlfn.SINGLE(MATCH(_xlfn.SINGLE(E:E),样品编号表!H:H,0))))</f>
        <v>A8784</v>
      </c>
      <c r="H38" s="15" t="s">
        <v>12292</v>
      </c>
      <c r="I38" s="15">
        <v>1646</v>
      </c>
      <c r="J38" s="15" t="s">
        <v>12177</v>
      </c>
      <c r="K38" s="15">
        <v>1653</v>
      </c>
      <c r="L38" s="14">
        <v>45985</v>
      </c>
      <c r="M38" s="16">
        <v>13.4</v>
      </c>
      <c r="N38" s="16">
        <f t="shared" si="0"/>
        <v>22150.2</v>
      </c>
      <c r="O38" s="15" t="s">
        <v>12351</v>
      </c>
      <c r="P38" s="15"/>
      <c r="Q38" s="15"/>
      <c r="R38" s="15"/>
      <c r="S38" s="15"/>
      <c r="T38" s="16"/>
      <c r="U38" s="16"/>
      <c r="V38" s="15" t="s">
        <v>12354</v>
      </c>
    </row>
    <row r="39" ht="18" hidden="1" customHeight="1" spans="1:22">
      <c r="A39" s="14">
        <v>45974</v>
      </c>
      <c r="B39" s="15" t="s">
        <v>9156</v>
      </c>
      <c r="C39" s="15"/>
      <c r="D39" s="15"/>
      <c r="E39" s="15" t="s">
        <v>3618</v>
      </c>
      <c r="F39" s="15" t="str">
        <f>_xlfn.SINGLE(INDEX(样品编号表!Y:Y,_xlfn.SINGLE(MATCH(_xlfn.SINGLE(E:E),样品编号表!H:H,0))))</f>
        <v>万顺纺织</v>
      </c>
      <c r="G39" s="15" t="str">
        <f>_xlfn.SINGLE(INDEX(样品编号表!Z:Z,_xlfn.SINGLE(MATCH(_xlfn.SINGLE(E:E),样品编号表!H:H,0))))</f>
        <v>A8784</v>
      </c>
      <c r="H39" s="15" t="s">
        <v>12375</v>
      </c>
      <c r="I39" s="15">
        <v>1441</v>
      </c>
      <c r="J39" s="15" t="s">
        <v>12177</v>
      </c>
      <c r="K39" s="15">
        <v>1433</v>
      </c>
      <c r="L39" s="14">
        <v>45985</v>
      </c>
      <c r="M39" s="16">
        <v>13.4</v>
      </c>
      <c r="N39" s="16">
        <f t="shared" si="0"/>
        <v>19202.2</v>
      </c>
      <c r="O39" s="15" t="s">
        <v>12351</v>
      </c>
      <c r="P39" s="15"/>
      <c r="Q39" s="15"/>
      <c r="R39" s="15"/>
      <c r="S39" s="15"/>
      <c r="T39" s="16"/>
      <c r="U39" s="16"/>
      <c r="V39" s="15" t="s">
        <v>12354</v>
      </c>
    </row>
    <row r="40" ht="18" hidden="1" customHeight="1" spans="1:22">
      <c r="A40" s="14">
        <v>45974</v>
      </c>
      <c r="B40" s="15" t="s">
        <v>9156</v>
      </c>
      <c r="C40" s="15"/>
      <c r="D40" s="15"/>
      <c r="E40" s="15" t="s">
        <v>3618</v>
      </c>
      <c r="F40" s="15" t="str">
        <f>_xlfn.SINGLE(INDEX(样品编号表!Y:Y,_xlfn.SINGLE(MATCH(_xlfn.SINGLE(E:E),样品编号表!H:H,0))))</f>
        <v>万顺纺织</v>
      </c>
      <c r="G40" s="15" t="str">
        <f>_xlfn.SINGLE(INDEX(样品编号表!Z:Z,_xlfn.SINGLE(MATCH(_xlfn.SINGLE(E:E),样品编号表!H:H,0))))</f>
        <v>A8784</v>
      </c>
      <c r="H40" s="15" t="s">
        <v>12376</v>
      </c>
      <c r="I40" s="15">
        <v>828</v>
      </c>
      <c r="J40" s="15" t="s">
        <v>12177</v>
      </c>
      <c r="K40" s="15">
        <v>818</v>
      </c>
      <c r="L40" s="14">
        <v>45985</v>
      </c>
      <c r="M40" s="16">
        <v>13.9</v>
      </c>
      <c r="N40" s="16">
        <f t="shared" si="0"/>
        <v>11370.2</v>
      </c>
      <c r="O40" s="15" t="s">
        <v>12351</v>
      </c>
      <c r="P40" s="15"/>
      <c r="Q40" s="15"/>
      <c r="R40" s="15"/>
      <c r="S40" s="15"/>
      <c r="T40" s="16"/>
      <c r="U40" s="16"/>
      <c r="V40" s="15" t="s">
        <v>12354</v>
      </c>
    </row>
    <row r="41" ht="18" hidden="1" customHeight="1" spans="1:22">
      <c r="A41" s="14">
        <v>45974</v>
      </c>
      <c r="B41" s="15" t="s">
        <v>9156</v>
      </c>
      <c r="C41" s="15"/>
      <c r="D41" s="15"/>
      <c r="E41" s="15" t="s">
        <v>3618</v>
      </c>
      <c r="F41" s="15" t="str">
        <f>_xlfn.SINGLE(INDEX(样品编号表!Y:Y,_xlfn.SINGLE(MATCH(_xlfn.SINGLE(E:E),样品编号表!H:H,0))))</f>
        <v>万顺纺织</v>
      </c>
      <c r="G41" s="15" t="str">
        <f>_xlfn.SINGLE(INDEX(样品编号表!Z:Z,_xlfn.SINGLE(MATCH(_xlfn.SINGLE(E:E),样品编号表!H:H,0))))</f>
        <v>A8784</v>
      </c>
      <c r="H41" s="15" t="s">
        <v>12377</v>
      </c>
      <c r="I41" s="15">
        <v>591</v>
      </c>
      <c r="J41" s="15" t="s">
        <v>12177</v>
      </c>
      <c r="K41" s="15">
        <v>600</v>
      </c>
      <c r="L41" s="14">
        <v>45985</v>
      </c>
      <c r="M41" s="16">
        <v>13.9</v>
      </c>
      <c r="N41" s="16">
        <f t="shared" si="0"/>
        <v>8340</v>
      </c>
      <c r="O41" s="15" t="s">
        <v>12351</v>
      </c>
      <c r="P41" s="15"/>
      <c r="Q41" s="15"/>
      <c r="R41" s="15"/>
      <c r="S41" s="15"/>
      <c r="T41" s="16"/>
      <c r="U41" s="16"/>
      <c r="V41" s="15" t="s">
        <v>12354</v>
      </c>
    </row>
    <row r="42" ht="18" hidden="1" customHeight="1" spans="1:22">
      <c r="A42" s="14">
        <v>45974</v>
      </c>
      <c r="B42" s="15" t="s">
        <v>9156</v>
      </c>
      <c r="C42" s="15"/>
      <c r="D42" s="15"/>
      <c r="E42" s="15" t="s">
        <v>3618</v>
      </c>
      <c r="F42" s="15" t="str">
        <f>_xlfn.SINGLE(INDEX(样品编号表!Y:Y,_xlfn.SINGLE(MATCH(_xlfn.SINGLE(E:E),样品编号表!H:H,0))))</f>
        <v>万顺纺织</v>
      </c>
      <c r="G42" s="15" t="str">
        <f>_xlfn.SINGLE(INDEX(样品编号表!Z:Z,_xlfn.SINGLE(MATCH(_xlfn.SINGLE(E:E),样品编号表!H:H,0))))</f>
        <v>A8784</v>
      </c>
      <c r="H42" s="15" t="s">
        <v>12378</v>
      </c>
      <c r="I42" s="15">
        <v>182</v>
      </c>
      <c r="J42" s="15" t="s">
        <v>12177</v>
      </c>
      <c r="K42" s="15">
        <v>187</v>
      </c>
      <c r="L42" s="14">
        <v>45985</v>
      </c>
      <c r="M42" s="16">
        <v>13.9</v>
      </c>
      <c r="N42" s="16">
        <f t="shared" si="0"/>
        <v>2599.3</v>
      </c>
      <c r="O42" s="15" t="s">
        <v>12351</v>
      </c>
      <c r="P42" s="15"/>
      <c r="Q42" s="15"/>
      <c r="R42" s="15"/>
      <c r="S42" s="15"/>
      <c r="T42" s="16"/>
      <c r="U42" s="16"/>
      <c r="V42" s="15" t="s">
        <v>12354</v>
      </c>
    </row>
    <row r="43" ht="18" hidden="1" customHeight="1" spans="1:22">
      <c r="A43" s="14">
        <v>45974</v>
      </c>
      <c r="B43" s="15" t="s">
        <v>9156</v>
      </c>
      <c r="C43" s="15"/>
      <c r="D43" s="15"/>
      <c r="E43" s="15" t="s">
        <v>3618</v>
      </c>
      <c r="F43" s="15" t="str">
        <f>_xlfn.SINGLE(INDEX(样品编号表!Y:Y,_xlfn.SINGLE(MATCH(_xlfn.SINGLE(E:E),样品编号表!H:H,0))))</f>
        <v>万顺纺织</v>
      </c>
      <c r="G43" s="15" t="str">
        <f>_xlfn.SINGLE(INDEX(样品编号表!Z:Z,_xlfn.SINGLE(MATCH(_xlfn.SINGLE(E:E),样品编号表!H:H,0))))</f>
        <v>A8784</v>
      </c>
      <c r="H43" s="15" t="s">
        <v>12379</v>
      </c>
      <c r="I43" s="15">
        <v>196</v>
      </c>
      <c r="J43" s="15" t="s">
        <v>12177</v>
      </c>
      <c r="K43" s="15">
        <v>216</v>
      </c>
      <c r="L43" s="14">
        <v>45985</v>
      </c>
      <c r="M43" s="16">
        <v>13.9</v>
      </c>
      <c r="N43" s="16">
        <f t="shared" si="0"/>
        <v>3002.4</v>
      </c>
      <c r="O43" s="15" t="s">
        <v>12351</v>
      </c>
      <c r="P43" s="15"/>
      <c r="Q43" s="15"/>
      <c r="R43" s="15"/>
      <c r="S43" s="15"/>
      <c r="T43" s="16"/>
      <c r="U43" s="16"/>
      <c r="V43" s="15" t="s">
        <v>12354</v>
      </c>
    </row>
    <row r="44" ht="18" hidden="1" customHeight="1" spans="1:22">
      <c r="A44" s="14">
        <v>45976</v>
      </c>
      <c r="B44" s="15" t="s">
        <v>9156</v>
      </c>
      <c r="C44" s="15"/>
      <c r="D44" s="15"/>
      <c r="E44" s="15" t="s">
        <v>1780</v>
      </c>
      <c r="F44" s="15" t="str">
        <f>_xlfn.SINGLE(INDEX(样品编号表!Y:Y,_xlfn.SINGLE(MATCH(_xlfn.SINGLE(E:E),样品编号表!H:H,0))))</f>
        <v>艺纺</v>
      </c>
      <c r="G44" s="15" t="str">
        <f>_xlfn.SINGLE(INDEX(样品编号表!Z:Z,_xlfn.SINGLE(MATCH(_xlfn.SINGLE(E:E),样品编号表!H:H,0))))</f>
        <v>11865-3</v>
      </c>
      <c r="H44" s="15" t="s">
        <v>12213</v>
      </c>
      <c r="I44" s="15">
        <v>250</v>
      </c>
      <c r="J44" s="15" t="s">
        <v>12177</v>
      </c>
      <c r="K44" s="15">
        <v>231</v>
      </c>
      <c r="L44" s="14">
        <v>45997</v>
      </c>
      <c r="M44" s="16">
        <v>19.6</v>
      </c>
      <c r="N44" s="16">
        <f t="shared" si="0"/>
        <v>4527.6</v>
      </c>
      <c r="O44" s="15" t="s">
        <v>12351</v>
      </c>
      <c r="P44" s="15"/>
      <c r="Q44" s="15"/>
      <c r="R44" s="15"/>
      <c r="S44" s="15"/>
      <c r="T44" s="16">
        <v>12.8</v>
      </c>
      <c r="U44" s="16">
        <f t="shared" ref="U44:U59" si="4">K44*T44</f>
        <v>2956.8</v>
      </c>
      <c r="V44" s="15"/>
    </row>
    <row r="45" ht="18" hidden="1" customHeight="1" spans="1:22">
      <c r="A45" s="14">
        <v>45976</v>
      </c>
      <c r="B45" s="15" t="s">
        <v>9156</v>
      </c>
      <c r="C45" s="15"/>
      <c r="D45" s="15"/>
      <c r="E45" s="15" t="s">
        <v>1780</v>
      </c>
      <c r="F45" s="15" t="str">
        <f>_xlfn.SINGLE(INDEX(样品编号表!Y:Y,_xlfn.SINGLE(MATCH(_xlfn.SINGLE(E:E),样品编号表!H:H,0))))</f>
        <v>艺纺</v>
      </c>
      <c r="G45" s="15" t="str">
        <f>_xlfn.SINGLE(INDEX(样品编号表!Z:Z,_xlfn.SINGLE(MATCH(_xlfn.SINGLE(E:E),样品编号表!H:H,0))))</f>
        <v>11865-3</v>
      </c>
      <c r="H45" s="15" t="s">
        <v>12380</v>
      </c>
      <c r="I45" s="15">
        <v>201</v>
      </c>
      <c r="J45" s="15" t="s">
        <v>12177</v>
      </c>
      <c r="K45" s="15">
        <v>220</v>
      </c>
      <c r="L45" s="14">
        <v>45997</v>
      </c>
      <c r="M45" s="16">
        <v>19.6</v>
      </c>
      <c r="N45" s="16">
        <f t="shared" si="0"/>
        <v>4312</v>
      </c>
      <c r="O45" s="15" t="s">
        <v>12351</v>
      </c>
      <c r="P45" s="15"/>
      <c r="Q45" s="15"/>
      <c r="R45" s="15"/>
      <c r="S45" s="15"/>
      <c r="T45" s="16">
        <v>12.8</v>
      </c>
      <c r="U45" s="16">
        <f t="shared" si="4"/>
        <v>2816</v>
      </c>
      <c r="V45" s="15" t="s">
        <v>12381</v>
      </c>
    </row>
    <row r="46" ht="18" customHeight="1" spans="1:22">
      <c r="A46" s="14">
        <v>45980</v>
      </c>
      <c r="B46" s="15" t="s">
        <v>12308</v>
      </c>
      <c r="C46" s="15"/>
      <c r="D46" s="15" t="s">
        <v>12382</v>
      </c>
      <c r="E46" s="15" t="s">
        <v>1593</v>
      </c>
      <c r="F46" s="15" t="str">
        <f>_xlfn.SINGLE(INDEX(样品编号表!Y:Y,_xlfn.SINGLE(MATCH(_xlfn.SINGLE(E:E),样品编号表!H:H,0))))</f>
        <v>宝隆纺织</v>
      </c>
      <c r="G46" s="15">
        <f>_xlfn.SINGLE(INDEX(样品编号表!Z:Z,_xlfn.SINGLE(MATCH(_xlfn.SINGLE(E:E),样品编号表!H:H,0))))</f>
        <v>1562</v>
      </c>
      <c r="H46" s="15" t="s">
        <v>12383</v>
      </c>
      <c r="I46" s="15">
        <v>270</v>
      </c>
      <c r="J46" s="15" t="s">
        <v>12177</v>
      </c>
      <c r="K46" s="15">
        <v>292</v>
      </c>
      <c r="L46" s="14">
        <v>46004</v>
      </c>
      <c r="M46" s="16">
        <v>10.6</v>
      </c>
      <c r="N46" s="16">
        <f t="shared" si="0"/>
        <v>3095.2</v>
      </c>
      <c r="O46" s="15" t="s">
        <v>12351</v>
      </c>
      <c r="P46" s="15"/>
      <c r="Q46" s="15"/>
      <c r="R46" s="15"/>
      <c r="S46" s="15"/>
      <c r="T46" s="16">
        <v>6.8</v>
      </c>
      <c r="U46" s="16">
        <f t="shared" si="4"/>
        <v>1985.6</v>
      </c>
      <c r="V46" s="15"/>
    </row>
    <row r="47" ht="18" customHeight="1" spans="1:22">
      <c r="A47" s="14">
        <v>45980</v>
      </c>
      <c r="B47" s="15" t="s">
        <v>12308</v>
      </c>
      <c r="C47" s="15"/>
      <c r="D47" s="15" t="s">
        <v>12382</v>
      </c>
      <c r="E47" s="15" t="s">
        <v>1593</v>
      </c>
      <c r="F47" s="15" t="str">
        <f>_xlfn.SINGLE(INDEX(样品编号表!Y:Y,_xlfn.SINGLE(MATCH(_xlfn.SINGLE(E:E),样品编号表!H:H,0))))</f>
        <v>宝隆纺织</v>
      </c>
      <c r="G47" s="15">
        <f>_xlfn.SINGLE(INDEX(样品编号表!Z:Z,_xlfn.SINGLE(MATCH(_xlfn.SINGLE(E:E),样品编号表!H:H,0))))</f>
        <v>1562</v>
      </c>
      <c r="H47" s="15" t="s">
        <v>12201</v>
      </c>
      <c r="I47" s="15">
        <v>320</v>
      </c>
      <c r="J47" s="15" t="s">
        <v>12177</v>
      </c>
      <c r="K47" s="15">
        <v>363</v>
      </c>
      <c r="L47" s="14">
        <v>46003</v>
      </c>
      <c r="M47" s="16">
        <v>10.6</v>
      </c>
      <c r="N47" s="16">
        <f t="shared" si="0"/>
        <v>3847.8</v>
      </c>
      <c r="O47" s="15" t="s">
        <v>12351</v>
      </c>
      <c r="P47" s="15"/>
      <c r="Q47" s="15"/>
      <c r="R47" s="15"/>
      <c r="S47" s="15"/>
      <c r="T47" s="16">
        <v>6.8</v>
      </c>
      <c r="U47" s="16">
        <f t="shared" si="4"/>
        <v>2468.4</v>
      </c>
      <c r="V47" s="15"/>
    </row>
    <row r="48" ht="18" customHeight="1" spans="1:22">
      <c r="A48" s="14">
        <v>45980</v>
      </c>
      <c r="B48" s="15" t="s">
        <v>12384</v>
      </c>
      <c r="C48" s="15"/>
      <c r="D48" s="15" t="s">
        <v>12385</v>
      </c>
      <c r="E48" s="15" t="s">
        <v>1593</v>
      </c>
      <c r="F48" s="15" t="str">
        <f>_xlfn.SINGLE(INDEX(样品编号表!Y:Y,_xlfn.SINGLE(MATCH(_xlfn.SINGLE(E:E),样品编号表!H:H,0))))</f>
        <v>宝隆纺织</v>
      </c>
      <c r="G48" s="15">
        <f>_xlfn.SINGLE(INDEX(样品编号表!Z:Z,_xlfn.SINGLE(MATCH(_xlfn.SINGLE(E:E),样品编号表!H:H,0))))</f>
        <v>1562</v>
      </c>
      <c r="H48" s="15" t="s">
        <v>12383</v>
      </c>
      <c r="I48" s="15">
        <v>170</v>
      </c>
      <c r="J48" s="15" t="s">
        <v>12177</v>
      </c>
      <c r="K48" s="15">
        <v>148</v>
      </c>
      <c r="L48" s="14">
        <v>46004</v>
      </c>
      <c r="M48" s="16">
        <v>10.6</v>
      </c>
      <c r="N48" s="16">
        <f t="shared" si="0"/>
        <v>1568.8</v>
      </c>
      <c r="O48" s="15" t="s">
        <v>12351</v>
      </c>
      <c r="P48" s="15"/>
      <c r="Q48" s="15"/>
      <c r="R48" s="15"/>
      <c r="S48" s="15"/>
      <c r="T48" s="16">
        <v>6.8</v>
      </c>
      <c r="U48" s="16">
        <f t="shared" si="4"/>
        <v>1006.4</v>
      </c>
      <c r="V48" s="15"/>
    </row>
    <row r="49" ht="18" customHeight="1" spans="1:22">
      <c r="A49" s="14">
        <v>45980</v>
      </c>
      <c r="B49" s="15" t="s">
        <v>12384</v>
      </c>
      <c r="C49" s="15"/>
      <c r="D49" s="15" t="s">
        <v>12385</v>
      </c>
      <c r="E49" s="15" t="s">
        <v>1593</v>
      </c>
      <c r="F49" s="15" t="str">
        <f>_xlfn.SINGLE(INDEX(样品编号表!Y:Y,_xlfn.SINGLE(MATCH(_xlfn.SINGLE(E:E),样品编号表!H:H,0))))</f>
        <v>宝隆纺织</v>
      </c>
      <c r="G49" s="15">
        <f>_xlfn.SINGLE(INDEX(样品编号表!Z:Z,_xlfn.SINGLE(MATCH(_xlfn.SINGLE(E:E),样品编号表!H:H,0))))</f>
        <v>1562</v>
      </c>
      <c r="H49" s="15" t="s">
        <v>12279</v>
      </c>
      <c r="I49" s="15">
        <v>135</v>
      </c>
      <c r="J49" s="15" t="s">
        <v>12177</v>
      </c>
      <c r="K49" s="15">
        <v>137</v>
      </c>
      <c r="L49" s="14">
        <v>46004</v>
      </c>
      <c r="M49" s="16">
        <v>10.6</v>
      </c>
      <c r="N49" s="16">
        <f t="shared" si="0"/>
        <v>1452.2</v>
      </c>
      <c r="O49" s="15" t="s">
        <v>12351</v>
      </c>
      <c r="P49" s="15"/>
      <c r="Q49" s="15"/>
      <c r="R49" s="15"/>
      <c r="S49" s="15"/>
      <c r="T49" s="16">
        <v>6.8</v>
      </c>
      <c r="U49" s="16">
        <f t="shared" si="4"/>
        <v>931.6</v>
      </c>
      <c r="V49" s="15"/>
    </row>
    <row r="50" ht="18" hidden="1" customHeight="1" spans="1:22">
      <c r="A50" s="14">
        <v>45985</v>
      </c>
      <c r="B50" s="15" t="s">
        <v>12384</v>
      </c>
      <c r="C50" s="15"/>
      <c r="D50" s="15"/>
      <c r="E50" s="15" t="s">
        <v>2766</v>
      </c>
      <c r="F50" s="15" t="str">
        <f>_xlfn.SINGLE(INDEX(样品编号表!Y:Y,_xlfn.SINGLE(MATCH(_xlfn.SINGLE(E:E),样品编号表!H:H,0))))</f>
        <v>新合盛布业</v>
      </c>
      <c r="G50" s="15">
        <f>_xlfn.SINGLE(INDEX(样品编号表!Z:Z,_xlfn.SINGLE(MATCH(_xlfn.SINGLE(E:E),样品编号表!H:H,0))))</f>
        <v>6002</v>
      </c>
      <c r="H50" s="15" t="s">
        <v>12213</v>
      </c>
      <c r="I50" s="15">
        <v>440</v>
      </c>
      <c r="J50" s="15" t="s">
        <v>12177</v>
      </c>
      <c r="K50" s="15">
        <v>460</v>
      </c>
      <c r="L50" s="14">
        <v>46004</v>
      </c>
      <c r="M50" s="16">
        <v>9.2</v>
      </c>
      <c r="N50" s="16">
        <f t="shared" si="0"/>
        <v>4232</v>
      </c>
      <c r="O50" s="15" t="s">
        <v>12351</v>
      </c>
      <c r="P50" s="15"/>
      <c r="Q50" s="15"/>
      <c r="R50" s="15"/>
      <c r="S50" s="15"/>
      <c r="T50" s="16">
        <v>6.6</v>
      </c>
      <c r="U50" s="16">
        <f t="shared" si="4"/>
        <v>3036</v>
      </c>
      <c r="V50" s="15"/>
    </row>
    <row r="51" ht="18" hidden="1" customHeight="1" spans="1:22">
      <c r="A51" s="14">
        <v>45986</v>
      </c>
      <c r="B51" s="15" t="s">
        <v>12303</v>
      </c>
      <c r="C51" s="15"/>
      <c r="D51" s="15"/>
      <c r="E51" s="15" t="s">
        <v>1780</v>
      </c>
      <c r="F51" s="15" t="str">
        <f>_xlfn.SINGLE(INDEX(样品编号表!Y:Y,_xlfn.SINGLE(MATCH(_xlfn.SINGLE(E:E),样品编号表!H:H,0))))</f>
        <v>艺纺</v>
      </c>
      <c r="G51" s="15" t="str">
        <f>_xlfn.SINGLE(INDEX(样品编号表!Z:Z,_xlfn.SINGLE(MATCH(_xlfn.SINGLE(E:E),样品编号表!H:H,0))))</f>
        <v>11865-3</v>
      </c>
      <c r="H51" s="15" t="s">
        <v>12386</v>
      </c>
      <c r="I51" s="15">
        <v>1000</v>
      </c>
      <c r="J51" s="15" t="s">
        <v>12177</v>
      </c>
      <c r="K51" s="15">
        <v>996</v>
      </c>
      <c r="L51" s="14">
        <v>46002</v>
      </c>
      <c r="M51" s="16">
        <v>19.6</v>
      </c>
      <c r="N51" s="16">
        <f t="shared" si="0"/>
        <v>19521.6</v>
      </c>
      <c r="O51" s="15" t="s">
        <v>12351</v>
      </c>
      <c r="P51" s="15"/>
      <c r="Q51" s="15"/>
      <c r="R51" s="15"/>
      <c r="S51" s="15"/>
      <c r="T51" s="16">
        <v>12.8</v>
      </c>
      <c r="U51" s="16">
        <f t="shared" si="4"/>
        <v>12748.8</v>
      </c>
      <c r="V51" s="15"/>
    </row>
    <row r="52" ht="18" hidden="1" customHeight="1" spans="1:22">
      <c r="A52" s="14">
        <v>45986</v>
      </c>
      <c r="B52" s="15" t="s">
        <v>12303</v>
      </c>
      <c r="C52" s="15"/>
      <c r="D52" s="15"/>
      <c r="E52" s="15" t="s">
        <v>1780</v>
      </c>
      <c r="F52" s="15" t="str">
        <f>_xlfn.SINGLE(INDEX(样品编号表!Y:Y,_xlfn.SINGLE(MATCH(_xlfn.SINGLE(E:E),样品编号表!H:H,0))))</f>
        <v>艺纺</v>
      </c>
      <c r="G52" s="15" t="str">
        <f>_xlfn.SINGLE(INDEX(样品编号表!Z:Z,_xlfn.SINGLE(MATCH(_xlfn.SINGLE(E:E),样品编号表!H:H,0))))</f>
        <v>11865-3</v>
      </c>
      <c r="H52" s="15" t="s">
        <v>12387</v>
      </c>
      <c r="I52" s="15">
        <v>280</v>
      </c>
      <c r="J52" s="15" t="s">
        <v>12177</v>
      </c>
      <c r="K52" s="15">
        <v>304</v>
      </c>
      <c r="L52" s="14">
        <v>46002</v>
      </c>
      <c r="M52" s="16">
        <v>19.6</v>
      </c>
      <c r="N52" s="16">
        <f t="shared" si="0"/>
        <v>5958.4</v>
      </c>
      <c r="O52" s="15" t="s">
        <v>12351</v>
      </c>
      <c r="P52" s="15"/>
      <c r="Q52" s="15"/>
      <c r="R52" s="15"/>
      <c r="S52" s="15"/>
      <c r="T52" s="16">
        <v>12.8</v>
      </c>
      <c r="U52" s="16">
        <f t="shared" si="4"/>
        <v>3891.2</v>
      </c>
      <c r="V52" s="15"/>
    </row>
    <row r="53" ht="18" hidden="1" customHeight="1" spans="1:22">
      <c r="A53" s="14">
        <v>45986</v>
      </c>
      <c r="B53" s="15" t="s">
        <v>12303</v>
      </c>
      <c r="C53" s="15"/>
      <c r="D53" s="15"/>
      <c r="E53" s="15" t="s">
        <v>1780</v>
      </c>
      <c r="F53" s="15" t="str">
        <f>_xlfn.SINGLE(INDEX(样品编号表!Y:Y,_xlfn.SINGLE(MATCH(_xlfn.SINGLE(E:E),样品编号表!H:H,0))))</f>
        <v>艺纺</v>
      </c>
      <c r="G53" s="15" t="str">
        <f>_xlfn.SINGLE(INDEX(样品编号表!Z:Z,_xlfn.SINGLE(MATCH(_xlfn.SINGLE(E:E),样品编号表!H:H,0))))</f>
        <v>11865-3</v>
      </c>
      <c r="H53" s="15" t="s">
        <v>12388</v>
      </c>
      <c r="I53" s="15">
        <v>200</v>
      </c>
      <c r="J53" s="15" t="s">
        <v>12177</v>
      </c>
      <c r="K53" s="15">
        <v>196</v>
      </c>
      <c r="L53" s="14">
        <v>46002</v>
      </c>
      <c r="M53" s="16">
        <v>19.6</v>
      </c>
      <c r="N53" s="16">
        <f t="shared" si="0"/>
        <v>3841.6</v>
      </c>
      <c r="O53" s="15" t="s">
        <v>12351</v>
      </c>
      <c r="P53" s="15"/>
      <c r="Q53" s="15"/>
      <c r="R53" s="15"/>
      <c r="S53" s="15"/>
      <c r="T53" s="16">
        <v>12.8</v>
      </c>
      <c r="U53" s="16">
        <f t="shared" si="4"/>
        <v>2508.8</v>
      </c>
      <c r="V53" s="15" t="s">
        <v>12389</v>
      </c>
    </row>
    <row r="54" ht="18" hidden="1" customHeight="1" spans="1:22">
      <c r="A54" s="14">
        <v>45986</v>
      </c>
      <c r="B54" s="15" t="s">
        <v>12303</v>
      </c>
      <c r="C54" s="15"/>
      <c r="D54" s="15"/>
      <c r="E54" s="15" t="s">
        <v>1780</v>
      </c>
      <c r="F54" s="15" t="str">
        <f>_xlfn.SINGLE(INDEX(样品编号表!Y:Y,_xlfn.SINGLE(MATCH(_xlfn.SINGLE(E:E),样品编号表!H:H,0))))</f>
        <v>艺纺</v>
      </c>
      <c r="G54" s="15" t="str">
        <f>_xlfn.SINGLE(INDEX(样品编号表!Z:Z,_xlfn.SINGLE(MATCH(_xlfn.SINGLE(E:E),样品编号表!H:H,0))))</f>
        <v>11865-3</v>
      </c>
      <c r="H54" s="15" t="s">
        <v>12244</v>
      </c>
      <c r="I54" s="15">
        <v>250</v>
      </c>
      <c r="J54" s="15" t="s">
        <v>12177</v>
      </c>
      <c r="K54" s="15">
        <v>290</v>
      </c>
      <c r="L54" s="14">
        <v>46002</v>
      </c>
      <c r="M54" s="16">
        <v>19.6</v>
      </c>
      <c r="N54" s="16">
        <f t="shared" si="0"/>
        <v>5684</v>
      </c>
      <c r="O54" s="15" t="s">
        <v>12351</v>
      </c>
      <c r="P54" s="15"/>
      <c r="Q54" s="15"/>
      <c r="R54" s="15"/>
      <c r="S54" s="15"/>
      <c r="T54" s="16">
        <v>12.8</v>
      </c>
      <c r="U54" s="16">
        <f t="shared" si="4"/>
        <v>3712</v>
      </c>
      <c r="V54" s="15"/>
    </row>
    <row r="55" ht="18" hidden="1" customHeight="1" spans="1:22">
      <c r="A55" s="14">
        <v>45987</v>
      </c>
      <c r="B55" s="15" t="s">
        <v>12390</v>
      </c>
      <c r="C55" s="15"/>
      <c r="D55" s="15"/>
      <c r="E55" s="15" t="s">
        <v>2113</v>
      </c>
      <c r="F55" s="15" t="str">
        <f>_xlfn.SINGLE(INDEX(样品编号表!Y:Y,_xlfn.SINGLE(MATCH(_xlfn.SINGLE(E:E),样品编号表!H:H,0))))</f>
        <v>凯盛亨</v>
      </c>
      <c r="G55" s="15" t="str">
        <f>_xlfn.SINGLE(INDEX(样品编号表!Z:Z,_xlfn.SINGLE(MATCH(_xlfn.SINGLE(E:E),样品编号表!H:H,0))))</f>
        <v>839#</v>
      </c>
      <c r="H55" s="15" t="s">
        <v>12391</v>
      </c>
      <c r="I55" s="15">
        <v>130</v>
      </c>
      <c r="J55" s="15" t="s">
        <v>12177</v>
      </c>
      <c r="K55" s="15">
        <v>135</v>
      </c>
      <c r="L55" s="14">
        <v>45999</v>
      </c>
      <c r="M55" s="16">
        <v>15.5</v>
      </c>
      <c r="N55" s="16">
        <f t="shared" si="0"/>
        <v>2092.5</v>
      </c>
      <c r="O55" s="15" t="s">
        <v>12392</v>
      </c>
      <c r="P55" s="15"/>
      <c r="Q55" s="15"/>
      <c r="R55" s="15"/>
      <c r="S55" s="15"/>
      <c r="T55" s="16">
        <v>11.3</v>
      </c>
      <c r="U55" s="16">
        <f t="shared" si="4"/>
        <v>1525.5</v>
      </c>
      <c r="V55" s="15"/>
    </row>
    <row r="56" ht="18" hidden="1" customHeight="1" spans="1:22">
      <c r="A56" s="14">
        <v>45987</v>
      </c>
      <c r="B56" s="15" t="s">
        <v>12390</v>
      </c>
      <c r="C56" s="15"/>
      <c r="D56" s="15"/>
      <c r="E56" s="15" t="s">
        <v>2113</v>
      </c>
      <c r="F56" s="15" t="str">
        <f>_xlfn.SINGLE(INDEX(样品编号表!Y:Y,_xlfn.SINGLE(MATCH(_xlfn.SINGLE(E:E),样品编号表!H:H,0))))</f>
        <v>凯盛亨</v>
      </c>
      <c r="G56" s="15" t="str">
        <f>_xlfn.SINGLE(INDEX(样品编号表!Z:Z,_xlfn.SINGLE(MATCH(_xlfn.SINGLE(E:E),样品编号表!H:H,0))))</f>
        <v>839#</v>
      </c>
      <c r="H56" s="15" t="s">
        <v>12355</v>
      </c>
      <c r="I56" s="15">
        <v>85</v>
      </c>
      <c r="J56" s="15" t="s">
        <v>12177</v>
      </c>
      <c r="K56" s="15">
        <v>87</v>
      </c>
      <c r="L56" s="14">
        <v>45999</v>
      </c>
      <c r="M56" s="16">
        <v>15.5</v>
      </c>
      <c r="N56" s="16">
        <f t="shared" si="0"/>
        <v>1348.5</v>
      </c>
      <c r="O56" s="15" t="s">
        <v>12392</v>
      </c>
      <c r="P56" s="15"/>
      <c r="Q56" s="15"/>
      <c r="R56" s="15"/>
      <c r="S56" s="15"/>
      <c r="T56" s="16">
        <v>11.3</v>
      </c>
      <c r="U56" s="16">
        <f t="shared" si="4"/>
        <v>983.1</v>
      </c>
      <c r="V56" s="15"/>
    </row>
    <row r="57" ht="18" hidden="1" customHeight="1" spans="1:22">
      <c r="A57" s="14">
        <v>45987</v>
      </c>
      <c r="B57" s="15" t="s">
        <v>12390</v>
      </c>
      <c r="C57" s="15"/>
      <c r="D57" s="15"/>
      <c r="E57" s="15" t="s">
        <v>2113</v>
      </c>
      <c r="F57" s="15" t="str">
        <f>_xlfn.SINGLE(INDEX(样品编号表!Y:Y,_xlfn.SINGLE(MATCH(_xlfn.SINGLE(E:E),样品编号表!H:H,0))))</f>
        <v>凯盛亨</v>
      </c>
      <c r="G57" s="15" t="str">
        <f>_xlfn.SINGLE(INDEX(样品编号表!Z:Z,_xlfn.SINGLE(MATCH(_xlfn.SINGLE(E:E),样品编号表!H:H,0))))</f>
        <v>839#</v>
      </c>
      <c r="H57" s="15" t="s">
        <v>6590</v>
      </c>
      <c r="I57" s="15">
        <v>130</v>
      </c>
      <c r="J57" s="15" t="s">
        <v>12177</v>
      </c>
      <c r="K57" s="15">
        <v>125</v>
      </c>
      <c r="L57" s="14">
        <v>46009</v>
      </c>
      <c r="M57" s="16">
        <v>27.3</v>
      </c>
      <c r="N57" s="16">
        <f t="shared" si="0"/>
        <v>3412.5</v>
      </c>
      <c r="O57" s="15" t="s">
        <v>12392</v>
      </c>
      <c r="P57" s="15"/>
      <c r="Q57" s="15"/>
      <c r="R57" s="15"/>
      <c r="S57" s="15"/>
      <c r="T57" s="16"/>
      <c r="U57" s="16">
        <f t="shared" si="4"/>
        <v>0</v>
      </c>
      <c r="V57" s="15" t="s">
        <v>12393</v>
      </c>
    </row>
    <row r="58" ht="18" hidden="1" customHeight="1" spans="1:22">
      <c r="A58" s="14">
        <v>45987</v>
      </c>
      <c r="B58" s="15" t="s">
        <v>12194</v>
      </c>
      <c r="C58" s="15"/>
      <c r="D58" s="15"/>
      <c r="E58" s="15" t="s">
        <v>1780</v>
      </c>
      <c r="F58" s="15" t="str">
        <f>_xlfn.SINGLE(INDEX(样品编号表!Y:Y,_xlfn.SINGLE(MATCH(_xlfn.SINGLE(E:E),样品编号表!H:H,0))))</f>
        <v>艺纺</v>
      </c>
      <c r="G58" s="15" t="str">
        <f>_xlfn.SINGLE(INDEX(样品编号表!Z:Z,_xlfn.SINGLE(MATCH(_xlfn.SINGLE(E:E),样品编号表!H:H,0))))</f>
        <v>11865-3</v>
      </c>
      <c r="H58" s="15" t="s">
        <v>12213</v>
      </c>
      <c r="I58" s="15">
        <v>200</v>
      </c>
      <c r="J58" s="15" t="s">
        <v>12177</v>
      </c>
      <c r="K58" s="15">
        <v>199</v>
      </c>
      <c r="L58" s="14">
        <v>46011</v>
      </c>
      <c r="M58" s="16">
        <v>19.6</v>
      </c>
      <c r="N58" s="16">
        <f t="shared" si="0"/>
        <v>3900.4</v>
      </c>
      <c r="O58" s="15" t="s">
        <v>12351</v>
      </c>
      <c r="P58" s="15"/>
      <c r="Q58" s="15"/>
      <c r="R58" s="15"/>
      <c r="S58" s="15"/>
      <c r="T58" s="16">
        <v>12.8</v>
      </c>
      <c r="U58" s="16">
        <f t="shared" si="4"/>
        <v>2547.2</v>
      </c>
      <c r="V58" s="15"/>
    </row>
    <row r="59" ht="18" hidden="1" customHeight="1" spans="1:22">
      <c r="A59" s="14">
        <v>45987</v>
      </c>
      <c r="B59" s="15" t="s">
        <v>12194</v>
      </c>
      <c r="C59" s="15"/>
      <c r="D59" s="15"/>
      <c r="E59" s="15" t="s">
        <v>1780</v>
      </c>
      <c r="F59" s="15" t="str">
        <f>_xlfn.SINGLE(INDEX(样品编号表!Y:Y,_xlfn.SINGLE(MATCH(_xlfn.SINGLE(E:E),样品编号表!H:H,0))))</f>
        <v>艺纺</v>
      </c>
      <c r="G59" s="15" t="str">
        <f>_xlfn.SINGLE(INDEX(样品编号表!Z:Z,_xlfn.SINGLE(MATCH(_xlfn.SINGLE(E:E),样品编号表!H:H,0))))</f>
        <v>11865-3</v>
      </c>
      <c r="H59" s="15" t="s">
        <v>12244</v>
      </c>
      <c r="I59" s="15">
        <v>130</v>
      </c>
      <c r="J59" s="15" t="s">
        <v>12177</v>
      </c>
      <c r="K59" s="15">
        <v>140</v>
      </c>
      <c r="L59" s="14">
        <v>46011</v>
      </c>
      <c r="M59" s="16">
        <v>19.6</v>
      </c>
      <c r="N59" s="16">
        <f t="shared" si="0"/>
        <v>2744</v>
      </c>
      <c r="O59" s="15" t="s">
        <v>12351</v>
      </c>
      <c r="P59" s="15"/>
      <c r="Q59" s="15"/>
      <c r="R59" s="15"/>
      <c r="S59" s="15"/>
      <c r="T59" s="16">
        <v>12.8</v>
      </c>
      <c r="U59" s="16">
        <f t="shared" si="4"/>
        <v>1792</v>
      </c>
      <c r="V59" s="15"/>
    </row>
    <row r="60" ht="18" hidden="1" customHeight="1" spans="1:22">
      <c r="A60" s="14">
        <v>45988</v>
      </c>
      <c r="B60" s="15" t="s">
        <v>12384</v>
      </c>
      <c r="C60" s="15"/>
      <c r="D60" s="15"/>
      <c r="E60" s="15" t="s">
        <v>2766</v>
      </c>
      <c r="F60" s="15" t="str">
        <f>_xlfn.SINGLE(INDEX(样品编号表!Y:Y,_xlfn.SINGLE(MATCH(_xlfn.SINGLE(E:E),样品编号表!H:H,0))))</f>
        <v>新合盛布业</v>
      </c>
      <c r="G60" s="15">
        <f>_xlfn.SINGLE(INDEX(样品编号表!Z:Z,_xlfn.SINGLE(MATCH(_xlfn.SINGLE(E:E),样品编号表!H:H,0))))</f>
        <v>6002</v>
      </c>
      <c r="H60" s="15" t="s">
        <v>12394</v>
      </c>
      <c r="I60" s="15">
        <v>345</v>
      </c>
      <c r="J60" s="15" t="s">
        <v>12177</v>
      </c>
      <c r="K60" s="15">
        <v>367</v>
      </c>
      <c r="L60" s="14">
        <v>46010</v>
      </c>
      <c r="M60" s="16">
        <v>9.2</v>
      </c>
      <c r="N60" s="16">
        <f t="shared" si="0"/>
        <v>3376.4</v>
      </c>
      <c r="O60" s="15" t="s">
        <v>12351</v>
      </c>
      <c r="P60" s="15"/>
      <c r="Q60" s="15"/>
      <c r="R60" s="15"/>
      <c r="S60" s="15"/>
      <c r="T60" s="16">
        <v>6.6</v>
      </c>
      <c r="U60" s="16">
        <f>T60*K60</f>
        <v>2422.2</v>
      </c>
      <c r="V60" s="15"/>
    </row>
    <row r="61" ht="18" hidden="1" customHeight="1" spans="1:22">
      <c r="A61" s="14">
        <v>45989</v>
      </c>
      <c r="B61" s="15" t="s">
        <v>12395</v>
      </c>
      <c r="C61" s="15"/>
      <c r="D61" s="15"/>
      <c r="E61" s="15" t="s">
        <v>1780</v>
      </c>
      <c r="F61" s="15" t="str">
        <f>_xlfn.SINGLE(INDEX(样品编号表!Y:Y,_xlfn.SINGLE(MATCH(_xlfn.SINGLE(E:E),样品编号表!H:H,0))))</f>
        <v>艺纺</v>
      </c>
      <c r="G61" s="15" t="str">
        <f>_xlfn.SINGLE(INDEX(样品编号表!Z:Z,_xlfn.SINGLE(MATCH(_xlfn.SINGLE(E:E),样品编号表!H:H,0))))</f>
        <v>11865-3</v>
      </c>
      <c r="H61" s="15" t="s">
        <v>12277</v>
      </c>
      <c r="I61" s="15">
        <v>378</v>
      </c>
      <c r="J61" s="15" t="s">
        <v>12177</v>
      </c>
      <c r="K61" s="15">
        <v>402</v>
      </c>
      <c r="L61" s="14">
        <v>46009</v>
      </c>
      <c r="M61" s="16">
        <v>19.6</v>
      </c>
      <c r="N61" s="16">
        <f t="shared" si="0"/>
        <v>7879.2</v>
      </c>
      <c r="O61" s="15" t="s">
        <v>12351</v>
      </c>
      <c r="P61" s="15"/>
      <c r="Q61" s="15"/>
      <c r="R61" s="15"/>
      <c r="S61" s="15"/>
      <c r="T61" s="16">
        <v>12.8</v>
      </c>
      <c r="U61" s="16">
        <f t="shared" ref="U61:U65" si="5">K61*T61</f>
        <v>5145.6</v>
      </c>
      <c r="V61" s="15"/>
    </row>
    <row r="62" ht="18" hidden="1" customHeight="1" spans="1:22">
      <c r="A62" s="14">
        <v>45989</v>
      </c>
      <c r="B62" s="15" t="s">
        <v>12395</v>
      </c>
      <c r="C62" s="15"/>
      <c r="D62" s="15"/>
      <c r="E62" s="15" t="s">
        <v>1780</v>
      </c>
      <c r="F62" s="15" t="str">
        <f>_xlfn.SINGLE(INDEX(样品编号表!Y:Y,_xlfn.SINGLE(MATCH(_xlfn.SINGLE(E:E),样品编号表!H:H,0))))</f>
        <v>艺纺</v>
      </c>
      <c r="G62" s="15" t="str">
        <f>_xlfn.SINGLE(INDEX(样品编号表!Z:Z,_xlfn.SINGLE(MATCH(_xlfn.SINGLE(E:E),样品编号表!H:H,0))))</f>
        <v>11865-3</v>
      </c>
      <c r="H62" s="15" t="s">
        <v>12302</v>
      </c>
      <c r="I62" s="15">
        <v>497</v>
      </c>
      <c r="J62" s="15" t="s">
        <v>12177</v>
      </c>
      <c r="K62" s="15">
        <v>542</v>
      </c>
      <c r="L62" s="14">
        <v>46014</v>
      </c>
      <c r="M62" s="16">
        <v>19.6</v>
      </c>
      <c r="N62" s="16">
        <f t="shared" si="0"/>
        <v>10623.2</v>
      </c>
      <c r="O62" s="15" t="s">
        <v>12351</v>
      </c>
      <c r="P62" s="15"/>
      <c r="Q62" s="15"/>
      <c r="R62" s="15"/>
      <c r="S62" s="15"/>
      <c r="T62" s="16">
        <v>12.8</v>
      </c>
      <c r="U62" s="16">
        <f t="shared" si="5"/>
        <v>6937.6</v>
      </c>
      <c r="V62" s="15"/>
    </row>
    <row r="63" ht="18" hidden="1" customHeight="1" spans="1:22">
      <c r="A63" s="14">
        <v>45989</v>
      </c>
      <c r="B63" s="15" t="s">
        <v>12395</v>
      </c>
      <c r="C63" s="15"/>
      <c r="D63" s="15"/>
      <c r="E63" s="15" t="s">
        <v>1780</v>
      </c>
      <c r="F63" s="15" t="str">
        <f>_xlfn.SINGLE(INDEX(样品编号表!Y:Y,_xlfn.SINGLE(MATCH(_xlfn.SINGLE(E:E),样品编号表!H:H,0))))</f>
        <v>艺纺</v>
      </c>
      <c r="G63" s="15" t="str">
        <f>_xlfn.SINGLE(INDEX(样品编号表!Z:Z,_xlfn.SINGLE(MATCH(_xlfn.SINGLE(E:E),样品编号表!H:H,0))))</f>
        <v>11865-3</v>
      </c>
      <c r="H63" s="15" t="s">
        <v>12386</v>
      </c>
      <c r="I63" s="15">
        <v>1078</v>
      </c>
      <c r="J63" s="15" t="s">
        <v>12177</v>
      </c>
      <c r="K63" s="15">
        <v>1063</v>
      </c>
      <c r="L63" s="14">
        <v>46009</v>
      </c>
      <c r="M63" s="16">
        <v>19.6</v>
      </c>
      <c r="N63" s="16">
        <f t="shared" si="0"/>
        <v>20834.8</v>
      </c>
      <c r="O63" s="15" t="s">
        <v>12351</v>
      </c>
      <c r="P63" s="15"/>
      <c r="Q63" s="15"/>
      <c r="R63" s="15"/>
      <c r="S63" s="15"/>
      <c r="T63" s="16">
        <v>12.8</v>
      </c>
      <c r="U63" s="16">
        <f t="shared" si="5"/>
        <v>13606.4</v>
      </c>
      <c r="V63" s="24" t="s">
        <v>12396</v>
      </c>
    </row>
    <row r="64" ht="18" hidden="1" customHeight="1" spans="1:22">
      <c r="A64" s="25">
        <v>45993</v>
      </c>
      <c r="B64" s="26" t="s">
        <v>12188</v>
      </c>
      <c r="C64" s="26"/>
      <c r="D64" s="26"/>
      <c r="E64" s="26" t="s">
        <v>2625</v>
      </c>
      <c r="F64" s="26" t="str">
        <f>_xlfn.SINGLE(INDEX(样品编号表!Y:Y,_xlfn.SINGLE(MATCH(_xlfn.SINGLE(E:E),样品编号表!H:H,0))))</f>
        <v>锦地印染</v>
      </c>
      <c r="G64" s="26" t="str">
        <f>_xlfn.SINGLE(INDEX(样品编号表!Z:Z,_xlfn.SINGLE(MATCH(_xlfn.SINGLE(E:E),样品编号表!H:H,0))))</f>
        <v>醋酸金銮缎</v>
      </c>
      <c r="H64" s="26" t="s">
        <v>12286</v>
      </c>
      <c r="I64" s="26">
        <v>210</v>
      </c>
      <c r="J64" s="26" t="s">
        <v>12177</v>
      </c>
      <c r="K64" s="26">
        <v>221</v>
      </c>
      <c r="L64" s="25">
        <v>46017</v>
      </c>
      <c r="M64" s="27">
        <v>14.2</v>
      </c>
      <c r="N64" s="27">
        <f t="shared" si="0"/>
        <v>3138.2</v>
      </c>
      <c r="O64" s="26" t="s">
        <v>12351</v>
      </c>
      <c r="P64" s="26"/>
      <c r="Q64" s="26"/>
      <c r="R64" s="26"/>
      <c r="S64" s="26"/>
      <c r="T64" s="27">
        <v>10.6</v>
      </c>
      <c r="U64" s="27">
        <f t="shared" si="5"/>
        <v>2342.6</v>
      </c>
      <c r="V64" s="26"/>
    </row>
    <row r="65" ht="18" hidden="1" customHeight="1" spans="1:22">
      <c r="A65" s="25">
        <v>45993</v>
      </c>
      <c r="B65" s="26" t="s">
        <v>12188</v>
      </c>
      <c r="C65" s="26"/>
      <c r="D65" s="26"/>
      <c r="E65" s="26" t="s">
        <v>2625</v>
      </c>
      <c r="F65" s="26" t="str">
        <f>_xlfn.SINGLE(INDEX(样品编号表!Y:Y,_xlfn.SINGLE(MATCH(_xlfn.SINGLE(E:E),样品编号表!H:H,0))))</f>
        <v>锦地印染</v>
      </c>
      <c r="G65" s="26" t="str">
        <f>_xlfn.SINGLE(INDEX(样品编号表!Z:Z,_xlfn.SINGLE(MATCH(_xlfn.SINGLE(E:E),样品编号表!H:H,0))))</f>
        <v>醋酸金銮缎</v>
      </c>
      <c r="H65" s="26" t="s">
        <v>12397</v>
      </c>
      <c r="I65" s="26">
        <v>235</v>
      </c>
      <c r="J65" s="26" t="s">
        <v>12177</v>
      </c>
      <c r="K65" s="26">
        <v>233</v>
      </c>
      <c r="L65" s="25">
        <v>46017</v>
      </c>
      <c r="M65" s="27">
        <v>14.2</v>
      </c>
      <c r="N65" s="27">
        <f t="shared" si="0"/>
        <v>3308.6</v>
      </c>
      <c r="O65" s="26" t="s">
        <v>12351</v>
      </c>
      <c r="P65" s="26"/>
      <c r="Q65" s="26"/>
      <c r="R65" s="26"/>
      <c r="S65" s="26"/>
      <c r="T65" s="27">
        <v>10.6</v>
      </c>
      <c r="U65" s="27">
        <f t="shared" si="5"/>
        <v>2469.8</v>
      </c>
      <c r="V65" s="26"/>
    </row>
    <row r="66" ht="18" hidden="1" customHeight="1" spans="1:22">
      <c r="A66" s="14">
        <v>45994</v>
      </c>
      <c r="B66" s="15" t="s">
        <v>12188</v>
      </c>
      <c r="C66" s="15"/>
      <c r="D66" s="15"/>
      <c r="E66" s="15" t="s">
        <v>3618</v>
      </c>
      <c r="F66" s="15" t="str">
        <f>_xlfn.SINGLE(INDEX(样品编号表!Y:Y,_xlfn.SINGLE(MATCH(_xlfn.SINGLE(E:E),样品编号表!H:H,0))))</f>
        <v>万顺纺织</v>
      </c>
      <c r="G66" s="15" t="str">
        <f>_xlfn.SINGLE(INDEX(样品编号表!Z:Z,_xlfn.SINGLE(MATCH(_xlfn.SINGLE(E:E),样品编号表!H:H,0))))</f>
        <v>A8784</v>
      </c>
      <c r="H66" s="15" t="s">
        <v>12213</v>
      </c>
      <c r="I66" s="15">
        <v>300</v>
      </c>
      <c r="J66" s="15" t="s">
        <v>12177</v>
      </c>
      <c r="K66" s="15"/>
      <c r="L66" s="14"/>
      <c r="M66" s="16">
        <v>13.9</v>
      </c>
      <c r="N66" s="16">
        <f t="shared" ref="N66:N129" si="6">K66*M66</f>
        <v>0</v>
      </c>
      <c r="O66" s="15" t="s">
        <v>12351</v>
      </c>
      <c r="P66" s="15"/>
      <c r="Q66" s="15"/>
      <c r="R66" s="15"/>
      <c r="S66" s="15"/>
      <c r="T66" s="16"/>
      <c r="U66" s="16"/>
      <c r="V66" s="15" t="s">
        <v>12398</v>
      </c>
    </row>
    <row r="67" ht="18" hidden="1" customHeight="1" spans="1:22">
      <c r="A67" s="14">
        <v>45994</v>
      </c>
      <c r="B67" s="15" t="s">
        <v>12308</v>
      </c>
      <c r="C67" s="15"/>
      <c r="D67" s="15" t="s">
        <v>12399</v>
      </c>
      <c r="E67" s="15" t="s">
        <v>2155</v>
      </c>
      <c r="F67" s="15" t="str">
        <f>_xlfn.SINGLE(INDEX(样品编号表!Y:Y,_xlfn.SINGLE(MATCH(_xlfn.SINGLE(E:E),样品编号表!H:H,0))))</f>
        <v>润森</v>
      </c>
      <c r="G67" s="15" t="str">
        <f>_xlfn.SINGLE(INDEX(样品编号表!Z:Z,_xlfn.SINGLE(MATCH(_xlfn.SINGLE(E:E),样品编号表!H:H,0))))</f>
        <v>华尔缎</v>
      </c>
      <c r="H67" s="15" t="s">
        <v>12400</v>
      </c>
      <c r="I67" s="15">
        <v>250</v>
      </c>
      <c r="J67" s="15" t="s">
        <v>12177</v>
      </c>
      <c r="K67" s="15">
        <v>235</v>
      </c>
      <c r="L67" s="14">
        <v>46009</v>
      </c>
      <c r="M67" s="16">
        <v>16.1</v>
      </c>
      <c r="N67" s="16">
        <f t="shared" si="6"/>
        <v>3783.5</v>
      </c>
      <c r="O67" s="15" t="s">
        <v>12351</v>
      </c>
      <c r="P67" s="15"/>
      <c r="Q67" s="15"/>
      <c r="R67" s="15"/>
      <c r="S67" s="15"/>
      <c r="T67" s="16">
        <v>10.3</v>
      </c>
      <c r="U67" s="16">
        <f t="shared" ref="U67:U70" si="7">T67*K67</f>
        <v>2420.5</v>
      </c>
      <c r="V67" s="15"/>
    </row>
    <row r="68" ht="18" hidden="1" customHeight="1" spans="1:22">
      <c r="A68" s="14">
        <v>45994</v>
      </c>
      <c r="B68" s="15" t="s">
        <v>12308</v>
      </c>
      <c r="C68" s="15"/>
      <c r="D68" s="15" t="s">
        <v>12401</v>
      </c>
      <c r="E68" s="15" t="s">
        <v>2155</v>
      </c>
      <c r="F68" s="15" t="str">
        <f>_xlfn.SINGLE(INDEX(样品编号表!Y:Y,_xlfn.SINGLE(MATCH(_xlfn.SINGLE(E:E),样品编号表!H:H,0))))</f>
        <v>润森</v>
      </c>
      <c r="G68" s="15" t="str">
        <f>_xlfn.SINGLE(INDEX(样品编号表!Z:Z,_xlfn.SINGLE(MATCH(_xlfn.SINGLE(E:E),样品编号表!H:H,0))))</f>
        <v>华尔缎</v>
      </c>
      <c r="H68" s="15" t="s">
        <v>12236</v>
      </c>
      <c r="I68" s="15">
        <v>170</v>
      </c>
      <c r="J68" s="15" t="s">
        <v>12177</v>
      </c>
      <c r="K68" s="15">
        <v>228</v>
      </c>
      <c r="L68" s="14">
        <v>46009</v>
      </c>
      <c r="M68" s="16">
        <v>16.1</v>
      </c>
      <c r="N68" s="16">
        <f t="shared" si="6"/>
        <v>3670.8</v>
      </c>
      <c r="O68" s="15" t="s">
        <v>12351</v>
      </c>
      <c r="P68" s="15"/>
      <c r="Q68" s="15"/>
      <c r="R68" s="15"/>
      <c r="S68" s="15"/>
      <c r="T68" s="16">
        <v>10.3</v>
      </c>
      <c r="U68" s="16">
        <f t="shared" si="7"/>
        <v>2348.4</v>
      </c>
      <c r="V68" s="15"/>
    </row>
    <row r="69" ht="18" hidden="1" customHeight="1" spans="1:22">
      <c r="A69" s="14">
        <v>45994</v>
      </c>
      <c r="B69" s="15" t="s">
        <v>12308</v>
      </c>
      <c r="C69" s="15"/>
      <c r="D69" s="15" t="s">
        <v>12401</v>
      </c>
      <c r="E69" s="15" t="s">
        <v>2155</v>
      </c>
      <c r="F69" s="15" t="str">
        <f>_xlfn.SINGLE(INDEX(样品编号表!Y:Y,_xlfn.SINGLE(MATCH(_xlfn.SINGLE(E:E),样品编号表!H:H,0))))</f>
        <v>润森</v>
      </c>
      <c r="G69" s="15" t="str">
        <f>_xlfn.SINGLE(INDEX(样品编号表!Z:Z,_xlfn.SINGLE(MATCH(_xlfn.SINGLE(E:E),样品编号表!H:H,0))))</f>
        <v>华尔缎</v>
      </c>
      <c r="H69" s="15" t="s">
        <v>12281</v>
      </c>
      <c r="I69" s="15">
        <v>170</v>
      </c>
      <c r="J69" s="15" t="s">
        <v>12177</v>
      </c>
      <c r="K69" s="15">
        <v>232</v>
      </c>
      <c r="L69" s="14">
        <v>46014</v>
      </c>
      <c r="M69" s="16">
        <v>16.1</v>
      </c>
      <c r="N69" s="16">
        <f t="shared" si="6"/>
        <v>3735.2</v>
      </c>
      <c r="O69" s="15" t="s">
        <v>12351</v>
      </c>
      <c r="P69" s="15"/>
      <c r="Q69" s="15"/>
      <c r="R69" s="15"/>
      <c r="S69" s="15"/>
      <c r="T69" s="16">
        <v>10.3</v>
      </c>
      <c r="U69" s="16">
        <f t="shared" si="7"/>
        <v>2389.6</v>
      </c>
      <c r="V69" s="15"/>
    </row>
    <row r="70" ht="18" hidden="1" customHeight="1" spans="1:22">
      <c r="A70" s="14">
        <v>45994</v>
      </c>
      <c r="B70" s="15" t="s">
        <v>12308</v>
      </c>
      <c r="C70" s="15"/>
      <c r="D70" s="15" t="s">
        <v>12399</v>
      </c>
      <c r="E70" s="15" t="s">
        <v>2155</v>
      </c>
      <c r="F70" s="15" t="str">
        <f>_xlfn.SINGLE(INDEX(样品编号表!Y:Y,_xlfn.SINGLE(MATCH(_xlfn.SINGLE(E:E),样品编号表!H:H,0))))</f>
        <v>润森</v>
      </c>
      <c r="G70" s="15" t="str">
        <f>_xlfn.SINGLE(INDEX(样品编号表!Z:Z,_xlfn.SINGLE(MATCH(_xlfn.SINGLE(E:E),样品编号表!H:H,0))))</f>
        <v>华尔缎</v>
      </c>
      <c r="H70" s="15" t="s">
        <v>12309</v>
      </c>
      <c r="I70" s="15">
        <v>280</v>
      </c>
      <c r="J70" s="15" t="s">
        <v>12177</v>
      </c>
      <c r="K70" s="15">
        <v>321</v>
      </c>
      <c r="L70" s="14">
        <v>46009</v>
      </c>
      <c r="M70" s="16">
        <v>16.1</v>
      </c>
      <c r="N70" s="16">
        <f t="shared" si="6"/>
        <v>5168.1</v>
      </c>
      <c r="O70" s="15" t="s">
        <v>12351</v>
      </c>
      <c r="P70" s="15"/>
      <c r="Q70" s="15"/>
      <c r="R70" s="15"/>
      <c r="S70" s="15"/>
      <c r="T70" s="16">
        <v>10.3</v>
      </c>
      <c r="U70" s="16">
        <f t="shared" si="7"/>
        <v>3306.3</v>
      </c>
      <c r="V70" s="15"/>
    </row>
    <row r="71" ht="18" hidden="1" customHeight="1" spans="1:22">
      <c r="A71" s="14">
        <v>45994</v>
      </c>
      <c r="B71" s="15" t="s">
        <v>12303</v>
      </c>
      <c r="C71" s="15"/>
      <c r="D71" s="15"/>
      <c r="E71" s="15" t="s">
        <v>3679</v>
      </c>
      <c r="F71" s="15" t="str">
        <f>_xlfn.SINGLE(INDEX(样品编号表!Y:Y,_xlfn.SINGLE(MATCH(_xlfn.SINGLE(E:E),样品编号表!H:H,0))))</f>
        <v>新蓝</v>
      </c>
      <c r="G71" s="15" t="str">
        <f>_xlfn.SINGLE(INDEX(样品编号表!Z:Z,_xlfn.SINGLE(MATCH(_xlfn.SINGLE(E:E),样品编号表!H:H,0))))</f>
        <v>574#</v>
      </c>
      <c r="H71" s="15" t="s">
        <v>12205</v>
      </c>
      <c r="I71" s="15">
        <v>270</v>
      </c>
      <c r="J71" s="15" t="s">
        <v>12177</v>
      </c>
      <c r="K71" s="15">
        <f>277-8</f>
        <v>269</v>
      </c>
      <c r="L71" s="14">
        <v>46018</v>
      </c>
      <c r="M71" s="16">
        <v>21.1</v>
      </c>
      <c r="N71" s="16">
        <f t="shared" si="6"/>
        <v>5675.9</v>
      </c>
      <c r="O71" s="15" t="s">
        <v>12344</v>
      </c>
      <c r="P71" s="15"/>
      <c r="Q71" s="15"/>
      <c r="R71" s="15"/>
      <c r="S71" s="15"/>
      <c r="T71" s="16">
        <v>15.6</v>
      </c>
      <c r="U71" s="16">
        <f t="shared" ref="U71:U83" si="8">K71*T71</f>
        <v>4196.4</v>
      </c>
      <c r="V71" s="15" t="s">
        <v>12402</v>
      </c>
    </row>
    <row r="72" ht="18" hidden="1" customHeight="1" spans="1:22">
      <c r="A72" s="14">
        <v>45994</v>
      </c>
      <c r="B72" s="15" t="s">
        <v>12303</v>
      </c>
      <c r="C72" s="15"/>
      <c r="D72" s="15"/>
      <c r="E72" s="15" t="s">
        <v>3679</v>
      </c>
      <c r="F72" s="15" t="str">
        <f>_xlfn.SINGLE(INDEX(样品编号表!Y:Y,_xlfn.SINGLE(MATCH(_xlfn.SINGLE(E:E),样品编号表!H:H,0))))</f>
        <v>新蓝</v>
      </c>
      <c r="G72" s="15" t="str">
        <f>_xlfn.SINGLE(INDEX(样品编号表!Z:Z,_xlfn.SINGLE(MATCH(_xlfn.SINGLE(E:E),样品编号表!H:H,0))))</f>
        <v>574#</v>
      </c>
      <c r="H72" s="15" t="s">
        <v>12278</v>
      </c>
      <c r="I72" s="15">
        <v>150</v>
      </c>
      <c r="J72" s="15" t="s">
        <v>12177</v>
      </c>
      <c r="K72" s="15"/>
      <c r="L72" s="14"/>
      <c r="M72" s="16">
        <v>21.1</v>
      </c>
      <c r="N72" s="16">
        <f t="shared" si="6"/>
        <v>0</v>
      </c>
      <c r="O72" s="15" t="s">
        <v>12344</v>
      </c>
      <c r="P72" s="15"/>
      <c r="Q72" s="15"/>
      <c r="R72" s="15"/>
      <c r="S72" s="15"/>
      <c r="T72" s="16"/>
      <c r="U72" s="16"/>
      <c r="V72" s="15" t="s">
        <v>12403</v>
      </c>
    </row>
    <row r="73" ht="18" hidden="1" customHeight="1" spans="1:22">
      <c r="A73" s="14">
        <v>45994</v>
      </c>
      <c r="B73" s="15" t="s">
        <v>12303</v>
      </c>
      <c r="C73" s="15"/>
      <c r="D73" s="15"/>
      <c r="E73" s="15" t="s">
        <v>3679</v>
      </c>
      <c r="F73" s="15" t="str">
        <f>_xlfn.SINGLE(INDEX(样品编号表!Y:Y,_xlfn.SINGLE(MATCH(_xlfn.SINGLE(E:E),样品编号表!H:H,0))))</f>
        <v>新蓝</v>
      </c>
      <c r="G73" s="15" t="str">
        <f>_xlfn.SINGLE(INDEX(样品编号表!Z:Z,_xlfn.SINGLE(MATCH(_xlfn.SINGLE(E:E),样品编号表!H:H,0))))</f>
        <v>574#</v>
      </c>
      <c r="H73" s="15" t="s">
        <v>12404</v>
      </c>
      <c r="I73" s="15">
        <v>780</v>
      </c>
      <c r="J73" s="15" t="s">
        <v>12177</v>
      </c>
      <c r="K73" s="15">
        <v>785</v>
      </c>
      <c r="L73" s="14">
        <v>46022</v>
      </c>
      <c r="M73" s="16">
        <v>21.1</v>
      </c>
      <c r="N73" s="16">
        <f t="shared" si="6"/>
        <v>16563.5</v>
      </c>
      <c r="O73" s="15" t="s">
        <v>12344</v>
      </c>
      <c r="P73" s="15"/>
      <c r="Q73" s="15"/>
      <c r="R73" s="15"/>
      <c r="S73" s="15"/>
      <c r="T73" s="16">
        <v>15.6</v>
      </c>
      <c r="U73" s="16">
        <f>K73*T73</f>
        <v>12246</v>
      </c>
      <c r="V73" s="15" t="s">
        <v>12405</v>
      </c>
    </row>
    <row r="74" ht="18" hidden="1" customHeight="1" spans="1:22">
      <c r="A74" s="14">
        <v>45995</v>
      </c>
      <c r="B74" s="15" t="s">
        <v>9156</v>
      </c>
      <c r="C74" s="15"/>
      <c r="D74" s="15"/>
      <c r="E74" s="15" t="s">
        <v>3618</v>
      </c>
      <c r="F74" s="15" t="str">
        <f>_xlfn.SINGLE(INDEX(样品编号表!Y:Y,_xlfn.SINGLE(MATCH(_xlfn.SINGLE(E:E),样品编号表!H:H,0))))</f>
        <v>万顺纺织</v>
      </c>
      <c r="G74" s="15" t="str">
        <f>_xlfn.SINGLE(INDEX(样品编号表!Z:Z,_xlfn.SINGLE(MATCH(_xlfn.SINGLE(E:E),样品编号表!H:H,0))))</f>
        <v>A8784</v>
      </c>
      <c r="H74" s="15" t="s">
        <v>12279</v>
      </c>
      <c r="I74" s="15">
        <v>124</v>
      </c>
      <c r="J74" s="15" t="s">
        <v>12177</v>
      </c>
      <c r="K74" s="15">
        <v>124</v>
      </c>
      <c r="L74" s="14">
        <v>45997</v>
      </c>
      <c r="M74" s="16">
        <v>13.9</v>
      </c>
      <c r="N74" s="16">
        <f t="shared" si="6"/>
        <v>1723.6</v>
      </c>
      <c r="O74" s="15" t="s">
        <v>12344</v>
      </c>
      <c r="P74" s="15"/>
      <c r="Q74" s="15"/>
      <c r="R74" s="15"/>
      <c r="S74" s="15"/>
      <c r="T74" s="16">
        <v>8.8</v>
      </c>
      <c r="U74" s="16">
        <f t="shared" si="8"/>
        <v>1091.2</v>
      </c>
      <c r="V74" s="15"/>
    </row>
    <row r="75" ht="18" hidden="1" customHeight="1" spans="1:22">
      <c r="A75" s="14">
        <v>45997</v>
      </c>
      <c r="B75" s="15" t="s">
        <v>9156</v>
      </c>
      <c r="C75" s="15"/>
      <c r="D75" s="15" t="s">
        <v>12406</v>
      </c>
      <c r="E75" s="15" t="s">
        <v>2638</v>
      </c>
      <c r="F75" s="15" t="str">
        <f>_xlfn.SINGLE(INDEX(样品编号表!Y:Y,_xlfn.SINGLE(MATCH(_xlfn.SINGLE(E:E),样品编号表!H:H,0))))</f>
        <v>新嘉彩</v>
      </c>
      <c r="G75" s="15">
        <f>_xlfn.SINGLE(INDEX(样品编号表!Z:Z,_xlfn.SINGLE(MATCH(_xlfn.SINGLE(E:E),样品编号表!H:H,0))))</f>
        <v>938</v>
      </c>
      <c r="H75" s="15" t="s">
        <v>12352</v>
      </c>
      <c r="I75" s="15">
        <v>175</v>
      </c>
      <c r="J75" s="15" t="s">
        <v>12177</v>
      </c>
      <c r="K75" s="15">
        <v>135</v>
      </c>
      <c r="L75" s="14">
        <v>46007</v>
      </c>
      <c r="M75" s="16">
        <v>14.4</v>
      </c>
      <c r="N75" s="16">
        <f t="shared" si="6"/>
        <v>1944</v>
      </c>
      <c r="O75" s="15" t="s">
        <v>12351</v>
      </c>
      <c r="P75" s="15"/>
      <c r="Q75" s="15"/>
      <c r="R75" s="15"/>
      <c r="S75" s="15"/>
      <c r="T75" s="16">
        <v>10.3</v>
      </c>
      <c r="U75" s="16">
        <f t="shared" si="8"/>
        <v>1390.5</v>
      </c>
      <c r="V75" s="15"/>
    </row>
    <row r="76" ht="18" hidden="1" customHeight="1" spans="1:22">
      <c r="A76" s="14">
        <v>45997</v>
      </c>
      <c r="B76" s="15" t="s">
        <v>9156</v>
      </c>
      <c r="C76" s="15"/>
      <c r="D76" s="15" t="s">
        <v>12407</v>
      </c>
      <c r="E76" s="15" t="s">
        <v>2638</v>
      </c>
      <c r="F76" s="15" t="str">
        <f>_xlfn.SINGLE(INDEX(样品编号表!Y:Y,_xlfn.SINGLE(MATCH(_xlfn.SINGLE(E:E),样品编号表!H:H,0))))</f>
        <v>新嘉彩</v>
      </c>
      <c r="G76" s="15">
        <f>_xlfn.SINGLE(INDEX(样品编号表!Z:Z,_xlfn.SINGLE(MATCH(_xlfn.SINGLE(E:E),样品编号表!H:H,0))))</f>
        <v>938</v>
      </c>
      <c r="H76" s="15" t="s">
        <v>12352</v>
      </c>
      <c r="I76" s="15">
        <v>112</v>
      </c>
      <c r="J76" s="15" t="s">
        <v>12177</v>
      </c>
      <c r="K76" s="15">
        <v>112</v>
      </c>
      <c r="L76" s="14">
        <v>46007</v>
      </c>
      <c r="M76" s="16">
        <v>14.4</v>
      </c>
      <c r="N76" s="16">
        <f t="shared" si="6"/>
        <v>1612.8</v>
      </c>
      <c r="O76" s="15" t="s">
        <v>12351</v>
      </c>
      <c r="P76" s="15"/>
      <c r="Q76" s="15"/>
      <c r="R76" s="15"/>
      <c r="S76" s="15"/>
      <c r="T76" s="16">
        <v>10.3</v>
      </c>
      <c r="U76" s="16">
        <f t="shared" si="8"/>
        <v>1153.6</v>
      </c>
      <c r="V76" s="15"/>
    </row>
    <row r="77" ht="18" hidden="1" customHeight="1" spans="1:22">
      <c r="A77" s="14">
        <v>45997</v>
      </c>
      <c r="B77" s="15" t="s">
        <v>9156</v>
      </c>
      <c r="C77" s="15"/>
      <c r="D77" s="15" t="s">
        <v>12406</v>
      </c>
      <c r="E77" s="15" t="s">
        <v>2638</v>
      </c>
      <c r="F77" s="15" t="str">
        <f>_xlfn.SINGLE(INDEX(样品编号表!Y:Y,_xlfn.SINGLE(MATCH(_xlfn.SINGLE(E:E),样品编号表!H:H,0))))</f>
        <v>新嘉彩</v>
      </c>
      <c r="G77" s="15">
        <f>_xlfn.SINGLE(INDEX(样品编号表!Z:Z,_xlfn.SINGLE(MATCH(_xlfn.SINGLE(E:E),样品编号表!H:H,0))))</f>
        <v>938</v>
      </c>
      <c r="H77" s="15" t="s">
        <v>12374</v>
      </c>
      <c r="I77" s="15">
        <v>290</v>
      </c>
      <c r="J77" s="15" t="s">
        <v>12177</v>
      </c>
      <c r="K77" s="15">
        <v>332</v>
      </c>
      <c r="L77" s="14">
        <v>46013</v>
      </c>
      <c r="M77" s="16">
        <v>14.4</v>
      </c>
      <c r="N77" s="16">
        <f t="shared" si="6"/>
        <v>4780.8</v>
      </c>
      <c r="O77" s="15" t="s">
        <v>12351</v>
      </c>
      <c r="P77" s="15"/>
      <c r="Q77" s="15"/>
      <c r="R77" s="15"/>
      <c r="S77" s="15"/>
      <c r="T77" s="16">
        <v>10.3</v>
      </c>
      <c r="U77" s="16">
        <f t="shared" si="8"/>
        <v>3419.6</v>
      </c>
      <c r="V77" s="15"/>
    </row>
    <row r="78" ht="18" hidden="1" customHeight="1" spans="1:22">
      <c r="A78" s="14">
        <v>45997</v>
      </c>
      <c r="B78" s="15" t="s">
        <v>9156</v>
      </c>
      <c r="C78" s="15"/>
      <c r="D78" s="15" t="s">
        <v>12408</v>
      </c>
      <c r="E78" s="15" t="s">
        <v>2638</v>
      </c>
      <c r="F78" s="15" t="str">
        <f>_xlfn.SINGLE(INDEX(样品编号表!Y:Y,_xlfn.SINGLE(MATCH(_xlfn.SINGLE(E:E),样品编号表!H:H,0))))</f>
        <v>新嘉彩</v>
      </c>
      <c r="G78" s="15">
        <f>_xlfn.SINGLE(INDEX(样品编号表!Z:Z,_xlfn.SINGLE(MATCH(_xlfn.SINGLE(E:E),样品编号表!H:H,0))))</f>
        <v>938</v>
      </c>
      <c r="H78" s="15" t="s">
        <v>12374</v>
      </c>
      <c r="I78" s="15">
        <v>81</v>
      </c>
      <c r="J78" s="15" t="s">
        <v>12177</v>
      </c>
      <c r="K78" s="15">
        <v>107</v>
      </c>
      <c r="L78" s="14">
        <v>46013</v>
      </c>
      <c r="M78" s="16">
        <v>14.4</v>
      </c>
      <c r="N78" s="16">
        <f t="shared" si="6"/>
        <v>1540.8</v>
      </c>
      <c r="O78" s="15" t="s">
        <v>12351</v>
      </c>
      <c r="P78" s="15"/>
      <c r="Q78" s="15"/>
      <c r="R78" s="15"/>
      <c r="S78" s="15"/>
      <c r="T78" s="16">
        <v>10.3</v>
      </c>
      <c r="U78" s="16">
        <f t="shared" si="8"/>
        <v>1102.1</v>
      </c>
      <c r="V78" s="15"/>
    </row>
    <row r="79" ht="18" hidden="1" customHeight="1" spans="1:22">
      <c r="A79" s="14">
        <v>45997</v>
      </c>
      <c r="B79" s="15" t="s">
        <v>9156</v>
      </c>
      <c r="C79" s="15"/>
      <c r="D79" s="15" t="s">
        <v>12407</v>
      </c>
      <c r="E79" s="15" t="s">
        <v>2638</v>
      </c>
      <c r="F79" s="15" t="str">
        <f>_xlfn.SINGLE(INDEX(样品编号表!Y:Y,_xlfn.SINGLE(MATCH(_xlfn.SINGLE(E:E),样品编号表!H:H,0))))</f>
        <v>新嘉彩</v>
      </c>
      <c r="G79" s="15">
        <f>_xlfn.SINGLE(INDEX(样品编号表!Z:Z,_xlfn.SINGLE(MATCH(_xlfn.SINGLE(E:E),样品编号表!H:H,0))))</f>
        <v>938</v>
      </c>
      <c r="H79" s="15" t="s">
        <v>12374</v>
      </c>
      <c r="I79" s="15">
        <v>296</v>
      </c>
      <c r="J79" s="15" t="s">
        <v>12177</v>
      </c>
      <c r="K79" s="15">
        <v>301</v>
      </c>
      <c r="L79" s="14">
        <v>46013</v>
      </c>
      <c r="M79" s="16">
        <v>14.4</v>
      </c>
      <c r="N79" s="16">
        <f t="shared" si="6"/>
        <v>4334.4</v>
      </c>
      <c r="O79" s="15" t="s">
        <v>12351</v>
      </c>
      <c r="P79" s="15"/>
      <c r="Q79" s="15"/>
      <c r="R79" s="15"/>
      <c r="S79" s="15"/>
      <c r="T79" s="16">
        <v>10.3</v>
      </c>
      <c r="U79" s="16">
        <f t="shared" si="8"/>
        <v>3100.3</v>
      </c>
      <c r="V79" s="15"/>
    </row>
    <row r="80" ht="18" hidden="1" customHeight="1" spans="1:22">
      <c r="A80" s="14">
        <v>45997</v>
      </c>
      <c r="B80" s="15" t="s">
        <v>9156</v>
      </c>
      <c r="C80" s="15"/>
      <c r="D80" s="15" t="s">
        <v>12406</v>
      </c>
      <c r="E80" s="15" t="s">
        <v>2638</v>
      </c>
      <c r="F80" s="15" t="str">
        <f>_xlfn.SINGLE(INDEX(样品编号表!Y:Y,_xlfn.SINGLE(MATCH(_xlfn.SINGLE(E:E),样品编号表!H:H,0))))</f>
        <v>新嘉彩</v>
      </c>
      <c r="G80" s="15">
        <f>_xlfn.SINGLE(INDEX(样品编号表!Z:Z,_xlfn.SINGLE(MATCH(_xlfn.SINGLE(E:E),样品编号表!H:H,0))))</f>
        <v>938</v>
      </c>
      <c r="H80" s="15" t="s">
        <v>12409</v>
      </c>
      <c r="I80" s="15">
        <v>348</v>
      </c>
      <c r="J80" s="15" t="s">
        <v>12177</v>
      </c>
      <c r="K80" s="15">
        <v>366</v>
      </c>
      <c r="L80" s="14">
        <v>46007</v>
      </c>
      <c r="M80" s="16">
        <v>14.4</v>
      </c>
      <c r="N80" s="16">
        <f t="shared" si="6"/>
        <v>5270.4</v>
      </c>
      <c r="O80" s="15" t="s">
        <v>12351</v>
      </c>
      <c r="P80" s="15"/>
      <c r="Q80" s="15"/>
      <c r="R80" s="15"/>
      <c r="S80" s="15"/>
      <c r="T80" s="16">
        <v>10.3</v>
      </c>
      <c r="U80" s="16">
        <f t="shared" si="8"/>
        <v>3769.8</v>
      </c>
      <c r="V80" s="15"/>
    </row>
    <row r="81" ht="18" hidden="1" customHeight="1" spans="1:22">
      <c r="A81" s="14">
        <v>45997</v>
      </c>
      <c r="B81" s="15" t="s">
        <v>9156</v>
      </c>
      <c r="C81" s="15"/>
      <c r="D81" s="15" t="s">
        <v>12408</v>
      </c>
      <c r="E81" s="15" t="s">
        <v>2638</v>
      </c>
      <c r="F81" s="15" t="str">
        <f>_xlfn.SINGLE(INDEX(样品编号表!Y:Y,_xlfn.SINGLE(MATCH(_xlfn.SINGLE(E:E),样品编号表!H:H,0))))</f>
        <v>新嘉彩</v>
      </c>
      <c r="G81" s="15">
        <f>_xlfn.SINGLE(INDEX(样品编号表!Z:Z,_xlfn.SINGLE(MATCH(_xlfn.SINGLE(E:E),样品编号表!H:H,0))))</f>
        <v>938</v>
      </c>
      <c r="H81" s="15" t="s">
        <v>12409</v>
      </c>
      <c r="I81" s="15">
        <v>81</v>
      </c>
      <c r="J81" s="15" t="s">
        <v>12177</v>
      </c>
      <c r="K81" s="15">
        <v>100</v>
      </c>
      <c r="L81" s="14">
        <v>46007</v>
      </c>
      <c r="M81" s="16">
        <v>14.4</v>
      </c>
      <c r="N81" s="16">
        <f t="shared" si="6"/>
        <v>1440</v>
      </c>
      <c r="O81" s="15" t="s">
        <v>12351</v>
      </c>
      <c r="P81" s="15"/>
      <c r="Q81" s="15"/>
      <c r="R81" s="15"/>
      <c r="S81" s="15"/>
      <c r="T81" s="16">
        <v>10.3</v>
      </c>
      <c r="U81" s="16">
        <f t="shared" si="8"/>
        <v>1030</v>
      </c>
      <c r="V81" s="15"/>
    </row>
    <row r="82" ht="18" hidden="1" customHeight="1" spans="1:22">
      <c r="A82" s="14">
        <v>45997</v>
      </c>
      <c r="B82" s="15" t="s">
        <v>9156</v>
      </c>
      <c r="C82" s="15"/>
      <c r="D82" s="15" t="s">
        <v>12407</v>
      </c>
      <c r="E82" s="15" t="s">
        <v>2638</v>
      </c>
      <c r="F82" s="15" t="str">
        <f>_xlfn.SINGLE(INDEX(样品编号表!Y:Y,_xlfn.SINGLE(MATCH(_xlfn.SINGLE(E:E),样品编号表!H:H,0))))</f>
        <v>新嘉彩</v>
      </c>
      <c r="G82" s="15">
        <f>_xlfn.SINGLE(INDEX(样品编号表!Z:Z,_xlfn.SINGLE(MATCH(_xlfn.SINGLE(E:E),样品编号表!H:H,0))))</f>
        <v>938</v>
      </c>
      <c r="H82" s="15" t="s">
        <v>12409</v>
      </c>
      <c r="I82" s="15">
        <v>373</v>
      </c>
      <c r="J82" s="15" t="s">
        <v>12177</v>
      </c>
      <c r="K82" s="15">
        <v>391</v>
      </c>
      <c r="L82" s="14">
        <v>46007</v>
      </c>
      <c r="M82" s="16">
        <v>14.4</v>
      </c>
      <c r="N82" s="16">
        <f t="shared" si="6"/>
        <v>5630.4</v>
      </c>
      <c r="O82" s="15" t="s">
        <v>12351</v>
      </c>
      <c r="P82" s="15"/>
      <c r="Q82" s="15"/>
      <c r="R82" s="15"/>
      <c r="S82" s="15"/>
      <c r="T82" s="16">
        <v>10.3</v>
      </c>
      <c r="U82" s="16">
        <f t="shared" si="8"/>
        <v>4027.3</v>
      </c>
      <c r="V82" s="15"/>
    </row>
    <row r="83" ht="18" hidden="1" customHeight="1" spans="1:22">
      <c r="A83" s="14">
        <v>45997</v>
      </c>
      <c r="B83" s="15" t="s">
        <v>9156</v>
      </c>
      <c r="C83" s="15"/>
      <c r="D83" s="15" t="s">
        <v>12406</v>
      </c>
      <c r="E83" s="15" t="s">
        <v>2638</v>
      </c>
      <c r="F83" s="15" t="str">
        <f>_xlfn.SINGLE(INDEX(样品编号表!Y:Y,_xlfn.SINGLE(MATCH(_xlfn.SINGLE(E:E),样品编号表!H:H,0))))</f>
        <v>新嘉彩</v>
      </c>
      <c r="G83" s="15">
        <f>_xlfn.SINGLE(INDEX(样品编号表!Z:Z,_xlfn.SINGLE(MATCH(_xlfn.SINGLE(E:E),样品编号表!H:H,0))))</f>
        <v>938</v>
      </c>
      <c r="H83" s="15" t="s">
        <v>12353</v>
      </c>
      <c r="I83" s="15">
        <v>117</v>
      </c>
      <c r="J83" s="15" t="s">
        <v>12177</v>
      </c>
      <c r="K83" s="15">
        <v>132</v>
      </c>
      <c r="L83" s="14">
        <v>46007</v>
      </c>
      <c r="M83" s="16">
        <v>14.4</v>
      </c>
      <c r="N83" s="16">
        <f t="shared" si="6"/>
        <v>1900.8</v>
      </c>
      <c r="O83" s="15" t="s">
        <v>12351</v>
      </c>
      <c r="P83" s="15"/>
      <c r="Q83" s="15"/>
      <c r="R83" s="15"/>
      <c r="S83" s="15"/>
      <c r="T83" s="16">
        <v>10.3</v>
      </c>
      <c r="U83" s="16">
        <f t="shared" si="8"/>
        <v>1359.6</v>
      </c>
      <c r="V83" s="15"/>
    </row>
    <row r="84" ht="18" hidden="1" customHeight="1" spans="1:22">
      <c r="A84" s="14">
        <v>45997</v>
      </c>
      <c r="B84" s="15" t="s">
        <v>9156</v>
      </c>
      <c r="C84" s="15" t="s">
        <v>12410</v>
      </c>
      <c r="D84" s="15" t="s">
        <v>12411</v>
      </c>
      <c r="E84" s="15" t="s">
        <v>4670</v>
      </c>
      <c r="F84" s="15" t="str">
        <f>_xlfn.SINGLE(INDEX(样品编号表!Y:Y,_xlfn.SINGLE(MATCH(_xlfn.SINGLE(E:E),样品编号表!H:H,0))))</f>
        <v>粤信布业</v>
      </c>
      <c r="G84" s="15" t="str">
        <f>_xlfn.SINGLE(INDEX(样品编号表!Z:Z,_xlfn.SINGLE(MATCH(_xlfn.SINGLE(E:E),样品编号表!H:H,0))))</f>
        <v>32支精棉拉架YX81010</v>
      </c>
      <c r="H84" s="15" t="s">
        <v>12412</v>
      </c>
      <c r="I84" s="15">
        <v>92</v>
      </c>
      <c r="J84" s="15" t="s">
        <v>12177</v>
      </c>
      <c r="K84" s="15">
        <v>91</v>
      </c>
      <c r="L84" s="14">
        <v>46004</v>
      </c>
      <c r="M84" s="16">
        <v>20</v>
      </c>
      <c r="N84" s="16">
        <f t="shared" si="6"/>
        <v>1820</v>
      </c>
      <c r="O84" s="15" t="s">
        <v>12341</v>
      </c>
      <c r="P84" s="15"/>
      <c r="Q84" s="15"/>
      <c r="R84" s="15"/>
      <c r="S84" s="15"/>
      <c r="T84" s="16">
        <v>44</v>
      </c>
      <c r="U84" s="16">
        <f>T84*24.2</f>
        <v>1064.8</v>
      </c>
      <c r="V84" s="15"/>
    </row>
    <row r="85" ht="18" hidden="1" customHeight="1" spans="1:22">
      <c r="A85" s="14">
        <v>45997</v>
      </c>
      <c r="B85" s="15" t="s">
        <v>9156</v>
      </c>
      <c r="C85" s="15" t="s">
        <v>12413</v>
      </c>
      <c r="D85" s="15" t="s">
        <v>12414</v>
      </c>
      <c r="E85" s="15" t="s">
        <v>4670</v>
      </c>
      <c r="F85" s="15" t="str">
        <f>_xlfn.SINGLE(INDEX(样品编号表!Y:Y,_xlfn.SINGLE(MATCH(_xlfn.SINGLE(E:E),样品编号表!H:H,0))))</f>
        <v>粤信布业</v>
      </c>
      <c r="G85" s="15" t="str">
        <f>_xlfn.SINGLE(INDEX(样品编号表!Z:Z,_xlfn.SINGLE(MATCH(_xlfn.SINGLE(E:E),样品编号表!H:H,0))))</f>
        <v>32支精棉拉架YX81010</v>
      </c>
      <c r="H85" s="15" t="s">
        <v>12412</v>
      </c>
      <c r="I85" s="15">
        <v>53</v>
      </c>
      <c r="J85" s="15" t="s">
        <v>12177</v>
      </c>
      <c r="K85" s="15">
        <v>53</v>
      </c>
      <c r="L85" s="14">
        <v>46004</v>
      </c>
      <c r="M85" s="16">
        <v>20</v>
      </c>
      <c r="N85" s="16">
        <f t="shared" si="6"/>
        <v>1060</v>
      </c>
      <c r="O85" s="15" t="s">
        <v>12341</v>
      </c>
      <c r="P85" s="15"/>
      <c r="Q85" s="15"/>
      <c r="R85" s="15"/>
      <c r="S85" s="15"/>
      <c r="T85" s="16">
        <v>44</v>
      </c>
      <c r="U85" s="16">
        <f>T85*16.9</f>
        <v>743.6</v>
      </c>
      <c r="V85" s="15"/>
    </row>
    <row r="86" ht="18" hidden="1" customHeight="1" spans="1:22">
      <c r="A86" s="14">
        <v>45997</v>
      </c>
      <c r="B86" s="15" t="s">
        <v>9156</v>
      </c>
      <c r="C86" s="15" t="s">
        <v>12415</v>
      </c>
      <c r="D86" s="15" t="s">
        <v>12416</v>
      </c>
      <c r="E86" s="15" t="s">
        <v>4670</v>
      </c>
      <c r="F86" s="15" t="str">
        <f>_xlfn.SINGLE(INDEX(样品编号表!Y:Y,_xlfn.SINGLE(MATCH(_xlfn.SINGLE(E:E),样品编号表!H:H,0))))</f>
        <v>粤信布业</v>
      </c>
      <c r="G86" s="15" t="str">
        <f>_xlfn.SINGLE(INDEX(样品编号表!Z:Z,_xlfn.SINGLE(MATCH(_xlfn.SINGLE(E:E),样品编号表!H:H,0))))</f>
        <v>32支精棉拉架YX81010</v>
      </c>
      <c r="H86" s="15" t="s">
        <v>12412</v>
      </c>
      <c r="I86" s="15">
        <v>135</v>
      </c>
      <c r="J86" s="15" t="s">
        <v>12177</v>
      </c>
      <c r="K86" s="15">
        <v>135</v>
      </c>
      <c r="L86" s="14">
        <v>46004</v>
      </c>
      <c r="M86" s="16">
        <v>20</v>
      </c>
      <c r="N86" s="16">
        <f t="shared" si="6"/>
        <v>2700</v>
      </c>
      <c r="O86" s="15" t="s">
        <v>12341</v>
      </c>
      <c r="P86" s="15"/>
      <c r="Q86" s="15"/>
      <c r="R86" s="15"/>
      <c r="S86" s="15"/>
      <c r="T86" s="16">
        <v>44</v>
      </c>
      <c r="U86" s="16">
        <f>T86*47.8</f>
        <v>2103.2</v>
      </c>
      <c r="V86" s="15"/>
    </row>
    <row r="87" ht="18" hidden="1" customHeight="1" spans="1:22">
      <c r="A87" s="14">
        <v>45997</v>
      </c>
      <c r="B87" s="15" t="s">
        <v>9156</v>
      </c>
      <c r="C87" s="15" t="s">
        <v>12413</v>
      </c>
      <c r="D87" s="15" t="s">
        <v>12414</v>
      </c>
      <c r="E87" s="15" t="s">
        <v>4670</v>
      </c>
      <c r="F87" s="15" t="str">
        <f>_xlfn.SINGLE(INDEX(样品编号表!Y:Y,_xlfn.SINGLE(MATCH(_xlfn.SINGLE(E:E),样品编号表!H:H,0))))</f>
        <v>粤信布业</v>
      </c>
      <c r="G87" s="15" t="str">
        <f>_xlfn.SINGLE(INDEX(样品编号表!Z:Z,_xlfn.SINGLE(MATCH(_xlfn.SINGLE(E:E),样品编号表!H:H,0))))</f>
        <v>32支精棉拉架YX81010</v>
      </c>
      <c r="H87" s="15" t="s">
        <v>12417</v>
      </c>
      <c r="I87" s="15">
        <v>53</v>
      </c>
      <c r="J87" s="15" t="s">
        <v>12177</v>
      </c>
      <c r="K87" s="15">
        <v>64</v>
      </c>
      <c r="L87" s="14">
        <v>46004</v>
      </c>
      <c r="M87" s="16">
        <v>20</v>
      </c>
      <c r="N87" s="16">
        <f t="shared" si="6"/>
        <v>1280</v>
      </c>
      <c r="O87" s="15" t="s">
        <v>12341</v>
      </c>
      <c r="P87" s="15"/>
      <c r="Q87" s="15"/>
      <c r="R87" s="15"/>
      <c r="S87" s="15"/>
      <c r="T87" s="16">
        <v>44</v>
      </c>
      <c r="U87" s="16">
        <f>T87*21.1</f>
        <v>928.4</v>
      </c>
      <c r="V87" s="15"/>
    </row>
    <row r="88" ht="18" hidden="1" customHeight="1" spans="1:22">
      <c r="A88" s="14">
        <v>45997</v>
      </c>
      <c r="B88" s="15" t="s">
        <v>9156</v>
      </c>
      <c r="C88" s="15" t="s">
        <v>12415</v>
      </c>
      <c r="D88" s="15" t="s">
        <v>12416</v>
      </c>
      <c r="E88" s="15" t="s">
        <v>4670</v>
      </c>
      <c r="F88" s="15" t="str">
        <f>_xlfn.SINGLE(INDEX(样品编号表!Y:Y,_xlfn.SINGLE(MATCH(_xlfn.SINGLE(E:E),样品编号表!H:H,0))))</f>
        <v>粤信布业</v>
      </c>
      <c r="G88" s="15" t="str">
        <f>_xlfn.SINGLE(INDEX(样品编号表!Z:Z,_xlfn.SINGLE(MATCH(_xlfn.SINGLE(E:E),样品编号表!H:H,0))))</f>
        <v>32支精棉拉架YX81010</v>
      </c>
      <c r="H88" s="15" t="s">
        <v>12418</v>
      </c>
      <c r="I88" s="15">
        <v>201</v>
      </c>
      <c r="J88" s="15" t="s">
        <v>12177</v>
      </c>
      <c r="K88" s="15">
        <v>229</v>
      </c>
      <c r="L88" s="14">
        <v>46004</v>
      </c>
      <c r="M88" s="16">
        <v>20</v>
      </c>
      <c r="N88" s="16">
        <f t="shared" si="6"/>
        <v>4580</v>
      </c>
      <c r="O88" s="15" t="s">
        <v>12341</v>
      </c>
      <c r="P88" s="15"/>
      <c r="Q88" s="15"/>
      <c r="R88" s="15"/>
      <c r="S88" s="15"/>
      <c r="T88" s="16">
        <v>44</v>
      </c>
      <c r="U88" s="16">
        <f>T88*73</f>
        <v>3212</v>
      </c>
      <c r="V88" s="15"/>
    </row>
    <row r="89" ht="18" hidden="1" customHeight="1" spans="1:22">
      <c r="A89" s="14">
        <v>45997</v>
      </c>
      <c r="B89" s="15" t="s">
        <v>9156</v>
      </c>
      <c r="C89" s="15" t="s">
        <v>12419</v>
      </c>
      <c r="D89" s="15" t="s">
        <v>12420</v>
      </c>
      <c r="E89" s="15" t="s">
        <v>3731</v>
      </c>
      <c r="F89" s="15" t="str">
        <f>_xlfn.SINGLE(INDEX(样品编号表!Y:Y,_xlfn.SINGLE(MATCH(_xlfn.SINGLE(E:E),样品编号表!H:H,0))))</f>
        <v>东盛恒旺布行</v>
      </c>
      <c r="G89" s="15" t="str">
        <f>_xlfn.SINGLE(INDEX(样品编号表!Z:Z,_xlfn.SINGLE(MATCH(_xlfn.SINGLE(E:E),样品编号表!H:H,0))))</f>
        <v>13210#</v>
      </c>
      <c r="H89" s="15" t="s">
        <v>12421</v>
      </c>
      <c r="I89" s="15">
        <v>161</v>
      </c>
      <c r="J89" s="15" t="s">
        <v>12177</v>
      </c>
      <c r="K89" s="15">
        <v>165</v>
      </c>
      <c r="L89" s="14">
        <v>46009</v>
      </c>
      <c r="M89" s="16">
        <v>16.8</v>
      </c>
      <c r="N89" s="16">
        <f t="shared" si="6"/>
        <v>2772</v>
      </c>
      <c r="O89" s="15" t="s">
        <v>12341</v>
      </c>
      <c r="P89" s="15"/>
      <c r="Q89" s="15"/>
      <c r="R89" s="15"/>
      <c r="S89" s="15"/>
      <c r="T89" s="16"/>
      <c r="U89" s="16"/>
      <c r="V89" s="15"/>
    </row>
    <row r="90" ht="18" hidden="1" customHeight="1" spans="1:22">
      <c r="A90" s="14">
        <v>45997</v>
      </c>
      <c r="B90" s="15" t="s">
        <v>9156</v>
      </c>
      <c r="C90" s="15" t="s">
        <v>12422</v>
      </c>
      <c r="D90" s="15" t="s">
        <v>12423</v>
      </c>
      <c r="E90" s="15" t="s">
        <v>3731</v>
      </c>
      <c r="F90" s="15" t="str">
        <f>_xlfn.SINGLE(INDEX(样品编号表!Y:Y,_xlfn.SINGLE(MATCH(_xlfn.SINGLE(E:E),样品编号表!H:H,0))))</f>
        <v>东盛恒旺布行</v>
      </c>
      <c r="G90" s="15" t="str">
        <f>_xlfn.SINGLE(INDEX(样品编号表!Z:Z,_xlfn.SINGLE(MATCH(_xlfn.SINGLE(E:E),样品编号表!H:H,0))))</f>
        <v>13210#</v>
      </c>
      <c r="H90" s="15" t="s">
        <v>12421</v>
      </c>
      <c r="I90" s="15">
        <v>224</v>
      </c>
      <c r="J90" s="15" t="s">
        <v>12177</v>
      </c>
      <c r="K90" s="15">
        <v>237</v>
      </c>
      <c r="L90" s="14">
        <v>46009</v>
      </c>
      <c r="M90" s="16">
        <v>16.8</v>
      </c>
      <c r="N90" s="16">
        <f t="shared" si="6"/>
        <v>3981.6</v>
      </c>
      <c r="O90" s="15" t="s">
        <v>12341</v>
      </c>
      <c r="P90" s="15"/>
      <c r="Q90" s="15"/>
      <c r="R90" s="15"/>
      <c r="S90" s="15"/>
      <c r="T90" s="16"/>
      <c r="U90" s="16"/>
      <c r="V90" s="15"/>
    </row>
    <row r="91" ht="18" hidden="1" customHeight="1" spans="1:22">
      <c r="A91" s="14">
        <v>45997</v>
      </c>
      <c r="B91" s="15" t="s">
        <v>9156</v>
      </c>
      <c r="C91" s="15" t="s">
        <v>12424</v>
      </c>
      <c r="D91" s="15" t="s">
        <v>12425</v>
      </c>
      <c r="E91" s="15" t="s">
        <v>3731</v>
      </c>
      <c r="F91" s="15" t="str">
        <f>_xlfn.SINGLE(INDEX(样品编号表!Y:Y,_xlfn.SINGLE(MATCH(_xlfn.SINGLE(E:E),样品编号表!H:H,0))))</f>
        <v>东盛恒旺布行</v>
      </c>
      <c r="G91" s="15" t="str">
        <f>_xlfn.SINGLE(INDEX(样品编号表!Z:Z,_xlfn.SINGLE(MATCH(_xlfn.SINGLE(E:E),样品编号表!H:H,0))))</f>
        <v>13210#</v>
      </c>
      <c r="H91" s="15" t="s">
        <v>12421</v>
      </c>
      <c r="I91" s="15">
        <v>170</v>
      </c>
      <c r="J91" s="15" t="s">
        <v>12177</v>
      </c>
      <c r="K91" s="15">
        <v>184</v>
      </c>
      <c r="L91" s="14">
        <v>46009</v>
      </c>
      <c r="M91" s="16">
        <v>16.8</v>
      </c>
      <c r="N91" s="16">
        <f t="shared" si="6"/>
        <v>3091.2</v>
      </c>
      <c r="O91" s="15" t="s">
        <v>12341</v>
      </c>
      <c r="P91" s="15"/>
      <c r="Q91" s="15"/>
      <c r="R91" s="15"/>
      <c r="S91" s="15"/>
      <c r="T91" s="16"/>
      <c r="U91" s="16"/>
      <c r="V91" s="15"/>
    </row>
    <row r="92" ht="18" hidden="1" customHeight="1" spans="1:22">
      <c r="A92" s="14">
        <v>45997</v>
      </c>
      <c r="B92" s="15" t="s">
        <v>9156</v>
      </c>
      <c r="C92" s="15" t="s">
        <v>12419</v>
      </c>
      <c r="D92" s="15" t="s">
        <v>12420</v>
      </c>
      <c r="E92" s="15" t="s">
        <v>3731</v>
      </c>
      <c r="F92" s="15" t="str">
        <f>_xlfn.SINGLE(INDEX(样品编号表!Y:Y,_xlfn.SINGLE(MATCH(_xlfn.SINGLE(E:E),样品编号表!H:H,0))))</f>
        <v>东盛恒旺布行</v>
      </c>
      <c r="G92" s="15" t="str">
        <f>_xlfn.SINGLE(INDEX(样品编号表!Z:Z,_xlfn.SINGLE(MATCH(_xlfn.SINGLE(E:E),样品编号表!H:H,0))))</f>
        <v>13210#</v>
      </c>
      <c r="H92" s="15" t="s">
        <v>12208</v>
      </c>
      <c r="I92" s="15">
        <v>241</v>
      </c>
      <c r="J92" s="15" t="s">
        <v>12177</v>
      </c>
      <c r="K92" s="15">
        <v>258</v>
      </c>
      <c r="L92" s="14">
        <v>46009</v>
      </c>
      <c r="M92" s="16">
        <v>16.8</v>
      </c>
      <c r="N92" s="16">
        <f t="shared" si="6"/>
        <v>4334.4</v>
      </c>
      <c r="O92" s="15" t="s">
        <v>12341</v>
      </c>
      <c r="P92" s="15"/>
      <c r="Q92" s="15"/>
      <c r="R92" s="15"/>
      <c r="S92" s="15"/>
      <c r="T92" s="16"/>
      <c r="U92" s="16"/>
      <c r="V92" s="15"/>
    </row>
    <row r="93" ht="18" hidden="1" customHeight="1" spans="1:22">
      <c r="A93" s="14">
        <v>45997</v>
      </c>
      <c r="B93" s="15" t="s">
        <v>9156</v>
      </c>
      <c r="C93" s="15" t="s">
        <v>12426</v>
      </c>
      <c r="D93" s="15" t="s">
        <v>12427</v>
      </c>
      <c r="E93" s="15" t="s">
        <v>3731</v>
      </c>
      <c r="F93" s="15" t="str">
        <f>_xlfn.SINGLE(INDEX(样品编号表!Y:Y,_xlfn.SINGLE(MATCH(_xlfn.SINGLE(E:E),样品编号表!H:H,0))))</f>
        <v>东盛恒旺布行</v>
      </c>
      <c r="G93" s="15" t="str">
        <f>_xlfn.SINGLE(INDEX(样品编号表!Z:Z,_xlfn.SINGLE(MATCH(_xlfn.SINGLE(E:E),样品编号表!H:H,0))))</f>
        <v>13210#</v>
      </c>
      <c r="H93" s="15" t="s">
        <v>12208</v>
      </c>
      <c r="I93" s="15">
        <v>99</v>
      </c>
      <c r="J93" s="15" t="s">
        <v>12177</v>
      </c>
      <c r="K93" s="15">
        <v>92</v>
      </c>
      <c r="L93" s="14">
        <v>46009</v>
      </c>
      <c r="M93" s="16">
        <v>16.8</v>
      </c>
      <c r="N93" s="16">
        <f t="shared" si="6"/>
        <v>1545.6</v>
      </c>
      <c r="O93" s="15" t="s">
        <v>12341</v>
      </c>
      <c r="P93" s="15"/>
      <c r="Q93" s="15"/>
      <c r="R93" s="15"/>
      <c r="S93" s="15"/>
      <c r="T93" s="16"/>
      <c r="U93" s="16"/>
      <c r="V93" s="15"/>
    </row>
    <row r="94" ht="18" hidden="1" customHeight="1" spans="1:22">
      <c r="A94" s="14">
        <v>45997</v>
      </c>
      <c r="B94" s="15" t="s">
        <v>9156</v>
      </c>
      <c r="C94" s="15" t="s">
        <v>12422</v>
      </c>
      <c r="D94" s="15" t="s">
        <v>12423</v>
      </c>
      <c r="E94" s="15" t="s">
        <v>3731</v>
      </c>
      <c r="F94" s="15" t="str">
        <f>_xlfn.SINGLE(INDEX(样品编号表!Y:Y,_xlfn.SINGLE(MATCH(_xlfn.SINGLE(E:E),样品编号表!H:H,0))))</f>
        <v>东盛恒旺布行</v>
      </c>
      <c r="G94" s="15" t="str">
        <f>_xlfn.SINGLE(INDEX(样品编号表!Z:Z,_xlfn.SINGLE(MATCH(_xlfn.SINGLE(E:E),样品编号表!H:H,0))))</f>
        <v>13210#</v>
      </c>
      <c r="H94" s="15" t="s">
        <v>12208</v>
      </c>
      <c r="I94" s="15">
        <v>335</v>
      </c>
      <c r="J94" s="15" t="s">
        <v>12177</v>
      </c>
      <c r="K94" s="15">
        <v>347</v>
      </c>
      <c r="L94" s="14">
        <v>46009</v>
      </c>
      <c r="M94" s="16">
        <v>16.8</v>
      </c>
      <c r="N94" s="16">
        <f t="shared" si="6"/>
        <v>5829.6</v>
      </c>
      <c r="O94" s="15" t="s">
        <v>12341</v>
      </c>
      <c r="P94" s="15"/>
      <c r="Q94" s="15"/>
      <c r="R94" s="15"/>
      <c r="S94" s="15"/>
      <c r="T94" s="16"/>
      <c r="U94" s="16"/>
      <c r="V94" s="15"/>
    </row>
    <row r="95" ht="18" hidden="1" customHeight="1" spans="1:22">
      <c r="A95" s="14">
        <v>45997</v>
      </c>
      <c r="B95" s="15" t="s">
        <v>9156</v>
      </c>
      <c r="C95" s="15" t="s">
        <v>12424</v>
      </c>
      <c r="D95" s="15" t="s">
        <v>12425</v>
      </c>
      <c r="E95" s="15" t="s">
        <v>3731</v>
      </c>
      <c r="F95" s="15" t="str">
        <f>_xlfn.SINGLE(INDEX(样品编号表!Y:Y,_xlfn.SINGLE(MATCH(_xlfn.SINGLE(E:E),样品编号表!H:H,0))))</f>
        <v>东盛恒旺布行</v>
      </c>
      <c r="G95" s="15" t="str">
        <f>_xlfn.SINGLE(INDEX(样品编号表!Z:Z,_xlfn.SINGLE(MATCH(_xlfn.SINGLE(E:E),样品编号表!H:H,0))))</f>
        <v>13210#</v>
      </c>
      <c r="H95" s="15" t="s">
        <v>12208</v>
      </c>
      <c r="I95" s="15">
        <v>253</v>
      </c>
      <c r="J95" s="15" t="s">
        <v>12177</v>
      </c>
      <c r="K95" s="15">
        <v>272</v>
      </c>
      <c r="L95" s="14">
        <v>46009</v>
      </c>
      <c r="M95" s="16">
        <v>16.8</v>
      </c>
      <c r="N95" s="16">
        <f t="shared" si="6"/>
        <v>4569.6</v>
      </c>
      <c r="O95" s="15" t="s">
        <v>12341</v>
      </c>
      <c r="P95" s="15"/>
      <c r="Q95" s="15"/>
      <c r="R95" s="15"/>
      <c r="S95" s="15"/>
      <c r="T95" s="16"/>
      <c r="U95" s="16"/>
      <c r="V95" s="15"/>
    </row>
    <row r="96" ht="18" hidden="1" customHeight="1" spans="1:22">
      <c r="A96" s="14">
        <v>45997</v>
      </c>
      <c r="B96" s="15" t="s">
        <v>9156</v>
      </c>
      <c r="C96" s="15" t="s">
        <v>12419</v>
      </c>
      <c r="D96" s="15" t="s">
        <v>12420</v>
      </c>
      <c r="E96" s="15" t="s">
        <v>3731</v>
      </c>
      <c r="F96" s="15" t="str">
        <f>_xlfn.SINGLE(INDEX(样品编号表!Y:Y,_xlfn.SINGLE(MATCH(_xlfn.SINGLE(E:E),样品编号表!H:H,0))))</f>
        <v>东盛恒旺布行</v>
      </c>
      <c r="G96" s="15" t="str">
        <f>_xlfn.SINGLE(INDEX(样品编号表!Z:Z,_xlfn.SINGLE(MATCH(_xlfn.SINGLE(E:E),样品编号表!H:H,0))))</f>
        <v>13210#</v>
      </c>
      <c r="H96" s="15" t="s">
        <v>12428</v>
      </c>
      <c r="I96" s="15">
        <v>241</v>
      </c>
      <c r="J96" s="15" t="s">
        <v>12177</v>
      </c>
      <c r="K96" s="15">
        <v>274</v>
      </c>
      <c r="L96" s="14">
        <v>46009</v>
      </c>
      <c r="M96" s="16">
        <v>16.8</v>
      </c>
      <c r="N96" s="16">
        <f t="shared" si="6"/>
        <v>4603.2</v>
      </c>
      <c r="O96" s="15" t="s">
        <v>12341</v>
      </c>
      <c r="P96" s="15"/>
      <c r="Q96" s="15"/>
      <c r="R96" s="15"/>
      <c r="S96" s="15"/>
      <c r="T96" s="16"/>
      <c r="U96" s="16"/>
      <c r="V96" s="15"/>
    </row>
    <row r="97" ht="18" hidden="1" customHeight="1" spans="1:22">
      <c r="A97" s="14">
        <v>45997</v>
      </c>
      <c r="B97" s="15" t="s">
        <v>9156</v>
      </c>
      <c r="C97" s="15" t="s">
        <v>12426</v>
      </c>
      <c r="D97" s="15" t="s">
        <v>12427</v>
      </c>
      <c r="E97" s="15" t="s">
        <v>3731</v>
      </c>
      <c r="F97" s="15" t="str">
        <f>_xlfn.SINGLE(INDEX(样品编号表!Y:Y,_xlfn.SINGLE(MATCH(_xlfn.SINGLE(E:E),样品编号表!H:H,0))))</f>
        <v>东盛恒旺布行</v>
      </c>
      <c r="G97" s="15" t="str">
        <f>_xlfn.SINGLE(INDEX(样品编号表!Z:Z,_xlfn.SINGLE(MATCH(_xlfn.SINGLE(E:E),样品编号表!H:H,0))))</f>
        <v>13210#</v>
      </c>
      <c r="H97" s="15" t="s">
        <v>12428</v>
      </c>
      <c r="I97" s="15">
        <v>99</v>
      </c>
      <c r="J97" s="15" t="s">
        <v>12177</v>
      </c>
      <c r="K97" s="15">
        <v>94</v>
      </c>
      <c r="L97" s="14">
        <v>46009</v>
      </c>
      <c r="M97" s="16">
        <v>16.8</v>
      </c>
      <c r="N97" s="16">
        <f t="shared" si="6"/>
        <v>1579.2</v>
      </c>
      <c r="O97" s="15" t="s">
        <v>12341</v>
      </c>
      <c r="P97" s="15"/>
      <c r="Q97" s="15"/>
      <c r="R97" s="15"/>
      <c r="S97" s="15"/>
      <c r="T97" s="16"/>
      <c r="U97" s="16"/>
      <c r="V97" s="15"/>
    </row>
    <row r="98" ht="18" hidden="1" customHeight="1" spans="1:22">
      <c r="A98" s="14">
        <v>45999</v>
      </c>
      <c r="B98" s="15" t="s">
        <v>9156</v>
      </c>
      <c r="C98" s="15"/>
      <c r="D98" s="15" t="s">
        <v>12429</v>
      </c>
      <c r="E98" s="15" t="s">
        <v>3618</v>
      </c>
      <c r="F98" s="15" t="str">
        <f>_xlfn.SINGLE(INDEX(样品编号表!Y:Y,_xlfn.SINGLE(MATCH(_xlfn.SINGLE(E:E),样品编号表!H:H,0))))</f>
        <v>万顺纺织</v>
      </c>
      <c r="G98" s="15" t="str">
        <f>_xlfn.SINGLE(INDEX(样品编号表!Z:Z,_xlfn.SINGLE(MATCH(_xlfn.SINGLE(E:E),样品编号表!H:H,0))))</f>
        <v>A8784</v>
      </c>
      <c r="H98" s="15" t="s">
        <v>12213</v>
      </c>
      <c r="I98" s="15">
        <v>691</v>
      </c>
      <c r="J98" s="15" t="s">
        <v>12177</v>
      </c>
      <c r="K98" s="15">
        <v>651</v>
      </c>
      <c r="L98" s="14">
        <v>46013</v>
      </c>
      <c r="M98" s="16">
        <v>13.9</v>
      </c>
      <c r="N98" s="16">
        <f t="shared" si="6"/>
        <v>9048.9</v>
      </c>
      <c r="O98" s="15" t="s">
        <v>12358</v>
      </c>
      <c r="P98" s="15"/>
      <c r="Q98" s="15"/>
      <c r="R98" s="15"/>
      <c r="S98" s="15"/>
      <c r="T98" s="16">
        <v>8.8</v>
      </c>
      <c r="U98" s="16">
        <f t="shared" ref="U98:U104" si="9">K98*T98</f>
        <v>5728.8</v>
      </c>
      <c r="V98" s="15"/>
    </row>
    <row r="99" ht="21" hidden="1" customHeight="1" spans="1:22">
      <c r="A99" s="14">
        <v>45999</v>
      </c>
      <c r="B99" s="15" t="s">
        <v>9156</v>
      </c>
      <c r="C99" s="15"/>
      <c r="D99" s="15" t="s">
        <v>12429</v>
      </c>
      <c r="E99" s="15" t="s">
        <v>3618</v>
      </c>
      <c r="F99" s="15" t="str">
        <f>_xlfn.SINGLE(INDEX(样品编号表!Y:Y,_xlfn.SINGLE(MATCH(_xlfn.SINGLE(E:E),样品编号表!H:H,0))))</f>
        <v>万顺纺织</v>
      </c>
      <c r="G99" s="15" t="str">
        <f>_xlfn.SINGLE(INDEX(样品编号表!Z:Z,_xlfn.SINGLE(MATCH(_xlfn.SINGLE(E:E),样品编号表!H:H,0))))</f>
        <v>A8784</v>
      </c>
      <c r="H99" s="15" t="s">
        <v>12291</v>
      </c>
      <c r="I99" s="15">
        <v>433</v>
      </c>
      <c r="J99" s="15" t="s">
        <v>12177</v>
      </c>
      <c r="K99" s="15">
        <v>443</v>
      </c>
      <c r="L99" s="14">
        <v>46013</v>
      </c>
      <c r="M99" s="16">
        <v>13.9</v>
      </c>
      <c r="N99" s="16">
        <f t="shared" si="6"/>
        <v>6157.7</v>
      </c>
      <c r="O99" s="15" t="s">
        <v>12358</v>
      </c>
      <c r="P99" s="15"/>
      <c r="Q99" s="15"/>
      <c r="R99" s="15"/>
      <c r="S99" s="15"/>
      <c r="T99" s="16">
        <v>8.8</v>
      </c>
      <c r="U99" s="16">
        <f t="shared" si="9"/>
        <v>3898.4</v>
      </c>
      <c r="V99" s="15"/>
    </row>
    <row r="100" ht="18" hidden="1" customHeight="1" spans="1:22">
      <c r="A100" s="14">
        <v>45999</v>
      </c>
      <c r="B100" s="15" t="s">
        <v>9156</v>
      </c>
      <c r="C100" s="15" t="s">
        <v>12430</v>
      </c>
      <c r="D100" s="15" t="s">
        <v>12431</v>
      </c>
      <c r="E100" s="15" t="s">
        <v>1780</v>
      </c>
      <c r="F100" s="15" t="str">
        <f>_xlfn.SINGLE(INDEX(样品编号表!Y:Y,_xlfn.SINGLE(MATCH(_xlfn.SINGLE(E:E),样品编号表!H:H,0))))</f>
        <v>艺纺</v>
      </c>
      <c r="G100" s="15" t="str">
        <f>_xlfn.SINGLE(INDEX(样品编号表!Z:Z,_xlfn.SINGLE(MATCH(_xlfn.SINGLE(E:E),样品编号表!H:H,0))))</f>
        <v>11865-3</v>
      </c>
      <c r="H100" s="15" t="s">
        <v>12386</v>
      </c>
      <c r="I100" s="15">
        <v>197</v>
      </c>
      <c r="J100" s="15" t="s">
        <v>12177</v>
      </c>
      <c r="K100" s="15">
        <v>208</v>
      </c>
      <c r="L100" s="14">
        <v>46015</v>
      </c>
      <c r="M100" s="16">
        <v>19.6</v>
      </c>
      <c r="N100" s="16">
        <f t="shared" si="6"/>
        <v>4076.8</v>
      </c>
      <c r="O100" s="15" t="s">
        <v>12358</v>
      </c>
      <c r="P100" s="15"/>
      <c r="Q100" s="15"/>
      <c r="R100" s="15"/>
      <c r="S100" s="15"/>
      <c r="T100" s="16">
        <v>12.8</v>
      </c>
      <c r="U100" s="16">
        <f t="shared" si="9"/>
        <v>2662.4</v>
      </c>
      <c r="V100" s="15"/>
    </row>
    <row r="101" ht="18" hidden="1" customHeight="1" spans="1:22">
      <c r="A101" s="14">
        <v>45999</v>
      </c>
      <c r="B101" s="15" t="s">
        <v>9156</v>
      </c>
      <c r="C101" s="15" t="s">
        <v>12432</v>
      </c>
      <c r="D101" s="15" t="s">
        <v>12433</v>
      </c>
      <c r="E101" s="15" t="s">
        <v>1780</v>
      </c>
      <c r="F101" s="15" t="str">
        <f>_xlfn.SINGLE(INDEX(样品编号表!Y:Y,_xlfn.SINGLE(MATCH(_xlfn.SINGLE(E:E),样品编号表!H:H,0))))</f>
        <v>艺纺</v>
      </c>
      <c r="G101" s="15" t="str">
        <f>_xlfn.SINGLE(INDEX(样品编号表!Z:Z,_xlfn.SINGLE(MATCH(_xlfn.SINGLE(E:E),样品编号表!H:H,0))))</f>
        <v>11865-3</v>
      </c>
      <c r="H101" s="15" t="s">
        <v>12386</v>
      </c>
      <c r="I101" s="15">
        <v>320</v>
      </c>
      <c r="J101" s="15" t="s">
        <v>12177</v>
      </c>
      <c r="K101" s="15">
        <v>306</v>
      </c>
      <c r="L101" s="14">
        <v>46015</v>
      </c>
      <c r="M101" s="16">
        <v>19.6</v>
      </c>
      <c r="N101" s="16">
        <f t="shared" si="6"/>
        <v>5997.6</v>
      </c>
      <c r="O101" s="15" t="s">
        <v>12358</v>
      </c>
      <c r="P101" s="15"/>
      <c r="Q101" s="15"/>
      <c r="R101" s="15"/>
      <c r="S101" s="15"/>
      <c r="T101" s="16">
        <v>12.8</v>
      </c>
      <c r="U101" s="16">
        <f t="shared" si="9"/>
        <v>3916.8</v>
      </c>
      <c r="V101" s="15"/>
    </row>
    <row r="102" ht="18" hidden="1" customHeight="1" spans="1:22">
      <c r="A102" s="14">
        <v>45999</v>
      </c>
      <c r="B102" s="15" t="s">
        <v>9156</v>
      </c>
      <c r="C102" s="15" t="s">
        <v>12434</v>
      </c>
      <c r="D102" s="15" t="s">
        <v>12435</v>
      </c>
      <c r="E102" s="15" t="s">
        <v>1780</v>
      </c>
      <c r="F102" s="15" t="str">
        <f>_xlfn.SINGLE(INDEX(样品编号表!Y:Y,_xlfn.SINGLE(MATCH(_xlfn.SINGLE(E:E),样品编号表!H:H,0))))</f>
        <v>艺纺</v>
      </c>
      <c r="G102" s="15" t="str">
        <f>_xlfn.SINGLE(INDEX(样品编号表!Z:Z,_xlfn.SINGLE(MATCH(_xlfn.SINGLE(E:E),样品编号表!H:H,0))))</f>
        <v>11865-3</v>
      </c>
      <c r="H102" s="15" t="s">
        <v>12386</v>
      </c>
      <c r="I102" s="15">
        <v>157</v>
      </c>
      <c r="J102" s="15" t="s">
        <v>12177</v>
      </c>
      <c r="K102" s="15">
        <v>206</v>
      </c>
      <c r="L102" s="14">
        <v>46015</v>
      </c>
      <c r="M102" s="16">
        <v>19.6</v>
      </c>
      <c r="N102" s="16">
        <f t="shared" si="6"/>
        <v>4037.6</v>
      </c>
      <c r="O102" s="15" t="s">
        <v>12358</v>
      </c>
      <c r="P102" s="15"/>
      <c r="Q102" s="15"/>
      <c r="R102" s="15"/>
      <c r="S102" s="15"/>
      <c r="T102" s="16">
        <v>12.8</v>
      </c>
      <c r="U102" s="16">
        <f t="shared" si="9"/>
        <v>2636.8</v>
      </c>
      <c r="V102" s="15"/>
    </row>
    <row r="103" ht="18" hidden="1" customHeight="1" spans="1:22">
      <c r="A103" s="14">
        <v>45999</v>
      </c>
      <c r="B103" s="15" t="s">
        <v>9156</v>
      </c>
      <c r="C103" s="15" t="s">
        <v>12430</v>
      </c>
      <c r="D103" s="15" t="s">
        <v>12431</v>
      </c>
      <c r="E103" s="15" t="s">
        <v>1780</v>
      </c>
      <c r="F103" s="15" t="str">
        <f>_xlfn.SINGLE(INDEX(样品编号表!Y:Y,_xlfn.SINGLE(MATCH(_xlfn.SINGLE(E:E),样品编号表!H:H,0))))</f>
        <v>艺纺</v>
      </c>
      <c r="G103" s="15" t="str">
        <f>_xlfn.SINGLE(INDEX(样品编号表!Z:Z,_xlfn.SINGLE(MATCH(_xlfn.SINGLE(E:E),样品编号表!H:H,0))))</f>
        <v>11865-3</v>
      </c>
      <c r="H103" s="15" t="s">
        <v>12436</v>
      </c>
      <c r="I103" s="15">
        <v>177</v>
      </c>
      <c r="J103" s="15" t="s">
        <v>12177</v>
      </c>
      <c r="K103" s="15">
        <v>172</v>
      </c>
      <c r="L103" s="14">
        <v>46013</v>
      </c>
      <c r="M103" s="16">
        <v>19.6</v>
      </c>
      <c r="N103" s="16">
        <f t="shared" si="6"/>
        <v>3371.2</v>
      </c>
      <c r="O103" s="15" t="s">
        <v>12358</v>
      </c>
      <c r="P103" s="15"/>
      <c r="Q103" s="15"/>
      <c r="R103" s="15"/>
      <c r="S103" s="15"/>
      <c r="T103" s="16">
        <v>12.8</v>
      </c>
      <c r="U103" s="16">
        <f t="shared" si="9"/>
        <v>2201.6</v>
      </c>
      <c r="V103" s="15"/>
    </row>
    <row r="104" ht="18" hidden="1" customHeight="1" spans="1:22">
      <c r="A104" s="14">
        <v>45999</v>
      </c>
      <c r="B104" s="15" t="s">
        <v>12297</v>
      </c>
      <c r="C104" s="15"/>
      <c r="D104" s="15"/>
      <c r="E104" s="15" t="s">
        <v>1780</v>
      </c>
      <c r="F104" s="15" t="str">
        <f>_xlfn.SINGLE(INDEX(样品编号表!Y:Y,_xlfn.SINGLE(MATCH(_xlfn.SINGLE(E:E),样品编号表!H:H,0))))</f>
        <v>艺纺</v>
      </c>
      <c r="G104" s="15" t="str">
        <f>_xlfn.SINGLE(INDEX(样品编号表!Z:Z,_xlfn.SINGLE(MATCH(_xlfn.SINGLE(E:E),样品编号表!H:H,0))))</f>
        <v>11865-3</v>
      </c>
      <c r="H104" s="15" t="s">
        <v>12386</v>
      </c>
      <c r="I104" s="15">
        <v>150</v>
      </c>
      <c r="J104" s="15" t="s">
        <v>12177</v>
      </c>
      <c r="K104" s="15">
        <v>150</v>
      </c>
      <c r="L104" s="14">
        <v>46018</v>
      </c>
      <c r="M104" s="16">
        <v>19.6</v>
      </c>
      <c r="N104" s="16">
        <f t="shared" si="6"/>
        <v>2940</v>
      </c>
      <c r="O104" s="15" t="s">
        <v>12344</v>
      </c>
      <c r="P104" s="15"/>
      <c r="Q104" s="15"/>
      <c r="R104" s="15"/>
      <c r="S104" s="15"/>
      <c r="T104" s="16">
        <v>12.8</v>
      </c>
      <c r="U104" s="16">
        <f t="shared" si="9"/>
        <v>1920</v>
      </c>
      <c r="V104" s="15"/>
    </row>
    <row r="105" ht="18" hidden="1" customHeight="1" spans="1:22">
      <c r="A105" s="14">
        <v>45999</v>
      </c>
      <c r="B105" s="15" t="s">
        <v>12297</v>
      </c>
      <c r="C105" s="15"/>
      <c r="D105" s="15"/>
      <c r="E105" s="15" t="s">
        <v>1780</v>
      </c>
      <c r="F105" s="15" t="str">
        <f>_xlfn.SINGLE(INDEX(样品编号表!Y:Y,_xlfn.SINGLE(MATCH(_xlfn.SINGLE(E:E),样品编号表!H:H,0))))</f>
        <v>艺纺</v>
      </c>
      <c r="G105" s="15" t="str">
        <f>_xlfn.SINGLE(INDEX(样品编号表!Z:Z,_xlfn.SINGLE(MATCH(_xlfn.SINGLE(E:E),样品编号表!H:H,0))))</f>
        <v>11865-3</v>
      </c>
      <c r="H105" s="15" t="s">
        <v>12387</v>
      </c>
      <c r="I105" s="15">
        <v>400</v>
      </c>
      <c r="J105" s="15" t="s">
        <v>12177</v>
      </c>
      <c r="K105" s="15"/>
      <c r="L105" s="14"/>
      <c r="M105" s="16">
        <v>19.6</v>
      </c>
      <c r="N105" s="16">
        <f t="shared" si="6"/>
        <v>0</v>
      </c>
      <c r="O105" s="15" t="s">
        <v>12344</v>
      </c>
      <c r="P105" s="15"/>
      <c r="Q105" s="15"/>
      <c r="R105" s="15"/>
      <c r="S105" s="15"/>
      <c r="T105" s="16"/>
      <c r="U105" s="16"/>
      <c r="V105" s="15" t="s">
        <v>12398</v>
      </c>
    </row>
    <row r="106" ht="18" hidden="1" customHeight="1" spans="1:22">
      <c r="A106" s="14">
        <v>45999</v>
      </c>
      <c r="B106" s="15" t="s">
        <v>12297</v>
      </c>
      <c r="C106" s="15"/>
      <c r="D106" s="15"/>
      <c r="E106" s="15" t="s">
        <v>6536</v>
      </c>
      <c r="F106" s="15" t="str">
        <f>_xlfn.SINGLE(INDEX(样品编号表!Y:Y,_xlfn.SINGLE(MATCH(_xlfn.SINGLE(E:E),样品编号表!H:H,0))))</f>
        <v>盛益达纺织</v>
      </c>
      <c r="G106" s="15" t="str">
        <f>_xlfn.SINGLE(INDEX(样品编号表!Z:Z,_xlfn.SINGLE(MATCH(_xlfn.SINGLE(E:E),样品编号表!H:H,0))))</f>
        <v>A8941</v>
      </c>
      <c r="H106" s="15" t="s">
        <v>12285</v>
      </c>
      <c r="I106" s="15">
        <v>300</v>
      </c>
      <c r="J106" s="15" t="s">
        <v>12177</v>
      </c>
      <c r="K106" s="15"/>
      <c r="L106" s="14"/>
      <c r="M106" s="16">
        <v>19.6</v>
      </c>
      <c r="N106" s="16">
        <f t="shared" si="6"/>
        <v>0</v>
      </c>
      <c r="O106" s="15" t="s">
        <v>12344</v>
      </c>
      <c r="P106" s="15"/>
      <c r="Q106" s="15"/>
      <c r="R106" s="15"/>
      <c r="S106" s="15"/>
      <c r="T106" s="16"/>
      <c r="U106" s="16"/>
      <c r="V106" s="15" t="s">
        <v>12405</v>
      </c>
    </row>
    <row r="107" ht="18" hidden="1" customHeight="1" spans="1:22">
      <c r="A107" s="14">
        <v>46001</v>
      </c>
      <c r="B107" s="15" t="s">
        <v>9156</v>
      </c>
      <c r="C107" s="15"/>
      <c r="D107" s="15" t="s">
        <v>12437</v>
      </c>
      <c r="E107" s="15" t="s">
        <v>3618</v>
      </c>
      <c r="F107" s="15" t="str">
        <f>_xlfn.SINGLE(INDEX(样品编号表!Y:Y,_xlfn.SINGLE(MATCH(_xlfn.SINGLE(E:E),样品编号表!H:H,0))))</f>
        <v>万顺纺织</v>
      </c>
      <c r="G107" s="15" t="str">
        <f>_xlfn.SINGLE(INDEX(样品编号表!Z:Z,_xlfn.SINGLE(MATCH(_xlfn.SINGLE(E:E),样品编号表!H:H,0))))</f>
        <v>A8784</v>
      </c>
      <c r="H107" s="15" t="s">
        <v>12213</v>
      </c>
      <c r="I107" s="15">
        <v>226</v>
      </c>
      <c r="J107" s="15" t="s">
        <v>12177</v>
      </c>
      <c r="K107" s="15">
        <v>248</v>
      </c>
      <c r="L107" s="14">
        <v>46013</v>
      </c>
      <c r="M107" s="16">
        <v>13.9</v>
      </c>
      <c r="N107" s="16">
        <f t="shared" si="6"/>
        <v>3447.2</v>
      </c>
      <c r="O107" s="15" t="s">
        <v>12358</v>
      </c>
      <c r="P107" s="15"/>
      <c r="Q107" s="15"/>
      <c r="R107" s="15"/>
      <c r="S107" s="15"/>
      <c r="T107" s="16">
        <v>8.8</v>
      </c>
      <c r="U107" s="16">
        <f t="shared" ref="U107:U109" si="10">K107*T107</f>
        <v>2182.4</v>
      </c>
      <c r="V107" s="15"/>
    </row>
    <row r="108" ht="18" hidden="1" customHeight="1" spans="1:22">
      <c r="A108" s="14">
        <v>46001</v>
      </c>
      <c r="B108" s="15" t="s">
        <v>9156</v>
      </c>
      <c r="C108" s="15"/>
      <c r="D108" s="15" t="s">
        <v>12437</v>
      </c>
      <c r="E108" s="15" t="s">
        <v>3618</v>
      </c>
      <c r="F108" s="15" t="str">
        <f>_xlfn.SINGLE(INDEX(样品编号表!Y:Y,_xlfn.SINGLE(MATCH(_xlfn.SINGLE(E:E),样品编号表!H:H,0))))</f>
        <v>万顺纺织</v>
      </c>
      <c r="G108" s="15" t="str">
        <f>_xlfn.SINGLE(INDEX(样品编号表!Z:Z,_xlfn.SINGLE(MATCH(_xlfn.SINGLE(E:E),样品编号表!H:H,0))))</f>
        <v>A8784</v>
      </c>
      <c r="H108" s="15" t="s">
        <v>12438</v>
      </c>
      <c r="I108" s="15">
        <v>182</v>
      </c>
      <c r="J108" s="15" t="s">
        <v>12177</v>
      </c>
      <c r="K108" s="15">
        <v>228</v>
      </c>
      <c r="L108" s="14">
        <v>46010</v>
      </c>
      <c r="M108" s="16">
        <v>13.9</v>
      </c>
      <c r="N108" s="16">
        <f t="shared" si="6"/>
        <v>3169.2</v>
      </c>
      <c r="O108" s="15" t="s">
        <v>12358</v>
      </c>
      <c r="P108" s="15"/>
      <c r="Q108" s="15"/>
      <c r="R108" s="15"/>
      <c r="S108" s="15"/>
      <c r="T108" s="16">
        <v>8.8</v>
      </c>
      <c r="U108" s="16">
        <f t="shared" si="10"/>
        <v>2006.4</v>
      </c>
      <c r="V108" s="15"/>
    </row>
    <row r="109" ht="18" hidden="1" customHeight="1" spans="1:22">
      <c r="A109" s="14">
        <v>46001</v>
      </c>
      <c r="B109" s="15" t="s">
        <v>9156</v>
      </c>
      <c r="C109" s="15"/>
      <c r="D109" s="15" t="s">
        <v>12437</v>
      </c>
      <c r="E109" s="15" t="s">
        <v>3618</v>
      </c>
      <c r="F109" s="15" t="str">
        <f>_xlfn.SINGLE(INDEX(样品编号表!Y:Y,_xlfn.SINGLE(MATCH(_xlfn.SINGLE(E:E),样品编号表!H:H,0))))</f>
        <v>万顺纺织</v>
      </c>
      <c r="G109" s="15" t="str">
        <f>_xlfn.SINGLE(INDEX(样品编号表!Z:Z,_xlfn.SINGLE(MATCH(_xlfn.SINGLE(E:E),样品编号表!H:H,0))))</f>
        <v>A8784</v>
      </c>
      <c r="H109" s="15" t="s">
        <v>12439</v>
      </c>
      <c r="I109" s="15">
        <v>182</v>
      </c>
      <c r="J109" s="15" t="s">
        <v>12177</v>
      </c>
      <c r="K109" s="15">
        <v>225</v>
      </c>
      <c r="L109" s="14">
        <v>46010</v>
      </c>
      <c r="M109" s="16">
        <v>13.9</v>
      </c>
      <c r="N109" s="16">
        <f t="shared" si="6"/>
        <v>3127.5</v>
      </c>
      <c r="O109" s="15" t="s">
        <v>12358</v>
      </c>
      <c r="P109" s="15"/>
      <c r="Q109" s="15"/>
      <c r="R109" s="15"/>
      <c r="S109" s="15"/>
      <c r="T109" s="16">
        <v>8.8</v>
      </c>
      <c r="U109" s="16">
        <f t="shared" si="10"/>
        <v>1980</v>
      </c>
      <c r="V109" s="15"/>
    </row>
    <row r="110" ht="18" hidden="1" customHeight="1" spans="1:22">
      <c r="A110" s="14">
        <v>46001</v>
      </c>
      <c r="B110" s="15" t="s">
        <v>12384</v>
      </c>
      <c r="C110" s="15"/>
      <c r="D110" s="15" t="s">
        <v>12440</v>
      </c>
      <c r="E110" s="15" t="s">
        <v>2766</v>
      </c>
      <c r="F110" s="15" t="str">
        <f>_xlfn.SINGLE(INDEX(样品编号表!Y:Y,_xlfn.SINGLE(MATCH(_xlfn.SINGLE(E:E),样品编号表!H:H,0))))</f>
        <v>新合盛布业</v>
      </c>
      <c r="G110" s="15">
        <f>_xlfn.SINGLE(INDEX(样品编号表!Z:Z,_xlfn.SINGLE(MATCH(_xlfn.SINGLE(E:E),样品编号表!H:H,0))))</f>
        <v>6002</v>
      </c>
      <c r="H110" s="15" t="s">
        <v>12213</v>
      </c>
      <c r="I110" s="15">
        <v>250</v>
      </c>
      <c r="J110" s="15" t="s">
        <v>12177</v>
      </c>
      <c r="K110" s="15">
        <v>260</v>
      </c>
      <c r="L110" s="14">
        <v>46009</v>
      </c>
      <c r="M110" s="16">
        <v>9.2</v>
      </c>
      <c r="N110" s="16">
        <f t="shared" si="6"/>
        <v>2392</v>
      </c>
      <c r="O110" s="15" t="s">
        <v>12351</v>
      </c>
      <c r="P110" s="15"/>
      <c r="Q110" s="15"/>
      <c r="R110" s="15"/>
      <c r="S110" s="15"/>
      <c r="T110" s="16">
        <v>6.6</v>
      </c>
      <c r="U110" s="16">
        <f>T110*K110</f>
        <v>1716</v>
      </c>
      <c r="V110" s="15"/>
    </row>
    <row r="111" ht="18" hidden="1" customHeight="1" spans="1:22">
      <c r="A111" s="14">
        <v>46001</v>
      </c>
      <c r="B111" s="15" t="s">
        <v>12308</v>
      </c>
      <c r="C111" s="15"/>
      <c r="D111" s="15" t="s">
        <v>12440</v>
      </c>
      <c r="E111" s="15" t="s">
        <v>2766</v>
      </c>
      <c r="F111" s="15" t="str">
        <f>_xlfn.SINGLE(INDEX(样品编号表!Y:Y,_xlfn.SINGLE(MATCH(_xlfn.SINGLE(E:E),样品编号表!H:H,0))))</f>
        <v>新合盛布业</v>
      </c>
      <c r="G111" s="15">
        <f>_xlfn.SINGLE(INDEX(样品编号表!Z:Z,_xlfn.SINGLE(MATCH(_xlfn.SINGLE(E:E),样品编号表!H:H,0))))</f>
        <v>6002</v>
      </c>
      <c r="H111" s="15" t="s">
        <v>12441</v>
      </c>
      <c r="I111" s="15">
        <v>130</v>
      </c>
      <c r="J111" s="15" t="s">
        <v>12177</v>
      </c>
      <c r="K111" s="15">
        <v>297</v>
      </c>
      <c r="L111" s="14">
        <v>46009</v>
      </c>
      <c r="M111" s="16">
        <v>9.2</v>
      </c>
      <c r="N111" s="16">
        <f t="shared" si="6"/>
        <v>2732.4</v>
      </c>
      <c r="O111" s="15" t="s">
        <v>12351</v>
      </c>
      <c r="P111" s="15"/>
      <c r="Q111" s="15"/>
      <c r="R111" s="15"/>
      <c r="S111" s="15"/>
      <c r="T111" s="16">
        <v>6.6</v>
      </c>
      <c r="U111" s="16">
        <f>T111*K111</f>
        <v>1960.2</v>
      </c>
      <c r="V111" s="15"/>
    </row>
    <row r="112" ht="18" hidden="1" customHeight="1" spans="1:22">
      <c r="A112" s="14">
        <v>46001</v>
      </c>
      <c r="B112" s="15" t="s">
        <v>12188</v>
      </c>
      <c r="C112" s="15"/>
      <c r="D112" s="15"/>
      <c r="E112" s="15" t="s">
        <v>3359</v>
      </c>
      <c r="F112" s="15" t="str">
        <f>_xlfn.SINGLE(INDEX(样品编号表!Y:Y,_xlfn.SINGLE(MATCH(_xlfn.SINGLE(E:E),样品编号表!H:H,0))))</f>
        <v>健润纺织</v>
      </c>
      <c r="G112" s="15" t="str">
        <f>_xlfn.SINGLE(INDEX(样品编号表!Z:Z,_xlfn.SINGLE(MATCH(_xlfn.SINGLE(E:E),样品编号表!H:H,0))))</f>
        <v>逸柔3*2罗纹-RS</v>
      </c>
      <c r="H112" s="15" t="s">
        <v>12442</v>
      </c>
      <c r="I112" s="15">
        <v>81</v>
      </c>
      <c r="J112" s="15" t="s">
        <v>12177</v>
      </c>
      <c r="K112" s="15">
        <v>104</v>
      </c>
      <c r="L112" s="14">
        <v>46028</v>
      </c>
      <c r="M112" s="16">
        <v>10.9</v>
      </c>
      <c r="N112" s="16">
        <f t="shared" si="6"/>
        <v>1133.6</v>
      </c>
      <c r="O112" s="15" t="s">
        <v>12344</v>
      </c>
      <c r="P112" s="15"/>
      <c r="Q112" s="15"/>
      <c r="R112" s="15"/>
      <c r="S112" s="15"/>
      <c r="T112" s="16">
        <v>42</v>
      </c>
      <c r="U112" s="16">
        <f>T112*20</f>
        <v>840</v>
      </c>
      <c r="V112" s="15" t="s">
        <v>12443</v>
      </c>
    </row>
    <row r="113" ht="18" hidden="1" customHeight="1" spans="1:22">
      <c r="A113" s="14">
        <v>46001</v>
      </c>
      <c r="B113" s="15" t="s">
        <v>12188</v>
      </c>
      <c r="C113" s="15"/>
      <c r="D113" s="15"/>
      <c r="E113" s="15" t="s">
        <v>3359</v>
      </c>
      <c r="F113" s="15" t="str">
        <f>_xlfn.SINGLE(INDEX(样品编号表!Y:Y,_xlfn.SINGLE(MATCH(_xlfn.SINGLE(E:E),样品编号表!H:H,0))))</f>
        <v>健润纺织</v>
      </c>
      <c r="G113" s="15" t="str">
        <f>_xlfn.SINGLE(INDEX(样品编号表!Z:Z,_xlfn.SINGLE(MATCH(_xlfn.SINGLE(E:E),样品编号表!H:H,0))))</f>
        <v>逸柔3*2罗纹-RS</v>
      </c>
      <c r="H113" s="15" t="s">
        <v>12444</v>
      </c>
      <c r="I113" s="15">
        <v>115</v>
      </c>
      <c r="J113" s="15" t="s">
        <v>12177</v>
      </c>
      <c r="K113" s="15">
        <v>116</v>
      </c>
      <c r="L113" s="14">
        <v>46028</v>
      </c>
      <c r="M113" s="16">
        <v>10.9</v>
      </c>
      <c r="N113" s="16">
        <f t="shared" si="6"/>
        <v>1264.4</v>
      </c>
      <c r="O113" s="15" t="s">
        <v>12344</v>
      </c>
      <c r="P113" s="15"/>
      <c r="Q113" s="15"/>
      <c r="R113" s="15"/>
      <c r="S113" s="15"/>
      <c r="T113" s="16">
        <v>42</v>
      </c>
      <c r="U113" s="16">
        <f>T113*22.4</f>
        <v>940.8</v>
      </c>
      <c r="V113" s="15" t="s">
        <v>12443</v>
      </c>
    </row>
    <row r="114" ht="18" hidden="1" customHeight="1" spans="1:22">
      <c r="A114" s="14">
        <v>46001</v>
      </c>
      <c r="B114" s="15" t="s">
        <v>12188</v>
      </c>
      <c r="C114" s="15"/>
      <c r="D114" s="15"/>
      <c r="E114" s="15" t="s">
        <v>3359</v>
      </c>
      <c r="F114" s="15" t="str">
        <f>_xlfn.SINGLE(INDEX(样品编号表!Y:Y,_xlfn.SINGLE(MATCH(_xlfn.SINGLE(E:E),样品编号表!H:H,0))))</f>
        <v>健润纺织</v>
      </c>
      <c r="G114" s="15" t="str">
        <f>_xlfn.SINGLE(INDEX(样品编号表!Z:Z,_xlfn.SINGLE(MATCH(_xlfn.SINGLE(E:E),样品编号表!H:H,0))))</f>
        <v>逸柔3*2罗纹-RS</v>
      </c>
      <c r="H114" s="15" t="s">
        <v>12445</v>
      </c>
      <c r="I114" s="15">
        <v>135</v>
      </c>
      <c r="J114" s="15" t="s">
        <v>12177</v>
      </c>
      <c r="K114" s="15">
        <v>120</v>
      </c>
      <c r="L114" s="14">
        <v>46028</v>
      </c>
      <c r="M114" s="16">
        <v>10.9</v>
      </c>
      <c r="N114" s="16">
        <f t="shared" si="6"/>
        <v>1308</v>
      </c>
      <c r="O114" s="15" t="s">
        <v>12344</v>
      </c>
      <c r="P114" s="15"/>
      <c r="Q114" s="15"/>
      <c r="R114" s="15"/>
      <c r="S114" s="15"/>
      <c r="T114" s="16">
        <v>42</v>
      </c>
      <c r="U114" s="16">
        <f>T114*23.1</f>
        <v>970.2</v>
      </c>
      <c r="V114" s="15" t="s">
        <v>12443</v>
      </c>
    </row>
    <row r="115" ht="18" hidden="1" customHeight="1" spans="1:22">
      <c r="A115" s="14">
        <v>45999</v>
      </c>
      <c r="B115" s="15" t="s">
        <v>12297</v>
      </c>
      <c r="C115" s="15"/>
      <c r="D115" s="15"/>
      <c r="E115" s="15" t="s">
        <v>1780</v>
      </c>
      <c r="F115" s="15" t="str">
        <f>_xlfn.SINGLE(INDEX(样品编号表!Y:Y,_xlfn.SINGLE(MATCH(_xlfn.SINGLE(E:E),样品编号表!H:H,0))))</f>
        <v>艺纺</v>
      </c>
      <c r="G115" s="15" t="str">
        <f>_xlfn.SINGLE(INDEX(样品编号表!Z:Z,_xlfn.SINGLE(MATCH(_xlfn.SINGLE(E:E),样品编号表!H:H,0))))</f>
        <v>11865-3</v>
      </c>
      <c r="H115" s="15" t="s">
        <v>12436</v>
      </c>
      <c r="I115" s="15">
        <v>300</v>
      </c>
      <c r="J115" s="15" t="s">
        <v>12177</v>
      </c>
      <c r="K115" s="15"/>
      <c r="L115" s="14"/>
      <c r="M115" s="16">
        <v>19.6</v>
      </c>
      <c r="N115" s="16">
        <f t="shared" si="6"/>
        <v>0</v>
      </c>
      <c r="O115" s="15" t="s">
        <v>12344</v>
      </c>
      <c r="P115" s="15"/>
      <c r="Q115" s="15"/>
      <c r="R115" s="15"/>
      <c r="S115" s="15"/>
      <c r="T115" s="16"/>
      <c r="U115" s="16"/>
      <c r="V115" s="15" t="s">
        <v>12398</v>
      </c>
    </row>
    <row r="116" ht="18" hidden="1" customHeight="1" spans="1:22">
      <c r="A116" s="14">
        <v>46004</v>
      </c>
      <c r="B116" s="15" t="s">
        <v>9156</v>
      </c>
      <c r="C116" s="15" t="s">
        <v>12446</v>
      </c>
      <c r="D116" s="15" t="s">
        <v>12447</v>
      </c>
      <c r="E116" s="15" t="s">
        <v>2771</v>
      </c>
      <c r="F116" s="15" t="str">
        <f>_xlfn.SINGLE(INDEX(样品编号表!Y:Y,_xlfn.SINGLE(MATCH(_xlfn.SINGLE(E:E),样品编号表!H:H,0))))</f>
        <v>新合盛布业</v>
      </c>
      <c r="G116" s="15">
        <f>_xlfn.SINGLE(INDEX(样品编号表!Z:Z,_xlfn.SINGLE(MATCH(_xlfn.SINGLE(E:E),样品编号表!H:H,0))))</f>
        <v>8112</v>
      </c>
      <c r="H116" s="15" t="s">
        <v>12448</v>
      </c>
      <c r="I116" s="15">
        <v>1204</v>
      </c>
      <c r="J116" s="15" t="s">
        <v>12177</v>
      </c>
      <c r="K116" s="15">
        <v>1262</v>
      </c>
      <c r="L116" s="14">
        <v>46016</v>
      </c>
      <c r="M116" s="16">
        <v>14.1</v>
      </c>
      <c r="N116" s="16">
        <f t="shared" si="6"/>
        <v>17794.2</v>
      </c>
      <c r="O116" s="15" t="s">
        <v>12358</v>
      </c>
      <c r="P116" s="15"/>
      <c r="Q116" s="15"/>
      <c r="R116" s="15"/>
      <c r="S116" s="15"/>
      <c r="T116" s="16">
        <v>9.5</v>
      </c>
      <c r="U116" s="16">
        <f>K116*T116</f>
        <v>11989</v>
      </c>
      <c r="V116" s="15"/>
    </row>
    <row r="117" ht="18" hidden="1" customHeight="1" spans="1:22">
      <c r="A117" s="14">
        <v>46004</v>
      </c>
      <c r="B117" s="15" t="s">
        <v>9156</v>
      </c>
      <c r="C117" s="15"/>
      <c r="D117" s="15" t="s">
        <v>12449</v>
      </c>
      <c r="E117" s="15" t="s">
        <v>2771</v>
      </c>
      <c r="F117" s="15" t="str">
        <f>_xlfn.SINGLE(INDEX(样品编号表!Y:Y,_xlfn.SINGLE(MATCH(_xlfn.SINGLE(E:E),样品编号表!H:H,0))))</f>
        <v>新合盛布业</v>
      </c>
      <c r="G117" s="15">
        <f>_xlfn.SINGLE(INDEX(样品编号表!Z:Z,_xlfn.SINGLE(MATCH(_xlfn.SINGLE(E:E),样品编号表!H:H,0))))</f>
        <v>8112</v>
      </c>
      <c r="H117" s="15" t="s">
        <v>12450</v>
      </c>
      <c r="I117" s="15">
        <v>178</v>
      </c>
      <c r="J117" s="15" t="s">
        <v>12177</v>
      </c>
      <c r="K117" s="15">
        <v>184</v>
      </c>
      <c r="L117" s="14">
        <v>46016</v>
      </c>
      <c r="M117" s="16">
        <v>14.1</v>
      </c>
      <c r="N117" s="16">
        <f t="shared" si="6"/>
        <v>2594.4</v>
      </c>
      <c r="O117" s="15" t="s">
        <v>12358</v>
      </c>
      <c r="P117" s="15"/>
      <c r="Q117" s="15"/>
      <c r="R117" s="15"/>
      <c r="S117" s="15"/>
      <c r="T117" s="16">
        <v>9.5</v>
      </c>
      <c r="U117" s="16">
        <f>K117*T117</f>
        <v>1748</v>
      </c>
      <c r="V117" s="15"/>
    </row>
    <row r="118" ht="18" hidden="1" customHeight="1" spans="1:22">
      <c r="A118" s="14">
        <v>46004</v>
      </c>
      <c r="B118" s="15" t="s">
        <v>9156</v>
      </c>
      <c r="C118" s="15"/>
      <c r="D118" s="15" t="s">
        <v>12449</v>
      </c>
      <c r="E118" s="15" t="s">
        <v>2771</v>
      </c>
      <c r="F118" s="15" t="str">
        <f>_xlfn.SINGLE(INDEX(样品编号表!Y:Y,_xlfn.SINGLE(MATCH(_xlfn.SINGLE(E:E),样品编号表!H:H,0))))</f>
        <v>新合盛布业</v>
      </c>
      <c r="G118" s="15">
        <f>_xlfn.SINGLE(INDEX(样品编号表!Z:Z,_xlfn.SINGLE(MATCH(_xlfn.SINGLE(E:E),样品编号表!H:H,0))))</f>
        <v>8112</v>
      </c>
      <c r="H118" s="15" t="s">
        <v>12208</v>
      </c>
      <c r="I118" s="15">
        <v>352</v>
      </c>
      <c r="J118" s="15" t="s">
        <v>12177</v>
      </c>
      <c r="K118" s="15">
        <v>394</v>
      </c>
      <c r="L118" s="14"/>
      <c r="M118" s="16">
        <v>14.1</v>
      </c>
      <c r="N118" s="16">
        <f t="shared" si="6"/>
        <v>5555.4</v>
      </c>
      <c r="O118" s="15" t="s">
        <v>12358</v>
      </c>
      <c r="P118" s="15"/>
      <c r="Q118" s="15"/>
      <c r="R118" s="15"/>
      <c r="S118" s="15"/>
      <c r="T118" s="16"/>
      <c r="U118" s="16"/>
      <c r="V118" s="15"/>
    </row>
    <row r="119" ht="18" hidden="1" customHeight="1" spans="1:22">
      <c r="A119" s="14">
        <v>46002</v>
      </c>
      <c r="B119" s="15" t="s">
        <v>12303</v>
      </c>
      <c r="C119" s="15"/>
      <c r="D119" s="15"/>
      <c r="E119" s="15" t="s">
        <v>1780</v>
      </c>
      <c r="F119" s="15" t="str">
        <f>_xlfn.SINGLE(INDEX(样品编号表!Y:Y,_xlfn.SINGLE(MATCH(_xlfn.SINGLE(E:E),样品编号表!H:H,0))))</f>
        <v>艺纺</v>
      </c>
      <c r="G119" s="15" t="str">
        <f>_xlfn.SINGLE(INDEX(样品编号表!Z:Z,_xlfn.SINGLE(MATCH(_xlfn.SINGLE(E:E),样品编号表!H:H,0))))</f>
        <v>11865-3</v>
      </c>
      <c r="H119" s="15" t="s">
        <v>12272</v>
      </c>
      <c r="I119" s="15">
        <v>160</v>
      </c>
      <c r="J119" s="15" t="s">
        <v>12177</v>
      </c>
      <c r="K119" s="15"/>
      <c r="L119" s="14"/>
      <c r="M119" s="16">
        <v>19.6</v>
      </c>
      <c r="N119" s="16">
        <f t="shared" si="6"/>
        <v>0</v>
      </c>
      <c r="O119" s="15" t="s">
        <v>12358</v>
      </c>
      <c r="P119" s="15"/>
      <c r="Q119" s="15"/>
      <c r="R119" s="15"/>
      <c r="S119" s="15"/>
      <c r="T119" s="16"/>
      <c r="U119" s="16"/>
      <c r="V119" s="15" t="s">
        <v>12398</v>
      </c>
    </row>
    <row r="120" ht="18" hidden="1" customHeight="1" spans="1:22">
      <c r="A120" s="14">
        <v>46002</v>
      </c>
      <c r="B120" s="15" t="s">
        <v>12303</v>
      </c>
      <c r="C120" s="15"/>
      <c r="D120" s="15"/>
      <c r="E120" s="15" t="s">
        <v>1780</v>
      </c>
      <c r="F120" s="15" t="str">
        <f>_xlfn.SINGLE(INDEX(样品编号表!Y:Y,_xlfn.SINGLE(MATCH(_xlfn.SINGLE(E:E),样品编号表!H:H,0))))</f>
        <v>艺纺</v>
      </c>
      <c r="G120" s="15" t="str">
        <f>_xlfn.SINGLE(INDEX(样品编号表!Z:Z,_xlfn.SINGLE(MATCH(_xlfn.SINGLE(E:E),样品编号表!H:H,0))))</f>
        <v>11865-3</v>
      </c>
      <c r="H120" s="15" t="s">
        <v>12213</v>
      </c>
      <c r="I120" s="15">
        <v>580</v>
      </c>
      <c r="J120" s="15" t="s">
        <v>12177</v>
      </c>
      <c r="K120" s="15"/>
      <c r="L120" s="14"/>
      <c r="M120" s="16">
        <v>19.6</v>
      </c>
      <c r="N120" s="16">
        <f t="shared" si="6"/>
        <v>0</v>
      </c>
      <c r="O120" s="15" t="s">
        <v>12358</v>
      </c>
      <c r="P120" s="15"/>
      <c r="Q120" s="15"/>
      <c r="R120" s="15"/>
      <c r="S120" s="15"/>
      <c r="T120" s="16">
        <v>9</v>
      </c>
      <c r="U120" s="16"/>
      <c r="V120" s="15" t="s">
        <v>12398</v>
      </c>
    </row>
    <row r="121" ht="18" hidden="1" customHeight="1" spans="1:22">
      <c r="A121" s="14">
        <v>46005</v>
      </c>
      <c r="B121" s="15" t="s">
        <v>12451</v>
      </c>
      <c r="C121" s="15"/>
      <c r="D121" s="15"/>
      <c r="E121" s="15" t="s">
        <v>417</v>
      </c>
      <c r="F121" s="15" t="str">
        <f>_xlfn.SINGLE(INDEX(样品编号表!Y:Y,_xlfn.SINGLE(MATCH(_xlfn.SINGLE(E:E),样品编号表!H:H,0))))</f>
        <v>新合盛布业</v>
      </c>
      <c r="G121" s="15">
        <f>_xlfn.SINGLE(INDEX(样品编号表!Z:Z,_xlfn.SINGLE(MATCH(_xlfn.SINGLE(E:E),样品编号表!H:H,0))))</f>
        <v>6002</v>
      </c>
      <c r="H121" s="15" t="s">
        <v>12452</v>
      </c>
      <c r="I121" s="15">
        <v>210</v>
      </c>
      <c r="J121" s="15" t="s">
        <v>12177</v>
      </c>
      <c r="K121" s="15">
        <v>213</v>
      </c>
      <c r="L121" s="14"/>
      <c r="M121" s="16">
        <v>16.2</v>
      </c>
      <c r="N121" s="16">
        <f t="shared" si="6"/>
        <v>3450.6</v>
      </c>
      <c r="O121" s="15" t="s">
        <v>12351</v>
      </c>
      <c r="P121" s="15"/>
      <c r="Q121" s="15"/>
      <c r="R121" s="15"/>
      <c r="S121" s="15"/>
      <c r="T121" s="16"/>
      <c r="U121" s="16"/>
      <c r="V121" s="15" t="s">
        <v>12398</v>
      </c>
    </row>
    <row r="122" ht="18" hidden="1" customHeight="1" spans="1:22">
      <c r="A122" s="14">
        <v>46006</v>
      </c>
      <c r="B122" s="15" t="s">
        <v>12395</v>
      </c>
      <c r="C122" s="15"/>
      <c r="D122" s="15"/>
      <c r="E122" s="15" t="s">
        <v>486</v>
      </c>
      <c r="F122" s="15" t="str">
        <f>_xlfn.SINGLE(INDEX(样品编号表!Y:Y,_xlfn.SINGLE(MATCH(_xlfn.SINGLE(E:E),样品编号表!H:H,0))))</f>
        <v>三好纺织</v>
      </c>
      <c r="G122" s="15" t="str">
        <f>_xlfn.SINGLE(INDEX(样品编号表!Z:Z,_xlfn.SINGLE(MATCH(_xlfn.SINGLE(E:E),样品编号表!H:H,0))))</f>
        <v>0953#</v>
      </c>
      <c r="H122" s="15" t="s">
        <v>12238</v>
      </c>
      <c r="I122" s="15">
        <v>170</v>
      </c>
      <c r="J122" s="15" t="s">
        <v>12177</v>
      </c>
      <c r="K122" s="15"/>
      <c r="L122" s="14"/>
      <c r="M122" s="16">
        <v>17.6</v>
      </c>
      <c r="N122" s="16">
        <f t="shared" si="6"/>
        <v>0</v>
      </c>
      <c r="O122" s="15" t="s">
        <v>12351</v>
      </c>
      <c r="P122" s="15"/>
      <c r="Q122" s="15"/>
      <c r="R122" s="15"/>
      <c r="S122" s="15"/>
      <c r="T122" s="16"/>
      <c r="U122" s="16"/>
      <c r="V122" s="15" t="s">
        <v>12453</v>
      </c>
    </row>
    <row r="123" ht="18" hidden="1" customHeight="1" spans="1:22">
      <c r="A123" s="14">
        <v>46006</v>
      </c>
      <c r="B123" s="15" t="s">
        <v>12395</v>
      </c>
      <c r="C123" s="15"/>
      <c r="D123" s="15"/>
      <c r="E123" s="15" t="s">
        <v>486</v>
      </c>
      <c r="F123" s="15" t="str">
        <f>_xlfn.SINGLE(INDEX(样品编号表!Y:Y,_xlfn.SINGLE(MATCH(_xlfn.SINGLE(E:E),样品编号表!H:H,0))))</f>
        <v>三好纺织</v>
      </c>
      <c r="G123" s="15" t="str">
        <f>_xlfn.SINGLE(INDEX(样品编号表!Z:Z,_xlfn.SINGLE(MATCH(_xlfn.SINGLE(E:E),样品编号表!H:H,0))))</f>
        <v>0953#</v>
      </c>
      <c r="H123" s="15" t="s">
        <v>12454</v>
      </c>
      <c r="I123" s="15">
        <v>170</v>
      </c>
      <c r="J123" s="15" t="s">
        <v>12177</v>
      </c>
      <c r="K123" s="15"/>
      <c r="L123" s="14"/>
      <c r="M123" s="16">
        <v>17.6</v>
      </c>
      <c r="N123" s="16">
        <f t="shared" si="6"/>
        <v>0</v>
      </c>
      <c r="O123" s="15" t="s">
        <v>12351</v>
      </c>
      <c r="P123" s="15"/>
      <c r="Q123" s="15"/>
      <c r="R123" s="15"/>
      <c r="S123" s="15"/>
      <c r="T123" s="16"/>
      <c r="U123" s="16"/>
      <c r="V123" s="15" t="s">
        <v>12455</v>
      </c>
    </row>
    <row r="124" ht="18" hidden="1" customHeight="1" spans="1:22">
      <c r="A124" s="14">
        <v>46007</v>
      </c>
      <c r="B124" s="15" t="s">
        <v>12456</v>
      </c>
      <c r="C124" s="15"/>
      <c r="D124" s="15" t="s">
        <v>12457</v>
      </c>
      <c r="E124" s="15" t="s">
        <v>2155</v>
      </c>
      <c r="F124" s="15" t="str">
        <f>_xlfn.SINGLE(INDEX(样品编号表!Y:Y,_xlfn.SINGLE(MATCH(_xlfn.SINGLE(E:E),样品编号表!H:H,0))))</f>
        <v>润森</v>
      </c>
      <c r="G124" s="15" t="str">
        <f>_xlfn.SINGLE(INDEX(样品编号表!Z:Z,_xlfn.SINGLE(MATCH(_xlfn.SINGLE(E:E),样品编号表!H:H,0))))</f>
        <v>华尔缎</v>
      </c>
      <c r="H124" s="15" t="s">
        <v>12213</v>
      </c>
      <c r="I124" s="15">
        <v>235</v>
      </c>
      <c r="J124" s="15" t="s">
        <v>12177</v>
      </c>
      <c r="K124" s="15">
        <v>227</v>
      </c>
      <c r="L124" s="14"/>
      <c r="M124" s="16">
        <v>16.1</v>
      </c>
      <c r="N124" s="16">
        <f t="shared" si="6"/>
        <v>3654.7</v>
      </c>
      <c r="O124" s="15" t="s">
        <v>12351</v>
      </c>
      <c r="P124" s="15"/>
      <c r="Q124" s="15"/>
      <c r="R124" s="15"/>
      <c r="S124" s="15"/>
      <c r="T124" s="16"/>
      <c r="U124" s="16"/>
      <c r="V124" s="15" t="s">
        <v>12398</v>
      </c>
    </row>
    <row r="125" ht="18" hidden="1" customHeight="1" spans="1:22">
      <c r="A125" s="14">
        <v>46007</v>
      </c>
      <c r="B125" s="15" t="s">
        <v>12180</v>
      </c>
      <c r="C125" s="15"/>
      <c r="D125" s="15"/>
      <c r="E125" s="15" t="s">
        <v>2155</v>
      </c>
      <c r="F125" s="15" t="str">
        <f>_xlfn.SINGLE(INDEX(样品编号表!Y:Y,_xlfn.SINGLE(MATCH(_xlfn.SINGLE(E:E),样品编号表!H:H,0))))</f>
        <v>润森</v>
      </c>
      <c r="G125" s="15" t="str">
        <f>_xlfn.SINGLE(INDEX(样品编号表!Z:Z,_xlfn.SINGLE(MATCH(_xlfn.SINGLE(E:E),样品编号表!H:H,0))))</f>
        <v>华尔缎</v>
      </c>
      <c r="H125" s="15" t="s">
        <v>12458</v>
      </c>
      <c r="I125" s="15">
        <v>200</v>
      </c>
      <c r="J125" s="15" t="s">
        <v>12177</v>
      </c>
      <c r="K125" s="15"/>
      <c r="L125" s="14"/>
      <c r="M125" s="16">
        <v>16.1</v>
      </c>
      <c r="N125" s="16">
        <f t="shared" si="6"/>
        <v>0</v>
      </c>
      <c r="O125" s="15" t="s">
        <v>12351</v>
      </c>
      <c r="P125" s="15"/>
      <c r="Q125" s="15"/>
      <c r="R125" s="15"/>
      <c r="S125" s="15"/>
      <c r="T125" s="16"/>
      <c r="U125" s="16"/>
      <c r="V125" s="15" t="s">
        <v>12398</v>
      </c>
    </row>
    <row r="126" ht="18" hidden="1" customHeight="1" spans="1:22">
      <c r="A126" s="14">
        <v>46007</v>
      </c>
      <c r="B126" s="15" t="s">
        <v>12297</v>
      </c>
      <c r="C126" s="15"/>
      <c r="D126" s="15"/>
      <c r="E126" s="15" t="s">
        <v>7848</v>
      </c>
      <c r="F126" s="15" t="str">
        <f>_xlfn.SINGLE(INDEX(样品编号表!Y:Y,_xlfn.SINGLE(MATCH(_xlfn.SINGLE(E:E),样品编号表!H:H,0))))</f>
        <v>华越纺织</v>
      </c>
      <c r="G126" s="15" t="str">
        <f>_xlfn.SINGLE(INDEX(样品编号表!Z:Z,_xlfn.SINGLE(MATCH(_xlfn.SINGLE(E:E),样品编号表!H:H,0))))</f>
        <v>乐丽丝双层</v>
      </c>
      <c r="H126" s="15" t="s">
        <v>12459</v>
      </c>
      <c r="I126" s="15">
        <v>270</v>
      </c>
      <c r="J126" s="15" t="s">
        <v>12177</v>
      </c>
      <c r="K126" s="15">
        <v>271</v>
      </c>
      <c r="L126" s="14"/>
      <c r="M126" s="16">
        <v>19.3</v>
      </c>
      <c r="N126" s="16">
        <f t="shared" si="6"/>
        <v>5230.3</v>
      </c>
      <c r="O126" s="15" t="s">
        <v>12344</v>
      </c>
      <c r="P126" s="15"/>
      <c r="Q126" s="15"/>
      <c r="R126" s="15"/>
      <c r="S126" s="15"/>
      <c r="T126" s="16"/>
      <c r="U126" s="16"/>
      <c r="V126" s="15" t="s">
        <v>12398</v>
      </c>
    </row>
    <row r="127" ht="18" hidden="1" customHeight="1" spans="1:22">
      <c r="A127" s="14">
        <v>46007</v>
      </c>
      <c r="B127" s="15" t="s">
        <v>12297</v>
      </c>
      <c r="C127" s="15"/>
      <c r="D127" s="15"/>
      <c r="E127" s="15" t="s">
        <v>7848</v>
      </c>
      <c r="F127" s="15" t="str">
        <f>_xlfn.SINGLE(INDEX(样品编号表!Y:Y,_xlfn.SINGLE(MATCH(_xlfn.SINGLE(E:E),样品编号表!H:H,0))))</f>
        <v>华越纺织</v>
      </c>
      <c r="G127" s="15" t="str">
        <f>_xlfn.SINGLE(INDEX(样品编号表!Z:Z,_xlfn.SINGLE(MATCH(_xlfn.SINGLE(E:E),样品编号表!H:H,0))))</f>
        <v>乐丽丝双层</v>
      </c>
      <c r="H127" s="15" t="s">
        <v>12460</v>
      </c>
      <c r="I127" s="15">
        <v>200</v>
      </c>
      <c r="J127" s="15" t="s">
        <v>12177</v>
      </c>
      <c r="K127" s="15">
        <v>204</v>
      </c>
      <c r="L127" s="14"/>
      <c r="M127" s="16">
        <v>19.3</v>
      </c>
      <c r="N127" s="16">
        <f t="shared" si="6"/>
        <v>3937.2</v>
      </c>
      <c r="O127" s="15" t="s">
        <v>12344</v>
      </c>
      <c r="P127" s="15"/>
      <c r="Q127" s="15"/>
      <c r="R127" s="15"/>
      <c r="S127" s="15"/>
      <c r="T127" s="16"/>
      <c r="U127" s="16"/>
      <c r="V127" s="15" t="s">
        <v>12398</v>
      </c>
    </row>
    <row r="128" ht="18" hidden="1" customHeight="1" spans="1:22">
      <c r="A128" s="14">
        <v>46007</v>
      </c>
      <c r="B128" s="15" t="s">
        <v>12303</v>
      </c>
      <c r="C128" s="15"/>
      <c r="D128" s="15"/>
      <c r="E128" s="15" t="s">
        <v>1780</v>
      </c>
      <c r="F128" s="15" t="str">
        <f>_xlfn.SINGLE(INDEX(样品编号表!Y:Y,_xlfn.SINGLE(MATCH(_xlfn.SINGLE(E:E),样品编号表!H:H,0))))</f>
        <v>艺纺</v>
      </c>
      <c r="G128" s="15" t="str">
        <f>_xlfn.SINGLE(INDEX(样品编号表!Z:Z,_xlfn.SINGLE(MATCH(_xlfn.SINGLE(E:E),样品编号表!H:H,0))))</f>
        <v>11865-3</v>
      </c>
      <c r="H128" s="15" t="s">
        <v>12213</v>
      </c>
      <c r="I128" s="15">
        <v>80</v>
      </c>
      <c r="J128" s="15" t="s">
        <v>12177</v>
      </c>
      <c r="K128" s="15">
        <v>112</v>
      </c>
      <c r="L128" s="14">
        <v>46008</v>
      </c>
      <c r="M128" s="16">
        <v>19.6</v>
      </c>
      <c r="N128" s="16">
        <f t="shared" si="6"/>
        <v>2195.2</v>
      </c>
      <c r="O128" s="15" t="s">
        <v>12358</v>
      </c>
      <c r="P128" s="15"/>
      <c r="Q128" s="15"/>
      <c r="R128" s="15"/>
      <c r="S128" s="15"/>
      <c r="T128" s="16">
        <v>12.8</v>
      </c>
      <c r="U128" s="16">
        <f>K128*T128</f>
        <v>1433.6</v>
      </c>
      <c r="V128" s="15"/>
    </row>
    <row r="129" ht="18" hidden="1" customHeight="1" spans="1:22">
      <c r="A129" s="14">
        <v>46009</v>
      </c>
      <c r="B129" s="15" t="s">
        <v>12390</v>
      </c>
      <c r="C129" s="15"/>
      <c r="D129" s="15"/>
      <c r="E129" s="15" t="s">
        <v>2113</v>
      </c>
      <c r="F129" s="15" t="str">
        <f>_xlfn.SINGLE(INDEX(样品编号表!Y:Y,_xlfn.SINGLE(MATCH(_xlfn.SINGLE(E:E),样品编号表!H:H,0))))</f>
        <v>凯盛亨</v>
      </c>
      <c r="G129" s="15" t="str">
        <f>_xlfn.SINGLE(INDEX(样品编号表!Z:Z,_xlfn.SINGLE(MATCH(_xlfn.SINGLE(E:E),样品编号表!H:H,0))))</f>
        <v>839#</v>
      </c>
      <c r="H129" s="15" t="s">
        <v>12461</v>
      </c>
      <c r="I129" s="15">
        <v>170</v>
      </c>
      <c r="J129" s="15" t="s">
        <v>12177</v>
      </c>
      <c r="K129" s="15">
        <v>171</v>
      </c>
      <c r="L129" s="14">
        <v>46020</v>
      </c>
      <c r="M129" s="16">
        <v>19.3</v>
      </c>
      <c r="N129" s="16">
        <f t="shared" si="6"/>
        <v>3300.3</v>
      </c>
      <c r="O129" s="15" t="s">
        <v>12341</v>
      </c>
      <c r="P129" s="15"/>
      <c r="Q129" s="15"/>
      <c r="R129" s="15"/>
      <c r="S129" s="15"/>
      <c r="T129" s="16">
        <v>11.3</v>
      </c>
      <c r="U129" s="16">
        <f>K129*T129</f>
        <v>1932.3</v>
      </c>
      <c r="V129" s="15"/>
    </row>
    <row r="130" ht="18" hidden="1" customHeight="1" spans="1:22">
      <c r="A130" s="14">
        <v>46009</v>
      </c>
      <c r="B130" s="15" t="s">
        <v>12390</v>
      </c>
      <c r="C130" s="15"/>
      <c r="D130" s="15"/>
      <c r="E130" s="15" t="s">
        <v>2113</v>
      </c>
      <c r="F130" s="15" t="str">
        <f>_xlfn.SINGLE(INDEX(样品编号表!Y:Y,_xlfn.SINGLE(MATCH(_xlfn.SINGLE(E:E),样品编号表!H:H,0))))</f>
        <v>凯盛亨</v>
      </c>
      <c r="G130" s="15" t="str">
        <f>_xlfn.SINGLE(INDEX(样品编号表!Z:Z,_xlfn.SINGLE(MATCH(_xlfn.SINGLE(E:E),样品编号表!H:H,0))))</f>
        <v>839#</v>
      </c>
      <c r="H130" s="15" t="s">
        <v>12462</v>
      </c>
      <c r="I130" s="15">
        <v>340</v>
      </c>
      <c r="J130" s="15" t="s">
        <v>12177</v>
      </c>
      <c r="K130" s="15"/>
      <c r="L130" s="14"/>
      <c r="M130" s="16">
        <v>27.3</v>
      </c>
      <c r="N130" s="16">
        <f>K130*M130</f>
        <v>0</v>
      </c>
      <c r="O130" s="15" t="s">
        <v>12392</v>
      </c>
      <c r="P130" s="15"/>
      <c r="Q130" s="15"/>
      <c r="R130" s="15"/>
      <c r="S130" s="15"/>
      <c r="T130" s="16"/>
      <c r="U130" s="16"/>
      <c r="V130" s="15" t="s">
        <v>12463</v>
      </c>
    </row>
    <row r="131" ht="18" hidden="1" customHeight="1" spans="1:22">
      <c r="A131" s="14">
        <v>46001</v>
      </c>
      <c r="B131" s="15" t="s">
        <v>12308</v>
      </c>
      <c r="C131" s="15"/>
      <c r="D131" s="15" t="s">
        <v>12440</v>
      </c>
      <c r="E131" s="15" t="s">
        <v>2766</v>
      </c>
      <c r="F131" s="15" t="str">
        <f>_xlfn.SINGLE(INDEX(样品编号表!Y:Y,_xlfn.SINGLE(MATCH(_xlfn.SINGLE(E:E),样品编号表!H:H,0))))</f>
        <v>新合盛布业</v>
      </c>
      <c r="G131" s="15">
        <f>_xlfn.SINGLE(INDEX(样品编号表!Z:Z,_xlfn.SINGLE(MATCH(_xlfn.SINGLE(E:E),样品编号表!H:H,0))))</f>
        <v>6002</v>
      </c>
      <c r="H131" s="15" t="s">
        <v>12441</v>
      </c>
      <c r="I131" s="15">
        <v>139</v>
      </c>
      <c r="J131" s="15"/>
      <c r="K131" s="15">
        <v>139</v>
      </c>
      <c r="L131" s="14">
        <v>46009</v>
      </c>
      <c r="M131" s="16"/>
      <c r="N131" s="16"/>
      <c r="O131" s="15" t="s">
        <v>12351</v>
      </c>
      <c r="P131" s="15"/>
      <c r="Q131" s="15"/>
      <c r="R131" s="15"/>
      <c r="S131" s="15"/>
      <c r="T131" s="16">
        <v>6.6</v>
      </c>
      <c r="U131" s="16">
        <f>T131*K131</f>
        <v>917.4</v>
      </c>
      <c r="V131" s="15"/>
    </row>
    <row r="132" ht="18" hidden="1" customHeight="1" spans="1:22">
      <c r="A132" s="14">
        <v>46013</v>
      </c>
      <c r="B132" s="15" t="s">
        <v>12308</v>
      </c>
      <c r="C132" s="15"/>
      <c r="D132" s="15" t="s">
        <v>12464</v>
      </c>
      <c r="E132" s="15" t="s">
        <v>417</v>
      </c>
      <c r="F132" s="15" t="str">
        <f>_xlfn.SINGLE(INDEX(样品编号表!Y:Y,_xlfn.SINGLE(MATCH(_xlfn.SINGLE(E:E),样品编号表!H:H,0))))</f>
        <v>新合盛布业</v>
      </c>
      <c r="G132" s="15">
        <f>_xlfn.SINGLE(INDEX(样品编号表!Z:Z,_xlfn.SINGLE(MATCH(_xlfn.SINGLE(E:E),样品编号表!H:H,0))))</f>
        <v>6002</v>
      </c>
      <c r="H132" s="15" t="s">
        <v>12465</v>
      </c>
      <c r="I132" s="15">
        <v>220</v>
      </c>
      <c r="J132" s="15" t="s">
        <v>12177</v>
      </c>
      <c r="K132" s="15"/>
      <c r="L132" s="14"/>
      <c r="M132" s="16"/>
      <c r="N132" s="16"/>
      <c r="O132" s="15"/>
      <c r="P132" s="15"/>
      <c r="Q132" s="15"/>
      <c r="R132" s="15"/>
      <c r="S132" s="15"/>
      <c r="T132" s="16"/>
      <c r="U132" s="16"/>
      <c r="V132" s="15"/>
    </row>
    <row r="133" ht="18" hidden="1" customHeight="1" spans="1:22">
      <c r="A133" s="14">
        <v>46013</v>
      </c>
      <c r="B133" s="15" t="s">
        <v>12308</v>
      </c>
      <c r="C133" s="15"/>
      <c r="D133" s="15" t="s">
        <v>12466</v>
      </c>
      <c r="E133" s="15" t="s">
        <v>417</v>
      </c>
      <c r="F133" s="15" t="str">
        <f>_xlfn.SINGLE(INDEX(样品编号表!Y:Y,_xlfn.SINGLE(MATCH(_xlfn.SINGLE(E:E),样品编号表!H:H,0))))</f>
        <v>新合盛布业</v>
      </c>
      <c r="G133" s="15">
        <f>_xlfn.SINGLE(INDEX(样品编号表!Z:Z,_xlfn.SINGLE(MATCH(_xlfn.SINGLE(E:E),样品编号表!H:H,0))))</f>
        <v>6002</v>
      </c>
      <c r="H133" s="15" t="s">
        <v>12465</v>
      </c>
      <c r="I133" s="15">
        <v>130</v>
      </c>
      <c r="J133" s="15" t="s">
        <v>12177</v>
      </c>
      <c r="K133" s="15"/>
      <c r="L133" s="14"/>
      <c r="M133" s="16"/>
      <c r="N133" s="16"/>
      <c r="O133" s="15"/>
      <c r="P133" s="15"/>
      <c r="Q133" s="15"/>
      <c r="R133" s="15"/>
      <c r="S133" s="15"/>
      <c r="T133" s="16"/>
      <c r="U133" s="16"/>
      <c r="V133" s="15"/>
    </row>
    <row r="134" ht="18" hidden="1" customHeight="1" spans="1:22">
      <c r="A134" s="14">
        <v>46013</v>
      </c>
      <c r="B134" s="15" t="s">
        <v>12395</v>
      </c>
      <c r="C134" s="15"/>
      <c r="D134" s="15"/>
      <c r="E134" s="15" t="s">
        <v>2607</v>
      </c>
      <c r="F134" s="15" t="str">
        <f>_xlfn.SINGLE(INDEX(样品编号表!Y:Y,_xlfn.SINGLE(MATCH(_xlfn.SINGLE(E:E),样品编号表!H:H,0))))</f>
        <v>锦地印染</v>
      </c>
      <c r="G134" s="15">
        <f>_xlfn.SINGLE(INDEX(样品编号表!Z:Z,_xlfn.SINGLE(MATCH(_xlfn.SINGLE(E:E),样品编号表!H:H,0))))</f>
        <v>10993</v>
      </c>
      <c r="H134" s="15" t="s">
        <v>12467</v>
      </c>
      <c r="I134" s="15">
        <v>320</v>
      </c>
      <c r="J134" s="15" t="s">
        <v>12177</v>
      </c>
      <c r="K134" s="15"/>
      <c r="L134" s="14"/>
      <c r="M134" s="16"/>
      <c r="N134" s="16"/>
      <c r="O134" s="15"/>
      <c r="P134" s="15"/>
      <c r="Q134" s="15"/>
      <c r="R134" s="15"/>
      <c r="S134" s="15"/>
      <c r="T134" s="16"/>
      <c r="U134" s="16"/>
      <c r="V134" s="15" t="s">
        <v>9776</v>
      </c>
    </row>
    <row r="135" ht="18" hidden="1" customHeight="1" spans="1:22">
      <c r="A135" s="14">
        <v>46013</v>
      </c>
      <c r="B135" s="15" t="s">
        <v>12395</v>
      </c>
      <c r="C135" s="15"/>
      <c r="D135" s="15"/>
      <c r="E135" s="15" t="s">
        <v>2607</v>
      </c>
      <c r="F135" s="15" t="str">
        <f>_xlfn.SINGLE(INDEX(样品编号表!Y:Y,_xlfn.SINGLE(MATCH(_xlfn.SINGLE(E:E),样品编号表!H:H,0))))</f>
        <v>锦地印染</v>
      </c>
      <c r="G135" s="15">
        <f>_xlfn.SINGLE(INDEX(样品编号表!Z:Z,_xlfn.SINGLE(MATCH(_xlfn.SINGLE(E:E),样品编号表!H:H,0))))</f>
        <v>10993</v>
      </c>
      <c r="H135" s="15" t="s">
        <v>12468</v>
      </c>
      <c r="I135" s="15">
        <v>220</v>
      </c>
      <c r="J135" s="15" t="s">
        <v>12177</v>
      </c>
      <c r="K135" s="15"/>
      <c r="L135" s="14"/>
      <c r="M135" s="16"/>
      <c r="N135" s="16"/>
      <c r="O135" s="15"/>
      <c r="P135" s="15"/>
      <c r="Q135" s="15"/>
      <c r="R135" s="15"/>
      <c r="S135" s="15"/>
      <c r="T135" s="16"/>
      <c r="U135" s="16"/>
      <c r="V135" s="15" t="s">
        <v>9776</v>
      </c>
    </row>
    <row r="136" ht="18" hidden="1" customHeight="1" spans="1:22">
      <c r="A136" s="14">
        <v>46012</v>
      </c>
      <c r="B136" s="15" t="s">
        <v>12180</v>
      </c>
      <c r="C136" s="15"/>
      <c r="D136" s="15"/>
      <c r="E136" s="15" t="s">
        <v>2779</v>
      </c>
      <c r="F136" s="15" t="str">
        <f>_xlfn.SINGLE(INDEX(样品编号表!Y:Y,_xlfn.SINGLE(MATCH(_xlfn.SINGLE(E:E),样品编号表!H:H,0))))</f>
        <v>逢发纺织</v>
      </c>
      <c r="G136" s="15">
        <f>_xlfn.SINGLE(INDEX(样品编号表!Z:Z,_xlfn.SINGLE(MATCH(_xlfn.SINGLE(E:E),样品编号表!H:H,0))))</f>
        <v>161</v>
      </c>
      <c r="H136" s="15" t="s">
        <v>12469</v>
      </c>
      <c r="I136" s="15"/>
      <c r="J136" s="15" t="s">
        <v>12177</v>
      </c>
      <c r="K136" s="15"/>
      <c r="L136" s="14"/>
      <c r="M136" s="16"/>
      <c r="N136" s="16"/>
      <c r="O136" s="15"/>
      <c r="P136" s="15"/>
      <c r="Q136" s="15"/>
      <c r="R136" s="15"/>
      <c r="S136" s="15"/>
      <c r="T136" s="16"/>
      <c r="U136" s="16"/>
      <c r="V136" s="15"/>
    </row>
    <row r="137" ht="18" hidden="1" customHeight="1" spans="1:22">
      <c r="A137" s="14">
        <v>46012</v>
      </c>
      <c r="B137" s="15" t="s">
        <v>12180</v>
      </c>
      <c r="C137" s="15"/>
      <c r="D137" s="15"/>
      <c r="E137" s="15" t="s">
        <v>2779</v>
      </c>
      <c r="F137" s="15" t="str">
        <f>_xlfn.SINGLE(INDEX(样品编号表!Y:Y,_xlfn.SINGLE(MATCH(_xlfn.SINGLE(E:E),样品编号表!H:H,0))))</f>
        <v>逢发纺织</v>
      </c>
      <c r="G137" s="15">
        <f>_xlfn.SINGLE(INDEX(样品编号表!Z:Z,_xlfn.SINGLE(MATCH(_xlfn.SINGLE(E:E),样品编号表!H:H,0))))</f>
        <v>161</v>
      </c>
      <c r="H137" s="15" t="s">
        <v>12469</v>
      </c>
      <c r="I137" s="15"/>
      <c r="J137" s="15" t="s">
        <v>12177</v>
      </c>
      <c r="K137" s="15"/>
      <c r="L137" s="14"/>
      <c r="M137" s="16"/>
      <c r="N137" s="16"/>
      <c r="O137" s="15"/>
      <c r="P137" s="15"/>
      <c r="Q137" s="15"/>
      <c r="R137" s="15"/>
      <c r="S137" s="15"/>
      <c r="T137" s="16"/>
      <c r="U137" s="16"/>
      <c r="V137" s="15"/>
    </row>
    <row r="138" s="19" customFormat="1" ht="18" hidden="1" customHeight="1" spans="1:22">
      <c r="A138" s="28">
        <v>46012</v>
      </c>
      <c r="B138" s="29" t="s">
        <v>12456</v>
      </c>
      <c r="C138" s="29"/>
      <c r="D138" s="29" t="s">
        <v>12457</v>
      </c>
      <c r="E138" s="29" t="s">
        <v>2155</v>
      </c>
      <c r="F138" s="29" t="str">
        <f>_xlfn.SINGLE(INDEX(样品编号表!Y:Y,_xlfn.SINGLE(MATCH(_xlfn.SINGLE(E:E),样品编号表!H:H,0))))</f>
        <v>润森</v>
      </c>
      <c r="G138" s="29" t="str">
        <f>_xlfn.SINGLE(INDEX(样品编号表!Z:Z,_xlfn.SINGLE(MATCH(_xlfn.SINGLE(E:E),样品编号表!H:H,0))))</f>
        <v>华尔缎</v>
      </c>
      <c r="H138" s="29" t="s">
        <v>12470</v>
      </c>
      <c r="I138" s="29">
        <v>235</v>
      </c>
      <c r="J138" s="29" t="s">
        <v>12177</v>
      </c>
      <c r="K138" s="29">
        <v>243</v>
      </c>
      <c r="L138" s="28"/>
      <c r="M138" s="30">
        <v>16.1</v>
      </c>
      <c r="N138" s="30">
        <f>K138*M138</f>
        <v>3912.3</v>
      </c>
      <c r="O138" s="29" t="s">
        <v>12351</v>
      </c>
      <c r="P138" s="29"/>
      <c r="Q138" s="29"/>
      <c r="R138" s="29"/>
      <c r="S138" s="29"/>
      <c r="T138" s="30"/>
      <c r="U138" s="30"/>
      <c r="V138" s="29" t="s">
        <v>9776</v>
      </c>
    </row>
    <row r="139" s="19" customFormat="1" ht="18" hidden="1" customHeight="1" spans="1:22">
      <c r="A139" s="28">
        <v>46012</v>
      </c>
      <c r="B139" s="29" t="s">
        <v>12456</v>
      </c>
      <c r="C139" s="29"/>
      <c r="D139" s="29" t="s">
        <v>12457</v>
      </c>
      <c r="E139" s="29" t="s">
        <v>2155</v>
      </c>
      <c r="F139" s="29" t="str">
        <f>_xlfn.SINGLE(INDEX(样品编号表!Y:Y,_xlfn.SINGLE(MATCH(_xlfn.SINGLE(E:E),样品编号表!H:H,0))))</f>
        <v>润森</v>
      </c>
      <c r="G139" s="29" t="str">
        <f>_xlfn.SINGLE(INDEX(样品编号表!Z:Z,_xlfn.SINGLE(MATCH(_xlfn.SINGLE(E:E),样品编号表!H:H,0))))</f>
        <v>华尔缎</v>
      </c>
      <c r="H139" s="29" t="s">
        <v>12471</v>
      </c>
      <c r="I139" s="29">
        <v>190</v>
      </c>
      <c r="J139" s="29" t="s">
        <v>12177</v>
      </c>
      <c r="K139" s="29">
        <v>219</v>
      </c>
      <c r="L139" s="28"/>
      <c r="M139" s="30">
        <v>16.1</v>
      </c>
      <c r="N139" s="30">
        <f>K139*M139</f>
        <v>3525.9</v>
      </c>
      <c r="O139" s="29" t="s">
        <v>12351</v>
      </c>
      <c r="P139" s="29"/>
      <c r="Q139" s="29"/>
      <c r="R139" s="29"/>
      <c r="S139" s="29"/>
      <c r="T139" s="30"/>
      <c r="U139" s="30"/>
      <c r="V139" s="29" t="s">
        <v>9776</v>
      </c>
    </row>
    <row r="140" ht="18" customHeight="1" spans="1:22">
      <c r="A140" s="14">
        <v>46015</v>
      </c>
      <c r="B140" s="15" t="s">
        <v>9156</v>
      </c>
      <c r="C140" s="15"/>
      <c r="D140" s="15" t="s">
        <v>12472</v>
      </c>
      <c r="E140" s="15" t="s">
        <v>1593</v>
      </c>
      <c r="F140" s="15" t="str">
        <f>_xlfn.SINGLE(INDEX(样品编号表!Y:Y,_xlfn.SINGLE(MATCH(_xlfn.SINGLE(E:E),样品编号表!H:H,0))))</f>
        <v>宝隆纺织</v>
      </c>
      <c r="G140" s="15">
        <f>_xlfn.SINGLE(INDEX(样品编号表!Z:Z,_xlfn.SINGLE(MATCH(_xlfn.SINGLE(E:E),样品编号表!H:H,0))))</f>
        <v>1562</v>
      </c>
      <c r="H140" s="15" t="s">
        <v>12473</v>
      </c>
      <c r="I140" s="15">
        <v>307</v>
      </c>
      <c r="J140" s="15" t="s">
        <v>12177</v>
      </c>
      <c r="K140" s="15">
        <v>328</v>
      </c>
      <c r="L140" s="14">
        <v>46029</v>
      </c>
      <c r="M140" s="16"/>
      <c r="N140" s="16"/>
      <c r="O140" s="15"/>
      <c r="P140" s="15"/>
      <c r="Q140" s="15"/>
      <c r="R140" s="15"/>
      <c r="S140" s="15"/>
      <c r="T140" s="16"/>
      <c r="U140" s="16"/>
      <c r="V140" s="15" t="s">
        <v>12474</v>
      </c>
    </row>
    <row r="141" ht="18" customHeight="1" spans="1:22">
      <c r="A141" s="14">
        <v>46015</v>
      </c>
      <c r="B141" s="15" t="s">
        <v>9156</v>
      </c>
      <c r="C141" s="15"/>
      <c r="D141" s="15" t="s">
        <v>12475</v>
      </c>
      <c r="E141" s="15" t="s">
        <v>1593</v>
      </c>
      <c r="F141" s="15" t="str">
        <f>_xlfn.SINGLE(INDEX(样品编号表!Y:Y,_xlfn.SINGLE(MATCH(_xlfn.SINGLE(E:E),样品编号表!H:H,0))))</f>
        <v>宝隆纺织</v>
      </c>
      <c r="G141" s="15">
        <f>_xlfn.SINGLE(INDEX(样品编号表!Z:Z,_xlfn.SINGLE(MATCH(_xlfn.SINGLE(E:E),样品编号表!H:H,0))))</f>
        <v>1562</v>
      </c>
      <c r="H141" s="15" t="s">
        <v>12476</v>
      </c>
      <c r="I141" s="15">
        <v>229</v>
      </c>
      <c r="J141" s="15" t="s">
        <v>12177</v>
      </c>
      <c r="K141" s="15">
        <v>221</v>
      </c>
      <c r="L141" s="14">
        <v>46024</v>
      </c>
      <c r="M141" s="16"/>
      <c r="N141" s="16"/>
      <c r="O141" s="15"/>
      <c r="P141" s="15"/>
      <c r="Q141" s="15"/>
      <c r="R141" s="15"/>
      <c r="S141" s="15"/>
      <c r="T141" s="16"/>
      <c r="U141" s="16"/>
      <c r="V141" s="15" t="s">
        <v>12405</v>
      </c>
    </row>
    <row r="142" ht="18" customHeight="1" spans="1:22">
      <c r="A142" s="14">
        <v>46015</v>
      </c>
      <c r="B142" s="15" t="s">
        <v>9156</v>
      </c>
      <c r="C142" s="15"/>
      <c r="D142" s="15" t="s">
        <v>12475</v>
      </c>
      <c r="E142" s="15" t="s">
        <v>1593</v>
      </c>
      <c r="F142" s="15" t="str">
        <f>_xlfn.SINGLE(INDEX(样品编号表!Y:Y,_xlfn.SINGLE(MATCH(_xlfn.SINGLE(E:E),样品编号表!H:H,0))))</f>
        <v>宝隆纺织</v>
      </c>
      <c r="G142" s="15">
        <f>_xlfn.SINGLE(INDEX(样品编号表!Z:Z,_xlfn.SINGLE(MATCH(_xlfn.SINGLE(E:E),样品编号表!H:H,0))))</f>
        <v>1562</v>
      </c>
      <c r="H142" s="15" t="s">
        <v>12477</v>
      </c>
      <c r="I142" s="15">
        <v>339</v>
      </c>
      <c r="J142" s="15" t="s">
        <v>12177</v>
      </c>
      <c r="K142" s="15"/>
      <c r="L142" s="14"/>
      <c r="M142" s="16"/>
      <c r="N142" s="16"/>
      <c r="O142" s="15"/>
      <c r="P142" s="15"/>
      <c r="Q142" s="15"/>
      <c r="R142" s="15"/>
      <c r="S142" s="15"/>
      <c r="T142" s="16"/>
      <c r="U142" s="16"/>
      <c r="V142" s="15" t="s">
        <v>12478</v>
      </c>
    </row>
    <row r="143" ht="18" customHeight="1" spans="1:22">
      <c r="A143" s="14">
        <v>46015</v>
      </c>
      <c r="B143" s="15" t="s">
        <v>9156</v>
      </c>
      <c r="C143" s="15"/>
      <c r="D143" s="15" t="s">
        <v>12475</v>
      </c>
      <c r="E143" s="15" t="s">
        <v>1593</v>
      </c>
      <c r="F143" s="15" t="str">
        <f>_xlfn.SINGLE(INDEX(样品编号表!Y:Y,_xlfn.SINGLE(MATCH(_xlfn.SINGLE(E:E),样品编号表!H:H,0))))</f>
        <v>宝隆纺织</v>
      </c>
      <c r="G143" s="15">
        <f>_xlfn.SINGLE(INDEX(样品编号表!Z:Z,_xlfn.SINGLE(MATCH(_xlfn.SINGLE(E:E),样品编号表!H:H,0))))</f>
        <v>1562</v>
      </c>
      <c r="H143" s="15" t="s">
        <v>12383</v>
      </c>
      <c r="I143" s="15">
        <v>284</v>
      </c>
      <c r="J143" s="15" t="s">
        <v>12177</v>
      </c>
      <c r="K143" s="15">
        <v>293</v>
      </c>
      <c r="L143" s="14">
        <v>46024</v>
      </c>
      <c r="M143" s="16"/>
      <c r="N143" s="16"/>
      <c r="O143" s="15"/>
      <c r="P143" s="15"/>
      <c r="Q143" s="15"/>
      <c r="R143" s="15"/>
      <c r="S143" s="15"/>
      <c r="T143" s="16"/>
      <c r="U143" s="16"/>
      <c r="V143" s="15" t="s">
        <v>12405</v>
      </c>
    </row>
    <row r="144" ht="18" hidden="1" customHeight="1" spans="1:22">
      <c r="A144" s="14">
        <v>46016</v>
      </c>
      <c r="B144" s="15" t="s">
        <v>12303</v>
      </c>
      <c r="C144" s="15"/>
      <c r="D144" s="15"/>
      <c r="E144" s="15" t="s">
        <v>7848</v>
      </c>
      <c r="F144" s="15" t="str">
        <f>_xlfn.SINGLE(INDEX(样品编号表!Y:Y,_xlfn.SINGLE(MATCH(_xlfn.SINGLE(E:E),样品编号表!H:H,0))))</f>
        <v>华越纺织</v>
      </c>
      <c r="G144" s="15" t="str">
        <f>_xlfn.SINGLE(INDEX(样品编号表!Z:Z,_xlfn.SINGLE(MATCH(_xlfn.SINGLE(E:E),样品编号表!H:H,0))))</f>
        <v>乐丽丝双层</v>
      </c>
      <c r="H144" s="15" t="s">
        <v>12459</v>
      </c>
      <c r="I144" s="15">
        <v>760</v>
      </c>
      <c r="J144" s="15" t="s">
        <v>12177</v>
      </c>
      <c r="K144" s="15"/>
      <c r="L144" s="14"/>
      <c r="M144" s="16"/>
      <c r="N144" s="16"/>
      <c r="O144" s="15"/>
      <c r="P144" s="15"/>
      <c r="Q144" s="15"/>
      <c r="R144" s="15"/>
      <c r="S144" s="15"/>
      <c r="T144" s="16"/>
      <c r="U144" s="16"/>
      <c r="V144" s="15" t="s">
        <v>12479</v>
      </c>
    </row>
    <row r="145" ht="18" hidden="1" customHeight="1" spans="1:22">
      <c r="A145" s="14">
        <v>46016</v>
      </c>
      <c r="B145" s="15" t="s">
        <v>12303</v>
      </c>
      <c r="C145" s="15"/>
      <c r="D145" s="15"/>
      <c r="E145" s="15" t="s">
        <v>7848</v>
      </c>
      <c r="F145" s="15" t="str">
        <f>_xlfn.SINGLE(INDEX(样品编号表!Y:Y,_xlfn.SINGLE(MATCH(_xlfn.SINGLE(E:E),样品编号表!H:H,0))))</f>
        <v>华越纺织</v>
      </c>
      <c r="G145" s="15" t="str">
        <f>_xlfn.SINGLE(INDEX(样品编号表!Z:Z,_xlfn.SINGLE(MATCH(_xlfn.SINGLE(E:E),样品编号表!H:H,0))))</f>
        <v>乐丽丝双层</v>
      </c>
      <c r="H145" s="15" t="s">
        <v>12181</v>
      </c>
      <c r="I145" s="15">
        <v>160</v>
      </c>
      <c r="J145" s="15" t="s">
        <v>12177</v>
      </c>
      <c r="K145" s="15"/>
      <c r="L145" s="14"/>
      <c r="M145" s="16"/>
      <c r="N145" s="16"/>
      <c r="O145" s="15"/>
      <c r="P145" s="15"/>
      <c r="Q145" s="15"/>
      <c r="R145" s="15"/>
      <c r="S145" s="15"/>
      <c r="T145" s="16"/>
      <c r="U145" s="16"/>
      <c r="V145" s="15" t="s">
        <v>12479</v>
      </c>
    </row>
    <row r="146" ht="18" hidden="1" customHeight="1" spans="1:22">
      <c r="A146" s="14">
        <v>46020</v>
      </c>
      <c r="B146" s="15" t="s">
        <v>9156</v>
      </c>
      <c r="C146" s="15"/>
      <c r="D146" s="15"/>
      <c r="E146" s="15" t="s">
        <v>3618</v>
      </c>
      <c r="F146" s="15" t="str">
        <f>_xlfn.SINGLE(INDEX(样品编号表!Y:Y,_xlfn.SINGLE(MATCH(_xlfn.SINGLE(E:E),样品编号表!H:H,0))))</f>
        <v>万顺纺织</v>
      </c>
      <c r="G146" s="15" t="str">
        <f>_xlfn.SINGLE(INDEX(样品编号表!Z:Z,_xlfn.SINGLE(MATCH(_xlfn.SINGLE(E:E),样品编号表!H:H,0))))</f>
        <v>A8784</v>
      </c>
      <c r="H146" s="15" t="s">
        <v>12292</v>
      </c>
      <c r="I146" s="15">
        <v>2325</v>
      </c>
      <c r="J146" s="15" t="s">
        <v>12177</v>
      </c>
      <c r="K146" s="15"/>
      <c r="L146" s="14"/>
      <c r="M146" s="16"/>
      <c r="N146" s="16"/>
      <c r="O146" s="15"/>
      <c r="P146" s="15"/>
      <c r="Q146" s="15"/>
      <c r="R146" s="15"/>
      <c r="S146" s="15"/>
      <c r="T146" s="16"/>
      <c r="U146" s="16"/>
      <c r="V146" s="15" t="s">
        <v>9776</v>
      </c>
    </row>
    <row r="147" ht="18" hidden="1" customHeight="1" spans="1:22">
      <c r="A147" s="14">
        <v>46020</v>
      </c>
      <c r="B147" s="15" t="s">
        <v>9156</v>
      </c>
      <c r="C147" s="15"/>
      <c r="D147" s="15"/>
      <c r="E147" s="15" t="s">
        <v>3618</v>
      </c>
      <c r="F147" s="15" t="str">
        <f>_xlfn.SINGLE(INDEX(样品编号表!Y:Y,_xlfn.SINGLE(MATCH(_xlfn.SINGLE(E:E),样品编号表!H:H,0))))</f>
        <v>万顺纺织</v>
      </c>
      <c r="G147" s="15" t="str">
        <f>_xlfn.SINGLE(INDEX(样品编号表!Z:Z,_xlfn.SINGLE(MATCH(_xlfn.SINGLE(E:E),样品编号表!H:H,0))))</f>
        <v>A8784</v>
      </c>
      <c r="H147" s="15" t="s">
        <v>12375</v>
      </c>
      <c r="I147" s="15">
        <v>240</v>
      </c>
      <c r="J147" s="15" t="s">
        <v>12177</v>
      </c>
      <c r="K147" s="15"/>
      <c r="L147" s="14"/>
      <c r="M147" s="16"/>
      <c r="N147" s="16"/>
      <c r="O147" s="15"/>
      <c r="P147" s="15"/>
      <c r="Q147" s="15"/>
      <c r="R147" s="15"/>
      <c r="S147" s="15"/>
      <c r="T147" s="16"/>
      <c r="U147" s="16"/>
      <c r="V147" s="15" t="s">
        <v>9776</v>
      </c>
    </row>
    <row r="148" ht="18" hidden="1" customHeight="1" spans="1:22">
      <c r="A148" s="14">
        <v>46020</v>
      </c>
      <c r="B148" s="15" t="s">
        <v>9156</v>
      </c>
      <c r="C148" s="15"/>
      <c r="D148" s="15"/>
      <c r="E148" s="15" t="s">
        <v>3618</v>
      </c>
      <c r="F148" s="15" t="str">
        <f>_xlfn.SINGLE(INDEX(样品编号表!Y:Y,_xlfn.SINGLE(MATCH(_xlfn.SINGLE(E:E),样品编号表!H:H,0))))</f>
        <v>万顺纺织</v>
      </c>
      <c r="G148" s="15" t="str">
        <f>_xlfn.SINGLE(INDEX(样品编号表!Z:Z,_xlfn.SINGLE(MATCH(_xlfn.SINGLE(E:E),样品编号表!H:H,0))))</f>
        <v>A8784</v>
      </c>
      <c r="H148" s="15" t="s">
        <v>12480</v>
      </c>
      <c r="I148" s="15">
        <v>464</v>
      </c>
      <c r="J148" s="15" t="s">
        <v>12177</v>
      </c>
      <c r="K148" s="15"/>
      <c r="L148" s="14"/>
      <c r="M148" s="16"/>
      <c r="N148" s="16"/>
      <c r="O148" s="15"/>
      <c r="P148" s="15"/>
      <c r="Q148" s="15"/>
      <c r="R148" s="15"/>
      <c r="S148" s="15"/>
      <c r="T148" s="16"/>
      <c r="U148" s="16"/>
      <c r="V148" s="15" t="s">
        <v>12481</v>
      </c>
    </row>
    <row r="149" ht="18" hidden="1" customHeight="1" spans="1:22">
      <c r="A149" s="14">
        <v>46020</v>
      </c>
      <c r="B149" s="15" t="s">
        <v>9156</v>
      </c>
      <c r="C149" s="15"/>
      <c r="D149" s="15"/>
      <c r="E149" s="15" t="s">
        <v>3618</v>
      </c>
      <c r="F149" s="15" t="str">
        <f>_xlfn.SINGLE(INDEX(样品编号表!Y:Y,_xlfn.SINGLE(MATCH(_xlfn.SINGLE(E:E),样品编号表!H:H,0))))</f>
        <v>万顺纺织</v>
      </c>
      <c r="G149" s="15" t="str">
        <f>_xlfn.SINGLE(INDEX(样品编号表!Z:Z,_xlfn.SINGLE(MATCH(_xlfn.SINGLE(E:E),样品编号表!H:H,0))))</f>
        <v>A8784</v>
      </c>
      <c r="H149" s="15" t="s">
        <v>12482</v>
      </c>
      <c r="I149" s="15">
        <v>726</v>
      </c>
      <c r="J149" s="15" t="s">
        <v>12177</v>
      </c>
      <c r="K149" s="15"/>
      <c r="L149" s="14"/>
      <c r="M149" s="16"/>
      <c r="N149" s="16"/>
      <c r="O149" s="15"/>
      <c r="P149" s="15"/>
      <c r="Q149" s="15"/>
      <c r="R149" s="15"/>
      <c r="S149" s="15"/>
      <c r="T149" s="16"/>
      <c r="U149" s="16"/>
      <c r="V149" s="15" t="s">
        <v>9776</v>
      </c>
    </row>
    <row r="150" ht="18" hidden="1" customHeight="1" spans="1:22">
      <c r="A150" s="14">
        <v>46024</v>
      </c>
      <c r="B150" s="15" t="s">
        <v>12483</v>
      </c>
      <c r="C150" s="15"/>
      <c r="D150" s="15" t="s">
        <v>12484</v>
      </c>
      <c r="E150" s="15" t="s">
        <v>2607</v>
      </c>
      <c r="F150" s="15" t="str">
        <f>_xlfn.SINGLE(INDEX(样品编号表!Y:Y,_xlfn.SINGLE(MATCH(_xlfn.SINGLE(E:E),样品编号表!H:H,0))))</f>
        <v>锦地印染</v>
      </c>
      <c r="G150" s="15">
        <f>_xlfn.SINGLE(INDEX(样品编号表!Z:Z,_xlfn.SINGLE(MATCH(_xlfn.SINGLE(E:E),样品编号表!H:H,0))))</f>
        <v>10993</v>
      </c>
      <c r="H150" s="15" t="s">
        <v>12273</v>
      </c>
      <c r="I150" s="15">
        <v>200</v>
      </c>
      <c r="J150" s="15" t="s">
        <v>12177</v>
      </c>
      <c r="K150" s="15">
        <v>199</v>
      </c>
      <c r="L150" s="14"/>
      <c r="M150" s="16"/>
      <c r="N150" s="16"/>
      <c r="O150" s="15"/>
      <c r="P150" s="15"/>
      <c r="Q150" s="15"/>
      <c r="R150" s="15"/>
      <c r="S150" s="15"/>
      <c r="T150" s="16"/>
      <c r="U150" s="16"/>
      <c r="V150" s="15" t="s">
        <v>12485</v>
      </c>
    </row>
    <row r="151" ht="18" hidden="1" customHeight="1" spans="1:22">
      <c r="A151" s="14">
        <v>46024</v>
      </c>
      <c r="B151" s="15" t="s">
        <v>12483</v>
      </c>
      <c r="C151" s="15"/>
      <c r="D151" s="15" t="s">
        <v>12484</v>
      </c>
      <c r="E151" s="15" t="s">
        <v>2607</v>
      </c>
      <c r="F151" s="15" t="str">
        <f>_xlfn.SINGLE(INDEX(样品编号表!Y:Y,_xlfn.SINGLE(MATCH(_xlfn.SINGLE(E:E),样品编号表!H:H,0))))</f>
        <v>锦地印染</v>
      </c>
      <c r="G151" s="15">
        <f>_xlfn.SINGLE(INDEX(样品编号表!Z:Z,_xlfn.SINGLE(MATCH(_xlfn.SINGLE(E:E),样品编号表!H:H,0))))</f>
        <v>10993</v>
      </c>
      <c r="H151" s="15" t="s">
        <v>12486</v>
      </c>
      <c r="I151" s="15">
        <v>300</v>
      </c>
      <c r="J151" s="15" t="s">
        <v>12177</v>
      </c>
      <c r="K151" s="15">
        <v>281</v>
      </c>
      <c r="L151" s="14"/>
      <c r="M151" s="16"/>
      <c r="N151" s="16"/>
      <c r="O151" s="15"/>
      <c r="P151" s="15"/>
      <c r="Q151" s="15"/>
      <c r="R151" s="15"/>
      <c r="S151" s="15"/>
      <c r="T151" s="16"/>
      <c r="U151" s="16"/>
      <c r="V151" s="15" t="s">
        <v>12485</v>
      </c>
    </row>
    <row r="152" ht="18" hidden="1" customHeight="1" spans="1:22">
      <c r="A152" s="14">
        <v>46027</v>
      </c>
      <c r="B152" s="15" t="s">
        <v>12483</v>
      </c>
      <c r="C152" s="15"/>
      <c r="D152" s="15" t="s">
        <v>12487</v>
      </c>
      <c r="E152" s="15" t="s">
        <v>2766</v>
      </c>
      <c r="F152" s="15" t="str">
        <f>_xlfn.SINGLE(INDEX(样品编号表!Y:Y,_xlfn.SINGLE(MATCH(_xlfn.SINGLE(E:E),样品编号表!H:H,0))))</f>
        <v>新合盛布业</v>
      </c>
      <c r="G152" s="15">
        <f>_xlfn.SINGLE(INDEX(样品编号表!Z:Z,_xlfn.SINGLE(MATCH(_xlfn.SINGLE(E:E),样品编号表!H:H,0))))</f>
        <v>6002</v>
      </c>
      <c r="H152" s="15" t="s">
        <v>12213</v>
      </c>
      <c r="I152" s="15">
        <v>650</v>
      </c>
      <c r="J152" s="15" t="s">
        <v>12177</v>
      </c>
      <c r="K152" s="15">
        <v>631</v>
      </c>
      <c r="L152" s="14"/>
      <c r="M152" s="16"/>
      <c r="N152" s="16"/>
      <c r="O152" s="15"/>
      <c r="P152" s="15"/>
      <c r="Q152" s="15"/>
      <c r="R152" s="15"/>
      <c r="S152" s="15"/>
      <c r="T152" s="16"/>
      <c r="U152" s="16"/>
      <c r="V152" s="15" t="s">
        <v>12488</v>
      </c>
    </row>
    <row r="153" ht="18" hidden="1" customHeight="1" spans="1:22">
      <c r="A153" s="14">
        <v>46027</v>
      </c>
      <c r="B153" s="15" t="s">
        <v>12483</v>
      </c>
      <c r="C153" s="15"/>
      <c r="D153" s="15" t="s">
        <v>12487</v>
      </c>
      <c r="E153" s="15" t="s">
        <v>2766</v>
      </c>
      <c r="F153" s="15" t="str">
        <f>_xlfn.SINGLE(INDEX(样品编号表!Y:Y,_xlfn.SINGLE(MATCH(_xlfn.SINGLE(E:E),样品编号表!H:H,0))))</f>
        <v>新合盛布业</v>
      </c>
      <c r="G153" s="15">
        <f>_xlfn.SINGLE(INDEX(样品编号表!Z:Z,_xlfn.SINGLE(MATCH(_xlfn.SINGLE(E:E),样品编号表!H:H,0))))</f>
        <v>6002</v>
      </c>
      <c r="H153" s="15" t="s">
        <v>12489</v>
      </c>
      <c r="I153" s="15">
        <v>350</v>
      </c>
      <c r="J153" s="15" t="s">
        <v>12177</v>
      </c>
      <c r="K153" s="15"/>
      <c r="L153" s="14"/>
      <c r="M153" s="16"/>
      <c r="N153" s="16"/>
      <c r="O153" s="15"/>
      <c r="P153" s="15"/>
      <c r="Q153" s="15"/>
      <c r="R153" s="15"/>
      <c r="S153" s="15"/>
      <c r="T153" s="16"/>
      <c r="U153" s="16"/>
      <c r="V153" s="15" t="s">
        <v>12488</v>
      </c>
    </row>
    <row r="154" ht="18" hidden="1" customHeight="1" spans="1:22">
      <c r="A154" s="14">
        <v>46027</v>
      </c>
      <c r="B154" s="15" t="s">
        <v>12194</v>
      </c>
      <c r="C154" s="15"/>
      <c r="D154" s="15" t="s">
        <v>12490</v>
      </c>
      <c r="E154" s="15" t="s">
        <v>4143</v>
      </c>
      <c r="F154" s="15" t="str">
        <f>_xlfn.SINGLE(INDEX(样品编号表!Y:Y,_xlfn.SINGLE(MATCH(_xlfn.SINGLE(E:E),样品编号表!H:H,0))))</f>
        <v>凯盛亨</v>
      </c>
      <c r="G154" s="15" t="str">
        <f>_xlfn.SINGLE(INDEX(样品编号表!Z:Z,_xlfn.SINGLE(MATCH(_xlfn.SINGLE(E:E),样品编号表!H:H,0))))</f>
        <v>1016#</v>
      </c>
      <c r="H154" s="15" t="s">
        <v>12491</v>
      </c>
      <c r="I154" s="15"/>
      <c r="J154" s="15" t="s">
        <v>12177</v>
      </c>
      <c r="K154" s="15"/>
      <c r="L154" s="14"/>
      <c r="M154" s="16"/>
      <c r="N154" s="16"/>
      <c r="O154" s="15"/>
      <c r="P154" s="15"/>
      <c r="Q154" s="15"/>
      <c r="R154" s="15"/>
      <c r="S154" s="15"/>
      <c r="T154" s="16"/>
      <c r="U154" s="16"/>
      <c r="V154" s="15"/>
    </row>
    <row r="155" ht="18" hidden="1" customHeight="1" spans="1:22">
      <c r="A155" s="14">
        <v>46027</v>
      </c>
      <c r="B155" s="15" t="s">
        <v>12194</v>
      </c>
      <c r="C155" s="15"/>
      <c r="D155" s="15" t="s">
        <v>12492</v>
      </c>
      <c r="E155" s="15" t="s">
        <v>4143</v>
      </c>
      <c r="F155" s="15" t="str">
        <f>_xlfn.SINGLE(INDEX(样品编号表!Y:Y,_xlfn.SINGLE(MATCH(_xlfn.SINGLE(E:E),样品编号表!H:H,0))))</f>
        <v>凯盛亨</v>
      </c>
      <c r="G155" s="15" t="str">
        <f>_xlfn.SINGLE(INDEX(样品编号表!Z:Z,_xlfn.SINGLE(MATCH(_xlfn.SINGLE(E:E),样品编号表!H:H,0))))</f>
        <v>1016#</v>
      </c>
      <c r="H155" s="15" t="s">
        <v>12493</v>
      </c>
      <c r="I155" s="15"/>
      <c r="J155" s="15" t="s">
        <v>12177</v>
      </c>
      <c r="K155" s="15"/>
      <c r="L155" s="14"/>
      <c r="M155" s="16"/>
      <c r="N155" s="16"/>
      <c r="O155" s="15"/>
      <c r="P155" s="15"/>
      <c r="Q155" s="15"/>
      <c r="R155" s="15"/>
      <c r="S155" s="15"/>
      <c r="T155" s="16"/>
      <c r="U155" s="16"/>
      <c r="V155" s="15"/>
    </row>
    <row r="156" ht="18" hidden="1" customHeight="1" spans="1:22">
      <c r="A156" s="14">
        <v>46027</v>
      </c>
      <c r="B156" s="15" t="s">
        <v>12194</v>
      </c>
      <c r="C156" s="15"/>
      <c r="D156" s="15" t="s">
        <v>12494</v>
      </c>
      <c r="E156" s="15" t="s">
        <v>4143</v>
      </c>
      <c r="F156" s="15" t="str">
        <f>_xlfn.SINGLE(INDEX(样品编号表!Y:Y,_xlfn.SINGLE(MATCH(_xlfn.SINGLE(E:E),样品编号表!H:H,0))))</f>
        <v>凯盛亨</v>
      </c>
      <c r="G156" s="15" t="str">
        <f>_xlfn.SINGLE(INDEX(样品编号表!Z:Z,_xlfn.SINGLE(MATCH(_xlfn.SINGLE(E:E),样品编号表!H:H,0))))</f>
        <v>1016#</v>
      </c>
      <c r="H156" s="15" t="s">
        <v>12495</v>
      </c>
      <c r="I156" s="15"/>
      <c r="J156" s="15" t="s">
        <v>12177</v>
      </c>
      <c r="K156" s="15"/>
      <c r="L156" s="14"/>
      <c r="M156" s="16"/>
      <c r="N156" s="16"/>
      <c r="O156" s="15"/>
      <c r="P156" s="15"/>
      <c r="Q156" s="15"/>
      <c r="R156" s="15"/>
      <c r="S156" s="15"/>
      <c r="T156" s="16"/>
      <c r="U156" s="16"/>
      <c r="V156" s="15"/>
    </row>
    <row r="157" ht="18" hidden="1" customHeight="1" spans="1:22">
      <c r="A157" s="14">
        <v>46027</v>
      </c>
      <c r="B157" s="15" t="s">
        <v>12194</v>
      </c>
      <c r="C157" s="15" t="s">
        <v>12496</v>
      </c>
      <c r="D157" s="15" t="s">
        <v>12497</v>
      </c>
      <c r="E157" s="15" t="s">
        <v>2638</v>
      </c>
      <c r="F157" s="15" t="str">
        <f>_xlfn.SINGLE(INDEX(样品编号表!Y:Y,_xlfn.SINGLE(MATCH(_xlfn.SINGLE(E:E),样品编号表!H:H,0))))</f>
        <v>新嘉彩</v>
      </c>
      <c r="G157" s="15">
        <f>_xlfn.SINGLE(INDEX(样品编号表!Z:Z,_xlfn.SINGLE(MATCH(_xlfn.SINGLE(E:E),样品编号表!H:H,0))))</f>
        <v>938</v>
      </c>
      <c r="H157" s="15" t="s">
        <v>12213</v>
      </c>
      <c r="I157" s="15">
        <v>280</v>
      </c>
      <c r="J157" s="15" t="s">
        <v>12177</v>
      </c>
      <c r="K157" s="15"/>
      <c r="L157" s="14"/>
      <c r="M157" s="16"/>
      <c r="N157" s="16"/>
      <c r="O157" s="15"/>
      <c r="P157" s="15"/>
      <c r="Q157" s="15"/>
      <c r="R157" s="15"/>
      <c r="S157" s="15"/>
      <c r="T157" s="16"/>
      <c r="U157" s="16"/>
      <c r="V157" s="15"/>
    </row>
    <row r="158" ht="18" hidden="1" customHeight="1" spans="1:22">
      <c r="A158" s="14">
        <v>46027</v>
      </c>
      <c r="B158" s="15" t="s">
        <v>12194</v>
      </c>
      <c r="C158" s="15" t="s">
        <v>12498</v>
      </c>
      <c r="D158" s="15" t="s">
        <v>12497</v>
      </c>
      <c r="E158" s="15" t="s">
        <v>2638</v>
      </c>
      <c r="F158" s="15" t="str">
        <f>_xlfn.SINGLE(INDEX(样品编号表!Y:Y,_xlfn.SINGLE(MATCH(_xlfn.SINGLE(E:E),样品编号表!H:H,0))))</f>
        <v>新嘉彩</v>
      </c>
      <c r="G158" s="15">
        <f>_xlfn.SINGLE(INDEX(样品编号表!Z:Z,_xlfn.SINGLE(MATCH(_xlfn.SINGLE(E:E),样品编号表!H:H,0))))</f>
        <v>938</v>
      </c>
      <c r="H158" s="15" t="s">
        <v>12499</v>
      </c>
      <c r="I158" s="15">
        <v>110</v>
      </c>
      <c r="J158" s="15" t="s">
        <v>12177</v>
      </c>
      <c r="K158" s="15"/>
      <c r="L158" s="14"/>
      <c r="M158" s="16"/>
      <c r="N158" s="16"/>
      <c r="O158" s="15"/>
      <c r="P158" s="15"/>
      <c r="Q158" s="15"/>
      <c r="R158" s="15"/>
      <c r="S158" s="15"/>
      <c r="T158" s="16"/>
      <c r="U158" s="16"/>
      <c r="V158" s="15"/>
    </row>
    <row r="159" ht="18" hidden="1" customHeight="1" spans="1:22">
      <c r="A159" s="14">
        <v>46027</v>
      </c>
      <c r="B159" s="15" t="s">
        <v>12194</v>
      </c>
      <c r="C159" s="15" t="s">
        <v>12500</v>
      </c>
      <c r="D159" s="15" t="s">
        <v>12501</v>
      </c>
      <c r="E159" s="15" t="s">
        <v>2638</v>
      </c>
      <c r="F159" s="15" t="str">
        <f>_xlfn.SINGLE(INDEX(样品编号表!Y:Y,_xlfn.SINGLE(MATCH(_xlfn.SINGLE(E:E),样品编号表!H:H,0))))</f>
        <v>新嘉彩</v>
      </c>
      <c r="G159" s="15">
        <f>_xlfn.SINGLE(INDEX(样品编号表!Z:Z,_xlfn.SINGLE(MATCH(_xlfn.SINGLE(E:E),样品编号表!H:H,0))))</f>
        <v>938</v>
      </c>
      <c r="H159" s="15" t="s">
        <v>12502</v>
      </c>
      <c r="I159" s="15">
        <v>150</v>
      </c>
      <c r="J159" s="15" t="s">
        <v>12177</v>
      </c>
      <c r="K159" s="15"/>
      <c r="L159" s="14"/>
      <c r="M159" s="16"/>
      <c r="N159" s="16"/>
      <c r="O159" s="15"/>
      <c r="P159" s="15"/>
      <c r="Q159" s="15"/>
      <c r="R159" s="15"/>
      <c r="S159" s="15"/>
      <c r="T159" s="16"/>
      <c r="U159" s="16"/>
      <c r="V159" s="15"/>
    </row>
    <row r="160" ht="18" hidden="1" customHeight="1" spans="1:22">
      <c r="A160" s="14">
        <v>46027</v>
      </c>
      <c r="B160" s="15" t="s">
        <v>12194</v>
      </c>
      <c r="C160" s="15" t="s">
        <v>12503</v>
      </c>
      <c r="D160" s="15" t="s">
        <v>12504</v>
      </c>
      <c r="E160" s="15" t="s">
        <v>2638</v>
      </c>
      <c r="F160" s="15" t="str">
        <f>_xlfn.SINGLE(INDEX(样品编号表!Y:Y,_xlfn.SINGLE(MATCH(_xlfn.SINGLE(E:E),样品编号表!H:H,0))))</f>
        <v>新嘉彩</v>
      </c>
      <c r="G160" s="15">
        <f>_xlfn.SINGLE(INDEX(样品编号表!Z:Z,_xlfn.SINGLE(MATCH(_xlfn.SINGLE(E:E),样品编号表!H:H,0))))</f>
        <v>938</v>
      </c>
      <c r="H160" s="15" t="s">
        <v>12353</v>
      </c>
      <c r="I160" s="15">
        <v>150</v>
      </c>
      <c r="J160" s="15" t="s">
        <v>12177</v>
      </c>
      <c r="K160" s="15"/>
      <c r="L160" s="14"/>
      <c r="M160" s="16"/>
      <c r="N160" s="16"/>
      <c r="O160" s="15"/>
      <c r="P160" s="15"/>
      <c r="Q160" s="15"/>
      <c r="R160" s="15"/>
      <c r="S160" s="15"/>
      <c r="T160" s="16"/>
      <c r="U160" s="16"/>
      <c r="V160" s="15"/>
    </row>
    <row r="161" ht="18" hidden="1" customHeight="1" spans="1:22">
      <c r="A161" s="14">
        <v>46027</v>
      </c>
      <c r="B161" s="15" t="s">
        <v>12194</v>
      </c>
      <c r="C161" s="15" t="s">
        <v>12505</v>
      </c>
      <c r="D161" s="15" t="s">
        <v>12506</v>
      </c>
      <c r="E161" s="15" t="s">
        <v>2638</v>
      </c>
      <c r="F161" s="15" t="str">
        <f>_xlfn.SINGLE(INDEX(样品编号表!Y:Y,_xlfn.SINGLE(MATCH(_xlfn.SINGLE(E:E),样品编号表!H:H,0))))</f>
        <v>新嘉彩</v>
      </c>
      <c r="G161" s="15">
        <f>_xlfn.SINGLE(INDEX(样品编号表!Z:Z,_xlfn.SINGLE(MATCH(_xlfn.SINGLE(E:E),样品编号表!H:H,0))))</f>
        <v>938</v>
      </c>
      <c r="H161" s="15" t="s">
        <v>12507</v>
      </c>
      <c r="I161" s="15">
        <v>125</v>
      </c>
      <c r="J161" s="15" t="s">
        <v>12177</v>
      </c>
      <c r="K161" s="15"/>
      <c r="L161" s="14"/>
      <c r="M161" s="16"/>
      <c r="N161" s="16"/>
      <c r="O161" s="15"/>
      <c r="P161" s="15"/>
      <c r="Q161" s="15"/>
      <c r="R161" s="15"/>
      <c r="S161" s="15"/>
      <c r="T161" s="16"/>
      <c r="U161" s="16"/>
      <c r="V161" s="15"/>
    </row>
    <row r="162" ht="18" hidden="1" customHeight="1" spans="1:22">
      <c r="A162" s="14">
        <v>46028</v>
      </c>
      <c r="B162" s="15" t="s">
        <v>9156</v>
      </c>
      <c r="C162" s="15"/>
      <c r="D162" s="15" t="s">
        <v>12508</v>
      </c>
      <c r="E162" s="15" t="s">
        <v>4670</v>
      </c>
      <c r="F162" s="15" t="str">
        <f>_xlfn.SINGLE(INDEX(样品编号表!Y:Y,_xlfn.SINGLE(MATCH(_xlfn.SINGLE(E:E),样品编号表!H:H,0))))</f>
        <v>粤信布业</v>
      </c>
      <c r="G162" s="15" t="str">
        <f>_xlfn.SINGLE(INDEX(样品编号表!Z:Z,_xlfn.SINGLE(MATCH(_xlfn.SINGLE(E:E),样品编号表!H:H,0))))</f>
        <v>32支精棉拉架YX81010</v>
      </c>
      <c r="H162" s="15" t="s">
        <v>12412</v>
      </c>
      <c r="I162" s="15">
        <v>58</v>
      </c>
      <c r="J162" s="15" t="s">
        <v>12177</v>
      </c>
      <c r="K162" s="15"/>
      <c r="L162" s="14"/>
      <c r="M162" s="16"/>
      <c r="N162" s="16"/>
      <c r="O162" s="15"/>
      <c r="P162" s="15"/>
      <c r="Q162" s="15"/>
      <c r="R162" s="15"/>
      <c r="S162" s="15"/>
      <c r="T162" s="16"/>
      <c r="U162" s="16"/>
      <c r="V162" s="15" t="s">
        <v>9776</v>
      </c>
    </row>
    <row r="163" ht="18" hidden="1" customHeight="1" spans="1:22">
      <c r="A163" s="14">
        <v>46028</v>
      </c>
      <c r="B163" s="15" t="s">
        <v>9156</v>
      </c>
      <c r="C163" s="15"/>
      <c r="D163" s="15" t="s">
        <v>12508</v>
      </c>
      <c r="E163" s="15" t="s">
        <v>4670</v>
      </c>
      <c r="F163" s="15" t="str">
        <f>_xlfn.SINGLE(INDEX(样品编号表!Y:Y,_xlfn.SINGLE(MATCH(_xlfn.SINGLE(E:E),样品编号表!H:H,0))))</f>
        <v>粤信布业</v>
      </c>
      <c r="G163" s="15" t="str">
        <f>_xlfn.SINGLE(INDEX(样品编号表!Z:Z,_xlfn.SINGLE(MATCH(_xlfn.SINGLE(E:E),样品编号表!H:H,0))))</f>
        <v>32支精棉拉架YX81010</v>
      </c>
      <c r="H163" s="15" t="s">
        <v>12509</v>
      </c>
      <c r="I163" s="15">
        <v>76</v>
      </c>
      <c r="J163" s="15" t="s">
        <v>12177</v>
      </c>
      <c r="K163" s="15"/>
      <c r="L163" s="14"/>
      <c r="M163" s="16"/>
      <c r="N163" s="16"/>
      <c r="O163" s="15"/>
      <c r="P163" s="15"/>
      <c r="Q163" s="15"/>
      <c r="R163" s="15"/>
      <c r="S163" s="15"/>
      <c r="T163" s="16"/>
      <c r="U163" s="16"/>
      <c r="V163" s="15" t="s">
        <v>9776</v>
      </c>
    </row>
    <row r="164" ht="18" hidden="1" customHeight="1" spans="1:22">
      <c r="A164" s="14">
        <v>46028</v>
      </c>
      <c r="B164" s="15" t="s">
        <v>9156</v>
      </c>
      <c r="C164" s="15"/>
      <c r="D164" s="15" t="s">
        <v>12510</v>
      </c>
      <c r="E164" s="15" t="s">
        <v>3731</v>
      </c>
      <c r="F164" s="15" t="str">
        <f>_xlfn.SINGLE(INDEX(样品编号表!Y:Y,_xlfn.SINGLE(MATCH(_xlfn.SINGLE(E:E),样品编号表!H:H,0))))</f>
        <v>东盛恒旺布行</v>
      </c>
      <c r="G164" s="15" t="str">
        <f>_xlfn.SINGLE(INDEX(样品编号表!Z:Z,_xlfn.SINGLE(MATCH(_xlfn.SINGLE(E:E),样品编号表!H:H,0))))</f>
        <v>13210#</v>
      </c>
      <c r="H164" s="15" t="s">
        <v>12208</v>
      </c>
      <c r="I164" s="15">
        <v>80</v>
      </c>
      <c r="J164" s="15" t="s">
        <v>12177</v>
      </c>
      <c r="K164" s="15"/>
      <c r="L164" s="14"/>
      <c r="M164" s="16"/>
      <c r="N164" s="16"/>
      <c r="O164" s="15"/>
      <c r="P164" s="15"/>
      <c r="Q164" s="15"/>
      <c r="R164" s="15"/>
      <c r="S164" s="15"/>
      <c r="T164" s="16"/>
      <c r="U164" s="16"/>
      <c r="V164" s="15" t="s">
        <v>9776</v>
      </c>
    </row>
    <row r="165" ht="27" hidden="1" spans="1:22">
      <c r="A165" s="14">
        <v>46028</v>
      </c>
      <c r="B165" s="15" t="s">
        <v>9156</v>
      </c>
      <c r="C165" s="24" t="s">
        <v>12511</v>
      </c>
      <c r="D165" s="24" t="s">
        <v>12512</v>
      </c>
      <c r="E165" s="15" t="s">
        <v>3834</v>
      </c>
      <c r="F165" s="15" t="str">
        <f>_xlfn.SINGLE(INDEX(样品编号表!Y:Y,_xlfn.SINGLE(MATCH(_xlfn.SINGLE(E:E),样品编号表!H:H,0))))</f>
        <v>沣泰布业</v>
      </c>
      <c r="G165" s="15" t="str">
        <f>_xlfn.SINGLE(INDEX(样品编号表!Z:Z,_xlfn.SINGLE(MATCH(_xlfn.SINGLE(E:E),样品编号表!H:H,0))))</f>
        <v>1018#21S精棉平纹</v>
      </c>
      <c r="H165" s="15" t="s">
        <v>12326</v>
      </c>
      <c r="I165" s="15">
        <v>479</v>
      </c>
      <c r="J165" s="15" t="s">
        <v>12177</v>
      </c>
      <c r="K165" s="15"/>
      <c r="L165" s="14"/>
      <c r="M165" s="16"/>
      <c r="N165" s="16"/>
      <c r="O165" s="15"/>
      <c r="P165" s="15"/>
      <c r="Q165" s="15"/>
      <c r="R165" s="15"/>
      <c r="S165" s="15"/>
      <c r="T165" s="16"/>
      <c r="U165" s="16"/>
      <c r="V165" s="15" t="s">
        <v>9776</v>
      </c>
    </row>
    <row r="166" ht="40.5" hidden="1" spans="1:22">
      <c r="A166" s="14">
        <v>46028</v>
      </c>
      <c r="B166" s="15" t="s">
        <v>9156</v>
      </c>
      <c r="C166" s="24" t="s">
        <v>12513</v>
      </c>
      <c r="D166" s="24" t="s">
        <v>12514</v>
      </c>
      <c r="E166" s="15" t="s">
        <v>3834</v>
      </c>
      <c r="F166" s="15" t="str">
        <f>_xlfn.SINGLE(INDEX(样品编号表!Y:Y,_xlfn.SINGLE(MATCH(_xlfn.SINGLE(E:E),样品编号表!H:H,0))))</f>
        <v>沣泰布业</v>
      </c>
      <c r="G166" s="15" t="str">
        <f>_xlfn.SINGLE(INDEX(样品编号表!Z:Z,_xlfn.SINGLE(MATCH(_xlfn.SINGLE(E:E),样品编号表!H:H,0))))</f>
        <v>1018#21S精棉平纹</v>
      </c>
      <c r="H166" s="15" t="s">
        <v>12515</v>
      </c>
      <c r="I166" s="15">
        <v>605</v>
      </c>
      <c r="J166" s="15" t="s">
        <v>12177</v>
      </c>
      <c r="K166" s="15"/>
      <c r="L166" s="14"/>
      <c r="M166" s="16"/>
      <c r="N166" s="16"/>
      <c r="O166" s="15"/>
      <c r="P166" s="15"/>
      <c r="Q166" s="15"/>
      <c r="R166" s="15"/>
      <c r="S166" s="15"/>
      <c r="T166" s="16"/>
      <c r="U166" s="16"/>
      <c r="V166" s="15" t="s">
        <v>9776</v>
      </c>
    </row>
    <row r="167" ht="18" hidden="1" customHeight="1" spans="1:22">
      <c r="A167" s="14">
        <v>46028</v>
      </c>
      <c r="B167" s="15" t="s">
        <v>9156</v>
      </c>
      <c r="C167" s="15" t="s">
        <v>12516</v>
      </c>
      <c r="D167" s="15" t="s">
        <v>12517</v>
      </c>
      <c r="E167" s="15" t="s">
        <v>3834</v>
      </c>
      <c r="F167" s="15" t="str">
        <f>_xlfn.SINGLE(INDEX(样品编号表!Y:Y,_xlfn.SINGLE(MATCH(_xlfn.SINGLE(E:E),样品编号表!H:H,0))))</f>
        <v>沣泰布业</v>
      </c>
      <c r="G167" s="15" t="str">
        <f>_xlfn.SINGLE(INDEX(样品编号表!Z:Z,_xlfn.SINGLE(MATCH(_xlfn.SINGLE(E:E),样品编号表!H:H,0))))</f>
        <v>1018#21S精棉平纹</v>
      </c>
      <c r="H167" s="15" t="s">
        <v>12191</v>
      </c>
      <c r="I167" s="15">
        <v>310</v>
      </c>
      <c r="J167" s="15" t="s">
        <v>12177</v>
      </c>
      <c r="K167" s="15"/>
      <c r="L167" s="14"/>
      <c r="M167" s="16"/>
      <c r="N167" s="16"/>
      <c r="O167" s="15"/>
      <c r="P167" s="15"/>
      <c r="Q167" s="15"/>
      <c r="R167" s="15"/>
      <c r="S167" s="15"/>
      <c r="T167" s="16"/>
      <c r="U167" s="16"/>
      <c r="V167" s="15" t="s">
        <v>9776</v>
      </c>
    </row>
    <row r="168" ht="18" hidden="1" customHeight="1" spans="1:22">
      <c r="A168" s="14">
        <v>46028</v>
      </c>
      <c r="B168" s="15" t="s">
        <v>9156</v>
      </c>
      <c r="C168" s="15" t="s">
        <v>12518</v>
      </c>
      <c r="D168" s="15" t="s">
        <v>12519</v>
      </c>
      <c r="E168" s="15" t="s">
        <v>3834</v>
      </c>
      <c r="F168" s="15" t="str">
        <f>_xlfn.SINGLE(INDEX(样品编号表!Y:Y,_xlfn.SINGLE(MATCH(_xlfn.SINGLE(E:E),样品编号表!H:H,0))))</f>
        <v>沣泰布业</v>
      </c>
      <c r="G168" s="15" t="str">
        <f>_xlfn.SINGLE(INDEX(样品编号表!Z:Z,_xlfn.SINGLE(MATCH(_xlfn.SINGLE(E:E),样品编号表!H:H,0))))</f>
        <v>1018#21S精棉平纹</v>
      </c>
      <c r="H168" s="15" t="s">
        <v>12520</v>
      </c>
      <c r="I168" s="15">
        <v>86</v>
      </c>
      <c r="J168" s="15" t="s">
        <v>12177</v>
      </c>
      <c r="K168" s="15"/>
      <c r="L168" s="14"/>
      <c r="M168" s="16"/>
      <c r="N168" s="16"/>
      <c r="O168" s="15"/>
      <c r="P168" s="15"/>
      <c r="Q168" s="15"/>
      <c r="R168" s="15"/>
      <c r="S168" s="15"/>
      <c r="T168" s="16"/>
      <c r="U168" s="16"/>
      <c r="V168" s="15" t="s">
        <v>9776</v>
      </c>
    </row>
    <row r="169" ht="18" hidden="1" customHeight="1" spans="1:22">
      <c r="A169" s="14">
        <v>46028</v>
      </c>
      <c r="B169" s="15" t="s">
        <v>9156</v>
      </c>
      <c r="C169" s="15" t="s">
        <v>12521</v>
      </c>
      <c r="D169" s="15" t="s">
        <v>12522</v>
      </c>
      <c r="E169" s="15" t="s">
        <v>3834</v>
      </c>
      <c r="F169" s="15" t="str">
        <f>_xlfn.SINGLE(INDEX(样品编号表!Y:Y,_xlfn.SINGLE(MATCH(_xlfn.SINGLE(E:E),样品编号表!H:H,0))))</f>
        <v>沣泰布业</v>
      </c>
      <c r="G169" s="15" t="str">
        <f>_xlfn.SINGLE(INDEX(样品编号表!Z:Z,_xlfn.SINGLE(MATCH(_xlfn.SINGLE(E:E),样品编号表!H:H,0))))</f>
        <v>1018#21S精棉平纹</v>
      </c>
      <c r="H169" s="15" t="s">
        <v>12523</v>
      </c>
      <c r="I169" s="15">
        <v>95</v>
      </c>
      <c r="J169" s="15" t="s">
        <v>12177</v>
      </c>
      <c r="K169" s="15"/>
      <c r="L169" s="14"/>
      <c r="M169" s="16"/>
      <c r="N169" s="16"/>
      <c r="O169" s="15"/>
      <c r="P169" s="15"/>
      <c r="Q169" s="15"/>
      <c r="R169" s="15"/>
      <c r="S169" s="15"/>
      <c r="T169" s="16"/>
      <c r="U169" s="16"/>
      <c r="V169" s="15" t="s">
        <v>9776</v>
      </c>
    </row>
    <row r="170" ht="18" hidden="1" customHeight="1" spans="1:22">
      <c r="A170" s="14">
        <v>46028</v>
      </c>
      <c r="B170" s="15" t="s">
        <v>12194</v>
      </c>
      <c r="C170" s="15"/>
      <c r="D170" s="15"/>
      <c r="E170" s="15" t="s">
        <v>1780</v>
      </c>
      <c r="F170" s="15" t="str">
        <f>_xlfn.SINGLE(INDEX(样品编号表!Y:Y,_xlfn.SINGLE(MATCH(_xlfn.SINGLE(E:E),样品编号表!H:H,0))))</f>
        <v>艺纺</v>
      </c>
      <c r="G170" s="15" t="str">
        <f>_xlfn.SINGLE(INDEX(样品编号表!Z:Z,_xlfn.SINGLE(MATCH(_xlfn.SINGLE(E:E),样品编号表!H:H,0))))</f>
        <v>11865-3</v>
      </c>
      <c r="H170" s="15" t="s">
        <v>12213</v>
      </c>
      <c r="I170" s="15">
        <v>560</v>
      </c>
      <c r="J170" s="15" t="s">
        <v>12177</v>
      </c>
      <c r="K170" s="15"/>
      <c r="L170" s="14"/>
      <c r="M170" s="16"/>
      <c r="N170" s="16"/>
      <c r="O170" s="15"/>
      <c r="P170" s="15"/>
      <c r="Q170" s="15"/>
      <c r="R170" s="15"/>
      <c r="S170" s="15"/>
      <c r="T170" s="16"/>
      <c r="U170" s="16"/>
      <c r="V170" s="15"/>
    </row>
    <row r="171" ht="18" hidden="1" customHeight="1" spans="1:22">
      <c r="A171" s="14">
        <v>46028</v>
      </c>
      <c r="B171" s="15" t="s">
        <v>12194</v>
      </c>
      <c r="C171" s="15"/>
      <c r="D171" s="15"/>
      <c r="E171" s="15" t="s">
        <v>1780</v>
      </c>
      <c r="F171" s="15" t="str">
        <f>_xlfn.SINGLE(INDEX(样品编号表!Y:Y,_xlfn.SINGLE(MATCH(_xlfn.SINGLE(E:E),样品编号表!H:H,0))))</f>
        <v>艺纺</v>
      </c>
      <c r="G171" s="15" t="str">
        <f>_xlfn.SINGLE(INDEX(样品编号表!Z:Z,_xlfn.SINGLE(MATCH(_xlfn.SINGLE(E:E),样品编号表!H:H,0))))</f>
        <v>11865-3</v>
      </c>
      <c r="H171" s="15" t="s">
        <v>12524</v>
      </c>
      <c r="I171" s="15">
        <v>310</v>
      </c>
      <c r="J171" s="15" t="s">
        <v>12177</v>
      </c>
      <c r="K171" s="15"/>
      <c r="L171" s="14"/>
      <c r="M171" s="16"/>
      <c r="N171" s="16"/>
      <c r="O171" s="15"/>
      <c r="P171" s="15"/>
      <c r="Q171" s="15"/>
      <c r="R171" s="15"/>
      <c r="S171" s="15"/>
      <c r="T171" s="16"/>
      <c r="U171" s="16"/>
      <c r="V171" s="15"/>
    </row>
    <row r="172" ht="18" customHeight="1" spans="1:22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4"/>
      <c r="M172" s="16"/>
      <c r="N172" s="16"/>
      <c r="O172" s="15"/>
      <c r="P172" s="15"/>
      <c r="Q172" s="15"/>
      <c r="R172" s="15"/>
      <c r="S172" s="15"/>
      <c r="T172" s="16"/>
      <c r="U172" s="16"/>
      <c r="V172" s="15"/>
    </row>
    <row r="173" ht="18" customHeight="1" spans="1:22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4"/>
      <c r="M173" s="16"/>
      <c r="N173" s="16"/>
      <c r="O173" s="15"/>
      <c r="P173" s="15"/>
      <c r="Q173" s="15"/>
      <c r="R173" s="15"/>
      <c r="S173" s="15"/>
      <c r="T173" s="16"/>
      <c r="U173" s="16"/>
      <c r="V173" s="15"/>
    </row>
    <row r="174" ht="18" customHeight="1" spans="1:22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4"/>
      <c r="M174" s="16"/>
      <c r="N174" s="16"/>
      <c r="O174" s="15"/>
      <c r="P174" s="15"/>
      <c r="Q174" s="15"/>
      <c r="R174" s="15"/>
      <c r="S174" s="15"/>
      <c r="T174" s="16"/>
      <c r="U174" s="16"/>
      <c r="V174" s="15"/>
    </row>
    <row r="175" ht="18" customHeight="1" spans="1:22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4"/>
      <c r="M175" s="16"/>
      <c r="N175" s="16"/>
      <c r="O175" s="15"/>
      <c r="P175" s="15"/>
      <c r="Q175" s="15"/>
      <c r="R175" s="15"/>
      <c r="S175" s="15"/>
      <c r="T175" s="16"/>
      <c r="U175" s="16"/>
      <c r="V175" s="15"/>
    </row>
    <row r="176" ht="18" customHeight="1" spans="1:22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4"/>
      <c r="M176" s="16"/>
      <c r="N176" s="16"/>
      <c r="O176" s="15"/>
      <c r="P176" s="15"/>
      <c r="Q176" s="15"/>
      <c r="R176" s="15"/>
      <c r="S176" s="15"/>
      <c r="T176" s="16"/>
      <c r="U176" s="16"/>
      <c r="V176" s="15"/>
    </row>
    <row r="177" ht="18" customHeight="1" spans="1:22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4"/>
      <c r="M177" s="16"/>
      <c r="N177" s="16"/>
      <c r="O177" s="15"/>
      <c r="P177" s="15"/>
      <c r="Q177" s="15"/>
      <c r="R177" s="15"/>
      <c r="S177" s="15"/>
      <c r="T177" s="16"/>
      <c r="U177" s="16"/>
      <c r="V177" s="15"/>
    </row>
    <row r="178" ht="18" customHeight="1" spans="1:22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4"/>
      <c r="M178" s="16"/>
      <c r="N178" s="16"/>
      <c r="O178" s="15"/>
      <c r="P178" s="15"/>
      <c r="Q178" s="15"/>
      <c r="R178" s="15"/>
      <c r="S178" s="15"/>
      <c r="T178" s="16"/>
      <c r="U178" s="16"/>
      <c r="V178" s="15"/>
    </row>
    <row r="179" ht="18" customHeight="1" spans="1:22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4"/>
      <c r="M179" s="16"/>
      <c r="N179" s="16"/>
      <c r="O179" s="15"/>
      <c r="P179" s="15"/>
      <c r="Q179" s="15"/>
      <c r="R179" s="15"/>
      <c r="S179" s="15"/>
      <c r="T179" s="16"/>
      <c r="U179" s="16"/>
      <c r="V179" s="15"/>
    </row>
    <row r="180" ht="18" customHeight="1" spans="1:22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4"/>
      <c r="M180" s="16"/>
      <c r="N180" s="16"/>
      <c r="O180" s="15"/>
      <c r="P180" s="15"/>
      <c r="Q180" s="15"/>
      <c r="R180" s="15"/>
      <c r="S180" s="15"/>
      <c r="T180" s="16"/>
      <c r="U180" s="16"/>
      <c r="V180" s="15"/>
    </row>
    <row r="181" ht="18" customHeight="1" spans="1:22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4"/>
      <c r="M181" s="16"/>
      <c r="N181" s="16"/>
      <c r="O181" s="15"/>
      <c r="P181" s="15"/>
      <c r="Q181" s="15"/>
      <c r="R181" s="15"/>
      <c r="S181" s="15"/>
      <c r="T181" s="16"/>
      <c r="U181" s="16"/>
      <c r="V181" s="15"/>
    </row>
    <row r="182" ht="18" customHeight="1" spans="1:22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4"/>
      <c r="M182" s="16"/>
      <c r="N182" s="16"/>
      <c r="O182" s="15"/>
      <c r="P182" s="15"/>
      <c r="Q182" s="15"/>
      <c r="R182" s="15"/>
      <c r="S182" s="15"/>
      <c r="T182" s="16"/>
      <c r="U182" s="16"/>
      <c r="V182" s="15"/>
    </row>
  </sheetData>
  <autoFilter xmlns:etc="http://www.wps.cn/officeDocument/2017/etCustomData" ref="A1:W171" etc:filterBottomFollowUsedRange="0">
    <filterColumn colId="4">
      <customFilters>
        <customFilter operator="equal" val="SY25287"/>
      </customFilters>
    </filterColumn>
    <extLst/>
  </autoFilter>
  <conditionalFormatting sqref="E1:G1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workbookViewId="0">
      <pane ySplit="1" topLeftCell="A32" activePane="bottomLeft" state="frozen"/>
      <selection/>
      <selection pane="bottomLeft" activeCell="A3522" sqref="A3522"/>
    </sheetView>
  </sheetViews>
  <sheetFormatPr defaultColWidth="9" defaultRowHeight="13.5"/>
  <cols>
    <col min="1" max="1" width="11.5" style="6"/>
    <col min="2" max="2" width="9" style="7"/>
    <col min="3" max="3" width="9.9" style="7" customWidth="1"/>
    <col min="4" max="4" width="11.1" style="7" customWidth="1"/>
    <col min="5" max="5" width="12.9" style="7" customWidth="1"/>
    <col min="6" max="6" width="14.4" style="7" customWidth="1"/>
    <col min="7" max="7" width="10.1" style="7" customWidth="1"/>
    <col min="8" max="8" width="7" style="7" customWidth="1"/>
    <col min="9" max="9" width="6.6" style="7" customWidth="1"/>
    <col min="10" max="10" width="9.2" style="8"/>
    <col min="11" max="11" width="13.2" style="8" customWidth="1"/>
    <col min="12" max="12" width="23.4" style="7" customWidth="1"/>
    <col min="13" max="16384" width="9" style="7"/>
  </cols>
  <sheetData>
    <row r="1" ht="28.05" customHeight="1" spans="1:12">
      <c r="A1" s="9" t="s">
        <v>12157</v>
      </c>
      <c r="B1" s="10" t="s">
        <v>12158</v>
      </c>
      <c r="C1" s="11" t="s">
        <v>12525</v>
      </c>
      <c r="D1" s="12" t="s">
        <v>12159</v>
      </c>
      <c r="E1" s="11" t="s">
        <v>12160</v>
      </c>
      <c r="F1" s="11" t="s">
        <v>12161</v>
      </c>
      <c r="G1" s="11" t="s">
        <v>12162</v>
      </c>
      <c r="H1" s="11" t="s">
        <v>12163</v>
      </c>
      <c r="I1" s="11" t="s">
        <v>12164</v>
      </c>
      <c r="J1" s="13" t="s">
        <v>12171</v>
      </c>
      <c r="K1" s="13" t="s">
        <v>12526</v>
      </c>
      <c r="L1" s="11" t="s">
        <v>12173</v>
      </c>
    </row>
    <row r="2" ht="18" customHeight="1" spans="1:12">
      <c r="A2" s="14">
        <v>45775</v>
      </c>
      <c r="B2" s="15" t="s">
        <v>12527</v>
      </c>
      <c r="C2" s="15" t="s">
        <v>12528</v>
      </c>
      <c r="D2" s="15" t="s">
        <v>723</v>
      </c>
      <c r="E2" s="15" t="str">
        <f>_xlfn.SINGLE(INDEX(样品编号表!Y:Y,_xlfn.SINGLE(MATCH(_xlfn.SINGLE(D:D),样品编号表!H:H,0))))</f>
        <v>光大纺织</v>
      </c>
      <c r="F2" s="15" t="str">
        <f>_xlfn.SINGLE(INDEX(样品编号表!Z:Z,_xlfn.SINGLE(MATCH(_xlfn.SINGLE(D:D),样品编号表!H:H,0))))</f>
        <v>C580</v>
      </c>
      <c r="G2" s="15" t="s">
        <v>12176</v>
      </c>
      <c r="H2" s="15">
        <v>1</v>
      </c>
      <c r="I2" s="15" t="s">
        <v>12177</v>
      </c>
      <c r="J2" s="16">
        <v>14</v>
      </c>
      <c r="K2" s="16">
        <f t="shared" ref="K2:K30" si="0">H2*J2</f>
        <v>14</v>
      </c>
      <c r="L2" s="15"/>
    </row>
    <row r="3" ht="18" customHeight="1" spans="1:12">
      <c r="A3" s="14">
        <v>45793</v>
      </c>
      <c r="B3" s="15" t="s">
        <v>12527</v>
      </c>
      <c r="C3" s="15" t="s">
        <v>12528</v>
      </c>
      <c r="D3" s="15" t="s">
        <v>430</v>
      </c>
      <c r="E3" s="15" t="str">
        <f>_xlfn.SINGLE(INDEX(样品编号表!Y:Y,_xlfn.SINGLE(MATCH(_xlfn.SINGLE(D:D),样品编号表!H:H,0))))</f>
        <v>昌勋纺织</v>
      </c>
      <c r="F3" s="15" t="str">
        <f>_xlfn.SINGLE(INDEX(样品编号表!Z:Z,_xlfn.SINGLE(MATCH(_xlfn.SINGLE(D:D),样品编号表!H:H,0))))</f>
        <v>C734</v>
      </c>
      <c r="G3" s="15" t="s">
        <v>12181</v>
      </c>
      <c r="H3" s="15">
        <v>1</v>
      </c>
      <c r="I3" s="15" t="s">
        <v>12177</v>
      </c>
      <c r="J3" s="16">
        <v>14</v>
      </c>
      <c r="K3" s="16">
        <f t="shared" si="0"/>
        <v>14</v>
      </c>
      <c r="L3" s="15"/>
    </row>
    <row r="4" ht="18" customHeight="1" spans="1:12">
      <c r="A4" s="14">
        <v>45814</v>
      </c>
      <c r="B4" s="15" t="s">
        <v>12527</v>
      </c>
      <c r="C4" s="15" t="s">
        <v>12528</v>
      </c>
      <c r="D4" s="15" t="s">
        <v>164</v>
      </c>
      <c r="E4" s="15" t="str">
        <f>_xlfn.SINGLE(INDEX(样品编号表!Y:Y,_xlfn.SINGLE(MATCH(_xlfn.SINGLE(D:D),样品编号表!H:H,0))))</f>
        <v>金绣</v>
      </c>
      <c r="F4" s="15" t="str">
        <f>_xlfn.SINGLE(INDEX(样品编号表!Z:Z,_xlfn.SINGLE(MATCH(_xlfn.SINGLE(D:D),样品编号表!H:H,0))))</f>
        <v>A2185</v>
      </c>
      <c r="G4" s="15" t="s">
        <v>12185</v>
      </c>
      <c r="H4" s="15">
        <v>1</v>
      </c>
      <c r="I4" s="15" t="s">
        <v>12177</v>
      </c>
      <c r="J4" s="16">
        <v>33</v>
      </c>
      <c r="K4" s="16">
        <v>25</v>
      </c>
      <c r="L4" s="15"/>
    </row>
    <row r="5" ht="18" customHeight="1" spans="1:12">
      <c r="A5" s="14">
        <v>45814</v>
      </c>
      <c r="B5" s="15" t="s">
        <v>12527</v>
      </c>
      <c r="C5" s="15" t="s">
        <v>12528</v>
      </c>
      <c r="D5" s="15" t="s">
        <v>174</v>
      </c>
      <c r="E5" s="15" t="str">
        <f>_xlfn.SINGLE(INDEX(样品编号表!Y:Y,_xlfn.SINGLE(MATCH(_xlfn.SINGLE(D:D),样品编号表!H:H,0))))</f>
        <v>真成纺织</v>
      </c>
      <c r="F5" s="15" t="str">
        <f>_xlfn.SINGLE(INDEX(样品编号表!Z:Z,_xlfn.SINGLE(MATCH(_xlfn.SINGLE(D:D),样品编号表!H:H,0))))</f>
        <v>B-894</v>
      </c>
      <c r="G5" s="15" t="s">
        <v>12185</v>
      </c>
      <c r="H5" s="15">
        <v>1</v>
      </c>
      <c r="I5" s="15" t="s">
        <v>12177</v>
      </c>
      <c r="J5" s="16">
        <v>33.7</v>
      </c>
      <c r="K5" s="16">
        <v>25</v>
      </c>
      <c r="L5" s="15"/>
    </row>
    <row r="6" ht="18" customHeight="1" spans="1:12">
      <c r="A6" s="14">
        <v>45817</v>
      </c>
      <c r="B6" s="15" t="s">
        <v>12527</v>
      </c>
      <c r="C6" s="15" t="s">
        <v>12528</v>
      </c>
      <c r="D6" s="15" t="s">
        <v>910</v>
      </c>
      <c r="E6" s="15" t="str">
        <f>_xlfn.SINGLE(INDEX(样品编号表!Y:Y,_xlfn.SINGLE(MATCH(_xlfn.SINGLE(D:D),样品编号表!H:H,0))))</f>
        <v>年年发纺织</v>
      </c>
      <c r="F6" s="15" t="str">
        <f>_xlfn.SINGLE(INDEX(样品编号表!Z:Z,_xlfn.SINGLE(MATCH(_xlfn.SINGLE(D:D),样品编号表!H:H,0))))</f>
        <v>303#</v>
      </c>
      <c r="G6" s="15" t="s">
        <v>12190</v>
      </c>
      <c r="H6" s="15">
        <v>1</v>
      </c>
      <c r="I6" s="15" t="s">
        <v>12177</v>
      </c>
      <c r="J6" s="16">
        <v>21</v>
      </c>
      <c r="K6" s="16">
        <v>16</v>
      </c>
      <c r="L6" s="15"/>
    </row>
    <row r="7" ht="18" customHeight="1" spans="1:12">
      <c r="A7" s="14">
        <v>45776</v>
      </c>
      <c r="B7" s="15" t="s">
        <v>12527</v>
      </c>
      <c r="C7" s="15" t="s">
        <v>12528</v>
      </c>
      <c r="D7" s="15" t="s">
        <v>442</v>
      </c>
      <c r="E7" s="15" t="str">
        <f>_xlfn.SINGLE(INDEX(样品编号表!Y:Y,_xlfn.SINGLE(MATCH(_xlfn.SINGLE(D:D),样品编号表!H:H,0))))</f>
        <v>华联</v>
      </c>
      <c r="F7" s="15" t="str">
        <f>_xlfn.SINGLE(INDEX(样品编号表!Z:Z,_xlfn.SINGLE(MATCH(_xlfn.SINGLE(D:D),样品编号表!H:H,0))))</f>
        <v>3926-10#</v>
      </c>
      <c r="G7" s="15" t="s">
        <v>12529</v>
      </c>
      <c r="H7" s="15">
        <v>2</v>
      </c>
      <c r="I7" s="15" t="s">
        <v>12177</v>
      </c>
      <c r="J7" s="16">
        <v>18</v>
      </c>
      <c r="K7" s="16">
        <f t="shared" si="0"/>
        <v>36</v>
      </c>
      <c r="L7" s="15"/>
    </row>
    <row r="8" ht="18" customHeight="1" spans="1:12">
      <c r="A8" s="14">
        <v>45776</v>
      </c>
      <c r="B8" s="15" t="s">
        <v>12527</v>
      </c>
      <c r="C8" s="15" t="s">
        <v>12528</v>
      </c>
      <c r="D8" s="15"/>
      <c r="E8" s="15" t="s">
        <v>12530</v>
      </c>
      <c r="F8" s="15" t="s">
        <v>12531</v>
      </c>
      <c r="G8" s="15" t="s">
        <v>12270</v>
      </c>
      <c r="H8" s="15">
        <v>1</v>
      </c>
      <c r="I8" s="15" t="s">
        <v>12177</v>
      </c>
      <c r="J8" s="16">
        <v>14</v>
      </c>
      <c r="K8" s="16">
        <f t="shared" si="0"/>
        <v>14</v>
      </c>
      <c r="L8" s="15"/>
    </row>
    <row r="9" ht="18" customHeight="1" spans="1:12">
      <c r="A9" s="14">
        <v>45776</v>
      </c>
      <c r="B9" s="15" t="s">
        <v>12527</v>
      </c>
      <c r="C9" s="15" t="s">
        <v>12528</v>
      </c>
      <c r="D9" s="15"/>
      <c r="E9" s="15" t="s">
        <v>12530</v>
      </c>
      <c r="F9" s="15" t="s">
        <v>12531</v>
      </c>
      <c r="G9" s="15" t="s">
        <v>12532</v>
      </c>
      <c r="H9" s="15">
        <v>1</v>
      </c>
      <c r="I9" s="15" t="s">
        <v>12177</v>
      </c>
      <c r="J9" s="16">
        <v>14</v>
      </c>
      <c r="K9" s="16">
        <f t="shared" si="0"/>
        <v>14</v>
      </c>
      <c r="L9" s="15"/>
    </row>
    <row r="10" ht="18" customHeight="1" spans="1:12">
      <c r="A10" s="14">
        <v>45791</v>
      </c>
      <c r="B10" s="15" t="s">
        <v>12527</v>
      </c>
      <c r="C10" s="15" t="s">
        <v>12528</v>
      </c>
      <c r="D10" s="15" t="s">
        <v>924</v>
      </c>
      <c r="E10" s="15" t="str">
        <f>_xlfn.SINGLE(INDEX(样品编号表!Y:Y,_xlfn.SINGLE(MATCH(_xlfn.SINGLE(D:D),样品编号表!H:H,0))))</f>
        <v>展业布行</v>
      </c>
      <c r="F10" s="15" t="str">
        <f>_xlfn.SINGLE(INDEX(样品编号表!Z:Z,_xlfn.SINGLE(MATCH(_xlfn.SINGLE(D:D),样品编号表!H:H,0))))</f>
        <v>ZY138#</v>
      </c>
      <c r="G10" s="15" t="s">
        <v>12533</v>
      </c>
      <c r="H10" s="15">
        <v>1</v>
      </c>
      <c r="I10" s="15" t="s">
        <v>12177</v>
      </c>
      <c r="J10" s="16">
        <v>30</v>
      </c>
      <c r="K10" s="16">
        <f t="shared" si="0"/>
        <v>30</v>
      </c>
      <c r="L10" s="15"/>
    </row>
    <row r="11" ht="18" customHeight="1" spans="1:12">
      <c r="A11" s="14">
        <v>45791</v>
      </c>
      <c r="B11" s="15" t="s">
        <v>12527</v>
      </c>
      <c r="C11" s="15" t="s">
        <v>12528</v>
      </c>
      <c r="D11" s="15" t="s">
        <v>946</v>
      </c>
      <c r="E11" s="15" t="str">
        <f>_xlfn.SINGLE(INDEX(样品编号表!Y:Y,_xlfn.SINGLE(MATCH(_xlfn.SINGLE(D:D),样品编号表!H:H,0))))</f>
        <v>东盛恒旺布行</v>
      </c>
      <c r="F11" s="15" t="str">
        <f>_xlfn.SINGLE(INDEX(样品编号表!Z:Z,_xlfn.SINGLE(MATCH(_xlfn.SINGLE(D:D),样品编号表!H:H,0))))</f>
        <v>39008#</v>
      </c>
      <c r="G11" s="15" t="s">
        <v>12534</v>
      </c>
      <c r="H11" s="15">
        <v>1</v>
      </c>
      <c r="I11" s="15" t="s">
        <v>12177</v>
      </c>
      <c r="J11" s="16">
        <v>30</v>
      </c>
      <c r="K11" s="16">
        <f t="shared" si="0"/>
        <v>30</v>
      </c>
      <c r="L11" s="15"/>
    </row>
    <row r="12" ht="18" customHeight="1" spans="1:12">
      <c r="A12" s="14">
        <v>45799</v>
      </c>
      <c r="B12" s="15" t="s">
        <v>12527</v>
      </c>
      <c r="C12" s="15" t="s">
        <v>12528</v>
      </c>
      <c r="D12" s="15" t="s">
        <v>195</v>
      </c>
      <c r="E12" s="15" t="str">
        <f>_xlfn.SINGLE(INDEX(样品编号表!Y:Y,_xlfn.SINGLE(MATCH(_xlfn.SINGLE(D:D),样品编号表!H:H,0))))</f>
        <v>欧纺时尚</v>
      </c>
      <c r="F12" s="15" t="str">
        <f>_xlfn.SINGLE(INDEX(样品编号表!Z:Z,_xlfn.SINGLE(MATCH(_xlfn.SINGLE(D:D),样品编号表!H:H,0))))</f>
        <v>686#（金丝棉）</v>
      </c>
      <c r="G12" s="15" t="s">
        <v>12185</v>
      </c>
      <c r="H12" s="15">
        <v>1</v>
      </c>
      <c r="I12" s="15" t="s">
        <v>12177</v>
      </c>
      <c r="J12" s="16">
        <v>10</v>
      </c>
      <c r="K12" s="16">
        <f t="shared" si="0"/>
        <v>10</v>
      </c>
      <c r="L12" s="15"/>
    </row>
    <row r="13" ht="18" customHeight="1" spans="1:12">
      <c r="A13" s="14">
        <v>45799</v>
      </c>
      <c r="B13" s="15" t="s">
        <v>12527</v>
      </c>
      <c r="C13" s="15" t="s">
        <v>12528</v>
      </c>
      <c r="D13" s="15" t="s">
        <v>461</v>
      </c>
      <c r="E13" s="15" t="str">
        <f>_xlfn.SINGLE(INDEX(样品编号表!Y:Y,_xlfn.SINGLE(MATCH(_xlfn.SINGLE(D:D),样品编号表!H:H,0))))</f>
        <v>欧纺时尚</v>
      </c>
      <c r="F13" s="15" t="str">
        <f>_xlfn.SINGLE(INDEX(样品编号表!Z:Z,_xlfn.SINGLE(MATCH(_xlfn.SINGLE(D:D),样品编号表!H:H,0))))</f>
        <v>75D全光</v>
      </c>
      <c r="G13" s="15" t="s">
        <v>12185</v>
      </c>
      <c r="H13" s="15">
        <v>1</v>
      </c>
      <c r="I13" s="15" t="s">
        <v>12177</v>
      </c>
      <c r="J13" s="16">
        <v>12</v>
      </c>
      <c r="K13" s="16">
        <f t="shared" si="0"/>
        <v>12</v>
      </c>
      <c r="L13" s="15"/>
    </row>
    <row r="14" ht="18" customHeight="1" spans="1:12">
      <c r="A14" s="14">
        <v>45799</v>
      </c>
      <c r="B14" s="15" t="s">
        <v>12527</v>
      </c>
      <c r="C14" s="15" t="s">
        <v>12528</v>
      </c>
      <c r="D14" s="15" t="s">
        <v>459</v>
      </c>
      <c r="E14" s="15" t="str">
        <f>_xlfn.SINGLE(INDEX(样品编号表!Y:Y,_xlfn.SINGLE(MATCH(_xlfn.SINGLE(D:D),样品编号表!H:H,0))))</f>
        <v>欧纺时尚</v>
      </c>
      <c r="F14" s="15" t="str">
        <f>_xlfn.SINGLE(INDEX(样品编号表!Z:Z,_xlfn.SINGLE(MATCH(_xlfn.SINGLE(D:D),样品编号表!H:H,0))))</f>
        <v>50D全光加厚</v>
      </c>
      <c r="G14" s="15" t="s">
        <v>12185</v>
      </c>
      <c r="H14" s="15">
        <v>1</v>
      </c>
      <c r="I14" s="15" t="s">
        <v>12177</v>
      </c>
      <c r="J14" s="16">
        <v>12</v>
      </c>
      <c r="K14" s="16">
        <f t="shared" si="0"/>
        <v>12</v>
      </c>
      <c r="L14" s="15"/>
    </row>
    <row r="15" ht="18" customHeight="1" spans="1:12">
      <c r="A15" s="14">
        <v>45799</v>
      </c>
      <c r="B15" s="15" t="s">
        <v>12527</v>
      </c>
      <c r="C15" s="15" t="s">
        <v>12528</v>
      </c>
      <c r="D15" s="15" t="s">
        <v>463</v>
      </c>
      <c r="E15" s="15" t="str">
        <f>_xlfn.SINGLE(INDEX(样品编号表!Y:Y,_xlfn.SINGLE(MATCH(_xlfn.SINGLE(D:D),样品编号表!H:H,0))))</f>
        <v>精品里布</v>
      </c>
      <c r="F15" s="15" t="str">
        <f>_xlfn.SINGLE(INDEX(样品编号表!Z:Z,_xlfn.SINGLE(MATCH(_xlfn.SINGLE(D:D),样品编号表!H:H,0))))</f>
        <v>加舒美绸</v>
      </c>
      <c r="G15" s="15" t="s">
        <v>12185</v>
      </c>
      <c r="H15" s="15">
        <v>1</v>
      </c>
      <c r="I15" s="15" t="s">
        <v>12177</v>
      </c>
      <c r="J15" s="16">
        <v>6</v>
      </c>
      <c r="K15" s="16">
        <f t="shared" si="0"/>
        <v>6</v>
      </c>
      <c r="L15" s="15"/>
    </row>
    <row r="16" ht="18" customHeight="1" spans="1:12">
      <c r="A16" s="14">
        <v>45799</v>
      </c>
      <c r="B16" s="15" t="s">
        <v>12527</v>
      </c>
      <c r="C16" s="15" t="s">
        <v>12528</v>
      </c>
      <c r="D16" s="15" t="s">
        <v>467</v>
      </c>
      <c r="E16" s="15" t="str">
        <f>_xlfn.SINGLE(INDEX(样品编号表!Y:Y,_xlfn.SINGLE(MATCH(_xlfn.SINGLE(D:D),样品编号表!H:H,0))))</f>
        <v>精品里布</v>
      </c>
      <c r="F16" s="15" t="str">
        <f>_xlfn.SINGLE(INDEX(样品编号表!Z:Z,_xlfn.SINGLE(MATCH(_xlfn.SINGLE(D:D),样品编号表!H:H,0))))</f>
        <v>精品韩国里 （加韩）80克</v>
      </c>
      <c r="G16" s="15" t="s">
        <v>12185</v>
      </c>
      <c r="H16" s="15">
        <v>1</v>
      </c>
      <c r="I16" s="15" t="s">
        <v>12177</v>
      </c>
      <c r="J16" s="16">
        <v>5</v>
      </c>
      <c r="K16" s="16">
        <f t="shared" si="0"/>
        <v>5</v>
      </c>
      <c r="L16" s="15"/>
    </row>
    <row r="17" ht="18" customHeight="1" spans="1:12">
      <c r="A17" s="14">
        <v>45799</v>
      </c>
      <c r="B17" s="15" t="s">
        <v>12527</v>
      </c>
      <c r="C17" s="15" t="s">
        <v>12528</v>
      </c>
      <c r="D17" s="15" t="s">
        <v>471</v>
      </c>
      <c r="E17" s="15" t="str">
        <f>_xlfn.SINGLE(INDEX(样品编号表!Y:Y,_xlfn.SINGLE(MATCH(_xlfn.SINGLE(D:D),样品编号表!H:H,0))))</f>
        <v>精品里布</v>
      </c>
      <c r="F17" s="15" t="str">
        <f>_xlfn.SINGLE(INDEX(样品编号表!Z:Z,_xlfn.SINGLE(MATCH(_xlfn.SINGLE(D:D),样品编号表!H:H,0))))</f>
        <v>50D超柔四面弹（88克）</v>
      </c>
      <c r="G17" s="15" t="s">
        <v>12185</v>
      </c>
      <c r="H17" s="15">
        <v>1</v>
      </c>
      <c r="I17" s="15" t="s">
        <v>12177</v>
      </c>
      <c r="J17" s="16">
        <v>5</v>
      </c>
      <c r="K17" s="16">
        <f t="shared" si="0"/>
        <v>5</v>
      </c>
      <c r="L17" s="15"/>
    </row>
    <row r="18" ht="18" customHeight="1" spans="1:12">
      <c r="A18" s="14">
        <v>45799</v>
      </c>
      <c r="B18" s="15" t="s">
        <v>12527</v>
      </c>
      <c r="C18" s="15" t="s">
        <v>12528</v>
      </c>
      <c r="D18" s="15" t="s">
        <v>469</v>
      </c>
      <c r="E18" s="15" t="str">
        <f>_xlfn.SINGLE(INDEX(样品编号表!Y:Y,_xlfn.SINGLE(MATCH(_xlfn.SINGLE(D:D),样品编号表!H:H,0))))</f>
        <v>精品里布</v>
      </c>
      <c r="F18" s="15" t="str">
        <f>_xlfn.SINGLE(INDEX(样品编号表!Z:Z,_xlfn.SINGLE(MATCH(_xlfn.SINGLE(D:D),样品编号表!H:H,0))))</f>
        <v>加密仿人丝（加舒）110克</v>
      </c>
      <c r="G18" s="15" t="s">
        <v>12185</v>
      </c>
      <c r="H18" s="15">
        <v>1</v>
      </c>
      <c r="I18" s="15" t="s">
        <v>12177</v>
      </c>
      <c r="J18" s="16">
        <v>12</v>
      </c>
      <c r="K18" s="16">
        <f t="shared" si="0"/>
        <v>12</v>
      </c>
      <c r="L18" s="15"/>
    </row>
    <row r="19" ht="18" customHeight="1" spans="1:12">
      <c r="A19" s="14">
        <v>45812</v>
      </c>
      <c r="B19" s="15" t="s">
        <v>12527</v>
      </c>
      <c r="C19" s="15" t="s">
        <v>12528</v>
      </c>
      <c r="D19" s="15" t="s">
        <v>449</v>
      </c>
      <c r="E19" s="15" t="str">
        <f>_xlfn.SINGLE(INDEX(样品编号表!Y:Y,_xlfn.SINGLE(MATCH(_xlfn.SINGLE(D:D),样品编号表!H:H,0))))</f>
        <v>汇美纺织</v>
      </c>
      <c r="F19" s="15" t="str">
        <f>_xlfn.SINGLE(INDEX(样品编号表!Z:Z,_xlfn.SINGLE(MATCH(_xlfn.SINGLE(D:D),样品编号表!H:H,0))))</f>
        <v>H6835-1</v>
      </c>
      <c r="G19" s="15" t="s">
        <v>12278</v>
      </c>
      <c r="H19" s="15">
        <v>1</v>
      </c>
      <c r="I19" s="15" t="s">
        <v>12177</v>
      </c>
      <c r="J19" s="16">
        <v>19</v>
      </c>
      <c r="K19" s="16">
        <f t="shared" si="0"/>
        <v>19</v>
      </c>
      <c r="L19" s="15"/>
    </row>
    <row r="20" ht="18" customHeight="1" spans="1:12">
      <c r="A20" s="14">
        <v>45812</v>
      </c>
      <c r="B20" s="15" t="s">
        <v>12527</v>
      </c>
      <c r="C20" s="15" t="s">
        <v>12528</v>
      </c>
      <c r="D20" s="15" t="s">
        <v>915</v>
      </c>
      <c r="E20" s="15" t="str">
        <f>_xlfn.SINGLE(INDEX(样品编号表!Y:Y,_xlfn.SINGLE(MATCH(_xlfn.SINGLE(D:D),样品编号表!H:H,0))))</f>
        <v>新伟兴纺织</v>
      </c>
      <c r="F20" s="15" t="str">
        <f>_xlfn.SINGLE(INDEX(样品编号表!Z:Z,_xlfn.SINGLE(MATCH(_xlfn.SINGLE(D:D),样品编号表!H:H,0))))</f>
        <v>A13518</v>
      </c>
      <c r="G20" s="15" t="s">
        <v>12205</v>
      </c>
      <c r="H20" s="15">
        <v>1</v>
      </c>
      <c r="I20" s="15" t="s">
        <v>12177</v>
      </c>
      <c r="J20" s="16">
        <v>46</v>
      </c>
      <c r="K20" s="16">
        <f t="shared" si="0"/>
        <v>46</v>
      </c>
      <c r="L20" s="15"/>
    </row>
    <row r="21" ht="18" customHeight="1" spans="1:12">
      <c r="A21" s="14">
        <v>45812</v>
      </c>
      <c r="B21" s="15" t="s">
        <v>12527</v>
      </c>
      <c r="C21" s="15" t="s">
        <v>12528</v>
      </c>
      <c r="D21" s="15" t="s">
        <v>452</v>
      </c>
      <c r="E21" s="15" t="str">
        <f>_xlfn.SINGLE(INDEX(样品编号表!Y:Y,_xlfn.SINGLE(MATCH(_xlfn.SINGLE(D:D),样品编号表!H:H,0))))</f>
        <v>新蓝</v>
      </c>
      <c r="F21" s="15" t="str">
        <f>_xlfn.SINGLE(INDEX(样品编号表!Z:Z,_xlfn.SINGLE(MATCH(_xlfn.SINGLE(D:D),样品编号表!H:H,0))))</f>
        <v>512#</v>
      </c>
      <c r="G21" s="15" t="s">
        <v>12535</v>
      </c>
      <c r="H21" s="15">
        <v>1</v>
      </c>
      <c r="I21" s="15" t="s">
        <v>12177</v>
      </c>
      <c r="J21" s="16">
        <v>14</v>
      </c>
      <c r="K21" s="16">
        <f t="shared" si="0"/>
        <v>14</v>
      </c>
      <c r="L21" s="15"/>
    </row>
    <row r="22" ht="18" customHeight="1" spans="1:12">
      <c r="A22" s="14">
        <v>45815</v>
      </c>
      <c r="B22" s="15" t="s">
        <v>12527</v>
      </c>
      <c r="C22" s="15" t="s">
        <v>12528</v>
      </c>
      <c r="D22" s="15"/>
      <c r="E22" s="15" t="s">
        <v>12536</v>
      </c>
      <c r="F22" s="15" t="s">
        <v>12537</v>
      </c>
      <c r="G22" s="15" t="s">
        <v>12538</v>
      </c>
      <c r="H22" s="15">
        <v>1</v>
      </c>
      <c r="I22" s="15" t="s">
        <v>12177</v>
      </c>
      <c r="J22" s="16">
        <v>20</v>
      </c>
      <c r="K22" s="16">
        <f t="shared" si="0"/>
        <v>20</v>
      </c>
      <c r="L22" s="15" t="s">
        <v>12539</v>
      </c>
    </row>
    <row r="23" ht="18" customHeight="1" spans="1:12">
      <c r="A23" s="14">
        <v>45832</v>
      </c>
      <c r="B23" s="15" t="s">
        <v>12527</v>
      </c>
      <c r="C23" s="15" t="s">
        <v>12528</v>
      </c>
      <c r="D23" s="15" t="s">
        <v>723</v>
      </c>
      <c r="E23" s="15" t="str">
        <f>_xlfn.SINGLE(INDEX(样品编号表!Y:Y,_xlfn.SINGLE(MATCH(_xlfn.SINGLE(D:D),样品编号表!H:H,0))))</f>
        <v>光大纺织</v>
      </c>
      <c r="F23" s="15" t="str">
        <f>_xlfn.SINGLE(INDEX(样品编号表!Z:Z,_xlfn.SINGLE(MATCH(_xlfn.SINGLE(D:D),样品编号表!H:H,0))))</f>
        <v>C580</v>
      </c>
      <c r="G23" s="15" t="s">
        <v>12185</v>
      </c>
      <c r="H23" s="15">
        <v>10</v>
      </c>
      <c r="I23" s="15" t="s">
        <v>12177</v>
      </c>
      <c r="J23" s="16">
        <v>15</v>
      </c>
      <c r="K23" s="16">
        <f t="shared" si="0"/>
        <v>150</v>
      </c>
      <c r="L23" s="15" t="s">
        <v>12540</v>
      </c>
    </row>
    <row r="24" ht="18" customHeight="1" spans="1:12">
      <c r="A24" s="14">
        <v>45832</v>
      </c>
      <c r="B24" s="15" t="s">
        <v>12527</v>
      </c>
      <c r="C24" s="15" t="s">
        <v>12528</v>
      </c>
      <c r="D24" s="15" t="s">
        <v>2113</v>
      </c>
      <c r="E24" s="15" t="str">
        <f>_xlfn.SINGLE(INDEX(样品编号表!Y:Y,_xlfn.SINGLE(MATCH(_xlfn.SINGLE(D:D),样品编号表!H:H,0))))</f>
        <v>凯盛亨</v>
      </c>
      <c r="F24" s="15" t="str">
        <f>_xlfn.SINGLE(INDEX(样品编号表!Z:Z,_xlfn.SINGLE(MATCH(_xlfn.SINGLE(D:D),样品编号表!H:H,0))))</f>
        <v>839#</v>
      </c>
      <c r="G24" s="15" t="s">
        <v>12185</v>
      </c>
      <c r="H24" s="15">
        <v>10</v>
      </c>
      <c r="I24" s="15" t="s">
        <v>12177</v>
      </c>
      <c r="J24" s="16">
        <v>16</v>
      </c>
      <c r="K24" s="16">
        <f t="shared" si="0"/>
        <v>160</v>
      </c>
      <c r="L24" s="15" t="s">
        <v>12540</v>
      </c>
    </row>
    <row r="25" ht="18" customHeight="1" spans="1:12">
      <c r="A25" s="14">
        <v>45832</v>
      </c>
      <c r="B25" s="15" t="s">
        <v>12527</v>
      </c>
      <c r="C25" s="15" t="s">
        <v>12528</v>
      </c>
      <c r="D25" s="15" t="s">
        <v>2118</v>
      </c>
      <c r="E25" s="15" t="str">
        <f>_xlfn.SINGLE(INDEX(样品编号表!Y:Y,_xlfn.SINGLE(MATCH(_xlfn.SINGLE(D:D),样品编号表!H:H,0))))</f>
        <v>凯盛亨</v>
      </c>
      <c r="F25" s="15" t="str">
        <f>_xlfn.SINGLE(INDEX(样品编号表!Z:Z,_xlfn.SINGLE(MATCH(_xlfn.SINGLE(D:D),样品编号表!H:H,0))))</f>
        <v>649#</v>
      </c>
      <c r="G25" s="15" t="s">
        <v>12185</v>
      </c>
      <c r="H25" s="15">
        <v>10</v>
      </c>
      <c r="I25" s="15" t="s">
        <v>12177</v>
      </c>
      <c r="J25" s="16">
        <v>16</v>
      </c>
      <c r="K25" s="16">
        <f t="shared" si="0"/>
        <v>160</v>
      </c>
      <c r="L25" s="15" t="s">
        <v>12540</v>
      </c>
    </row>
    <row r="26" ht="18" customHeight="1" spans="1:12">
      <c r="A26" s="14">
        <v>45832</v>
      </c>
      <c r="B26" s="15" t="s">
        <v>12527</v>
      </c>
      <c r="C26" s="15" t="s">
        <v>12528</v>
      </c>
      <c r="D26" s="15" t="s">
        <v>2126</v>
      </c>
      <c r="E26" s="15" t="str">
        <f>_xlfn.SINGLE(INDEX(样品编号表!Y:Y,_xlfn.SINGLE(MATCH(_xlfn.SINGLE(D:D),样品编号表!H:H,0))))</f>
        <v>宏丰棉麻</v>
      </c>
      <c r="F26" s="273" t="str">
        <f>_xlfn.SINGLE(INDEX(样品编号表!Z:Z,_xlfn.SINGLE(MATCH(_xlfn.SINGLE(D:D),样品编号表!H:H,0))))</f>
        <v>045</v>
      </c>
      <c r="G26" s="15" t="s">
        <v>12185</v>
      </c>
      <c r="H26" s="15">
        <v>10</v>
      </c>
      <c r="I26" s="15" t="s">
        <v>12177</v>
      </c>
      <c r="J26" s="16">
        <v>16</v>
      </c>
      <c r="K26" s="16">
        <f t="shared" si="0"/>
        <v>160</v>
      </c>
      <c r="L26" s="15" t="s">
        <v>12540</v>
      </c>
    </row>
    <row r="27" ht="18" customHeight="1" spans="1:12">
      <c r="A27" s="14">
        <v>45832</v>
      </c>
      <c r="B27" s="15" t="s">
        <v>12527</v>
      </c>
      <c r="C27" s="15" t="s">
        <v>12528</v>
      </c>
      <c r="D27" s="15" t="s">
        <v>2133</v>
      </c>
      <c r="E27" s="15" t="str">
        <f>_xlfn.SINGLE(INDEX(样品编号表!Y:Y,_xlfn.SINGLE(MATCH(_xlfn.SINGLE(D:D),样品编号表!H:H,0))))</f>
        <v>年年发纺织</v>
      </c>
      <c r="F27" s="15" t="str">
        <f>_xlfn.SINGLE(INDEX(样品编号表!Z:Z,_xlfn.SINGLE(MATCH(_xlfn.SINGLE(D:D),样品编号表!H:H,0))))</f>
        <v>HC12支/12支竹节</v>
      </c>
      <c r="G27" s="15" t="s">
        <v>12185</v>
      </c>
      <c r="H27" s="15">
        <v>10</v>
      </c>
      <c r="I27" s="15" t="s">
        <v>12177</v>
      </c>
      <c r="J27" s="16">
        <v>16</v>
      </c>
      <c r="K27" s="16">
        <f t="shared" si="0"/>
        <v>160</v>
      </c>
      <c r="L27" s="15" t="s">
        <v>12540</v>
      </c>
    </row>
    <row r="28" ht="18" customHeight="1" spans="1:12">
      <c r="A28" s="14">
        <v>45839</v>
      </c>
      <c r="B28" s="15" t="s">
        <v>12527</v>
      </c>
      <c r="C28" s="15" t="s">
        <v>12528</v>
      </c>
      <c r="D28" s="15"/>
      <c r="E28" s="15" t="s">
        <v>12541</v>
      </c>
      <c r="F28" s="15" t="s">
        <v>12542</v>
      </c>
      <c r="G28" s="15" t="s">
        <v>12543</v>
      </c>
      <c r="H28" s="15">
        <v>4</v>
      </c>
      <c r="I28" s="15" t="s">
        <v>12177</v>
      </c>
      <c r="J28" s="16">
        <v>8</v>
      </c>
      <c r="K28" s="16">
        <f t="shared" si="0"/>
        <v>32</v>
      </c>
      <c r="L28" s="15" t="s">
        <v>12544</v>
      </c>
    </row>
    <row r="29" ht="18" customHeight="1" spans="1:12">
      <c r="A29" s="14">
        <v>45861</v>
      </c>
      <c r="B29" s="15" t="s">
        <v>12527</v>
      </c>
      <c r="C29" s="15" t="s">
        <v>12528</v>
      </c>
      <c r="D29" s="15" t="s">
        <v>910</v>
      </c>
      <c r="E29" s="15" t="str">
        <f>_xlfn.SINGLE(INDEX(样品编号表!Y:Y,_xlfn.SINGLE(MATCH(_xlfn.SINGLE(D:D),样品编号表!H:H,0))))</f>
        <v>年年发纺织</v>
      </c>
      <c r="F29" s="15" t="str">
        <f>_xlfn.SINGLE(INDEX(样品编号表!Z:Z,_xlfn.SINGLE(MATCH(_xlfn.SINGLE(D:D),样品编号表!H:H,0))))</f>
        <v>303#</v>
      </c>
      <c r="G29" s="15" t="s">
        <v>12337</v>
      </c>
      <c r="H29" s="15">
        <v>1</v>
      </c>
      <c r="I29" s="15" t="s">
        <v>12177</v>
      </c>
      <c r="J29" s="16">
        <v>16</v>
      </c>
      <c r="K29" s="16">
        <f t="shared" si="0"/>
        <v>16</v>
      </c>
      <c r="L29" s="15" t="s">
        <v>12545</v>
      </c>
    </row>
    <row r="30" ht="18" customHeight="1" spans="1:12">
      <c r="A30" s="14">
        <v>45889</v>
      </c>
      <c r="B30" s="15" t="s">
        <v>12527</v>
      </c>
      <c r="C30" s="15" t="s">
        <v>12528</v>
      </c>
      <c r="D30" s="15" t="s">
        <v>2113</v>
      </c>
      <c r="E30" s="15" t="str">
        <f>_xlfn.SINGLE(INDEX(样品编号表!Y:Y,_xlfn.SINGLE(MATCH(_xlfn.SINGLE(D:D),样品编号表!H:H,0))))</f>
        <v>凯盛亨</v>
      </c>
      <c r="F30" s="15" t="str">
        <f>_xlfn.SINGLE(INDEX(样品编号表!Z:Z,_xlfn.SINGLE(MATCH(_xlfn.SINGLE(D:D),样品编号表!H:H,0))))</f>
        <v>839#</v>
      </c>
      <c r="G30" s="15" t="s">
        <v>12203</v>
      </c>
      <c r="H30" s="15">
        <v>2</v>
      </c>
      <c r="I30" s="15" t="s">
        <v>12177</v>
      </c>
      <c r="J30" s="16">
        <v>16</v>
      </c>
      <c r="K30" s="16">
        <f t="shared" si="0"/>
        <v>32</v>
      </c>
      <c r="L30" s="15"/>
    </row>
    <row r="31" ht="18" customHeight="1" spans="1:12">
      <c r="A31" s="14">
        <v>45896</v>
      </c>
      <c r="B31" s="15" t="s">
        <v>12527</v>
      </c>
      <c r="C31" s="15" t="s">
        <v>12528</v>
      </c>
      <c r="D31" s="15" t="s">
        <v>3145</v>
      </c>
      <c r="E31" s="15" t="str">
        <f>_xlfn.SINGLE(INDEX(样品编号表!Y:Y,_xlfn.SINGLE(MATCH(_xlfn.SINGLE(D:D),样品编号表!H:H,0))))</f>
        <v>三好</v>
      </c>
      <c r="F31" s="15">
        <f>_xlfn.SINGLE(INDEX(样品编号表!Z:Z,_xlfn.SINGLE(MATCH(_xlfn.SINGLE(D:D),样品编号表!H:H,0))))</f>
        <v>1808</v>
      </c>
      <c r="G31" s="15" t="s">
        <v>12209</v>
      </c>
      <c r="H31" s="15">
        <v>1</v>
      </c>
      <c r="I31" s="15" t="s">
        <v>12177</v>
      </c>
      <c r="J31" s="16"/>
      <c r="K31" s="16"/>
      <c r="L31" s="15"/>
    </row>
    <row r="32" ht="18" customHeight="1" spans="1:12">
      <c r="A32" s="14">
        <v>45898</v>
      </c>
      <c r="B32" s="15" t="s">
        <v>12527</v>
      </c>
      <c r="C32" s="15" t="s">
        <v>12528</v>
      </c>
      <c r="D32" s="15" t="s">
        <v>723</v>
      </c>
      <c r="E32" s="15" t="str">
        <f>_xlfn.SINGLE(INDEX(样品编号表!Y:Y,_xlfn.SINGLE(MATCH(_xlfn.SINGLE(D:D),样品编号表!H:H,0))))</f>
        <v>光大纺织</v>
      </c>
      <c r="F32" s="15" t="str">
        <f>_xlfn.SINGLE(INDEX(样品编号表!Z:Z,_xlfn.SINGLE(MATCH(_xlfn.SINGLE(D:D),样品编号表!H:H,0))))</f>
        <v>C580</v>
      </c>
      <c r="G32" s="15" t="s">
        <v>12210</v>
      </c>
      <c r="H32" s="15">
        <v>1</v>
      </c>
      <c r="I32" s="15" t="s">
        <v>12177</v>
      </c>
      <c r="J32" s="16"/>
      <c r="K32" s="16"/>
      <c r="L32" s="15"/>
    </row>
    <row r="33" ht="18" customHeight="1" spans="1:12">
      <c r="A33" s="14">
        <v>45898</v>
      </c>
      <c r="B33" s="15" t="s">
        <v>12527</v>
      </c>
      <c r="C33" s="15" t="s">
        <v>12528</v>
      </c>
      <c r="D33" s="15" t="s">
        <v>723</v>
      </c>
      <c r="E33" s="15" t="str">
        <f>_xlfn.SINGLE(INDEX(样品编号表!Y:Y,_xlfn.SINGLE(MATCH(_xlfn.SINGLE(D:D),样品编号表!H:H,0))))</f>
        <v>光大纺织</v>
      </c>
      <c r="F33" s="15" t="str">
        <f>_xlfn.SINGLE(INDEX(样品编号表!Z:Z,_xlfn.SINGLE(MATCH(_xlfn.SINGLE(D:D),样品编号表!H:H,0))))</f>
        <v>C580</v>
      </c>
      <c r="G33" s="15" t="s">
        <v>12315</v>
      </c>
      <c r="H33" s="15">
        <v>1</v>
      </c>
      <c r="I33" s="15" t="s">
        <v>12177</v>
      </c>
      <c r="J33" s="16"/>
      <c r="K33" s="16"/>
      <c r="L33" s="15"/>
    </row>
    <row r="34" ht="18" customHeight="1" spans="1:12">
      <c r="A34" s="14">
        <v>45930</v>
      </c>
      <c r="B34" s="15" t="s">
        <v>12527</v>
      </c>
      <c r="C34" s="15" t="s">
        <v>12528</v>
      </c>
      <c r="D34" s="15" t="s">
        <v>2113</v>
      </c>
      <c r="E34" s="15" t="str">
        <f>_xlfn.SINGLE(INDEX(样品编号表!Y:Y,_xlfn.SINGLE(MATCH(_xlfn.SINGLE(D:D),样品编号表!H:H,0))))</f>
        <v>凯盛亨</v>
      </c>
      <c r="F34" s="15" t="str">
        <f>_xlfn.SINGLE(INDEX(样品编号表!Z:Z,_xlfn.SINGLE(MATCH(_xlfn.SINGLE(D:D),样品编号表!H:H,0))))</f>
        <v>839#</v>
      </c>
      <c r="G34" s="15" t="s">
        <v>12213</v>
      </c>
      <c r="H34" s="15">
        <v>1</v>
      </c>
      <c r="I34" s="15" t="s">
        <v>12177</v>
      </c>
      <c r="J34" s="16"/>
      <c r="K34" s="16"/>
      <c r="L34" s="15" t="s">
        <v>12546</v>
      </c>
    </row>
    <row r="35" ht="18" customHeight="1" spans="1:12">
      <c r="A35" s="14">
        <v>45929</v>
      </c>
      <c r="B35" s="15"/>
      <c r="C35" s="15"/>
      <c r="D35" s="15" t="s">
        <v>4488</v>
      </c>
      <c r="E35" s="15" t="s">
        <v>3147</v>
      </c>
      <c r="F35" s="17" t="s">
        <v>12547</v>
      </c>
      <c r="G35" s="18" t="s">
        <v>12222</v>
      </c>
      <c r="H35" s="15">
        <v>1</v>
      </c>
      <c r="I35" s="15" t="s">
        <v>12177</v>
      </c>
      <c r="J35" s="16">
        <v>13</v>
      </c>
      <c r="K35" s="16"/>
      <c r="L35" s="15" t="s">
        <v>12548</v>
      </c>
    </row>
    <row r="36" ht="18" customHeight="1" spans="1:12">
      <c r="A36" s="14">
        <v>45929</v>
      </c>
      <c r="B36" s="15"/>
      <c r="C36" s="15"/>
      <c r="D36" s="15" t="s">
        <v>4493</v>
      </c>
      <c r="E36" s="15" t="s">
        <v>3147</v>
      </c>
      <c r="F36" s="17" t="s">
        <v>12547</v>
      </c>
      <c r="G36" s="18" t="s">
        <v>12222</v>
      </c>
      <c r="H36" s="15">
        <v>1</v>
      </c>
      <c r="I36" s="15" t="s">
        <v>12177</v>
      </c>
      <c r="J36" s="16">
        <v>13</v>
      </c>
      <c r="K36" s="16"/>
      <c r="L36" s="15" t="s">
        <v>12548</v>
      </c>
    </row>
    <row r="37" ht="18" customHeight="1" spans="1:12">
      <c r="A37" s="14">
        <v>45929</v>
      </c>
      <c r="B37" s="15"/>
      <c r="C37" s="15"/>
      <c r="D37" s="15" t="s">
        <v>4497</v>
      </c>
      <c r="E37" s="15" t="s">
        <v>3147</v>
      </c>
      <c r="F37" s="17" t="s">
        <v>12547</v>
      </c>
      <c r="G37" s="18" t="s">
        <v>12222</v>
      </c>
      <c r="H37" s="15">
        <v>1</v>
      </c>
      <c r="I37" s="15" t="s">
        <v>12177</v>
      </c>
      <c r="J37" s="16">
        <v>13</v>
      </c>
      <c r="K37" s="16"/>
      <c r="L37" s="15" t="s">
        <v>12548</v>
      </c>
    </row>
    <row r="38" ht="18" customHeight="1" spans="1:12">
      <c r="A38" s="14">
        <v>45979</v>
      </c>
      <c r="B38" s="15"/>
      <c r="C38" s="15"/>
      <c r="D38" s="15" t="s">
        <v>427</v>
      </c>
      <c r="E38" s="15" t="str">
        <f>_xlfn.SINGLE(INDEX(样品编号表!Y:Y,_xlfn.SINGLE(MATCH(_xlfn.SINGLE(D:D),样品编号表!H:H,0))))</f>
        <v>凯盛亨</v>
      </c>
      <c r="F38" s="15" t="str">
        <f>_xlfn.SINGLE(INDEX(样品编号表!Z:Z,_xlfn.SINGLE(MATCH(_xlfn.SINGLE(D:D),样品编号表!H:H,0))))</f>
        <v>262#</v>
      </c>
      <c r="G38" s="15" t="s">
        <v>12272</v>
      </c>
      <c r="H38" s="15">
        <v>2</v>
      </c>
      <c r="I38" s="15" t="s">
        <v>12177</v>
      </c>
      <c r="J38" s="16">
        <v>16</v>
      </c>
      <c r="K38" s="16"/>
      <c r="L38" s="15"/>
    </row>
    <row r="39" ht="18" customHeight="1" spans="1:12">
      <c r="A39" s="14">
        <v>45992</v>
      </c>
      <c r="B39" s="15"/>
      <c r="C39" s="15"/>
      <c r="D39" s="15" t="s">
        <v>3359</v>
      </c>
      <c r="E39" s="15" t="str">
        <f>_xlfn.SINGLE(INDEX(样品编号表!Y:Y,_xlfn.SINGLE(MATCH(_xlfn.SINGLE(D:D),样品编号表!H:H,0))))</f>
        <v>健润纺织</v>
      </c>
      <c r="F39" s="15" t="str">
        <f>_xlfn.SINGLE(INDEX(样品编号表!Z:Z,_xlfn.SINGLE(MATCH(_xlfn.SINGLE(D:D),样品编号表!H:H,0))))</f>
        <v>逸柔3*2罗纹-RS</v>
      </c>
      <c r="G39" s="15" t="s">
        <v>12213</v>
      </c>
      <c r="H39" s="15">
        <v>1</v>
      </c>
      <c r="I39" s="15" t="s">
        <v>12177</v>
      </c>
      <c r="J39" s="16"/>
      <c r="K39" s="16"/>
      <c r="L39" s="15" t="s">
        <v>12548</v>
      </c>
    </row>
    <row r="40" ht="18" customHeight="1" spans="1:12">
      <c r="A40" s="14">
        <v>45959</v>
      </c>
      <c r="B40" s="15"/>
      <c r="C40" s="15"/>
      <c r="D40" s="15" t="s">
        <v>4143</v>
      </c>
      <c r="E40" s="15" t="str">
        <f>_xlfn.SINGLE(INDEX(样品编号表!Y:Y,_xlfn.SINGLE(MATCH(_xlfn.SINGLE(D:D),样品编号表!H:H,0))))</f>
        <v>凯盛亨</v>
      </c>
      <c r="F40" s="15" t="str">
        <f>_xlfn.SINGLE(INDEX(样品编号表!Z:Z,_xlfn.SINGLE(MATCH(_xlfn.SINGLE(D:D),样品编号表!H:H,0))))</f>
        <v>1016#</v>
      </c>
      <c r="G40" s="15" t="s">
        <v>12213</v>
      </c>
      <c r="H40" s="15">
        <v>14</v>
      </c>
      <c r="I40" s="15" t="s">
        <v>12177</v>
      </c>
      <c r="J40" s="16">
        <v>16</v>
      </c>
      <c r="K40" s="16"/>
      <c r="L40" s="15" t="s">
        <v>12549</v>
      </c>
    </row>
    <row r="41" ht="18" customHeight="1" spans="1:12">
      <c r="A41" s="14">
        <v>45960</v>
      </c>
      <c r="B41" s="15"/>
      <c r="C41" s="15"/>
      <c r="D41" s="15" t="s">
        <v>723</v>
      </c>
      <c r="E41" s="15" t="str">
        <f>_xlfn.SINGLE(INDEX(样品编号表!Y:Y,_xlfn.SINGLE(MATCH(_xlfn.SINGLE(D:D),样品编号表!H:H,0))))</f>
        <v>光大纺织</v>
      </c>
      <c r="F41" s="15" t="str">
        <f>_xlfn.SINGLE(INDEX(样品编号表!Z:Z,_xlfn.SINGLE(MATCH(_xlfn.SINGLE(D:D),样品编号表!H:H,0))))</f>
        <v>C580</v>
      </c>
      <c r="G41" s="15" t="s">
        <v>12550</v>
      </c>
      <c r="H41" s="15">
        <v>3</v>
      </c>
      <c r="I41" s="15" t="s">
        <v>12177</v>
      </c>
      <c r="J41" s="16">
        <v>15</v>
      </c>
      <c r="K41" s="16"/>
      <c r="L41" s="15"/>
    </row>
    <row r="42" ht="18" customHeight="1" spans="1:12">
      <c r="A42" s="14">
        <v>45980</v>
      </c>
      <c r="B42" s="15"/>
      <c r="C42" s="15"/>
      <c r="D42" s="15"/>
      <c r="E42" s="15" t="s">
        <v>3147</v>
      </c>
      <c r="F42" s="17" t="s">
        <v>12551</v>
      </c>
      <c r="G42" s="18" t="s">
        <v>12552</v>
      </c>
      <c r="H42" s="15">
        <v>6</v>
      </c>
      <c r="I42" s="15" t="s">
        <v>12177</v>
      </c>
      <c r="J42" s="16">
        <v>30</v>
      </c>
      <c r="K42" s="16"/>
      <c r="L42" s="15" t="s">
        <v>12553</v>
      </c>
    </row>
    <row r="43" ht="18" customHeight="1" spans="1:12">
      <c r="A43" s="14">
        <v>45980</v>
      </c>
      <c r="B43" s="15"/>
      <c r="C43" s="15"/>
      <c r="D43" s="15"/>
      <c r="E43" s="15" t="s">
        <v>3147</v>
      </c>
      <c r="F43" s="17" t="s">
        <v>12551</v>
      </c>
      <c r="G43" s="18" t="s">
        <v>12181</v>
      </c>
      <c r="H43" s="15">
        <v>6</v>
      </c>
      <c r="I43" s="15" t="s">
        <v>12177</v>
      </c>
      <c r="J43" s="16">
        <v>30</v>
      </c>
      <c r="K43" s="16"/>
      <c r="L43" s="15" t="s">
        <v>12553</v>
      </c>
    </row>
    <row r="44" ht="18" customHeight="1" spans="1:12">
      <c r="A44" s="14">
        <v>45957</v>
      </c>
      <c r="B44" s="15"/>
      <c r="C44" s="15"/>
      <c r="D44" s="15"/>
      <c r="E44" s="15" t="s">
        <v>12554</v>
      </c>
      <c r="F44" s="273" t="s">
        <v>12555</v>
      </c>
      <c r="G44" s="15" t="s">
        <v>12213</v>
      </c>
      <c r="H44" s="15">
        <v>1</v>
      </c>
      <c r="I44" s="15" t="s">
        <v>12177</v>
      </c>
      <c r="J44" s="16">
        <v>20</v>
      </c>
      <c r="K44" s="16"/>
      <c r="L44" s="15"/>
    </row>
    <row r="45" ht="18" customHeight="1" spans="1:12">
      <c r="A45" s="14"/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5"/>
    </row>
    <row r="46" ht="18" customHeight="1" spans="1:12">
      <c r="A46" s="14"/>
      <c r="B46" s="15"/>
      <c r="C46" s="15"/>
      <c r="D46" s="15"/>
      <c r="E46" s="15"/>
      <c r="F46" s="15"/>
      <c r="G46" s="15"/>
      <c r="H46" s="15"/>
      <c r="I46" s="15"/>
      <c r="J46" s="16"/>
      <c r="K46" s="16"/>
      <c r="L46" s="15"/>
    </row>
    <row r="47" ht="18" customHeight="1" spans="1:12">
      <c r="A47" s="14"/>
      <c r="B47" s="15"/>
      <c r="C47" s="15"/>
      <c r="D47" s="15"/>
      <c r="E47" s="15"/>
      <c r="F47" s="15"/>
      <c r="G47" s="15"/>
      <c r="H47" s="15"/>
      <c r="I47" s="15"/>
      <c r="J47" s="16"/>
      <c r="K47" s="16"/>
      <c r="L47" s="15"/>
    </row>
    <row r="48" ht="18" customHeight="1" spans="1:12">
      <c r="A48" s="14"/>
      <c r="B48" s="15"/>
      <c r="C48" s="15"/>
      <c r="D48" s="15"/>
      <c r="E48" s="15"/>
      <c r="F48" s="15"/>
      <c r="G48" s="15"/>
      <c r="H48" s="15"/>
      <c r="I48" s="15"/>
      <c r="J48" s="16"/>
      <c r="K48" s="16"/>
      <c r="L48" s="15"/>
    </row>
    <row r="49" ht="18" customHeight="1" spans="1:12">
      <c r="A49" s="14"/>
      <c r="B49" s="15"/>
      <c r="C49" s="15"/>
      <c r="D49" s="15"/>
      <c r="E49" s="15"/>
      <c r="F49" s="15"/>
      <c r="G49" s="15"/>
      <c r="H49" s="15"/>
      <c r="I49" s="15"/>
      <c r="J49" s="16"/>
      <c r="K49" s="16"/>
      <c r="L49" s="15"/>
    </row>
    <row r="50" ht="18" customHeight="1" spans="1:12">
      <c r="A50" s="14"/>
      <c r="B50" s="15"/>
      <c r="C50" s="15"/>
      <c r="D50" s="15"/>
      <c r="E50" s="15"/>
      <c r="F50" s="15"/>
      <c r="G50" s="15"/>
      <c r="H50" s="15"/>
      <c r="I50" s="15"/>
      <c r="J50" s="16"/>
      <c r="K50" s="16"/>
      <c r="L50" s="15"/>
    </row>
    <row r="51" ht="18" customHeight="1" spans="1:12">
      <c r="A51" s="14"/>
      <c r="B51" s="15"/>
      <c r="C51" s="15"/>
      <c r="D51" s="15"/>
      <c r="E51" s="15"/>
      <c r="F51" s="15"/>
      <c r="G51" s="15"/>
      <c r="H51" s="15"/>
      <c r="I51" s="15"/>
      <c r="J51" s="16"/>
      <c r="K51" s="16"/>
      <c r="L51" s="15"/>
    </row>
    <row r="52" ht="18" customHeight="1" spans="1:12">
      <c r="A52" s="14"/>
      <c r="B52" s="15"/>
      <c r="C52" s="15"/>
      <c r="D52" s="15"/>
      <c r="E52" s="15"/>
      <c r="F52" s="15"/>
      <c r="G52" s="15"/>
      <c r="H52" s="15"/>
      <c r="I52" s="15"/>
      <c r="J52" s="16"/>
      <c r="K52" s="16"/>
      <c r="L52" s="15"/>
    </row>
    <row r="53" ht="18" customHeight="1" spans="1:12">
      <c r="A53" s="14"/>
      <c r="B53" s="15"/>
      <c r="C53" s="15"/>
      <c r="D53" s="15"/>
      <c r="E53" s="15"/>
      <c r="F53" s="15"/>
      <c r="G53" s="15"/>
      <c r="H53" s="15"/>
      <c r="I53" s="15"/>
      <c r="J53" s="16"/>
      <c r="K53" s="16"/>
      <c r="L53" s="15"/>
    </row>
    <row r="54" ht="18" customHeight="1" spans="1:12">
      <c r="A54" s="14"/>
      <c r="B54" s="15"/>
      <c r="C54" s="15"/>
      <c r="D54" s="15"/>
      <c r="E54" s="15"/>
      <c r="F54" s="15"/>
      <c r="G54" s="15"/>
      <c r="H54" s="15"/>
      <c r="I54" s="15"/>
      <c r="J54" s="16"/>
      <c r="K54" s="16"/>
      <c r="L54" s="15"/>
    </row>
  </sheetData>
  <autoFilter xmlns:etc="http://www.wps.cn/officeDocument/2017/etCustomData" ref="A1:M54" etc:filterBottomFollowUsedRange="0">
    <extLst/>
  </autoFilter>
  <conditionalFormatting sqref="D1">
    <cfRule type="duplicateValues" dxfId="0" priority="3"/>
  </conditionalFormatting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opLeftCell="A10" workbookViewId="0">
      <selection activeCell="C15" sqref="C15"/>
    </sheetView>
  </sheetViews>
  <sheetFormatPr defaultColWidth="9" defaultRowHeight="14.25" outlineLevelCol="3"/>
  <cols>
    <col min="1" max="1" width="9" style="3"/>
    <col min="2" max="3" width="46.9" style="3" customWidth="1"/>
    <col min="4" max="4" width="44.7" style="3" customWidth="1"/>
  </cols>
  <sheetData>
    <row r="1" spans="1:4">
      <c r="A1" s="4" t="s">
        <v>12158</v>
      </c>
      <c r="B1" s="4" t="s">
        <v>12556</v>
      </c>
      <c r="C1" s="5" t="s">
        <v>12557</v>
      </c>
      <c r="D1" s="5" t="s">
        <v>12173</v>
      </c>
    </row>
    <row r="2" ht="42.75" spans="1:4">
      <c r="A2" s="4" t="s">
        <v>12199</v>
      </c>
      <c r="B2" s="4" t="s">
        <v>12558</v>
      </c>
      <c r="C2" s="4" t="s">
        <v>12559</v>
      </c>
      <c r="D2" s="4" t="s">
        <v>12560</v>
      </c>
    </row>
    <row r="3" ht="28.5" spans="1:4">
      <c r="A3" s="3" t="s">
        <v>9156</v>
      </c>
      <c r="B3" s="4" t="s">
        <v>12561</v>
      </c>
      <c r="C3" s="4" t="s">
        <v>12562</v>
      </c>
    </row>
    <row r="4" ht="28.5" spans="1:4">
      <c r="A4" s="4" t="s">
        <v>12308</v>
      </c>
      <c r="B4" s="4" t="s">
        <v>12563</v>
      </c>
      <c r="C4" s="4" t="s">
        <v>12564</v>
      </c>
    </row>
    <row r="5" ht="27" spans="1:4">
      <c r="A5" s="4" t="s">
        <v>12384</v>
      </c>
      <c r="B5" s="4" t="s">
        <v>12565</v>
      </c>
      <c r="C5" s="4" t="s">
        <v>12566</v>
      </c>
    </row>
    <row r="6" ht="42.75" spans="1:4">
      <c r="A6" s="4" t="s">
        <v>12175</v>
      </c>
      <c r="B6" s="4" t="s">
        <v>12567</v>
      </c>
      <c r="C6" s="4" t="s">
        <v>12568</v>
      </c>
    </row>
    <row r="7" ht="28.5" spans="1:4">
      <c r="A7" s="3" t="s">
        <v>12180</v>
      </c>
      <c r="B7" s="4" t="s">
        <v>12569</v>
      </c>
    </row>
    <row r="8" ht="28.5" spans="1:4">
      <c r="A8" s="4" t="s">
        <v>12188</v>
      </c>
      <c r="B8" s="4" t="s">
        <v>12570</v>
      </c>
      <c r="C8" s="4" t="s">
        <v>12571</v>
      </c>
      <c r="D8" s="4" t="s">
        <v>12572</v>
      </c>
    </row>
    <row r="9" ht="42" spans="1:4">
      <c r="A9" s="4" t="s">
        <v>12204</v>
      </c>
      <c r="B9" s="4" t="s">
        <v>12573</v>
      </c>
    </row>
    <row r="10" ht="28.5" spans="1:4">
      <c r="A10" s="4" t="s">
        <v>12574</v>
      </c>
      <c r="B10" s="4" t="s">
        <v>12575</v>
      </c>
    </row>
    <row r="11" ht="28.5" spans="1:4">
      <c r="A11" s="4" t="s">
        <v>12576</v>
      </c>
      <c r="B11" s="4" t="s">
        <v>12577</v>
      </c>
    </row>
    <row r="12" ht="28.5" spans="1:4">
      <c r="A12" s="4" t="s">
        <v>12578</v>
      </c>
      <c r="B12" s="4" t="s">
        <v>12579</v>
      </c>
    </row>
    <row r="13" ht="42.75" spans="1:4">
      <c r="A13" s="4" t="s">
        <v>12245</v>
      </c>
      <c r="B13" s="4" t="s">
        <v>12580</v>
      </c>
    </row>
    <row r="14" ht="28.5" spans="1:4">
      <c r="A14" s="4" t="s">
        <v>12265</v>
      </c>
      <c r="B14" s="4" t="s">
        <v>12581</v>
      </c>
    </row>
    <row r="15" ht="28.5" spans="1:4">
      <c r="A15" s="4" t="s">
        <v>12194</v>
      </c>
      <c r="B15" s="4" t="s">
        <v>12582</v>
      </c>
    </row>
    <row r="16" ht="27.75" spans="1:4">
      <c r="A16" s="4" t="s">
        <v>12583</v>
      </c>
      <c r="B16" s="4" t="s">
        <v>12584</v>
      </c>
      <c r="D16" s="4" t="s">
        <v>12585</v>
      </c>
    </row>
    <row r="17" ht="28.5" spans="1:2">
      <c r="A17" s="4" t="s">
        <v>9722</v>
      </c>
      <c r="B17" s="4" t="s">
        <v>12586</v>
      </c>
    </row>
    <row r="18" ht="28.5" spans="1:2">
      <c r="A18" s="4" t="s">
        <v>12587</v>
      </c>
      <c r="B18" s="4" t="s">
        <v>12588</v>
      </c>
    </row>
    <row r="19" spans="1:2">
      <c r="A19" s="4" t="s">
        <v>12253</v>
      </c>
      <c r="B19" s="4" t="s">
        <v>12589</v>
      </c>
    </row>
    <row r="20" ht="57" spans="1:2">
      <c r="A20" s="4" t="s">
        <v>12310</v>
      </c>
      <c r="B20" s="4" t="s">
        <v>12590</v>
      </c>
    </row>
  </sheetData>
  <pageMargins left="0.75" right="0.75" top="1" bottom="1" header="0.5" footer="0.5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522" sqref="A3522"/>
    </sheetView>
  </sheetViews>
  <sheetFormatPr defaultColWidth="9" defaultRowHeight="14.25" outlineLevelRow="2" outlineLevelCol="1"/>
  <sheetData>
    <row r="1" spans="1:2">
      <c r="A1" s="1" t="s">
        <v>12591</v>
      </c>
      <c r="B1" t="s">
        <v>12592</v>
      </c>
    </row>
    <row r="2" spans="1:2">
      <c r="A2" s="1" t="s">
        <v>12593</v>
      </c>
      <c r="B2" s="2" t="s">
        <v>12594</v>
      </c>
    </row>
    <row r="3" spans="1:2">
      <c r="B3" s="2" t="s">
        <v>12595</v>
      </c>
    </row>
  </sheetData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样品编号表</vt:lpstr>
      <vt:lpstr>正式编号化纤加工别</vt:lpstr>
      <vt:lpstr>正式编号棉布加工别</vt:lpstr>
      <vt:lpstr>编号规则</vt:lpstr>
      <vt:lpstr>SYL编号表</vt:lpstr>
      <vt:lpstr>剪样</vt:lpstr>
      <vt:lpstr>大货</vt:lpstr>
      <vt:lpstr>留底</vt:lpstr>
      <vt:lpstr>加工厂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公子炎木</cp:lastModifiedBy>
  <dcterms:created xsi:type="dcterms:W3CDTF">2008-09-11T17:22:00Z</dcterms:created>
  <cp:lastPrinted>2022-09-22T06:12:00Z</cp:lastPrinted>
  <dcterms:modified xsi:type="dcterms:W3CDTF">2026-06-08T07:13:18Z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FA19790D8FBB432E9221C5481C8D4B94_13</vt:lpwstr>
  </property>
  <property fmtid="{D5CDD505-2E9C-101B-9397-08002B2CF9AE}" pid="4" name="commondata">
    <vt:lpwstr>eyJoZGlkIjoiMDcwMTk3ZDk2YzFmYWNjNWYxZWU3ZWRlZmE0NGQwOGQifQ==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