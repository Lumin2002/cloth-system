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 firstSheet="11" activeTab="15"/>
  </bookViews>
  <sheets>
    <sheet name="2026-02-27" sheetId="61" r:id="rId1"/>
    <sheet name="2026-02-27 (2)" sheetId="63" r:id="rId2"/>
    <sheet name="2026-03-06" sheetId="64" r:id="rId3"/>
    <sheet name="2026-03-13" sheetId="65" r:id="rId4"/>
    <sheet name="2026-03-13 (2)" sheetId="66" r:id="rId5"/>
    <sheet name="2026-03-3-16" sheetId="67" r:id="rId6"/>
    <sheet name="2026-03-3-16 (2)" sheetId="68" r:id="rId7"/>
    <sheet name="2026-03-20)" sheetId="69" r:id="rId8"/>
    <sheet name="2026-04-10" sheetId="70" r:id="rId9"/>
    <sheet name="2026-04-10公帐" sheetId="72" r:id="rId10"/>
    <sheet name="2026-04-17公账" sheetId="74" r:id="rId11"/>
    <sheet name="2026-04-17私账 " sheetId="75" r:id="rId12"/>
    <sheet name="2026-05-22" sheetId="76" r:id="rId13"/>
    <sheet name="2026-05-29" sheetId="77" r:id="rId14"/>
    <sheet name="2026-05-29私账" sheetId="78" r:id="rId15"/>
    <sheet name="2026-06-5" sheetId="79" r:id="rId16"/>
  </sheets>
  <definedNames>
    <definedName name="_xlnm._FilterDatabase" localSheetId="0" hidden="1">'2026-02-27'!$A$5:$J$9</definedName>
    <definedName name="_xlnm._FilterDatabase" localSheetId="1" hidden="1">'2026-02-27 (2)'!$A$5:$J$7</definedName>
    <definedName name="_xlnm._FilterDatabase" localSheetId="2" hidden="1">'2026-03-06'!$A$5:$J$9</definedName>
    <definedName name="_xlnm._FilterDatabase" localSheetId="3" hidden="1">'2026-03-13'!$A$5:$L$8</definedName>
    <definedName name="_xlnm._FilterDatabase" localSheetId="4" hidden="1">'2026-03-13 (2)'!$A$5:$L$15</definedName>
    <definedName name="_xlnm._FilterDatabase" localSheetId="5" hidden="1">'2026-03-3-16'!$A$5:$L$8</definedName>
    <definedName name="_xlnm._FilterDatabase" localSheetId="6" hidden="1">'2026-03-3-16 (2)'!$A$5:$L$8</definedName>
    <definedName name="_xlnm._FilterDatabase" localSheetId="7" hidden="1">'2026-03-20)'!$A$5:$L$13</definedName>
    <definedName name="_xlnm._FilterDatabase" localSheetId="8" hidden="1">'2026-04-10'!$A$5:$L$9</definedName>
    <definedName name="_xlnm._FilterDatabase" localSheetId="9" hidden="1">'2026-04-10公帐'!$A$5:$L$9</definedName>
    <definedName name="_xlnm._FilterDatabase" localSheetId="10" hidden="1">'2026-04-17公账'!$A$5:$L$16</definedName>
    <definedName name="_xlnm._FilterDatabase" localSheetId="11" hidden="1">'2026-04-17私账 '!$A$5:$L$16</definedName>
    <definedName name="_xlnm._FilterDatabase" localSheetId="12" hidden="1">'2026-05-22'!$A$5:$L$23</definedName>
    <definedName name="_xlnm._FilterDatabase" localSheetId="13" hidden="1">'2026-05-29'!$A$5:$L$9</definedName>
    <definedName name="_xlnm._FilterDatabase" localSheetId="14" hidden="1">'2026-05-29私账'!$A$5:$L$9</definedName>
    <definedName name="_xlnm._FilterDatabase" localSheetId="15" hidden="1">'2026-06-5'!$A$5:$L$11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<sst xmlns="http://schemas.openxmlformats.org/spreadsheetml/2006/main" count="659" uniqueCount="144">
  <si>
    <t>广州市昇奕隆纺织品有限公司</t>
  </si>
  <si>
    <t>对账单</t>
  </si>
  <si>
    <t>BTC</t>
  </si>
  <si>
    <t>对账日期：</t>
  </si>
  <si>
    <t>订单序号</t>
  </si>
  <si>
    <t>款号</t>
  </si>
  <si>
    <t>品名</t>
  </si>
  <si>
    <t>颜色</t>
  </si>
  <si>
    <t>出货日期</t>
  </si>
  <si>
    <t>数量（米）</t>
  </si>
  <si>
    <t>单价</t>
  </si>
  <si>
    <t>单位</t>
  </si>
  <si>
    <t>金额</t>
  </si>
  <si>
    <t>报价形式</t>
  </si>
  <si>
    <t>SY252906</t>
  </si>
  <si>
    <t>米白色</t>
  </si>
  <si>
    <t>元/米</t>
  </si>
  <si>
    <t>现金</t>
  </si>
  <si>
    <t>SY25773</t>
  </si>
  <si>
    <t>261#色</t>
  </si>
  <si>
    <t>合计</t>
  </si>
  <si>
    <t>SY25287</t>
  </si>
  <si>
    <t>1#米白色</t>
  </si>
  <si>
    <t>SY25016</t>
  </si>
  <si>
    <t>送货单号</t>
  </si>
  <si>
    <t>订单号</t>
  </si>
  <si>
    <t>SYL20260313-2</t>
  </si>
  <si>
    <t>SY251062</t>
  </si>
  <si>
    <t>4#黄色</t>
  </si>
  <si>
    <t>SYL20260313-1</t>
  </si>
  <si>
    <t>WACY001111/WACY001106</t>
  </si>
  <si>
    <t>WAT21549C/WAT21550C</t>
  </si>
  <si>
    <t>巧克力色#58</t>
  </si>
  <si>
    <t>开发票+开TC证书</t>
  </si>
  <si>
    <t>WACY001086/WACY001088/WACY001089</t>
  </si>
  <si>
    <t>WAT18510C/WAT21549C/WAT21552C</t>
  </si>
  <si>
    <t>橄榄绿#126</t>
  </si>
  <si>
    <t>WACY001082</t>
  </si>
  <si>
    <t>WAT18510C</t>
  </si>
  <si>
    <t>深宝蓝#47</t>
  </si>
  <si>
    <t>WACY001088/WACY001089</t>
  </si>
  <si>
    <t>WAT21549C/WAT21552C</t>
  </si>
  <si>
    <t>米杏色118</t>
  </si>
  <si>
    <t>SYL20260316-1</t>
  </si>
  <si>
    <t>黑色#50</t>
  </si>
  <si>
    <t>SYL20260316-2</t>
  </si>
  <si>
    <t>SY25776</t>
  </si>
  <si>
    <t>黄色#4</t>
  </si>
  <si>
    <t>SY25738</t>
  </si>
  <si>
    <t>黑色</t>
  </si>
  <si>
    <t>SYL20260327-1</t>
  </si>
  <si>
    <t>SY251663</t>
  </si>
  <si>
    <t>SYL20260327-2</t>
  </si>
  <si>
    <t>SYL20260327-3</t>
  </si>
  <si>
    <t>SYL20260327-4</t>
  </si>
  <si>
    <t>印花24</t>
  </si>
  <si>
    <t>SYL20260327-5</t>
  </si>
  <si>
    <t>SY25775</t>
  </si>
  <si>
    <t>雾蓝花影</t>
  </si>
  <si>
    <t>印花25</t>
  </si>
  <si>
    <t>SYL20260327-6</t>
  </si>
  <si>
    <t>棕褐橘花</t>
  </si>
  <si>
    <t>SYL20260327-7</t>
  </si>
  <si>
    <t>SY26001</t>
  </si>
  <si>
    <t>11#黑白条纹</t>
  </si>
  <si>
    <t>SYL20260407-1</t>
  </si>
  <si>
    <t>SP25050</t>
  </si>
  <si>
    <t>SYL20260407-2</t>
  </si>
  <si>
    <t>SYL20260410-1</t>
  </si>
  <si>
    <t>SY25728</t>
  </si>
  <si>
    <t>30#珊瑚红</t>
  </si>
  <si>
    <t>SYL20260410-2</t>
  </si>
  <si>
    <t>SY252741</t>
  </si>
  <si>
    <t>29#巧克力色</t>
  </si>
  <si>
    <t>SYL20260410-3</t>
  </si>
  <si>
    <t>SYL20260413-1</t>
  </si>
  <si>
    <t>50#黑色</t>
  </si>
  <si>
    <t>SYL20260413-2</t>
  </si>
  <si>
    <t>58#巧克力色</t>
  </si>
  <si>
    <t>SYL20260413-3</t>
  </si>
  <si>
    <t>130#巧克力色</t>
  </si>
  <si>
    <t>SYL20260413-4</t>
  </si>
  <si>
    <t>118#米杏色</t>
  </si>
  <si>
    <t>SYL20260415-1</t>
  </si>
  <si>
    <t>SYL20260415-2</t>
  </si>
  <si>
    <t>40#巧克力色</t>
  </si>
  <si>
    <t>SYL20260416</t>
  </si>
  <si>
    <t>细数</t>
  </si>
  <si>
    <t>SYL20260519-1</t>
  </si>
  <si>
    <t>130#浅蓝色</t>
  </si>
  <si>
    <t>SYL20260519-2</t>
  </si>
  <si>
    <t>115+113</t>
  </si>
  <si>
    <t>SYL20260519-3</t>
  </si>
  <si>
    <t>SYL20260519-4</t>
  </si>
  <si>
    <t>113+108+114+113+109+112+111+101+80</t>
  </si>
  <si>
    <t>SYL20260519-5</t>
  </si>
  <si>
    <t>109+114+115+109+114+114+43</t>
  </si>
  <si>
    <t>SYL20260519-6</t>
  </si>
  <si>
    <t>136#米杏色</t>
  </si>
  <si>
    <t>109+106+81</t>
  </si>
  <si>
    <t>SYL20260519-7</t>
  </si>
  <si>
    <t>9#浅蓝色</t>
  </si>
  <si>
    <t>SYL20260519-8</t>
  </si>
  <si>
    <t>122#酒红色</t>
  </si>
  <si>
    <t>49+114</t>
  </si>
  <si>
    <t>SYL20260519-9</t>
  </si>
  <si>
    <t>58#棕色</t>
  </si>
  <si>
    <t>115+33</t>
  </si>
  <si>
    <t>SYL20260519-10</t>
  </si>
  <si>
    <t>9#浅蓝</t>
  </si>
  <si>
    <t>SYL20260520-1</t>
  </si>
  <si>
    <t>SYL20260520-2</t>
  </si>
  <si>
    <t>SYL20260522-1</t>
  </si>
  <si>
    <t>蓝色#77</t>
  </si>
  <si>
    <t>106+82+103</t>
  </si>
  <si>
    <t>SYL20260522-2</t>
  </si>
  <si>
    <t>黄色#9</t>
  </si>
  <si>
    <t>128+131+128+128</t>
  </si>
  <si>
    <t>SYL20260522-3</t>
  </si>
  <si>
    <t>豆绿色#5</t>
  </si>
  <si>
    <t>SYL20260522-4</t>
  </si>
  <si>
    <t>米杏色#2</t>
  </si>
  <si>
    <t>157+196+179</t>
  </si>
  <si>
    <t>SYL20260522-6</t>
  </si>
  <si>
    <t>SYL20260526</t>
  </si>
  <si>
    <r>
      <rPr>
        <sz val="11"/>
        <color theme="1"/>
        <rFont val="等线"/>
        <charset val="134"/>
        <scheme val="minor"/>
      </rPr>
      <t>78#</t>
    </r>
    <r>
      <rPr>
        <sz val="8"/>
        <color rgb="FF000000"/>
        <rFont val="宋体"/>
        <charset val="134"/>
      </rPr>
      <t>巧克力色</t>
    </r>
  </si>
  <si>
    <t>158+42</t>
  </si>
  <si>
    <t>SYL20260527-1</t>
  </si>
  <si>
    <r>
      <rPr>
        <sz val="9"/>
        <color theme="1"/>
        <rFont val="Arial"/>
        <charset val="134"/>
      </rPr>
      <t>37#</t>
    </r>
    <r>
      <rPr>
        <sz val="9"/>
        <color theme="1"/>
        <rFont val="宋体"/>
        <charset val="134"/>
      </rPr>
      <t>巧克力色</t>
    </r>
  </si>
  <si>
    <t>1卷：190</t>
  </si>
  <si>
    <t>SYL20260601-1</t>
  </si>
  <si>
    <t>46#橄榄绿</t>
  </si>
  <si>
    <t>一卷：160米</t>
  </si>
  <si>
    <t>SYL20260601-2</t>
  </si>
  <si>
    <t>190#黑色</t>
  </si>
  <si>
    <t>三卷：108+
117+76</t>
  </si>
  <si>
    <t>SYL20260601-3</t>
  </si>
  <si>
    <t>162#巧克力色</t>
  </si>
  <si>
    <t>一卷：107米</t>
  </si>
  <si>
    <t>SYL20260605-1</t>
  </si>
  <si>
    <t>4卷：130+122+126+101米</t>
  </si>
  <si>
    <t>SYL20260605-2</t>
  </si>
  <si>
    <t>120#棕色</t>
  </si>
  <si>
    <t>三卷：133+
136+76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</si>
</sst>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2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9"/>
      <color theme="1"/>
      <name val="Arial"/>
      <charset val="134"/>
    </font>
    <font>
      <sz val="10"/>
      <color rgb="FF000000"/>
      <name val="微软雅黑"/>
      <charset val="134"/>
    </font>
    <font>
      <b/>
      <sz val="11"/>
      <name val="宋体"/>
      <charset val="134"/>
    </font>
    <font>
      <b/>
      <sz val="8"/>
      <name val="Calibri"/>
      <charset val="134"/>
    </font>
    <font>
      <sz val="11"/>
      <name val="等线"/>
      <charset val="134"/>
      <scheme val="minor"/>
    </font>
    <font>
      <sz val="9"/>
      <color rgb="FF000000"/>
      <name val="Arial"/>
      <charset val="134"/>
    </font>
    <font>
      <sz val="11"/>
      <color rgb="FF000000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00000"/>
      <name val="宋体"/>
      <charset val="134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 applyFont="1" applyAlignment="1">
      <alignment horizontal="left" vertical="center"/>
    </xf>
    <xf numFmtId="14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58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4" fontId="0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643890</xdr:colOff>
      <xdr:row>9</xdr:row>
      <xdr:rowOff>83185</xdr:rowOff>
    </xdr:from>
    <xdr:to>
      <xdr:col>7</xdr:col>
      <xdr:colOff>99060</xdr:colOff>
      <xdr:row>36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3615" y="2312035"/>
          <a:ext cx="3586480" cy="488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643890</xdr:colOff>
      <xdr:row>7</xdr:row>
      <xdr:rowOff>83185</xdr:rowOff>
    </xdr:from>
    <xdr:to>
      <xdr:col>7</xdr:col>
      <xdr:colOff>99060</xdr:colOff>
      <xdr:row>34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3615" y="1778635"/>
          <a:ext cx="3586480" cy="488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643890</xdr:colOff>
      <xdr:row>9</xdr:row>
      <xdr:rowOff>83185</xdr:rowOff>
    </xdr:from>
    <xdr:to>
      <xdr:col>7</xdr:col>
      <xdr:colOff>99060</xdr:colOff>
      <xdr:row>36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3615" y="2312035"/>
          <a:ext cx="3586480" cy="488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66675</xdr:colOff>
      <xdr:row>9</xdr:row>
      <xdr:rowOff>47625</xdr:rowOff>
    </xdr:from>
    <xdr:to>
      <xdr:col>9</xdr:col>
      <xdr:colOff>407670</xdr:colOff>
      <xdr:row>36</xdr:row>
      <xdr:rowOff>50165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38450" y="2190750"/>
          <a:ext cx="3586480" cy="488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16</xdr:row>
      <xdr:rowOff>95250</xdr:rowOff>
    </xdr:from>
    <xdr:to>
      <xdr:col>11</xdr:col>
      <xdr:colOff>193040</xdr:colOff>
      <xdr:row>45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4105275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9</xdr:row>
      <xdr:rowOff>95250</xdr:rowOff>
    </xdr:from>
    <xdr:to>
      <xdr:col>11</xdr:col>
      <xdr:colOff>193040</xdr:colOff>
      <xdr:row>38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2238375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14</xdr:row>
      <xdr:rowOff>95250</xdr:rowOff>
    </xdr:from>
    <xdr:to>
      <xdr:col>11</xdr:col>
      <xdr:colOff>193040</xdr:colOff>
      <xdr:row>43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3571875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10</xdr:row>
      <xdr:rowOff>95250</xdr:rowOff>
    </xdr:from>
    <xdr:to>
      <xdr:col>11</xdr:col>
      <xdr:colOff>193040</xdr:colOff>
      <xdr:row>39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2505075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10</xdr:row>
      <xdr:rowOff>95250</xdr:rowOff>
    </xdr:from>
    <xdr:to>
      <xdr:col>11</xdr:col>
      <xdr:colOff>193040</xdr:colOff>
      <xdr:row>39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2505075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17</xdr:row>
      <xdr:rowOff>95250</xdr:rowOff>
    </xdr:from>
    <xdr:to>
      <xdr:col>11</xdr:col>
      <xdr:colOff>193040</xdr:colOff>
      <xdr:row>46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411480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17</xdr:row>
      <xdr:rowOff>95250</xdr:rowOff>
    </xdr:from>
    <xdr:to>
      <xdr:col>11</xdr:col>
      <xdr:colOff>193040</xdr:colOff>
      <xdr:row>46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411480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23</xdr:row>
      <xdr:rowOff>95250</xdr:rowOff>
    </xdr:from>
    <xdr:to>
      <xdr:col>11</xdr:col>
      <xdr:colOff>1097915</xdr:colOff>
      <xdr:row>52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5975" y="761365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9</xdr:row>
      <xdr:rowOff>95250</xdr:rowOff>
    </xdr:from>
    <xdr:to>
      <xdr:col>11</xdr:col>
      <xdr:colOff>1097915</xdr:colOff>
      <xdr:row>38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5975" y="226695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9</xdr:row>
      <xdr:rowOff>95250</xdr:rowOff>
    </xdr:from>
    <xdr:to>
      <xdr:col>11</xdr:col>
      <xdr:colOff>1097915</xdr:colOff>
      <xdr:row>38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5975" y="226695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11</xdr:row>
      <xdr:rowOff>95250</xdr:rowOff>
    </xdr:from>
    <xdr:to>
      <xdr:col>11</xdr:col>
      <xdr:colOff>1097915</xdr:colOff>
      <xdr:row>40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5975" y="4057650"/>
          <a:ext cx="685800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"/>
  <sheetViews>
    <sheetView showGridLines="0" view="pageBreakPreview" zoomScaleNormal="100" workbookViewId="0">
      <selection activeCell="K12" sqref="A1:L14"/>
    </sheetView>
  </sheetViews>
  <sheetFormatPr defaultColWidth="9" defaultRowHeight="14.25"/>
  <cols>
    <col min="1" max="1" width="8.875" customWidth="1"/>
    <col min="2" max="2" width="12.25" customWidth="1"/>
    <col min="3" max="3" width="11.625" customWidth="1"/>
    <col min="4" max="4" width="10.2166666666667" customWidth="1"/>
    <col min="5" max="5" width="10.875" customWidth="1"/>
    <col min="6" max="6" width="10.625" customWidth="1"/>
    <col min="7" max="7" width="10.875" customWidth="1"/>
    <col min="8" max="8" width="11" customWidth="1"/>
    <col min="9" max="9" width="13" customWidth="1"/>
    <col min="10" max="10" width="17.3333333333333" customWidth="1"/>
  </cols>
  <sheetData>
    <row r="1" ht="20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B3" s="3"/>
      <c r="C3" s="3"/>
      <c r="D3" s="3"/>
      <c r="E3" s="3"/>
      <c r="F3" s="3"/>
      <c r="G3" s="3"/>
      <c r="H3" s="3"/>
      <c r="I3" s="3"/>
    </row>
    <row r="4" ht="18" spans="1:10">
      <c r="B4" s="4" t="s">
        <v>2</v>
      </c>
      <c r="C4" s="3"/>
      <c r="D4" s="3"/>
      <c r="E4" s="3"/>
      <c r="F4" s="3"/>
      <c r="G4" s="3" t="s">
        <v>3</v>
      </c>
      <c r="H4" s="5">
        <v>46080</v>
      </c>
      <c r="I4" s="6"/>
      <c r="J4" s="3"/>
    </row>
    <row r="5" ht="21" customHeight="1" spans="1:10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7" t="s">
        <v>10</v>
      </c>
      <c r="H5" s="8" t="s">
        <v>11</v>
      </c>
      <c r="I5" s="8" t="s">
        <v>12</v>
      </c>
      <c r="J5" s="8" t="s">
        <v>13</v>
      </c>
    </row>
    <row r="6" s="40" customFormat="1" ht="21" customHeight="1" spans="1:10">
      <c r="A6" s="33">
        <v>208</v>
      </c>
      <c r="B6" s="34"/>
      <c r="C6" s="34" t="s">
        <v>14</v>
      </c>
      <c r="D6" s="34" t="s">
        <v>15</v>
      </c>
      <c r="E6" s="35">
        <v>46080</v>
      </c>
      <c r="F6" s="36">
        <v>4</v>
      </c>
      <c r="G6" s="8">
        <v>32</v>
      </c>
      <c r="H6" s="37" t="s">
        <v>16</v>
      </c>
      <c r="I6" s="37">
        <f>G6*F6</f>
        <v>128</v>
      </c>
      <c r="J6" s="27" t="s">
        <v>17</v>
      </c>
    </row>
    <row r="7" s="40" customFormat="1" ht="21" customHeight="1" spans="1:10">
      <c r="A7" s="33">
        <v>209</v>
      </c>
      <c r="B7" s="34"/>
      <c r="C7" s="34" t="s">
        <v>18</v>
      </c>
      <c r="D7" s="34" t="s">
        <v>19</v>
      </c>
      <c r="E7" s="35">
        <v>46055</v>
      </c>
      <c r="F7" s="36">
        <v>6</v>
      </c>
      <c r="G7" s="8">
        <v>18</v>
      </c>
      <c r="H7" s="37" t="s">
        <v>16</v>
      </c>
      <c r="I7" s="37">
        <f>G7*F7</f>
        <v>108</v>
      </c>
      <c r="J7" s="27" t="s">
        <v>17</v>
      </c>
    </row>
    <row r="8" s="40" customFormat="1" ht="21" customHeight="1" spans="1:10">
      <c r="A8" s="33">
        <v>210</v>
      </c>
      <c r="B8" s="34"/>
      <c r="C8" s="34" t="s">
        <v>18</v>
      </c>
      <c r="D8" s="34" t="s">
        <v>19</v>
      </c>
      <c r="E8" s="35">
        <v>46055</v>
      </c>
      <c r="F8" s="36">
        <v>4</v>
      </c>
      <c r="G8" s="8">
        <v>18</v>
      </c>
      <c r="H8" s="37" t="s">
        <v>16</v>
      </c>
      <c r="I8" s="37">
        <f>G8*F8</f>
        <v>72</v>
      </c>
      <c r="J8" s="27" t="s">
        <v>17</v>
      </c>
    </row>
    <row r="9" ht="21" customHeight="1" spans="1:10">
      <c r="A9" s="8"/>
      <c r="B9" s="18"/>
      <c r="C9" s="12"/>
      <c r="D9" s="12"/>
      <c r="E9" s="14" t="s">
        <v>20</v>
      </c>
      <c r="F9" s="14">
        <f>SUM(F6:F8)</f>
        <v>14</v>
      </c>
      <c r="G9" s="14"/>
      <c r="H9" s="14"/>
      <c r="I9" s="19">
        <f>SUM(I6:I8)</f>
        <v>308</v>
      </c>
      <c r="J9" s="20"/>
    </row>
  </sheetData>
  <autoFilter xmlns:etc="http://www.wps.cn/officeDocument/2017/etCustomData" ref="A5:J9" etc:filterBottomFollowUsedRange="0">
    <extLst/>
  </autoFilter>
  <mergeCells count="2">
    <mergeCell ref="A1:J1"/>
    <mergeCell ref="A2:J2"/>
  </mergeCells>
  <pageMargins left="0.25" right="0.25" top="0.75" bottom="0.75" header="0.3" footer="0.3"/>
  <pageSetup paperSize="9" scale="96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"/>
  <sheetViews>
    <sheetView showGridLines="0" view="pageBreakPreview" zoomScaleNormal="100" topLeftCell="A3" workbookViewId="0">
      <selection activeCell="K12" sqref="A1:L14"/>
    </sheetView>
  </sheetViews>
  <sheetFormatPr defaultColWidth="9" defaultRowHeight="14.25" outlineLevelRow="6"/>
  <cols>
    <col min="1" max="1" width="8.875" customWidth="1"/>
    <col min="2" max="2" width="12.25" customWidth="1"/>
    <col min="3" max="3" width="11.625" customWidth="1"/>
    <col min="4" max="4" width="10.2166666666667" customWidth="1"/>
    <col min="5" max="5" width="10.875" customWidth="1"/>
    <col min="6" max="6" width="10.625" customWidth="1"/>
    <col min="7" max="7" width="10.875" customWidth="1"/>
    <col min="8" max="8" width="11" customWidth="1"/>
    <col min="9" max="9" width="13" customWidth="1"/>
    <col min="10" max="10" width="17.3333333333333" customWidth="1"/>
  </cols>
  <sheetData>
    <row r="1" ht="20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B3" s="3"/>
      <c r="C3" s="3"/>
      <c r="D3" s="3"/>
      <c r="E3" s="3"/>
      <c r="F3" s="3"/>
      <c r="G3" s="3"/>
      <c r="H3" s="3"/>
      <c r="I3" s="3"/>
    </row>
    <row r="4" ht="18" spans="1:10">
      <c r="B4" s="4" t="s">
        <v>2</v>
      </c>
      <c r="C4" s="3"/>
      <c r="D4" s="3"/>
      <c r="E4" s="3"/>
      <c r="F4" s="3"/>
      <c r="G4" s="3" t="s">
        <v>3</v>
      </c>
      <c r="H4" s="5">
        <v>46080</v>
      </c>
      <c r="I4" s="6"/>
      <c r="J4" s="3"/>
    </row>
    <row r="5" ht="21" customHeight="1" spans="1:10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7" t="s">
        <v>10</v>
      </c>
      <c r="H5" s="8" t="s">
        <v>11</v>
      </c>
      <c r="I5" s="8" t="s">
        <v>12</v>
      </c>
      <c r="J5" s="8" t="s">
        <v>13</v>
      </c>
    </row>
    <row r="6" s="40" customFormat="1" ht="21" customHeight="1" spans="1:10">
      <c r="A6" s="33">
        <v>223</v>
      </c>
      <c r="B6" s="34"/>
      <c r="C6" s="34" t="s">
        <v>21</v>
      </c>
      <c r="D6" s="34" t="s">
        <v>22</v>
      </c>
      <c r="E6" s="35">
        <v>46080</v>
      </c>
      <c r="F6" s="36">
        <v>9</v>
      </c>
      <c r="G6" s="8">
        <v>21</v>
      </c>
      <c r="H6" s="37" t="s">
        <v>16</v>
      </c>
      <c r="I6" s="37">
        <f>G6*F6</f>
        <v>189</v>
      </c>
      <c r="J6" s="27" t="s">
        <v>17</v>
      </c>
    </row>
    <row r="7" ht="21" customHeight="1" spans="1:10">
      <c r="A7" s="8"/>
      <c r="B7" s="18"/>
      <c r="C7" s="12"/>
      <c r="D7" s="12"/>
      <c r="E7" s="14" t="s">
        <v>20</v>
      </c>
      <c r="F7" s="14">
        <f>SUM(F6:F6)</f>
        <v>9</v>
      </c>
      <c r="G7" s="14"/>
      <c r="H7" s="14"/>
      <c r="I7" s="19">
        <f>SUM(I6:I6)</f>
        <v>189</v>
      </c>
      <c r="J7" s="20"/>
    </row>
  </sheetData>
  <autoFilter xmlns:etc="http://www.wps.cn/officeDocument/2017/etCustomData" ref="A5:J7" etc:filterBottomFollowUsedRange="0">
    <extLst/>
  </autoFilter>
  <mergeCells count="2">
    <mergeCell ref="A1:J1"/>
    <mergeCell ref="A2:J2"/>
  </mergeCells>
  <pageMargins left="0.25" right="0.25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"/>
  <sheetViews>
    <sheetView showGridLines="0" view="pageBreakPreview" zoomScaleNormal="100" workbookViewId="0">
      <selection activeCell="K12" sqref="A1:L14"/>
    </sheetView>
  </sheetViews>
  <sheetFormatPr defaultColWidth="9" defaultRowHeight="14.25"/>
  <cols>
    <col min="1" max="1" width="8.875" customWidth="1"/>
    <col min="2" max="2" width="12.25" customWidth="1"/>
    <col min="3" max="3" width="11.625" customWidth="1"/>
    <col min="4" max="4" width="10.2166666666667" customWidth="1"/>
    <col min="5" max="5" width="10.875" customWidth="1"/>
    <col min="6" max="6" width="10.625" customWidth="1"/>
    <col min="7" max="7" width="10.875" customWidth="1"/>
    <col min="8" max="8" width="11" customWidth="1"/>
    <col min="9" max="9" width="13" customWidth="1"/>
    <col min="10" max="10" width="17.3333333333333" customWidth="1"/>
  </cols>
  <sheetData>
    <row r="1" ht="20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B3" s="3"/>
      <c r="C3" s="3"/>
      <c r="D3" s="3"/>
      <c r="E3" s="3"/>
      <c r="F3" s="3"/>
      <c r="G3" s="3"/>
      <c r="H3" s="3"/>
      <c r="I3" s="3"/>
    </row>
    <row r="4" ht="18" spans="1:10">
      <c r="B4" s="4" t="s">
        <v>2</v>
      </c>
      <c r="C4" s="3"/>
      <c r="D4" s="3"/>
      <c r="E4" s="3"/>
      <c r="F4" s="3"/>
      <c r="G4" s="3" t="s">
        <v>3</v>
      </c>
      <c r="H4" s="5">
        <v>46087</v>
      </c>
      <c r="I4" s="6"/>
      <c r="J4" s="3"/>
    </row>
    <row r="5" ht="21" customHeight="1" spans="1:10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7" t="s">
        <v>10</v>
      </c>
      <c r="H5" s="8" t="s">
        <v>11</v>
      </c>
      <c r="I5" s="8" t="s">
        <v>12</v>
      </c>
      <c r="J5" s="8" t="s">
        <v>13</v>
      </c>
    </row>
    <row r="6" s="40" customFormat="1" ht="21" customHeight="1" spans="1:10">
      <c r="A6" s="33">
        <v>258</v>
      </c>
      <c r="B6" s="34"/>
      <c r="C6" s="34" t="s">
        <v>23</v>
      </c>
      <c r="D6" s="34" t="s">
        <v>15</v>
      </c>
      <c r="E6" s="35">
        <v>46087</v>
      </c>
      <c r="F6" s="36">
        <v>10</v>
      </c>
      <c r="G6" s="8">
        <v>17</v>
      </c>
      <c r="H6" s="37" t="s">
        <v>16</v>
      </c>
      <c r="I6" s="37">
        <f>G6*F6</f>
        <v>170</v>
      </c>
      <c r="J6" s="27" t="s">
        <v>17</v>
      </c>
    </row>
    <row r="7" customFormat="1" ht="21" customHeight="1" spans="1:10">
      <c r="A7" s="8">
        <v>265</v>
      </c>
      <c r="B7" s="18"/>
      <c r="C7" s="41" t="s">
        <v>14</v>
      </c>
      <c r="D7" s="34" t="s">
        <v>15</v>
      </c>
      <c r="E7" s="35">
        <v>46087</v>
      </c>
      <c r="F7" s="36">
        <v>4</v>
      </c>
      <c r="G7" s="14">
        <v>32</v>
      </c>
      <c r="H7" s="37" t="s">
        <v>16</v>
      </c>
      <c r="I7" s="37">
        <f>G7*F7</f>
        <v>128</v>
      </c>
      <c r="J7" s="27" t="s">
        <v>17</v>
      </c>
    </row>
    <row r="8" customFormat="1" ht="21" customHeight="1" spans="1:10">
      <c r="A8" s="8">
        <v>266</v>
      </c>
      <c r="B8" s="18"/>
      <c r="C8" s="41" t="s">
        <v>14</v>
      </c>
      <c r="D8" s="34" t="s">
        <v>15</v>
      </c>
      <c r="E8" s="35">
        <v>46087</v>
      </c>
      <c r="F8" s="36">
        <v>2</v>
      </c>
      <c r="G8" s="14">
        <v>32</v>
      </c>
      <c r="H8" s="37" t="s">
        <v>16</v>
      </c>
      <c r="I8" s="37">
        <f>G8*F8</f>
        <v>64</v>
      </c>
      <c r="J8" s="27" t="s">
        <v>17</v>
      </c>
    </row>
    <row r="9" ht="21" customHeight="1" spans="1:10">
      <c r="A9" s="8"/>
      <c r="B9" s="18"/>
      <c r="C9" s="12"/>
      <c r="D9" s="12"/>
      <c r="E9" s="14" t="s">
        <v>20</v>
      </c>
      <c r="F9" s="14">
        <f>SUM(F6:F8)</f>
        <v>16</v>
      </c>
      <c r="G9" s="14"/>
      <c r="H9" s="14"/>
      <c r="I9" s="19">
        <f>SUM(I6:I8)</f>
        <v>362</v>
      </c>
      <c r="J9" s="20"/>
    </row>
  </sheetData>
  <autoFilter xmlns:etc="http://www.wps.cn/officeDocument/2017/etCustomData" ref="A5:J9" etc:filterBottomFollowUsedRange="0">
    <extLst/>
  </autoFilter>
  <mergeCells count="2">
    <mergeCell ref="A1:J1"/>
    <mergeCell ref="A2:J2"/>
  </mergeCells>
  <pageMargins left="0.25" right="0.25" top="0.75" bottom="0.75" header="0.3" footer="0.3"/>
  <pageSetup paperSize="9" scale="96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"/>
  <sheetViews>
    <sheetView showGridLines="0" view="pageBreakPreview" zoomScaleNormal="100" workbookViewId="0">
      <selection activeCell="K12" sqref="A1:L14"/>
    </sheetView>
  </sheetViews>
  <sheetFormatPr defaultColWidth="9" defaultRowHeight="14.25" outlineLevelRow="7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46094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8">
        <v>306</v>
      </c>
      <c r="B6" s="34" t="s">
        <v>26</v>
      </c>
      <c r="C6" s="34"/>
      <c r="D6" s="34"/>
      <c r="E6" s="34" t="s">
        <v>27</v>
      </c>
      <c r="F6" s="34" t="s">
        <v>28</v>
      </c>
      <c r="G6" s="35">
        <v>46094</v>
      </c>
      <c r="H6" s="36">
        <v>20</v>
      </c>
      <c r="I6" s="14">
        <v>21</v>
      </c>
      <c r="J6" s="37" t="s">
        <v>16</v>
      </c>
      <c r="K6" s="37">
        <f>I6*H6</f>
        <v>420</v>
      </c>
      <c r="L6" s="27" t="s">
        <v>17</v>
      </c>
    </row>
    <row r="7" customFormat="1" ht="21" customHeight="1" spans="1:12">
      <c r="A7" s="8"/>
      <c r="B7" s="34"/>
      <c r="C7" s="34"/>
      <c r="D7" s="34"/>
      <c r="E7" s="34"/>
      <c r="F7" s="34"/>
      <c r="G7" s="35"/>
      <c r="H7" s="36"/>
      <c r="I7" s="14"/>
      <c r="J7" s="37"/>
      <c r="K7" s="37"/>
      <c r="L7" s="27"/>
    </row>
    <row r="8" ht="21" customHeight="1" spans="1:12">
      <c r="A8" s="8"/>
      <c r="B8" s="18"/>
      <c r="C8" s="18"/>
      <c r="D8" s="18"/>
      <c r="E8" s="12"/>
      <c r="F8" s="12"/>
      <c r="G8" s="14" t="s">
        <v>20</v>
      </c>
      <c r="H8" s="14">
        <f>SUM(H6:H7)</f>
        <v>20</v>
      </c>
      <c r="I8" s="14"/>
      <c r="J8" s="14"/>
      <c r="K8" s="19">
        <f>SUM(K6:K7)</f>
        <v>420</v>
      </c>
      <c r="L8" s="20"/>
    </row>
  </sheetData>
  <autoFilter xmlns:etc="http://www.wps.cn/officeDocument/2017/etCustomData" ref="A5:L8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97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showGridLines="0" view="pageBreakPreview" zoomScaleNormal="100" topLeftCell="A4" workbookViewId="0">
      <selection activeCell="K12" sqref="A1:L14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46094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33">
        <v>269</v>
      </c>
      <c r="B6" s="16" t="s">
        <v>29</v>
      </c>
      <c r="C6" s="34" t="s">
        <v>30</v>
      </c>
      <c r="D6" s="34" t="s">
        <v>31</v>
      </c>
      <c r="E6" s="16" t="s">
        <v>27</v>
      </c>
      <c r="F6" s="34" t="s">
        <v>32</v>
      </c>
      <c r="G6" s="35">
        <v>46094</v>
      </c>
      <c r="H6" s="36">
        <v>101</v>
      </c>
      <c r="I6" s="14">
        <v>13.4</v>
      </c>
      <c r="J6" s="37" t="s">
        <v>16</v>
      </c>
      <c r="K6" s="37">
        <f t="shared" ref="K6:K13" si="0">I6*H6</f>
        <v>1353.4</v>
      </c>
      <c r="L6" s="27" t="s">
        <v>33</v>
      </c>
    </row>
    <row r="7" customFormat="1" ht="21" customHeight="1" spans="1:12">
      <c r="A7" s="33">
        <v>269</v>
      </c>
      <c r="B7" s="32"/>
      <c r="C7" s="34"/>
      <c r="D7" s="34"/>
      <c r="E7" s="32"/>
      <c r="F7" s="34" t="s">
        <v>32</v>
      </c>
      <c r="G7" s="35">
        <v>46094</v>
      </c>
      <c r="H7" s="36">
        <v>108</v>
      </c>
      <c r="I7" s="14">
        <v>13.4</v>
      </c>
      <c r="J7" s="37" t="s">
        <v>16</v>
      </c>
      <c r="K7" s="37">
        <f t="shared" si="0"/>
        <v>1447.2</v>
      </c>
      <c r="L7" s="27" t="s">
        <v>33</v>
      </c>
    </row>
    <row r="8" customFormat="1" ht="21" customHeight="1" spans="1:12">
      <c r="A8" s="33">
        <v>270</v>
      </c>
      <c r="B8" s="32"/>
      <c r="C8" s="34" t="s">
        <v>34</v>
      </c>
      <c r="D8" s="34" t="s">
        <v>35</v>
      </c>
      <c r="E8" s="32"/>
      <c r="F8" s="34" t="s">
        <v>36</v>
      </c>
      <c r="G8" s="35">
        <v>46094</v>
      </c>
      <c r="H8" s="36">
        <v>119</v>
      </c>
      <c r="I8" s="14">
        <v>13.4</v>
      </c>
      <c r="J8" s="37" t="s">
        <v>16</v>
      </c>
      <c r="K8" s="37">
        <f t="shared" si="0"/>
        <v>1594.6</v>
      </c>
      <c r="L8" s="27" t="s">
        <v>33</v>
      </c>
    </row>
    <row r="9" customFormat="1" ht="21" customHeight="1" spans="1:12">
      <c r="A9" s="33">
        <v>270</v>
      </c>
      <c r="B9" s="32"/>
      <c r="C9" s="34"/>
      <c r="D9" s="34"/>
      <c r="E9" s="32"/>
      <c r="F9" s="34" t="s">
        <v>36</v>
      </c>
      <c r="G9" s="35">
        <v>46094</v>
      </c>
      <c r="H9" s="36">
        <v>121</v>
      </c>
      <c r="I9" s="14">
        <v>13.4</v>
      </c>
      <c r="J9" s="37" t="s">
        <v>16</v>
      </c>
      <c r="K9" s="37">
        <f t="shared" si="0"/>
        <v>1621.4</v>
      </c>
      <c r="L9" s="27" t="s">
        <v>33</v>
      </c>
    </row>
    <row r="10" customFormat="1" ht="21" customHeight="1" spans="1:12">
      <c r="A10" s="33">
        <v>270</v>
      </c>
      <c r="B10" s="32"/>
      <c r="C10" s="34"/>
      <c r="D10" s="34"/>
      <c r="E10" s="32"/>
      <c r="F10" s="34" t="s">
        <v>36</v>
      </c>
      <c r="G10" s="35">
        <v>46094</v>
      </c>
      <c r="H10" s="36">
        <v>71</v>
      </c>
      <c r="I10" s="14">
        <v>13.4</v>
      </c>
      <c r="J10" s="37" t="s">
        <v>16</v>
      </c>
      <c r="K10" s="37">
        <f t="shared" si="0"/>
        <v>951.4</v>
      </c>
      <c r="L10" s="27" t="s">
        <v>33</v>
      </c>
    </row>
    <row r="11" customFormat="1" ht="21" customHeight="1" spans="1:12">
      <c r="A11" s="33">
        <v>271</v>
      </c>
      <c r="B11" s="32"/>
      <c r="C11" s="34" t="s">
        <v>37</v>
      </c>
      <c r="D11" s="34" t="s">
        <v>38</v>
      </c>
      <c r="E11" s="32"/>
      <c r="F11" s="34" t="s">
        <v>39</v>
      </c>
      <c r="G11" s="35">
        <v>46094</v>
      </c>
      <c r="H11" s="36">
        <v>130</v>
      </c>
      <c r="I11" s="14">
        <v>13.4</v>
      </c>
      <c r="J11" s="37" t="s">
        <v>16</v>
      </c>
      <c r="K11" s="37">
        <f t="shared" si="0"/>
        <v>1742</v>
      </c>
      <c r="L11" s="27" t="s">
        <v>33</v>
      </c>
    </row>
    <row r="12" customFormat="1" ht="21" customHeight="1" spans="1:12">
      <c r="A12" s="33">
        <v>272</v>
      </c>
      <c r="B12" s="32"/>
      <c r="C12" s="34" t="s">
        <v>40</v>
      </c>
      <c r="D12" s="34" t="s">
        <v>41</v>
      </c>
      <c r="E12" s="32"/>
      <c r="F12" s="34" t="s">
        <v>42</v>
      </c>
      <c r="G12" s="35">
        <v>46094</v>
      </c>
      <c r="H12" s="36">
        <v>116</v>
      </c>
      <c r="I12" s="14">
        <v>13.4</v>
      </c>
      <c r="J12" s="37" t="s">
        <v>16</v>
      </c>
      <c r="K12" s="37">
        <f t="shared" si="0"/>
        <v>1554.4</v>
      </c>
      <c r="L12" s="27" t="s">
        <v>33</v>
      </c>
    </row>
    <row r="13" customFormat="1" ht="21" customHeight="1" spans="1:12">
      <c r="A13" s="33">
        <v>272</v>
      </c>
      <c r="B13" s="38"/>
      <c r="C13" s="34"/>
      <c r="D13" s="34"/>
      <c r="E13" s="39"/>
      <c r="F13" s="34" t="s">
        <v>42</v>
      </c>
      <c r="G13" s="35">
        <v>46094</v>
      </c>
      <c r="H13" s="36">
        <v>52</v>
      </c>
      <c r="I13" s="14">
        <v>13.4</v>
      </c>
      <c r="J13" s="37" t="s">
        <v>16</v>
      </c>
      <c r="K13" s="37">
        <f t="shared" si="0"/>
        <v>696.8</v>
      </c>
      <c r="L13" s="27" t="s">
        <v>33</v>
      </c>
    </row>
    <row r="14" customFormat="1" ht="21" customHeight="1" spans="1:12">
      <c r="A14" s="33"/>
      <c r="B14" s="34"/>
      <c r="C14" s="34"/>
      <c r="D14" s="34"/>
      <c r="E14" s="34"/>
      <c r="F14" s="34"/>
      <c r="G14" s="35"/>
      <c r="H14" s="36"/>
      <c r="I14" s="14"/>
      <c r="J14" s="37"/>
      <c r="K14" s="37"/>
      <c r="L14" s="27"/>
    </row>
    <row r="15" ht="21" customHeight="1" spans="1:12">
      <c r="A15" s="8"/>
      <c r="B15" s="18"/>
      <c r="C15" s="18"/>
      <c r="D15" s="18"/>
      <c r="E15" s="12"/>
      <c r="F15" s="12"/>
      <c r="G15" s="14" t="s">
        <v>20</v>
      </c>
      <c r="H15" s="14">
        <f>SUM(H6:H14)</f>
        <v>818</v>
      </c>
      <c r="I15" s="14"/>
      <c r="J15" s="14"/>
      <c r="K15" s="19">
        <f>SUM(K6:K14)</f>
        <v>10961.2</v>
      </c>
      <c r="L15" s="20"/>
    </row>
  </sheetData>
  <autoFilter xmlns:etc="http://www.wps.cn/officeDocument/2017/etCustomData" ref="A5:L15" etc:filterBottomFollowUsedRange="0">
    <extLst/>
  </autoFilter>
  <mergeCells count="4">
    <mergeCell ref="A1:L1"/>
    <mergeCell ref="A2:L2"/>
    <mergeCell ref="B6:B13"/>
    <mergeCell ref="E6:E13"/>
  </mergeCells>
  <pageMargins left="0.25" right="0.25" top="0.75" bottom="0.75" header="0.3" footer="0.3"/>
  <pageSetup paperSize="9" scale="74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"/>
  <sheetViews>
    <sheetView showGridLines="0" view="pageBreakPreview" zoomScaleNormal="100" workbookViewId="0">
      <selection activeCell="K12" sqref="A1:L14"/>
    </sheetView>
  </sheetViews>
  <sheetFormatPr defaultColWidth="9" defaultRowHeight="14.25" outlineLevelRow="7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46097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33">
        <v>268</v>
      </c>
      <c r="B6" s="16" t="s">
        <v>43</v>
      </c>
      <c r="C6" s="34" t="s">
        <v>30</v>
      </c>
      <c r="D6" s="34" t="s">
        <v>31</v>
      </c>
      <c r="E6" s="16" t="s">
        <v>27</v>
      </c>
      <c r="F6" s="34" t="s">
        <v>44</v>
      </c>
      <c r="G6" s="35">
        <v>46095</v>
      </c>
      <c r="H6" s="36">
        <v>140</v>
      </c>
      <c r="I6" s="14">
        <v>13.4</v>
      </c>
      <c r="J6" s="37" t="s">
        <v>16</v>
      </c>
      <c r="K6" s="37">
        <f>I6*H6</f>
        <v>1876</v>
      </c>
      <c r="L6" s="27" t="s">
        <v>33</v>
      </c>
    </row>
    <row r="7" customFormat="1" ht="21" customHeight="1" spans="1:12">
      <c r="A7" s="33"/>
      <c r="B7" s="34"/>
      <c r="C7" s="34"/>
      <c r="D7" s="34"/>
      <c r="E7" s="34"/>
      <c r="F7" s="34"/>
      <c r="G7" s="35"/>
      <c r="H7" s="36"/>
      <c r="I7" s="14"/>
      <c r="J7" s="37"/>
      <c r="K7" s="37"/>
      <c r="L7" s="27"/>
    </row>
    <row r="8" ht="21" customHeight="1" spans="1:12">
      <c r="A8" s="8"/>
      <c r="B8" s="18"/>
      <c r="C8" s="18"/>
      <c r="D8" s="18"/>
      <c r="E8" s="12"/>
      <c r="F8" s="12"/>
      <c r="G8" s="14" t="s">
        <v>20</v>
      </c>
      <c r="H8" s="14">
        <f>SUM(H6:H7)</f>
        <v>140</v>
      </c>
      <c r="I8" s="14"/>
      <c r="J8" s="14"/>
      <c r="K8" s="19">
        <f>SUM(K6:K7)</f>
        <v>1876</v>
      </c>
      <c r="L8" s="20"/>
    </row>
  </sheetData>
  <autoFilter xmlns:etc="http://www.wps.cn/officeDocument/2017/etCustomData" ref="A5:L8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92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"/>
  <sheetViews>
    <sheetView showGridLines="0" view="pageBreakPreview" zoomScaleNormal="100" workbookViewId="0">
      <selection activeCell="K12" sqref="A1:L14"/>
    </sheetView>
  </sheetViews>
  <sheetFormatPr defaultColWidth="9" defaultRowHeight="14.25" outlineLevelRow="7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46097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16">
        <v>285</v>
      </c>
      <c r="B6" s="16" t="s">
        <v>45</v>
      </c>
      <c r="C6" s="16" t="s">
        <v>30</v>
      </c>
      <c r="D6" s="16" t="s">
        <v>31</v>
      </c>
      <c r="E6" s="16" t="s">
        <v>46</v>
      </c>
      <c r="F6" s="16" t="s">
        <v>47</v>
      </c>
      <c r="G6" s="16">
        <v>46095</v>
      </c>
      <c r="H6" s="16">
        <v>4</v>
      </c>
      <c r="I6" s="16">
        <v>17</v>
      </c>
      <c r="J6" s="16" t="s">
        <v>16</v>
      </c>
      <c r="K6" s="16">
        <f>I6*H6</f>
        <v>68</v>
      </c>
      <c r="L6" s="16" t="s">
        <v>17</v>
      </c>
    </row>
    <row r="7" customFormat="1" ht="21" customHeight="1" spans="1:12">
      <c r="A7" s="16">
        <v>286</v>
      </c>
      <c r="B7" s="32"/>
      <c r="C7" s="16"/>
      <c r="D7" s="16"/>
      <c r="E7" s="16" t="s">
        <v>48</v>
      </c>
      <c r="F7" s="16" t="s">
        <v>49</v>
      </c>
      <c r="G7" s="16">
        <v>46095</v>
      </c>
      <c r="H7" s="16">
        <v>4</v>
      </c>
      <c r="I7" s="16">
        <v>20</v>
      </c>
      <c r="J7" s="16" t="s">
        <v>16</v>
      </c>
      <c r="K7" s="16">
        <f>I7*H7</f>
        <v>80</v>
      </c>
      <c r="L7" s="16" t="s">
        <v>17</v>
      </c>
    </row>
    <row r="8" ht="21" customHeight="1" spans="1:12">
      <c r="A8" s="8"/>
      <c r="B8" s="18"/>
      <c r="C8" s="18"/>
      <c r="D8" s="18"/>
      <c r="E8" s="12"/>
      <c r="F8" s="12"/>
      <c r="G8" s="14" t="s">
        <v>20</v>
      </c>
      <c r="H8" s="14">
        <f>SUM(H6:H7)</f>
        <v>8</v>
      </c>
      <c r="I8" s="14"/>
      <c r="J8" s="14"/>
      <c r="K8" s="19">
        <f>SUM(K6:K7)</f>
        <v>148</v>
      </c>
      <c r="L8" s="20"/>
    </row>
  </sheetData>
  <autoFilter xmlns:etc="http://www.wps.cn/officeDocument/2017/etCustomData" ref="A5:L8" etc:filterBottomFollowUsedRange="0">
    <extLst/>
  </autoFilter>
  <mergeCells count="3">
    <mergeCell ref="A1:L1"/>
    <mergeCell ref="A2:L2"/>
    <mergeCell ref="B6:B7"/>
  </mergeCells>
  <pageMargins left="0.25" right="0.25" top="0.75" bottom="0.75" header="0.3" footer="0.3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showGridLines="0" view="pageBreakPreview" zoomScaleNormal="100" workbookViewId="0">
      <selection activeCell="K12" sqref="A1:L14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46108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16">
        <v>365</v>
      </c>
      <c r="B6" s="16" t="s">
        <v>50</v>
      </c>
      <c r="C6" s="16" t="s">
        <v>30</v>
      </c>
      <c r="D6" s="16" t="s">
        <v>31</v>
      </c>
      <c r="E6" s="16" t="s">
        <v>51</v>
      </c>
      <c r="F6" s="16" t="s">
        <v>49</v>
      </c>
      <c r="G6" s="13">
        <v>46105</v>
      </c>
      <c r="H6" s="16">
        <v>4</v>
      </c>
      <c r="I6" s="16">
        <v>22</v>
      </c>
      <c r="J6" s="16" t="s">
        <v>16</v>
      </c>
      <c r="K6" s="16">
        <f>I6*H6</f>
        <v>88</v>
      </c>
      <c r="L6" s="16" t="s">
        <v>17</v>
      </c>
    </row>
    <row r="7" customFormat="1" ht="21" customHeight="1" spans="1:12">
      <c r="A7" s="16">
        <v>369</v>
      </c>
      <c r="B7" s="16" t="s">
        <v>52</v>
      </c>
      <c r="C7" s="16" t="s">
        <v>30</v>
      </c>
      <c r="D7" s="16" t="s">
        <v>31</v>
      </c>
      <c r="E7" s="16" t="s">
        <v>18</v>
      </c>
      <c r="F7" s="16" t="s">
        <v>22</v>
      </c>
      <c r="G7" s="13">
        <v>46108</v>
      </c>
      <c r="H7" s="16">
        <v>20</v>
      </c>
      <c r="I7" s="16">
        <v>18</v>
      </c>
      <c r="J7" s="16" t="s">
        <v>16</v>
      </c>
      <c r="K7" s="16">
        <f>I7*H7</f>
        <v>360</v>
      </c>
      <c r="L7" s="16" t="s">
        <v>17</v>
      </c>
    </row>
    <row r="8" customFormat="1" ht="21" customHeight="1" spans="1:12">
      <c r="A8" s="16">
        <v>374</v>
      </c>
      <c r="B8" s="16" t="s">
        <v>53</v>
      </c>
      <c r="C8" s="16" t="s">
        <v>30</v>
      </c>
      <c r="D8" s="16" t="s">
        <v>31</v>
      </c>
      <c r="E8" s="16" t="s">
        <v>14</v>
      </c>
      <c r="F8" s="16" t="s">
        <v>15</v>
      </c>
      <c r="G8" s="13">
        <v>46108</v>
      </c>
      <c r="H8" s="16">
        <v>4</v>
      </c>
      <c r="I8" s="16">
        <v>32</v>
      </c>
      <c r="J8" s="16" t="s">
        <v>16</v>
      </c>
      <c r="K8" s="16">
        <f>H8*I8</f>
        <v>128</v>
      </c>
      <c r="L8" s="16" t="s">
        <v>17</v>
      </c>
    </row>
    <row r="9" customFormat="1" ht="21" customHeight="1" spans="1:12">
      <c r="A9" s="16">
        <v>375</v>
      </c>
      <c r="B9" s="16" t="s">
        <v>54</v>
      </c>
      <c r="C9" s="16" t="s">
        <v>30</v>
      </c>
      <c r="D9" s="16" t="s">
        <v>31</v>
      </c>
      <c r="E9" s="16" t="s">
        <v>18</v>
      </c>
      <c r="F9" s="16" t="s">
        <v>15</v>
      </c>
      <c r="G9" s="13">
        <v>46108</v>
      </c>
      <c r="H9" s="16">
        <v>3</v>
      </c>
      <c r="I9" s="16">
        <v>19</v>
      </c>
      <c r="J9" s="16" t="s">
        <v>16</v>
      </c>
      <c r="K9" s="16">
        <f>I9*H9</f>
        <v>57</v>
      </c>
      <c r="L9" s="16" t="s">
        <v>17</v>
      </c>
    </row>
    <row r="10" customFormat="1" ht="21" customHeight="1" spans="1:12">
      <c r="A10" s="16" t="s">
        <v>55</v>
      </c>
      <c r="B10" s="16" t="s">
        <v>56</v>
      </c>
      <c r="C10" s="16" t="s">
        <v>30</v>
      </c>
      <c r="D10" s="16" t="s">
        <v>31</v>
      </c>
      <c r="E10" s="16" t="s">
        <v>57</v>
      </c>
      <c r="F10" s="16" t="s">
        <v>58</v>
      </c>
      <c r="G10" s="13">
        <v>46108</v>
      </c>
      <c r="H10" s="16">
        <v>7</v>
      </c>
      <c r="I10" s="16">
        <v>22.3</v>
      </c>
      <c r="J10" s="16" t="s">
        <v>16</v>
      </c>
      <c r="K10" s="16">
        <f t="shared" ref="K9:K12" si="0">I10*H10</f>
        <v>156.1</v>
      </c>
      <c r="L10" s="16" t="s">
        <v>17</v>
      </c>
    </row>
    <row r="11" customFormat="1" ht="21" customHeight="1" spans="1:12">
      <c r="A11" s="16" t="s">
        <v>59</v>
      </c>
      <c r="B11" s="16" t="s">
        <v>60</v>
      </c>
      <c r="C11" s="16" t="s">
        <v>30</v>
      </c>
      <c r="D11" s="16" t="s">
        <v>31</v>
      </c>
      <c r="E11" s="16" t="s">
        <v>57</v>
      </c>
      <c r="F11" s="16" t="s">
        <v>61</v>
      </c>
      <c r="G11" s="13">
        <v>46108</v>
      </c>
      <c r="H11" s="16">
        <v>8</v>
      </c>
      <c r="I11" s="16">
        <v>22.3</v>
      </c>
      <c r="J11" s="16" t="s">
        <v>16</v>
      </c>
      <c r="K11" s="16">
        <f t="shared" si="0"/>
        <v>178.4</v>
      </c>
      <c r="L11" s="16" t="s">
        <v>17</v>
      </c>
    </row>
    <row r="12" customFormat="1" ht="21" customHeight="1" spans="1:12">
      <c r="A12" s="16">
        <v>366</v>
      </c>
      <c r="B12" s="16" t="s">
        <v>62</v>
      </c>
      <c r="C12" s="16" t="s">
        <v>30</v>
      </c>
      <c r="D12" s="16" t="s">
        <v>31</v>
      </c>
      <c r="E12" s="16" t="s">
        <v>63</v>
      </c>
      <c r="F12" s="16" t="s">
        <v>64</v>
      </c>
      <c r="G12" s="13">
        <v>46108</v>
      </c>
      <c r="H12" s="16">
        <v>75</v>
      </c>
      <c r="I12" s="16">
        <v>20.5</v>
      </c>
      <c r="J12" s="16" t="s">
        <v>16</v>
      </c>
      <c r="K12" s="16">
        <f t="shared" si="0"/>
        <v>1537.5</v>
      </c>
      <c r="L12" s="16" t="s">
        <v>17</v>
      </c>
    </row>
    <row r="13" ht="21" customHeight="1" spans="1:12">
      <c r="A13" s="8"/>
      <c r="B13" s="18"/>
      <c r="C13" s="18"/>
      <c r="D13" s="18"/>
      <c r="E13" s="12"/>
      <c r="F13" s="12"/>
      <c r="G13" s="14" t="s">
        <v>20</v>
      </c>
      <c r="H13" s="14">
        <f>SUM(H6:H12)</f>
        <v>121</v>
      </c>
      <c r="I13" s="14"/>
      <c r="J13" s="14"/>
      <c r="K13" s="19">
        <f>SUM(K6:K12)</f>
        <v>2505</v>
      </c>
      <c r="L13" s="20"/>
    </row>
  </sheetData>
  <autoFilter xmlns:etc="http://www.wps.cn/officeDocument/2017/etCustomData" ref="A5:L13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7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"/>
  <sheetViews>
    <sheetView showGridLines="0" view="pageBreakPreview" zoomScaleNormal="100" workbookViewId="0">
      <selection activeCell="K12" sqref="A1:L14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46122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16">
        <v>450</v>
      </c>
      <c r="B6" s="16" t="s">
        <v>65</v>
      </c>
      <c r="C6" s="16" t="s">
        <v>30</v>
      </c>
      <c r="D6" s="16" t="s">
        <v>31</v>
      </c>
      <c r="E6" s="16" t="s">
        <v>66</v>
      </c>
      <c r="F6" s="16" t="s">
        <v>15</v>
      </c>
      <c r="G6" s="13">
        <v>46119</v>
      </c>
      <c r="H6" s="16">
        <v>4</v>
      </c>
      <c r="I6" s="16">
        <v>26</v>
      </c>
      <c r="J6" s="16" t="s">
        <v>16</v>
      </c>
      <c r="K6" s="16">
        <v>104</v>
      </c>
      <c r="L6" s="16" t="s">
        <v>17</v>
      </c>
    </row>
    <row r="7" customFormat="1" ht="21" customHeight="1" spans="1:12">
      <c r="A7" s="16">
        <v>451</v>
      </c>
      <c r="B7" s="16" t="s">
        <v>67</v>
      </c>
      <c r="C7" s="16" t="s">
        <v>30</v>
      </c>
      <c r="D7" s="16" t="s">
        <v>31</v>
      </c>
      <c r="E7" s="16" t="s">
        <v>18</v>
      </c>
      <c r="F7" s="16" t="s">
        <v>15</v>
      </c>
      <c r="G7" s="13">
        <v>46119</v>
      </c>
      <c r="H7" s="16">
        <v>20</v>
      </c>
      <c r="I7" s="16">
        <v>18</v>
      </c>
      <c r="J7" s="16" t="s">
        <v>16</v>
      </c>
      <c r="K7" s="16">
        <v>360</v>
      </c>
      <c r="L7" s="16" t="s">
        <v>17</v>
      </c>
    </row>
    <row r="8" customFormat="1" ht="21" customHeight="1" spans="1:12">
      <c r="A8" s="7"/>
      <c r="B8" s="10"/>
      <c r="C8" s="10"/>
      <c r="D8" s="10"/>
      <c r="E8" s="11"/>
      <c r="F8" s="11"/>
      <c r="G8" s="15"/>
      <c r="H8" s="15"/>
      <c r="I8" s="15"/>
      <c r="J8" s="15"/>
      <c r="K8" s="22"/>
      <c r="L8" s="23"/>
    </row>
    <row r="9" ht="21" customHeight="1" spans="1:12">
      <c r="A9" s="8"/>
      <c r="B9" s="18"/>
      <c r="C9" s="18"/>
      <c r="D9" s="18"/>
      <c r="E9" s="12"/>
      <c r="F9" s="12"/>
      <c r="G9" s="14" t="s">
        <v>20</v>
      </c>
      <c r="H9" s="14">
        <f>SUM(H6:H7)</f>
        <v>24</v>
      </c>
      <c r="I9" s="14"/>
      <c r="J9" s="14"/>
      <c r="K9" s="19">
        <f>SUM(K6:K7)</f>
        <v>464</v>
      </c>
      <c r="L9" s="20"/>
    </row>
  </sheetData>
  <autoFilter xmlns:etc="http://www.wps.cn/officeDocument/2017/etCustomData" ref="A5:L9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8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"/>
  <sheetViews>
    <sheetView showGridLines="0" view="pageBreakPreview" zoomScaleNormal="100" workbookViewId="0">
      <selection activeCell="K12" sqref="A1:L14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46122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16">
        <v>420</v>
      </c>
      <c r="B6" s="16" t="s">
        <v>68</v>
      </c>
      <c r="C6" s="16" t="s">
        <v>30</v>
      </c>
      <c r="D6" s="16" t="s">
        <v>31</v>
      </c>
      <c r="E6" s="16" t="s">
        <v>69</v>
      </c>
      <c r="F6" s="16" t="s">
        <v>70</v>
      </c>
      <c r="G6" s="13">
        <v>46121</v>
      </c>
      <c r="H6" s="16">
        <v>50</v>
      </c>
      <c r="I6" s="16">
        <v>14.4</v>
      </c>
      <c r="J6" s="16" t="s">
        <v>16</v>
      </c>
      <c r="K6" s="16">
        <v>720</v>
      </c>
      <c r="L6" s="27" t="s">
        <v>33</v>
      </c>
    </row>
    <row r="7" customFormat="1" ht="21" customHeight="1" spans="1:12">
      <c r="A7" s="16">
        <v>460</v>
      </c>
      <c r="B7" s="16" t="s">
        <v>71</v>
      </c>
      <c r="C7" s="16" t="s">
        <v>30</v>
      </c>
      <c r="D7" s="16" t="s">
        <v>31</v>
      </c>
      <c r="E7" s="16" t="s">
        <v>72</v>
      </c>
      <c r="F7" s="16" t="s">
        <v>73</v>
      </c>
      <c r="G7" s="13">
        <v>46122</v>
      </c>
      <c r="H7" s="16">
        <v>71</v>
      </c>
      <c r="I7" s="16">
        <v>15.7</v>
      </c>
      <c r="J7" s="16" t="s">
        <v>16</v>
      </c>
      <c r="K7" s="16">
        <v>1114.7</v>
      </c>
      <c r="L7" s="27" t="s">
        <v>33</v>
      </c>
    </row>
    <row r="8" customFormat="1" ht="21" customHeight="1" spans="1:12">
      <c r="A8" s="16">
        <v>461</v>
      </c>
      <c r="B8" s="16" t="s">
        <v>74</v>
      </c>
      <c r="C8" s="16" t="s">
        <v>30</v>
      </c>
      <c r="D8" s="16" t="s">
        <v>31</v>
      </c>
      <c r="E8" s="16" t="s">
        <v>72</v>
      </c>
      <c r="F8" s="16" t="s">
        <v>73</v>
      </c>
      <c r="G8" s="13">
        <v>46122</v>
      </c>
      <c r="H8" s="16">
        <v>70</v>
      </c>
      <c r="I8" s="16">
        <v>15.7</v>
      </c>
      <c r="J8" s="16" t="s">
        <v>16</v>
      </c>
      <c r="K8" s="16">
        <f>I8*H8</f>
        <v>1099</v>
      </c>
      <c r="L8" s="27" t="s">
        <v>33</v>
      </c>
    </row>
    <row r="9" ht="21" customHeight="1" spans="1:12">
      <c r="A9" s="8"/>
      <c r="B9" s="18"/>
      <c r="C9" s="18"/>
      <c r="D9" s="18"/>
      <c r="E9" s="12"/>
      <c r="F9" s="12"/>
      <c r="G9" s="14" t="s">
        <v>20</v>
      </c>
      <c r="H9" s="14">
        <f>SUM(H6:H8)</f>
        <v>191</v>
      </c>
      <c r="I9" s="14"/>
      <c r="J9" s="14"/>
      <c r="K9" s="19">
        <f>SUM(K6:K8)</f>
        <v>2933.7</v>
      </c>
      <c r="L9" s="20"/>
    </row>
  </sheetData>
  <autoFilter xmlns:etc="http://www.wps.cn/officeDocument/2017/etCustomData" ref="A5:L9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8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6"/>
  <sheetViews>
    <sheetView showGridLines="0" view="pageBreakPreview" zoomScaleNormal="100" workbookViewId="0">
      <selection activeCell="O10" sqref="O10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46122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7">
        <v>452</v>
      </c>
      <c r="B6" s="10" t="s">
        <v>75</v>
      </c>
      <c r="C6" s="10"/>
      <c r="D6" s="10"/>
      <c r="E6" s="11" t="s">
        <v>27</v>
      </c>
      <c r="F6" s="13" t="s">
        <v>76</v>
      </c>
      <c r="G6" s="13">
        <v>46125</v>
      </c>
      <c r="H6" s="30">
        <v>749</v>
      </c>
      <c r="I6" s="16">
        <v>13.4</v>
      </c>
      <c r="J6" s="16" t="s">
        <v>16</v>
      </c>
      <c r="K6" s="16">
        <f t="shared" ref="K6:K12" si="0">I6*H6</f>
        <v>10036.6</v>
      </c>
      <c r="L6" s="16" t="s">
        <v>33</v>
      </c>
    </row>
    <row r="7" customFormat="1" ht="21" customHeight="1" spans="1:12">
      <c r="A7" s="7">
        <v>453</v>
      </c>
      <c r="B7" s="10" t="s">
        <v>77</v>
      </c>
      <c r="C7" s="10"/>
      <c r="D7" s="10"/>
      <c r="E7" s="11" t="s">
        <v>27</v>
      </c>
      <c r="F7" s="13" t="s">
        <v>78</v>
      </c>
      <c r="G7" s="13">
        <v>46125</v>
      </c>
      <c r="H7" s="30">
        <v>109</v>
      </c>
      <c r="I7" s="16">
        <v>13.4</v>
      </c>
      <c r="J7" s="16" t="s">
        <v>16</v>
      </c>
      <c r="K7" s="16">
        <f t="shared" si="0"/>
        <v>1460.6</v>
      </c>
      <c r="L7" s="16" t="s">
        <v>33</v>
      </c>
    </row>
    <row r="8" customFormat="1" ht="21" customHeight="1" spans="1:12">
      <c r="A8" s="7">
        <v>454</v>
      </c>
      <c r="B8" s="10" t="s">
        <v>79</v>
      </c>
      <c r="C8" s="10"/>
      <c r="D8" s="10"/>
      <c r="E8" s="11" t="s">
        <v>27</v>
      </c>
      <c r="F8" s="13" t="s">
        <v>80</v>
      </c>
      <c r="G8" s="13">
        <v>46125</v>
      </c>
      <c r="H8" s="30">
        <v>408</v>
      </c>
      <c r="I8" s="16">
        <v>13.4</v>
      </c>
      <c r="J8" s="16" t="s">
        <v>16</v>
      </c>
      <c r="K8" s="16">
        <f t="shared" si="0"/>
        <v>5467.2</v>
      </c>
      <c r="L8" s="16" t="s">
        <v>33</v>
      </c>
    </row>
    <row r="9" customFormat="1" ht="21" customHeight="1" spans="1:12">
      <c r="A9" s="7">
        <v>455</v>
      </c>
      <c r="B9" s="10" t="s">
        <v>81</v>
      </c>
      <c r="C9" s="10"/>
      <c r="D9" s="10"/>
      <c r="E9" s="11" t="s">
        <v>27</v>
      </c>
      <c r="F9" s="13" t="s">
        <v>82</v>
      </c>
      <c r="G9" s="13">
        <v>46125</v>
      </c>
      <c r="H9" s="31">
        <v>140</v>
      </c>
      <c r="I9" s="16">
        <v>13.4</v>
      </c>
      <c r="J9" s="16" t="s">
        <v>16</v>
      </c>
      <c r="K9" s="16">
        <f t="shared" si="0"/>
        <v>1876</v>
      </c>
      <c r="L9" s="16" t="s">
        <v>33</v>
      </c>
    </row>
    <row r="10" customFormat="1" ht="21" customHeight="1" spans="1:12">
      <c r="A10" s="7">
        <v>501</v>
      </c>
      <c r="B10" s="10" t="s">
        <v>83</v>
      </c>
      <c r="C10" s="10"/>
      <c r="D10" s="10"/>
      <c r="E10" s="11" t="s">
        <v>14</v>
      </c>
      <c r="F10" s="13" t="s">
        <v>49</v>
      </c>
      <c r="G10" s="13">
        <v>46127</v>
      </c>
      <c r="H10" s="30">
        <v>226</v>
      </c>
      <c r="I10" s="16">
        <v>18.9</v>
      </c>
      <c r="J10" s="16" t="s">
        <v>16</v>
      </c>
      <c r="K10" s="16">
        <f t="shared" si="0"/>
        <v>4271.4</v>
      </c>
      <c r="L10" s="16" t="s">
        <v>33</v>
      </c>
    </row>
    <row r="11" customFormat="1" ht="21" customHeight="1" spans="1:12">
      <c r="A11" s="7">
        <v>502</v>
      </c>
      <c r="B11" s="10" t="s">
        <v>84</v>
      </c>
      <c r="C11" s="10"/>
      <c r="D11" s="10"/>
      <c r="E11" s="11" t="s">
        <v>14</v>
      </c>
      <c r="F11" s="13" t="s">
        <v>85</v>
      </c>
      <c r="G11" s="13">
        <v>46127</v>
      </c>
      <c r="H11" s="30">
        <v>157</v>
      </c>
      <c r="I11" s="16">
        <v>18.9</v>
      </c>
      <c r="J11" s="16" t="s">
        <v>16</v>
      </c>
      <c r="K11" s="16">
        <f t="shared" si="0"/>
        <v>2967.3</v>
      </c>
      <c r="L11" s="16" t="s">
        <v>33</v>
      </c>
    </row>
    <row r="12" customFormat="1" ht="21" customHeight="1" spans="1:12">
      <c r="A12" s="7">
        <v>503</v>
      </c>
      <c r="B12" s="10" t="s">
        <v>86</v>
      </c>
      <c r="C12" s="10"/>
      <c r="D12" s="10"/>
      <c r="E12" s="11" t="s">
        <v>27</v>
      </c>
      <c r="F12" s="13" t="s">
        <v>76</v>
      </c>
      <c r="G12" s="13">
        <v>46128</v>
      </c>
      <c r="H12" s="30">
        <v>160</v>
      </c>
      <c r="I12" s="16">
        <v>13.4</v>
      </c>
      <c r="J12" s="16" t="s">
        <v>16</v>
      </c>
      <c r="K12" s="16">
        <f t="shared" si="0"/>
        <v>2144</v>
      </c>
      <c r="L12" s="16" t="s">
        <v>33</v>
      </c>
    </row>
    <row r="13" customFormat="1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1" spans="1:1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ht="21" customHeight="1" spans="1:12">
      <c r="A16" s="8"/>
      <c r="B16" s="18"/>
      <c r="C16" s="18"/>
      <c r="D16" s="18"/>
      <c r="E16" s="12"/>
      <c r="F16" s="12"/>
      <c r="G16" s="14" t="s">
        <v>20</v>
      </c>
      <c r="H16" s="14">
        <f>SUM(H6:H12)</f>
        <v>1949</v>
      </c>
      <c r="I16" s="14"/>
      <c r="J16" s="14"/>
      <c r="K16" s="19">
        <f>SUM(K6:K12)</f>
        <v>28223.1</v>
      </c>
      <c r="L16" s="20"/>
    </row>
  </sheetData>
  <autoFilter xmlns:etc="http://www.wps.cn/officeDocument/2017/etCustomData" ref="A5:L16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74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6"/>
  <sheetViews>
    <sheetView showGridLines="0" view="pageBreakPreview" zoomScaleNormal="100" workbookViewId="0">
      <selection activeCell="N9" sqref="N9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2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46122</v>
      </c>
      <c r="K4" s="6"/>
      <c r="L4" s="3"/>
    </row>
    <row r="5" ht="21" customHeight="1" spans="1:12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</row>
    <row r="6" customFormat="1" ht="21" customHeight="1" spans="1:12">
      <c r="A6" s="7">
        <v>452</v>
      </c>
      <c r="B6" s="10" t="s">
        <v>75</v>
      </c>
      <c r="C6" s="10"/>
      <c r="D6" s="10"/>
      <c r="E6" s="11" t="s">
        <v>27</v>
      </c>
      <c r="F6" s="13" t="s">
        <v>76</v>
      </c>
      <c r="G6" s="13">
        <v>46125</v>
      </c>
      <c r="H6" s="30">
        <v>749</v>
      </c>
      <c r="I6" s="16">
        <v>13.4</v>
      </c>
      <c r="J6" s="16" t="s">
        <v>16</v>
      </c>
      <c r="K6" s="16">
        <f t="shared" ref="K6:K12" si="0">I6*H6</f>
        <v>10036.6</v>
      </c>
      <c r="L6" s="16" t="s">
        <v>33</v>
      </c>
    </row>
    <row r="7" customFormat="1" ht="21" customHeight="1" spans="1:12">
      <c r="A7" s="7">
        <v>453</v>
      </c>
      <c r="B7" s="10" t="s">
        <v>77</v>
      </c>
      <c r="C7" s="10"/>
      <c r="D7" s="10"/>
      <c r="E7" s="11" t="s">
        <v>27</v>
      </c>
      <c r="F7" s="13" t="s">
        <v>78</v>
      </c>
      <c r="G7" s="13">
        <v>46125</v>
      </c>
      <c r="H7" s="30">
        <v>109</v>
      </c>
      <c r="I7" s="16">
        <v>13.4</v>
      </c>
      <c r="J7" s="16" t="s">
        <v>16</v>
      </c>
      <c r="K7" s="16">
        <f t="shared" si="0"/>
        <v>1460.6</v>
      </c>
      <c r="L7" s="16" t="s">
        <v>33</v>
      </c>
    </row>
    <row r="8" customFormat="1" ht="21" customHeight="1" spans="1:12">
      <c r="A8" s="7">
        <v>454</v>
      </c>
      <c r="B8" s="10" t="s">
        <v>79</v>
      </c>
      <c r="C8" s="10"/>
      <c r="D8" s="10"/>
      <c r="E8" s="11" t="s">
        <v>27</v>
      </c>
      <c r="F8" s="13" t="s">
        <v>80</v>
      </c>
      <c r="G8" s="13">
        <v>46125</v>
      </c>
      <c r="H8" s="30">
        <v>408</v>
      </c>
      <c r="I8" s="16">
        <v>13.4</v>
      </c>
      <c r="J8" s="16" t="s">
        <v>16</v>
      </c>
      <c r="K8" s="16">
        <f t="shared" si="0"/>
        <v>5467.2</v>
      </c>
      <c r="L8" s="16" t="s">
        <v>33</v>
      </c>
    </row>
    <row r="9" customFormat="1" ht="21" customHeight="1" spans="1:12">
      <c r="A9" s="7">
        <v>455</v>
      </c>
      <c r="B9" s="10" t="s">
        <v>81</v>
      </c>
      <c r="C9" s="10"/>
      <c r="D9" s="10"/>
      <c r="E9" s="11" t="s">
        <v>27</v>
      </c>
      <c r="F9" s="13" t="s">
        <v>82</v>
      </c>
      <c r="G9" s="13">
        <v>46125</v>
      </c>
      <c r="H9" s="31">
        <v>140</v>
      </c>
      <c r="I9" s="16">
        <v>13.4</v>
      </c>
      <c r="J9" s="16" t="s">
        <v>16</v>
      </c>
      <c r="K9" s="16">
        <f t="shared" si="0"/>
        <v>1876</v>
      </c>
      <c r="L9" s="16" t="s">
        <v>33</v>
      </c>
    </row>
    <row r="10" customFormat="1" ht="21" customHeight="1" spans="1:12">
      <c r="A10" s="7">
        <v>501</v>
      </c>
      <c r="B10" s="10" t="s">
        <v>83</v>
      </c>
      <c r="C10" s="10"/>
      <c r="D10" s="10"/>
      <c r="E10" s="11" t="s">
        <v>14</v>
      </c>
      <c r="F10" s="13" t="s">
        <v>49</v>
      </c>
      <c r="G10" s="13">
        <v>46127</v>
      </c>
      <c r="H10" s="30">
        <v>226</v>
      </c>
      <c r="I10" s="16">
        <v>18.9</v>
      </c>
      <c r="J10" s="16" t="s">
        <v>16</v>
      </c>
      <c r="K10" s="16">
        <f t="shared" si="0"/>
        <v>4271.4</v>
      </c>
      <c r="L10" s="16" t="s">
        <v>33</v>
      </c>
    </row>
    <row r="11" customFormat="1" ht="21" customHeight="1" spans="1:12">
      <c r="A11" s="7">
        <v>502</v>
      </c>
      <c r="B11" s="10" t="s">
        <v>84</v>
      </c>
      <c r="C11" s="10"/>
      <c r="D11" s="10"/>
      <c r="E11" s="11" t="s">
        <v>14</v>
      </c>
      <c r="F11" s="13" t="s">
        <v>85</v>
      </c>
      <c r="G11" s="13">
        <v>46127</v>
      </c>
      <c r="H11" s="30">
        <v>157</v>
      </c>
      <c r="I11" s="16">
        <v>18.9</v>
      </c>
      <c r="J11" s="16" t="s">
        <v>16</v>
      </c>
      <c r="K11" s="16">
        <f t="shared" si="0"/>
        <v>2967.3</v>
      </c>
      <c r="L11" s="16" t="s">
        <v>33</v>
      </c>
    </row>
    <row r="12" customFormat="1" ht="21" customHeight="1" spans="1:12">
      <c r="A12" s="7">
        <v>503</v>
      </c>
      <c r="B12" s="10" t="s">
        <v>86</v>
      </c>
      <c r="C12" s="10"/>
      <c r="D12" s="10"/>
      <c r="E12" s="11" t="s">
        <v>27</v>
      </c>
      <c r="F12" s="13" t="s">
        <v>76</v>
      </c>
      <c r="G12" s="13">
        <v>46128</v>
      </c>
      <c r="H12" s="30">
        <v>160</v>
      </c>
      <c r="I12" s="16">
        <v>13.4</v>
      </c>
      <c r="J12" s="16" t="s">
        <v>16</v>
      </c>
      <c r="K12" s="16">
        <f t="shared" si="0"/>
        <v>2144</v>
      </c>
      <c r="L12" s="16" t="s">
        <v>33</v>
      </c>
    </row>
    <row r="13" customFormat="1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1" spans="1:1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ht="21" customHeight="1" spans="1:12">
      <c r="A16" s="8"/>
      <c r="B16" s="18"/>
      <c r="C16" s="18"/>
      <c r="D16" s="18"/>
      <c r="E16" s="12"/>
      <c r="F16" s="12"/>
      <c r="G16" s="14" t="s">
        <v>20</v>
      </c>
      <c r="H16" s="14">
        <f>SUM(H6:H12)</f>
        <v>1949</v>
      </c>
      <c r="I16" s="14"/>
      <c r="J16" s="14"/>
      <c r="K16" s="19">
        <f>SUM(K6:K12)</f>
        <v>28223.1</v>
      </c>
      <c r="L16" s="20"/>
    </row>
  </sheetData>
  <autoFilter xmlns:etc="http://www.wps.cn/officeDocument/2017/etCustomData" ref="A5:L16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74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showGridLines="0" view="pageBreakPreview" zoomScaleNormal="100" topLeftCell="A9" workbookViewId="0">
      <selection activeCell="O9" sqref="O9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3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46164</v>
      </c>
      <c r="K4" s="6"/>
      <c r="L4" s="3"/>
    </row>
    <row r="5" ht="21" customHeight="1" spans="1:13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  <c r="M5" s="9" t="s">
        <v>87</v>
      </c>
    </row>
    <row r="6" customFormat="1" ht="21" customHeight="1" spans="1:13">
      <c r="A6" s="24">
        <v>619</v>
      </c>
      <c r="B6" s="10" t="s">
        <v>88</v>
      </c>
      <c r="C6" s="10"/>
      <c r="D6" s="10"/>
      <c r="E6" s="11" t="s">
        <v>18</v>
      </c>
      <c r="F6" s="25" t="s">
        <v>89</v>
      </c>
      <c r="G6" s="13">
        <v>46160</v>
      </c>
      <c r="H6" s="14">
        <v>137</v>
      </c>
      <c r="I6" s="15">
        <v>11.8</v>
      </c>
      <c r="J6" s="16" t="s">
        <v>16</v>
      </c>
      <c r="K6" s="16">
        <f t="shared" ref="K6:K22" si="0">I6*H6</f>
        <v>1616.6</v>
      </c>
      <c r="L6" s="16" t="s">
        <v>33</v>
      </c>
      <c r="M6" s="17">
        <v>137</v>
      </c>
    </row>
    <row r="7" customFormat="1" ht="21" customHeight="1" spans="1:13">
      <c r="A7" s="24">
        <v>646</v>
      </c>
      <c r="B7" s="10" t="s">
        <v>90</v>
      </c>
      <c r="C7" s="10"/>
      <c r="D7" s="10"/>
      <c r="E7" s="11" t="s">
        <v>18</v>
      </c>
      <c r="F7" s="25" t="s">
        <v>49</v>
      </c>
      <c r="G7" s="13">
        <v>46160</v>
      </c>
      <c r="H7" s="14">
        <v>228</v>
      </c>
      <c r="I7" s="15">
        <v>11.8</v>
      </c>
      <c r="J7" s="16" t="s">
        <v>16</v>
      </c>
      <c r="K7" s="16">
        <f t="shared" si="0"/>
        <v>2690.4</v>
      </c>
      <c r="L7" s="16" t="s">
        <v>33</v>
      </c>
      <c r="M7" s="17" t="s">
        <v>91</v>
      </c>
    </row>
    <row r="8" customFormat="1" ht="21" customHeight="1" spans="1:13">
      <c r="A8" s="24">
        <v>648</v>
      </c>
      <c r="B8" s="10" t="s">
        <v>92</v>
      </c>
      <c r="C8" s="10"/>
      <c r="D8" s="10"/>
      <c r="E8" s="11" t="s">
        <v>18</v>
      </c>
      <c r="F8" s="25" t="s">
        <v>89</v>
      </c>
      <c r="G8" s="13">
        <v>46160</v>
      </c>
      <c r="H8" s="14">
        <v>40</v>
      </c>
      <c r="I8" s="15">
        <v>11.8</v>
      </c>
      <c r="J8" s="16" t="s">
        <v>16</v>
      </c>
      <c r="K8" s="16">
        <f t="shared" si="0"/>
        <v>472</v>
      </c>
      <c r="L8" s="16" t="s">
        <v>33</v>
      </c>
      <c r="M8" s="17">
        <v>40</v>
      </c>
    </row>
    <row r="9" customFormat="1" ht="71.25" spans="1:13">
      <c r="A9" s="24">
        <v>671</v>
      </c>
      <c r="B9" s="10" t="s">
        <v>93</v>
      </c>
      <c r="C9" s="10"/>
      <c r="D9" s="10"/>
      <c r="E9" s="11" t="s">
        <v>27</v>
      </c>
      <c r="F9" s="25" t="s">
        <v>76</v>
      </c>
      <c r="G9" s="13">
        <v>46160</v>
      </c>
      <c r="H9" s="14">
        <v>961</v>
      </c>
      <c r="I9" s="15">
        <v>13.4</v>
      </c>
      <c r="J9" s="16" t="s">
        <v>16</v>
      </c>
      <c r="K9" s="16">
        <f t="shared" si="0"/>
        <v>12877.4</v>
      </c>
      <c r="L9" s="16" t="s">
        <v>33</v>
      </c>
      <c r="M9" s="17" t="s">
        <v>94</v>
      </c>
    </row>
    <row r="10" customFormat="1" ht="57" spans="1:13">
      <c r="A10" s="24">
        <v>672</v>
      </c>
      <c r="B10" s="10" t="s">
        <v>95</v>
      </c>
      <c r="C10" s="10"/>
      <c r="D10" s="10"/>
      <c r="E10" s="11" t="s">
        <v>27</v>
      </c>
      <c r="F10" s="25" t="s">
        <v>78</v>
      </c>
      <c r="G10" s="13">
        <v>46160</v>
      </c>
      <c r="H10" s="14">
        <v>718</v>
      </c>
      <c r="I10" s="15">
        <v>13.4</v>
      </c>
      <c r="J10" s="16" t="s">
        <v>16</v>
      </c>
      <c r="K10" s="16">
        <f t="shared" si="0"/>
        <v>9621.2</v>
      </c>
      <c r="L10" s="16" t="s">
        <v>33</v>
      </c>
      <c r="M10" s="17" t="s">
        <v>96</v>
      </c>
    </row>
    <row r="11" customFormat="1" ht="28.5" spans="1:13">
      <c r="A11" s="24">
        <v>673</v>
      </c>
      <c r="B11" s="10" t="s">
        <v>97</v>
      </c>
      <c r="C11" s="10"/>
      <c r="D11" s="10"/>
      <c r="E11" s="11" t="s">
        <v>27</v>
      </c>
      <c r="F11" s="25" t="s">
        <v>98</v>
      </c>
      <c r="G11" s="13">
        <v>46160</v>
      </c>
      <c r="H11" s="14">
        <v>296</v>
      </c>
      <c r="I11" s="15">
        <v>13.4</v>
      </c>
      <c r="J11" s="16" t="s">
        <v>16</v>
      </c>
      <c r="K11" s="16">
        <f t="shared" si="0"/>
        <v>3966.4</v>
      </c>
      <c r="L11" s="16" t="s">
        <v>33</v>
      </c>
      <c r="M11" s="17" t="s">
        <v>99</v>
      </c>
    </row>
    <row r="12" customFormat="1" ht="20" customHeight="1" spans="1:13">
      <c r="A12" s="24">
        <v>674</v>
      </c>
      <c r="B12" s="10" t="s">
        <v>100</v>
      </c>
      <c r="C12" s="10"/>
      <c r="D12" s="10"/>
      <c r="E12" s="11" t="s">
        <v>27</v>
      </c>
      <c r="F12" s="25" t="s">
        <v>101</v>
      </c>
      <c r="G12" s="13">
        <v>46161</v>
      </c>
      <c r="H12" s="14">
        <v>135</v>
      </c>
      <c r="I12" s="15">
        <v>13.4</v>
      </c>
      <c r="J12" s="16" t="s">
        <v>16</v>
      </c>
      <c r="K12" s="16">
        <f t="shared" si="0"/>
        <v>1809</v>
      </c>
      <c r="L12" s="16" t="s">
        <v>33</v>
      </c>
      <c r="M12" s="17">
        <v>135</v>
      </c>
    </row>
    <row r="13" customFormat="1" ht="20" customHeight="1" spans="1:13">
      <c r="A13" s="24">
        <v>675</v>
      </c>
      <c r="B13" s="10" t="s">
        <v>102</v>
      </c>
      <c r="C13" s="10"/>
      <c r="D13" s="10"/>
      <c r="E13" s="11" t="s">
        <v>27</v>
      </c>
      <c r="F13" s="25" t="s">
        <v>103</v>
      </c>
      <c r="G13" s="13">
        <v>46161</v>
      </c>
      <c r="H13" s="14">
        <v>163</v>
      </c>
      <c r="I13" s="15">
        <v>13.4</v>
      </c>
      <c r="J13" s="16" t="s">
        <v>16</v>
      </c>
      <c r="K13" s="16">
        <f t="shared" si="0"/>
        <v>2184.2</v>
      </c>
      <c r="L13" s="16" t="s">
        <v>33</v>
      </c>
      <c r="M13" s="17" t="s">
        <v>104</v>
      </c>
    </row>
    <row r="14" customFormat="1" ht="20" customHeight="1" spans="1:13">
      <c r="A14" s="24">
        <v>743</v>
      </c>
      <c r="B14" s="10" t="s">
        <v>105</v>
      </c>
      <c r="C14" s="10"/>
      <c r="D14" s="10"/>
      <c r="E14" s="11" t="s">
        <v>27</v>
      </c>
      <c r="F14" s="25" t="s">
        <v>106</v>
      </c>
      <c r="G14" s="13">
        <v>46161</v>
      </c>
      <c r="H14" s="14">
        <v>148</v>
      </c>
      <c r="I14" s="15">
        <v>13.4</v>
      </c>
      <c r="J14" s="16" t="s">
        <v>16</v>
      </c>
      <c r="K14" s="16">
        <f t="shared" si="0"/>
        <v>1983.2</v>
      </c>
      <c r="L14" s="16" t="s">
        <v>33</v>
      </c>
      <c r="M14" s="17" t="s">
        <v>107</v>
      </c>
    </row>
    <row r="15" customFormat="1" ht="20" customHeight="1" spans="1:13">
      <c r="A15" s="24">
        <v>744</v>
      </c>
      <c r="B15" s="10" t="s">
        <v>108</v>
      </c>
      <c r="C15" s="10"/>
      <c r="D15" s="10"/>
      <c r="E15" s="11" t="s">
        <v>27</v>
      </c>
      <c r="F15" s="25" t="s">
        <v>109</v>
      </c>
      <c r="G15" s="13">
        <v>46161</v>
      </c>
      <c r="H15" s="14">
        <v>101</v>
      </c>
      <c r="I15" s="15">
        <v>13.4</v>
      </c>
      <c r="J15" s="16" t="s">
        <v>16</v>
      </c>
      <c r="K15" s="16">
        <f t="shared" si="0"/>
        <v>1353.4</v>
      </c>
      <c r="L15" s="16" t="s">
        <v>33</v>
      </c>
      <c r="M15" s="17">
        <v>101</v>
      </c>
    </row>
    <row r="16" customFormat="1" ht="20" customHeight="1" spans="1:13">
      <c r="A16" s="24">
        <v>621</v>
      </c>
      <c r="B16" s="10" t="s">
        <v>110</v>
      </c>
      <c r="C16" s="10"/>
      <c r="D16" s="10"/>
      <c r="E16" s="11" t="s">
        <v>48</v>
      </c>
      <c r="F16" s="25" t="s">
        <v>49</v>
      </c>
      <c r="G16" s="13">
        <v>46162</v>
      </c>
      <c r="H16" s="14">
        <v>108</v>
      </c>
      <c r="I16" s="15">
        <v>14.4</v>
      </c>
      <c r="J16" s="16" t="s">
        <v>16</v>
      </c>
      <c r="K16" s="16">
        <f t="shared" si="0"/>
        <v>1555.2</v>
      </c>
      <c r="L16" s="16" t="s">
        <v>33</v>
      </c>
      <c r="M16" s="17">
        <v>108</v>
      </c>
    </row>
    <row r="17" customFormat="1" ht="20" customHeight="1" spans="1:15">
      <c r="A17" s="24">
        <v>753</v>
      </c>
      <c r="B17" s="10" t="s">
        <v>111</v>
      </c>
      <c r="C17" s="10"/>
      <c r="D17" s="10"/>
      <c r="E17" s="11" t="s">
        <v>27</v>
      </c>
      <c r="F17" s="25" t="s">
        <v>109</v>
      </c>
      <c r="G17" s="13">
        <v>46162</v>
      </c>
      <c r="H17" s="14">
        <v>60</v>
      </c>
      <c r="I17" s="15">
        <v>14.4</v>
      </c>
      <c r="J17" s="16" t="s">
        <v>16</v>
      </c>
      <c r="K17" s="16">
        <f t="shared" si="0"/>
        <v>864</v>
      </c>
      <c r="L17" s="16" t="s">
        <v>33</v>
      </c>
      <c r="M17" s="17">
        <v>60</v>
      </c>
    </row>
    <row r="18" customFormat="1" ht="28.5" spans="1:15">
      <c r="A18" s="24">
        <v>724</v>
      </c>
      <c r="B18" s="10" t="s">
        <v>112</v>
      </c>
      <c r="C18" s="10"/>
      <c r="D18" s="10"/>
      <c r="E18" s="11" t="s">
        <v>48</v>
      </c>
      <c r="F18" s="25" t="s">
        <v>113</v>
      </c>
      <c r="G18" s="13">
        <v>46164</v>
      </c>
      <c r="H18" s="14">
        <v>291</v>
      </c>
      <c r="I18" s="15">
        <v>14.4</v>
      </c>
      <c r="J18" s="16" t="s">
        <v>16</v>
      </c>
      <c r="K18" s="16">
        <f t="shared" si="0"/>
        <v>4190.4</v>
      </c>
      <c r="L18" s="16" t="s">
        <v>33</v>
      </c>
      <c r="M18" s="17" t="s">
        <v>114</v>
      </c>
      <c r="O18" s="26"/>
    </row>
    <row r="19" customFormat="1" ht="42.75" spans="1:15">
      <c r="A19" s="24">
        <v>725</v>
      </c>
      <c r="B19" s="10" t="s">
        <v>115</v>
      </c>
      <c r="C19" s="10"/>
      <c r="D19" s="10"/>
      <c r="E19" s="11" t="s">
        <v>48</v>
      </c>
      <c r="F19" s="25" t="s">
        <v>116</v>
      </c>
      <c r="G19" s="13">
        <v>46164</v>
      </c>
      <c r="H19" s="14">
        <v>506</v>
      </c>
      <c r="I19" s="15">
        <v>14.4</v>
      </c>
      <c r="J19" s="16" t="s">
        <v>16</v>
      </c>
      <c r="K19" s="16">
        <f t="shared" si="0"/>
        <v>7286.4</v>
      </c>
      <c r="L19" s="16" t="s">
        <v>33</v>
      </c>
      <c r="M19" s="17" t="s">
        <v>117</v>
      </c>
    </row>
    <row r="20" customFormat="1" ht="20" customHeight="1" spans="1:15">
      <c r="A20" s="24">
        <v>631</v>
      </c>
      <c r="B20" s="10" t="s">
        <v>118</v>
      </c>
      <c r="C20" s="10"/>
      <c r="D20" s="10"/>
      <c r="E20" s="11" t="s">
        <v>51</v>
      </c>
      <c r="F20" s="25" t="s">
        <v>119</v>
      </c>
      <c r="G20" s="13">
        <v>46164</v>
      </c>
      <c r="H20" s="14">
        <v>155</v>
      </c>
      <c r="I20" s="15">
        <v>14.1</v>
      </c>
      <c r="J20" s="16" t="s">
        <v>16</v>
      </c>
      <c r="K20" s="16">
        <f t="shared" si="0"/>
        <v>2185.5</v>
      </c>
      <c r="L20" s="16" t="s">
        <v>33</v>
      </c>
      <c r="M20" s="17">
        <v>155</v>
      </c>
    </row>
    <row r="21" customFormat="1" ht="28.5" spans="1:15">
      <c r="A21" s="24">
        <v>632</v>
      </c>
      <c r="B21" s="10" t="s">
        <v>120</v>
      </c>
      <c r="C21" s="10"/>
      <c r="D21" s="10"/>
      <c r="E21" s="11" t="s">
        <v>51</v>
      </c>
      <c r="F21" s="25" t="s">
        <v>121</v>
      </c>
      <c r="G21" s="13">
        <v>46164</v>
      </c>
      <c r="H21" s="14">
        <v>532</v>
      </c>
      <c r="I21" s="15">
        <v>14.1</v>
      </c>
      <c r="J21" s="16" t="s">
        <v>16</v>
      </c>
      <c r="K21" s="16">
        <f t="shared" si="0"/>
        <v>7501.2</v>
      </c>
      <c r="L21" s="16" t="s">
        <v>33</v>
      </c>
      <c r="M21" s="17" t="s">
        <v>122</v>
      </c>
    </row>
    <row r="22" customFormat="1" ht="20" customHeight="1" spans="1:15">
      <c r="A22" s="27">
        <v>634</v>
      </c>
      <c r="B22" s="18" t="s">
        <v>123</v>
      </c>
      <c r="C22" s="18"/>
      <c r="D22" s="18"/>
      <c r="E22" s="12" t="s">
        <v>51</v>
      </c>
      <c r="F22" s="25" t="s">
        <v>49</v>
      </c>
      <c r="G22" s="28">
        <v>46164</v>
      </c>
      <c r="H22" s="14">
        <v>142</v>
      </c>
      <c r="I22" s="14">
        <v>14.1</v>
      </c>
      <c r="J22" s="29" t="s">
        <v>16</v>
      </c>
      <c r="K22" s="29">
        <f t="shared" si="0"/>
        <v>2002.2</v>
      </c>
      <c r="L22" s="29" t="s">
        <v>33</v>
      </c>
      <c r="M22" s="17">
        <v>142</v>
      </c>
    </row>
    <row r="23" ht="21" customHeight="1" spans="1:15">
      <c r="A23" s="8"/>
      <c r="B23" s="18"/>
      <c r="C23" s="18"/>
      <c r="D23" s="18"/>
      <c r="E23" s="12"/>
      <c r="F23" s="12"/>
      <c r="G23" s="14" t="s">
        <v>20</v>
      </c>
      <c r="H23" s="14">
        <f>SUM(H6:H22)</f>
        <v>4721</v>
      </c>
      <c r="I23" s="14"/>
      <c r="J23" s="14"/>
      <c r="K23" s="19">
        <f>SUM(K6:K22)</f>
        <v>64158.7</v>
      </c>
      <c r="L23" s="20"/>
      <c r="M23" s="9"/>
    </row>
  </sheetData>
  <autoFilter xmlns:etc="http://www.wps.cn/officeDocument/2017/etCustomData" ref="A5:L23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54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"/>
  <sheetViews>
    <sheetView showGridLines="0" view="pageBreakPreview" zoomScaleNormal="100" workbookViewId="0">
      <selection activeCell="A1" sqref="A1:M39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3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46171</v>
      </c>
      <c r="K4" s="6"/>
      <c r="L4" s="3"/>
    </row>
    <row r="5" ht="21" customHeight="1" spans="1:13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  <c r="M5" s="9" t="s">
        <v>87</v>
      </c>
    </row>
    <row r="6" customFormat="1" ht="16.5" spans="1:13">
      <c r="A6" s="7">
        <v>647</v>
      </c>
      <c r="B6" s="10" t="s">
        <v>124</v>
      </c>
      <c r="C6" s="10"/>
      <c r="D6" s="10"/>
      <c r="E6" s="11" t="s">
        <v>18</v>
      </c>
      <c r="F6" s="21" t="s">
        <v>125</v>
      </c>
      <c r="G6" s="13">
        <v>46168</v>
      </c>
      <c r="H6" s="14">
        <v>200</v>
      </c>
      <c r="I6" s="15">
        <v>11.8</v>
      </c>
      <c r="J6" s="16" t="s">
        <v>16</v>
      </c>
      <c r="K6" s="16">
        <f>I6*H6</f>
        <v>2360</v>
      </c>
      <c r="L6" s="16" t="s">
        <v>33</v>
      </c>
      <c r="M6" s="17" t="s">
        <v>126</v>
      </c>
    </row>
    <row r="7" customFormat="1" ht="21" customHeight="1" spans="1:13">
      <c r="A7" s="7">
        <v>633</v>
      </c>
      <c r="B7" s="10" t="s">
        <v>127</v>
      </c>
      <c r="C7" s="10"/>
      <c r="D7" s="10"/>
      <c r="E7" s="11" t="s">
        <v>51</v>
      </c>
      <c r="F7" s="12" t="s">
        <v>128</v>
      </c>
      <c r="G7" s="13">
        <v>46169</v>
      </c>
      <c r="H7" s="14">
        <v>190</v>
      </c>
      <c r="I7" s="15">
        <v>14.1</v>
      </c>
      <c r="J7" s="16" t="s">
        <v>16</v>
      </c>
      <c r="K7" s="16">
        <f>I7*H7</f>
        <v>2679</v>
      </c>
      <c r="L7" s="16" t="s">
        <v>33</v>
      </c>
      <c r="M7" s="9" t="s">
        <v>129</v>
      </c>
    </row>
    <row r="8" customFormat="1" ht="21" customHeight="1" spans="1:13">
      <c r="A8" s="7"/>
      <c r="B8" s="10"/>
      <c r="C8" s="10"/>
      <c r="D8" s="10"/>
      <c r="E8" s="11"/>
      <c r="F8" s="12"/>
      <c r="G8" s="15"/>
      <c r="H8" s="14"/>
      <c r="I8" s="15"/>
      <c r="J8" s="15"/>
      <c r="K8" s="22"/>
      <c r="L8" s="23"/>
      <c r="M8" s="9"/>
    </row>
    <row r="9" ht="21" customHeight="1" spans="1:13">
      <c r="A9" s="8"/>
      <c r="B9" s="18"/>
      <c r="C9" s="18"/>
      <c r="D9" s="18"/>
      <c r="E9" s="12"/>
      <c r="F9" s="12"/>
      <c r="G9" s="14" t="s">
        <v>20</v>
      </c>
      <c r="H9" s="14">
        <f>SUM(H6:H7)</f>
        <v>390</v>
      </c>
      <c r="I9" s="14"/>
      <c r="J9" s="14"/>
      <c r="K9" s="19">
        <f>SUM(K6:K7)</f>
        <v>5039</v>
      </c>
      <c r="L9" s="20"/>
      <c r="M9" s="9"/>
    </row>
  </sheetData>
  <autoFilter xmlns:etc="http://www.wps.cn/officeDocument/2017/etCustomData" ref="A5:L9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92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"/>
  <sheetViews>
    <sheetView showGridLines="0" view="pageBreakPreview" zoomScaleNormal="100" workbookViewId="0">
      <selection activeCell="L42" sqref="L42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3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46171</v>
      </c>
      <c r="K4" s="6"/>
      <c r="L4" s="3"/>
    </row>
    <row r="5" ht="21" customHeight="1" spans="1:13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  <c r="M5" s="9" t="s">
        <v>87</v>
      </c>
    </row>
    <row r="6" customFormat="1" ht="16.5" spans="1:13">
      <c r="A6" s="7">
        <v>647</v>
      </c>
      <c r="B6" s="10" t="s">
        <v>124</v>
      </c>
      <c r="C6" s="10"/>
      <c r="D6" s="10"/>
      <c r="E6" s="11" t="s">
        <v>18</v>
      </c>
      <c r="F6" s="21" t="s">
        <v>125</v>
      </c>
      <c r="G6" s="13">
        <v>46168</v>
      </c>
      <c r="H6" s="14">
        <v>200</v>
      </c>
      <c r="I6" s="15">
        <v>11.8</v>
      </c>
      <c r="J6" s="16" t="s">
        <v>16</v>
      </c>
      <c r="K6" s="16">
        <f>I6*H6</f>
        <v>2360</v>
      </c>
      <c r="L6" s="16" t="s">
        <v>33</v>
      </c>
      <c r="M6" s="17" t="s">
        <v>126</v>
      </c>
    </row>
    <row r="7" customFormat="1" ht="21" customHeight="1" spans="1:13">
      <c r="A7" s="7">
        <v>633</v>
      </c>
      <c r="B7" s="10" t="s">
        <v>127</v>
      </c>
      <c r="C7" s="10"/>
      <c r="D7" s="10"/>
      <c r="E7" s="11" t="s">
        <v>51</v>
      </c>
      <c r="F7" s="12" t="s">
        <v>128</v>
      </c>
      <c r="G7" s="13">
        <v>46169</v>
      </c>
      <c r="H7" s="14">
        <v>190</v>
      </c>
      <c r="I7" s="15">
        <v>14.1</v>
      </c>
      <c r="J7" s="16" t="s">
        <v>16</v>
      </c>
      <c r="K7" s="16">
        <f>I7*H7</f>
        <v>2679</v>
      </c>
      <c r="L7" s="16" t="s">
        <v>33</v>
      </c>
      <c r="M7" s="9" t="s">
        <v>129</v>
      </c>
    </row>
    <row r="8" customFormat="1" ht="21" customHeight="1" spans="1:13">
      <c r="A8" s="7"/>
      <c r="B8" s="10"/>
      <c r="C8" s="10"/>
      <c r="D8" s="10"/>
      <c r="E8" s="11"/>
      <c r="F8" s="12"/>
      <c r="G8" s="15"/>
      <c r="H8" s="14"/>
      <c r="I8" s="15"/>
      <c r="J8" s="15"/>
      <c r="K8" s="22"/>
      <c r="L8" s="23"/>
      <c r="M8" s="9"/>
    </row>
    <row r="9" ht="21" customHeight="1" spans="1:13">
      <c r="A9" s="8"/>
      <c r="B9" s="18"/>
      <c r="C9" s="18"/>
      <c r="D9" s="18"/>
      <c r="E9" s="12"/>
      <c r="F9" s="12"/>
      <c r="G9" s="14" t="s">
        <v>20</v>
      </c>
      <c r="H9" s="14">
        <f>SUM(H6:H7)</f>
        <v>390</v>
      </c>
      <c r="I9" s="14"/>
      <c r="J9" s="14"/>
      <c r="K9" s="19">
        <f>SUM(K6:K7)</f>
        <v>5039</v>
      </c>
      <c r="L9" s="20"/>
      <c r="M9" s="9"/>
    </row>
  </sheetData>
  <autoFilter xmlns:etc="http://www.wps.cn/officeDocument/2017/etCustomData" ref="A5:L9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92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showGridLines="0" tabSelected="1" view="pageBreakPreview" zoomScaleNormal="100" topLeftCell="A24" workbookViewId="0">
      <selection activeCell="A1" sqref="A1:M41"/>
    </sheetView>
  </sheetViews>
  <sheetFormatPr defaultColWidth="9" defaultRowHeight="14.25"/>
  <cols>
    <col min="1" max="1" width="8.875" customWidth="1"/>
    <col min="2" max="2" width="15.875" customWidth="1"/>
    <col min="3" max="4" width="15.875" hidden="1" customWidth="1"/>
    <col min="5" max="5" width="11.625" customWidth="1"/>
    <col min="6" max="6" width="10.2166666666667" customWidth="1"/>
    <col min="7" max="7" width="10.875" customWidth="1"/>
    <col min="8" max="8" width="10.625" customWidth="1"/>
    <col min="9" max="9" width="10.875" customWidth="1"/>
    <col min="10" max="10" width="11" customWidth="1"/>
    <col min="11" max="11" width="13" customWidth="1"/>
    <col min="12" max="12" width="20.625" customWidth="1"/>
  </cols>
  <sheetData>
    <row r="1" ht="20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B3" s="3"/>
      <c r="C3" s="3"/>
      <c r="D3" s="3"/>
      <c r="E3" s="3"/>
      <c r="F3" s="3"/>
      <c r="G3" s="3"/>
      <c r="H3" s="3"/>
      <c r="I3" s="3"/>
      <c r="J3" s="3"/>
      <c r="K3" s="3"/>
    </row>
    <row r="4" ht="18" spans="1:13">
      <c r="B4" s="4" t="s">
        <v>2</v>
      </c>
      <c r="C4" s="4"/>
      <c r="D4" s="4"/>
      <c r="E4" s="3"/>
      <c r="F4" s="3"/>
      <c r="G4" s="3"/>
      <c r="H4" s="3"/>
      <c r="I4" s="3" t="s">
        <v>3</v>
      </c>
      <c r="J4" s="5">
        <v>46178</v>
      </c>
      <c r="K4" s="6"/>
      <c r="L4" s="3"/>
    </row>
    <row r="5" ht="21" customHeight="1" spans="1:13">
      <c r="A5" s="7" t="s">
        <v>4</v>
      </c>
      <c r="B5" s="7" t="s">
        <v>24</v>
      </c>
      <c r="C5" s="7" t="s">
        <v>25</v>
      </c>
      <c r="D5" s="7" t="s">
        <v>5</v>
      </c>
      <c r="E5" s="7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8" t="s">
        <v>12</v>
      </c>
      <c r="L5" s="8" t="s">
        <v>13</v>
      </c>
      <c r="M5" s="9" t="s">
        <v>87</v>
      </c>
    </row>
    <row r="6" customFormat="1" ht="28.5" spans="1:13">
      <c r="A6" s="7">
        <v>768</v>
      </c>
      <c r="B6" s="10" t="s">
        <v>130</v>
      </c>
      <c r="C6" s="10"/>
      <c r="D6" s="10"/>
      <c r="E6" s="11" t="s">
        <v>66</v>
      </c>
      <c r="F6" s="12" t="s">
        <v>131</v>
      </c>
      <c r="G6" s="13">
        <v>46174</v>
      </c>
      <c r="H6" s="14">
        <v>160</v>
      </c>
      <c r="I6" s="15">
        <v>19.8</v>
      </c>
      <c r="J6" s="16" t="s">
        <v>16</v>
      </c>
      <c r="K6" s="16">
        <f>I6*H6</f>
        <v>3168</v>
      </c>
      <c r="L6" s="16" t="s">
        <v>33</v>
      </c>
      <c r="M6" s="17" t="s">
        <v>132</v>
      </c>
    </row>
    <row r="7" customFormat="1" ht="42.75" spans="1:13">
      <c r="A7" s="7">
        <v>769</v>
      </c>
      <c r="B7" s="10" t="s">
        <v>133</v>
      </c>
      <c r="C7" s="10"/>
      <c r="D7" s="10"/>
      <c r="E7" s="11" t="s">
        <v>66</v>
      </c>
      <c r="F7" s="12" t="s">
        <v>134</v>
      </c>
      <c r="G7" s="13">
        <v>46174</v>
      </c>
      <c r="H7" s="14">
        <v>301</v>
      </c>
      <c r="I7" s="15">
        <v>19.8</v>
      </c>
      <c r="J7" s="16" t="s">
        <v>16</v>
      </c>
      <c r="K7" s="16">
        <f>I7*H7</f>
        <v>5959.8</v>
      </c>
      <c r="L7" s="16" t="s">
        <v>33</v>
      </c>
      <c r="M7" s="17" t="s">
        <v>135</v>
      </c>
    </row>
    <row r="8" customFormat="1" ht="28.5" spans="1:13">
      <c r="A8" s="7">
        <v>618</v>
      </c>
      <c r="B8" s="10" t="s">
        <v>136</v>
      </c>
      <c r="C8" s="10"/>
      <c r="D8" s="10"/>
      <c r="E8" s="11" t="s">
        <v>18</v>
      </c>
      <c r="F8" s="12" t="s">
        <v>137</v>
      </c>
      <c r="G8" s="13">
        <v>46174</v>
      </c>
      <c r="H8" s="14">
        <v>107</v>
      </c>
      <c r="I8" s="15">
        <v>11.8</v>
      </c>
      <c r="J8" s="16" t="s">
        <v>16</v>
      </c>
      <c r="K8" s="16">
        <f>I8*H8</f>
        <v>1262.6</v>
      </c>
      <c r="L8" s="16" t="s">
        <v>33</v>
      </c>
      <c r="M8" s="17" t="s">
        <v>138</v>
      </c>
    </row>
    <row r="9" customFormat="1" ht="57" spans="1:13">
      <c r="A9" s="7">
        <v>774</v>
      </c>
      <c r="B9" s="10" t="s">
        <v>139</v>
      </c>
      <c r="C9" s="10"/>
      <c r="D9" s="10"/>
      <c r="E9" s="11" t="s">
        <v>48</v>
      </c>
      <c r="F9" s="12" t="s">
        <v>49</v>
      </c>
      <c r="G9" s="13">
        <v>46177</v>
      </c>
      <c r="H9" s="14">
        <v>479</v>
      </c>
      <c r="I9" s="15">
        <v>14.4</v>
      </c>
      <c r="J9" s="16" t="s">
        <v>16</v>
      </c>
      <c r="K9" s="16">
        <f>I9*H9</f>
        <v>6897.6</v>
      </c>
      <c r="L9" s="16" t="s">
        <v>33</v>
      </c>
      <c r="M9" s="17" t="s">
        <v>140</v>
      </c>
    </row>
    <row r="10" customFormat="1" ht="42.75" spans="1:13">
      <c r="A10" s="7">
        <v>775</v>
      </c>
      <c r="B10" s="10" t="s">
        <v>141</v>
      </c>
      <c r="C10" s="10"/>
      <c r="D10" s="10"/>
      <c r="E10" s="11" t="s">
        <v>48</v>
      </c>
      <c r="F10" s="12" t="s">
        <v>142</v>
      </c>
      <c r="G10" s="13">
        <v>46177</v>
      </c>
      <c r="H10" s="14">
        <v>345</v>
      </c>
      <c r="I10" s="15">
        <v>14.4</v>
      </c>
      <c r="J10" s="16" t="s">
        <v>16</v>
      </c>
      <c r="K10" s="16">
        <f>I10*H10</f>
        <v>4968</v>
      </c>
      <c r="L10" s="16" t="s">
        <v>33</v>
      </c>
      <c r="M10" s="17" t="s">
        <v>143</v>
      </c>
    </row>
    <row r="11" ht="21" customHeight="1" spans="1:13">
      <c r="A11" s="8"/>
      <c r="B11" s="18"/>
      <c r="C11" s="18"/>
      <c r="D11" s="18"/>
      <c r="E11" s="12"/>
      <c r="F11" s="12"/>
      <c r="G11" s="14" t="s">
        <v>20</v>
      </c>
      <c r="H11" s="14">
        <f>SUM(H6:H10)</f>
        <v>1392</v>
      </c>
      <c r="I11" s="14"/>
      <c r="J11" s="14"/>
      <c r="K11" s="19">
        <f>SUM(K6:K10)</f>
        <v>22256</v>
      </c>
      <c r="L11" s="20"/>
      <c r="M11" s="9"/>
    </row>
  </sheetData>
  <autoFilter xmlns:etc="http://www.wps.cn/officeDocument/2017/etCustomData" ref="A5:L11" etc:filterBottomFollowUsedRange="0">
    <extLst/>
  </autoFilter>
  <mergeCells count="2">
    <mergeCell ref="A1:L1"/>
    <mergeCell ref="A2:L2"/>
  </mergeCells>
  <pageMargins left="0.25" right="0.25" top="0.75" bottom="0.75" header="0.3" footer="0.3"/>
  <pageSetup paperSize="9" scale="7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2026-02-27</vt:lpstr>
      <vt:lpstr>2026-02-27 (2)</vt:lpstr>
      <vt:lpstr>2026-03-06</vt:lpstr>
      <vt:lpstr>2026-03-13</vt:lpstr>
      <vt:lpstr>2026-03-13 (2)</vt:lpstr>
      <vt:lpstr>2026-03-3-16</vt:lpstr>
      <vt:lpstr>2026-03-3-16 (2)</vt:lpstr>
      <vt:lpstr>2026-03-20)</vt:lpstr>
      <vt:lpstr>2026-04-10</vt:lpstr>
      <vt:lpstr>2026-04-10公帐</vt:lpstr>
      <vt:lpstr>2026-04-17公账</vt:lpstr>
      <vt:lpstr>2026-04-17私账 </vt:lpstr>
      <vt:lpstr>2026-05-22</vt:lpstr>
      <vt:lpstr>2026-05-29</vt:lpstr>
      <vt:lpstr>2026-05-29私账</vt:lpstr>
      <vt:lpstr>2026-06-5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公子炎木</cp:lastModifiedBy>
  <dcterms:created xsi:type="dcterms:W3CDTF">2020-11-30T13:01:00Z</dcterms:created>
  <cp:lastPrinted>2021-12-30T07:22:00Z</cp:lastPrinted>
  <dcterms:modified xsi:type="dcterms:W3CDTF">2026-06-05T07:52:30Z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9C77A1DF858844119C59CE925DFCF0C0_12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